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louis\OneDrive\Documents\Travail\Papers\KLEM\"/>
    </mc:Choice>
  </mc:AlternateContent>
  <xr:revisionPtr revIDLastSave="0" documentId="13_ncr:1_{520C524E-C657-4A4A-B2C9-F3A81646DDC1}" xr6:coauthVersionLast="47" xr6:coauthVersionMax="47" xr10:uidLastSave="{00000000-0000-0000-0000-000000000000}"/>
  <bookViews>
    <workbookView xWindow="-110" yWindow="-110" windowWidth="19420" windowHeight="11500" tabRatio="935" xr2:uid="{00000000-000D-0000-FFFF-FFFF00000000}"/>
  </bookViews>
  <sheets>
    <sheet name="Calibration" sheetId="1" r:id="rId1"/>
    <sheet name="Model" sheetId="2" r:id="rId2"/>
    <sheet name="Results" sheetId="3" r:id="rId3"/>
    <sheet name="NeoClassical" sheetId="11" r:id="rId4"/>
    <sheet name="Kaldorian" sheetId="22" r:id="rId5"/>
    <sheet name="Johansen" sheetId="12" r:id="rId6"/>
    <sheet name="Keynes-M" sheetId="18" r:id="rId7"/>
    <sheet name="Keynesian" sheetId="24" r:id="rId8"/>
    <sheet name="Keynes-K" sheetId="21" r:id="rId9"/>
    <sheet name="Neo-K1" sheetId="38" r:id="rId10"/>
    <sheet name="Neo-K2" sheetId="35" r:id="rId11"/>
    <sheet name="Diagnosis Indicators" sheetId="23" r:id="rId12"/>
    <sheet name="Welfare" sheetId="34" r:id="rId13"/>
    <sheet name="Tax" sheetId="42" r:id="rId14"/>
    <sheet name="GDP" sheetId="39" r:id="rId15"/>
    <sheet name="Inv" sheetId="41" r:id="rId16"/>
    <sheet name="Kshare" sheetId="40" r:id="rId17"/>
    <sheet name="U" sheetId="43" r:id="rId18"/>
    <sheet name="Utility-export" sheetId="44" r:id="rId19"/>
    <sheet name="PShare_export" sheetId="45" r:id="rId20"/>
    <sheet name="Tax_export" sheetId="46" r:id="rId21"/>
  </sheets>
  <functionGroups builtInGroupCount="19"/>
  <externalReferences>
    <externalReference r:id="rId22"/>
  </externalReferences>
  <definedNames>
    <definedName name="AGGREGATES" localSheetId="0">Calibration!$C$55:$C$59</definedName>
    <definedName name="AGGREGATES" localSheetId="1">Model!$C$55:$C$60</definedName>
    <definedName name="aKL">Calibration!$C$82:$D$82</definedName>
    <definedName name="aKLE">Calibration!$C$87:$D$87</definedName>
    <definedName name="alpha" localSheetId="0">Calibration!$C$70:$D$71</definedName>
    <definedName name="alpha" localSheetId="1">Model!$C$70:$D$71</definedName>
    <definedName name="alphaEY" localSheetId="0">Calibration!$C$71:$D$71</definedName>
    <definedName name="alphaEY" localSheetId="1">Model!$C$71:$D$71</definedName>
    <definedName name="alphaMY" localSheetId="0">Calibration!$C$70:$D$70</definedName>
    <definedName name="alphaMY" localSheetId="1">Model!$C$70:$D$70</definedName>
    <definedName name="aS">Calibration!$C$77:$D$77</definedName>
    <definedName name="aU">Calibration!$C$104</definedName>
    <definedName name="aX">Calibration!$C$97:$D$97</definedName>
    <definedName name="aY">Calibration!$C$92:$D$92</definedName>
    <definedName name="B" localSheetId="0">Calibration!$C$59</definedName>
    <definedName name="B" localSheetId="1">Model!$C$59</definedName>
    <definedName name="bKL">Calibration!$C$83:$D$83</definedName>
    <definedName name="bKLE">Calibration!$C$88:$D$88</definedName>
    <definedName name="bS">Calibration!$C$78:$D$78</definedName>
    <definedName name="bU">Calibration!$C$105</definedName>
    <definedName name="bX">Calibration!$C$98:$D$98</definedName>
    <definedName name="bY">Calibration!$C$93:$D$93</definedName>
    <definedName name="CE" localSheetId="0">Calibration!$D$41</definedName>
    <definedName name="CE" localSheetId="1">Model!$D$41</definedName>
    <definedName name="Consumption" localSheetId="0">Calibration!$C$41:$D$41</definedName>
    <definedName name="Consumption" localSheetId="1">Model!$C$41:$D$41</definedName>
    <definedName name="CPI" localSheetId="1">Model!$C$60</definedName>
    <definedName name="CQ" localSheetId="0">Calibration!$C$41</definedName>
    <definedName name="CQ" localSheetId="1">Model!$C$41</definedName>
    <definedName name="D" localSheetId="0">Calibration!$C$40:$D$40</definedName>
    <definedName name="D" localSheetId="1">Model!$C$40:$D$40</definedName>
    <definedName name="DE" localSheetId="0">Calibration!$D$40</definedName>
    <definedName name="DE" localSheetId="1">Model!$D$40</definedName>
    <definedName name="epsilonE">Calibration!$D$109</definedName>
    <definedName name="ERROR1">Model!$K$21:$L$21</definedName>
    <definedName name="ERROR10">Model!$K$37:$L$37</definedName>
    <definedName name="ERROR11">Model!$K$23:$L$23</definedName>
    <definedName name="ERROR12">Model!$K$34:$L$34</definedName>
    <definedName name="ERROR2">Model!$K$59</definedName>
    <definedName name="ERROR3">Model!$K$55</definedName>
    <definedName name="ERROR4">Model!$K$39:$L$39</definedName>
    <definedName name="ERROR5">Model!$K$41</definedName>
    <definedName name="ERROR6">Model!$K$56</definedName>
    <definedName name="ERROR7">Model!$K$57</definedName>
    <definedName name="ERROR8">Model!$K$58</definedName>
    <definedName name="ERROR9">Model!$L$58</definedName>
    <definedName name="FACTORS" localSheetId="0">Calibration!$C$70:$D$73</definedName>
    <definedName name="FACTORS" localSheetId="1">Model!$C$70:$D$73</definedName>
    <definedName name="G" localSheetId="0">Calibration!$C$42:$D$42</definedName>
    <definedName name="G" localSheetId="1">Model!$C$42:$D$42</definedName>
    <definedName name="GDP" localSheetId="0">Calibration!$C$57</definedName>
    <definedName name="GDP" localSheetId="1">Model!$C$57</definedName>
    <definedName name="I" localSheetId="0">Calibration!$C$43:$D$43</definedName>
    <definedName name="I" localSheetId="1">Model!$C$43:$D$43</definedName>
    <definedName name="K" localSheetId="0">Calibration!$C$46:$D$46</definedName>
    <definedName name="K" localSheetId="1">Model!$C$46:$D$46</definedName>
    <definedName name="kappa" localSheetId="0">Calibration!$C$73:$D$73</definedName>
    <definedName name="kappa" localSheetId="1">Model!$C$73:$D$73</definedName>
    <definedName name="KL" localSheetId="0">Calibration!$C$47:$D$47</definedName>
    <definedName name="KL" localSheetId="1">Model!$C$47:$D$47</definedName>
    <definedName name="KL_E" localSheetId="0">Calibration!$D$47</definedName>
    <definedName name="KL_E" localSheetId="1">Model!$D$47</definedName>
    <definedName name="KL_Q" localSheetId="0">Calibration!$C$47</definedName>
    <definedName name="KL_Q" localSheetId="1">Model!$C$47</definedName>
    <definedName name="KLE" localSheetId="0">Calibration!$C$48:$D$48</definedName>
    <definedName name="KLE" localSheetId="1">Model!$C$48:$D$48</definedName>
    <definedName name="KLQ" localSheetId="1">Model!$C$47</definedName>
    <definedName name="Labour" localSheetId="0">Calibration!$C$45:$D$45</definedName>
    <definedName name="Labour" localSheetId="1">Model!$C$45:$D$45</definedName>
    <definedName name="Labour_E" localSheetId="0">Calibration!$D$45</definedName>
    <definedName name="Labour_E" localSheetId="1">Model!$D$45</definedName>
    <definedName name="Labour_Q" localSheetId="0">Calibration!$C$45</definedName>
    <definedName name="Labour_Q" localSheetId="1">Model!$C$45</definedName>
    <definedName name="LabourQ" localSheetId="1">Model!$C$45</definedName>
    <definedName name="lambda" localSheetId="0">Calibration!$C$72:$D$72</definedName>
    <definedName name="lambda" localSheetId="1">Model!$C$72:$D$72</definedName>
    <definedName name="M" localSheetId="0">Calibration!$C$38:$D$38</definedName>
    <definedName name="M" localSheetId="1">Model!$C$38:$D$38</definedName>
    <definedName name="MAXERROR">Model!$L$17</definedName>
    <definedName name="omegaG" localSheetId="0">Calibration!$C$62</definedName>
    <definedName name="omegaG" localSheetId="1">Model!$C$62</definedName>
    <definedName name="omegaI" localSheetId="0">Calibration!$C$63</definedName>
    <definedName name="omegaI" localSheetId="1">Model!$C$63</definedName>
    <definedName name="pC" localSheetId="0">Calibration!$C$27:$D$27</definedName>
    <definedName name="pC" localSheetId="1">Model!$C$27:$D$27</definedName>
    <definedName name="pCE" localSheetId="0">Calibration!$D$27</definedName>
    <definedName name="pCE" localSheetId="1">Model!$D$27</definedName>
    <definedName name="pCQ" localSheetId="0">Calibration!$C$27</definedName>
    <definedName name="pCQ" localSheetId="1">Model!$C$27</definedName>
    <definedName name="pD" localSheetId="0">Calibration!$C$24:$D$24</definedName>
    <definedName name="pD" localSheetId="1">Model!$C$24:$D$24</definedName>
    <definedName name="pEY" localSheetId="0">Calibration!$C$26:$D$26</definedName>
    <definedName name="pEY" localSheetId="1">Model!$C$26:$D$26</definedName>
    <definedName name="pG" localSheetId="0">Calibration!$C$28:$D$28</definedName>
    <definedName name="pG" localSheetId="1">Model!$C$28:$D$28</definedName>
    <definedName name="pI" localSheetId="0">Calibration!$C$29:$D$29</definedName>
    <definedName name="pI" localSheetId="1">Model!$C$29:$D$29</definedName>
    <definedName name="pIC" localSheetId="0">Calibration!$C$25:$D$26</definedName>
    <definedName name="pIC" localSheetId="1">Model!$C$25:$D$26</definedName>
    <definedName name="pK" localSheetId="0">Calibration!$C$33:$D$33</definedName>
    <definedName name="pK" localSheetId="1">Model!$C$33:$D$33</definedName>
    <definedName name="pKL" localSheetId="0">Calibration!$C$34:$D$34</definedName>
    <definedName name="pKL" localSheetId="1">Model!$C$34:$D$34</definedName>
    <definedName name="pKLE" localSheetId="0">Calibration!$C$35:$D$35</definedName>
    <definedName name="pKLE" localSheetId="1">Model!$C$35:$D$35</definedName>
    <definedName name="pL" localSheetId="0">Calibration!$C$32:$D$32</definedName>
    <definedName name="pL" localSheetId="1">Model!$C$32:$D$32</definedName>
    <definedName name="pMY" localSheetId="0">Calibration!$C$25:$D$25</definedName>
    <definedName name="pMY" localSheetId="1">Model!$C$25:$D$25</definedName>
    <definedName name="pQ" localSheetId="0">Calibration!$C$23:$D$23</definedName>
    <definedName name="pQ" localSheetId="1">Model!$C$23:$D$23</definedName>
    <definedName name="PRICES" localSheetId="0">Calibration!$C$21:$D$35</definedName>
    <definedName name="PRICES" localSheetId="1">Model!$C$21:$D$35</definedName>
    <definedName name="pS" localSheetId="0">Calibration!$C$23:$D$23</definedName>
    <definedName name="pS" localSheetId="1">Model!$C$23:$D$23</definedName>
    <definedName name="pW" localSheetId="0">Calibration!$C$22:$D$22</definedName>
    <definedName name="pW" localSheetId="1">Model!$C$22:$D$22</definedName>
    <definedName name="pX" localSheetId="0">Calibration!$C$30:$D$30</definedName>
    <definedName name="pX" localSheetId="1">Model!$C$30:$D$30</definedName>
    <definedName name="pY" localSheetId="0">Calibration!$C$21:$D$21</definedName>
    <definedName name="pY" localSheetId="1">Model!$C$21:$D$21</definedName>
    <definedName name="Revenue" localSheetId="0">Calibration!$C$58</definedName>
    <definedName name="Revenue" localSheetId="1">Model!$C$58</definedName>
    <definedName name="rhoKL">Calibration!$C$85:$D$85</definedName>
    <definedName name="rhoKLE">Calibration!$C$90:$D$90</definedName>
    <definedName name="rhoS">Calibration!$C$80:$D$80</definedName>
    <definedName name="rhoU">Calibration!$C$107</definedName>
    <definedName name="rhoX">Calibration!$C$100:$D$100</definedName>
    <definedName name="rhoY">Calibration!$C$95:$D$95</definedName>
    <definedName name="S" localSheetId="0">Calibration!$C$39:$D$39</definedName>
    <definedName name="S" localSheetId="1">Model!$C$39:$D$39</definedName>
    <definedName name="sD" localSheetId="0">Calibration!$C$64</definedName>
    <definedName name="sD" localSheetId="1">Model!$C$64</definedName>
    <definedName name="SE" localSheetId="0">Calibration!$D$39</definedName>
    <definedName name="SE" localSheetId="1">Model!$D$39</definedName>
    <definedName name="sG" localSheetId="0">Calibration!$C$67</definedName>
    <definedName name="sG" localSheetId="1">Model!$C$67</definedName>
    <definedName name="sigmaKL">Calibration!$C$84:$D$84</definedName>
    <definedName name="sigmaKLE">Calibration!$C$89:$D$89</definedName>
    <definedName name="sigmaS">Calibration!$C$79:$D$79</definedName>
    <definedName name="sigmaU">Calibration!$C$106</definedName>
    <definedName name="sigmaw">Calibration!$C$102</definedName>
    <definedName name="sigmaX">Calibration!$C$99:$D$99</definedName>
    <definedName name="sigmaY">Calibration!$C$94:$D$94</definedName>
    <definedName name="sK" localSheetId="0">Calibration!$C$65</definedName>
    <definedName name="sK" localSheetId="1">Model!$C$65</definedName>
    <definedName name="sL" localSheetId="0">Calibration!$C$66</definedName>
    <definedName name="sL" localSheetId="1">Model!$C$66</definedName>
    <definedName name="solver_adj" localSheetId="0" hidden="1">Calibration!$C$66</definedName>
    <definedName name="solver_adj" localSheetId="1" hidden="1">Model!$C$80:$D$89</definedName>
    <definedName name="solver_cvg" localSheetId="0" hidden="1">0.0001</definedName>
    <definedName name="solver_cvg" localSheetId="1" hidden="1">1E-99</definedName>
    <definedName name="solver_drv" localSheetId="0" hidden="1">1</definedName>
    <definedName name="solver_drv" localSheetId="1" hidden="1">2</definedName>
    <definedName name="solver_eng" localSheetId="0" hidden="1">1</definedName>
    <definedName name="solver_eng" localSheetId="1" hidden="1">1</definedName>
    <definedName name="solver_est" localSheetId="0" hidden="1">1</definedName>
    <definedName name="solver_est" localSheetId="1" hidden="1">2</definedName>
    <definedName name="solver_itr" localSheetId="0" hidden="1">2147483647</definedName>
    <definedName name="solver_itr" localSheetId="1" hidden="1">1000</definedName>
    <definedName name="solver_lhs1" localSheetId="0" hidden="1">Calibration!$K$53:$L$53</definedName>
    <definedName name="solver_lhs1" localSheetId="1" hidden="1">Model!$K$21:$L$21</definedName>
    <definedName name="solver_lhs10" localSheetId="1" hidden="1">Model!$K$37:$L$37</definedName>
    <definedName name="solver_lhs11" localSheetId="1" hidden="1">Model!$K$23:$L$23</definedName>
    <definedName name="solver_lhs12" localSheetId="1" hidden="1">Model!$K$34:$L$34</definedName>
    <definedName name="solver_lhs2" localSheetId="0" hidden="1">Calibration!$K$53:$L$53</definedName>
    <definedName name="solver_lhs2" localSheetId="1" hidden="1">Model!$K$59</definedName>
    <definedName name="solver_lhs3" localSheetId="0" hidden="1">Calibration!$K$53:$L$53</definedName>
    <definedName name="solver_lhs3" localSheetId="1" hidden="1">Model!$K$55</definedName>
    <definedName name="solver_lhs4" localSheetId="0" hidden="1">Calibration!$K$53:$L$53</definedName>
    <definedName name="solver_lhs4" localSheetId="1" hidden="1">Model!$K$39:$L$39</definedName>
    <definedName name="solver_lhs5" localSheetId="0" hidden="1">Calibration!$K$53:$L$53</definedName>
    <definedName name="solver_lhs5" localSheetId="1" hidden="1">Model!$K$41</definedName>
    <definedName name="solver_lhs6" localSheetId="1" hidden="1">Model!$K$56</definedName>
    <definedName name="solver_lhs7" localSheetId="1" hidden="1">Model!$K$57</definedName>
    <definedName name="solver_lhs8" localSheetId="1" hidden="1">Model!$K$58</definedName>
    <definedName name="solver_lhs9" localSheetId="1" hidden="1">Model!$L$58</definedName>
    <definedName name="solver_lin" localSheetId="1" hidden="1">2</definedName>
    <definedName name="solver_mip" localSheetId="0" hidden="1">2147483647</definedName>
    <definedName name="solver_mip" localSheetId="1" hidden="1">2147483647</definedName>
    <definedName name="solver_mni" localSheetId="0" hidden="1">30</definedName>
    <definedName name="solver_mni" localSheetId="1" hidden="1">30</definedName>
    <definedName name="solver_mrt" localSheetId="0" hidden="1">0.075</definedName>
    <definedName name="solver_mrt" localSheetId="1" hidden="1">0.075</definedName>
    <definedName name="solver_msl" localSheetId="0" hidden="1">2</definedName>
    <definedName name="solver_msl" localSheetId="1" hidden="1">2</definedName>
    <definedName name="solver_neg" localSheetId="0" hidden="1">2</definedName>
    <definedName name="solver_neg" localSheetId="1" hidden="1">1</definedName>
    <definedName name="solver_nod" localSheetId="0" hidden="1">2147483647</definedName>
    <definedName name="solver_nod" localSheetId="1" hidden="1">2147483647</definedName>
    <definedName name="solver_num" localSheetId="0" hidden="1">0</definedName>
    <definedName name="solver_num" localSheetId="1" hidden="1">12</definedName>
    <definedName name="solver_nwt" localSheetId="0" hidden="1">1</definedName>
    <definedName name="solver_nwt" localSheetId="1" hidden="1">1</definedName>
    <definedName name="solver_opt" localSheetId="0" hidden="1">Calibration!$K$65</definedName>
    <definedName name="solver_opt" localSheetId="1" hidden="1">Model!$K$41</definedName>
    <definedName name="solver_pre" localSheetId="0" hidden="1">0.000000000001</definedName>
    <definedName name="solver_pre" localSheetId="1" hidden="1">0.000001</definedName>
    <definedName name="solver_rbv" localSheetId="0" hidden="1">1</definedName>
    <definedName name="solver_rbv" localSheetId="1" hidden="1">1</definedName>
    <definedName name="solver_rel1" localSheetId="0" hidden="1">2</definedName>
    <definedName name="solver_rel1" localSheetId="1" hidden="1">2</definedName>
    <definedName name="solver_rel10" localSheetId="1" hidden="1">2</definedName>
    <definedName name="solver_rel11" localSheetId="1" hidden="1">2</definedName>
    <definedName name="solver_rel12" localSheetId="1" hidden="1">2</definedName>
    <definedName name="solver_rel2" localSheetId="0" hidden="1">2</definedName>
    <definedName name="solver_rel2" localSheetId="1" hidden="1">2</definedName>
    <definedName name="solver_rel3" localSheetId="0" hidden="1">2</definedName>
    <definedName name="solver_rel3" localSheetId="1" hidden="1">2</definedName>
    <definedName name="solver_rel4" localSheetId="0" hidden="1">2</definedName>
    <definedName name="solver_rel4" localSheetId="1" hidden="1">2</definedName>
    <definedName name="solver_rel5" localSheetId="0" hidden="1">2</definedName>
    <definedName name="solver_rel5" localSheetId="1" hidden="1">2</definedName>
    <definedName name="solver_rel6" localSheetId="1" hidden="1">2</definedName>
    <definedName name="solver_rel7" localSheetId="1" hidden="1">2</definedName>
    <definedName name="solver_rel8" localSheetId="1" hidden="1">2</definedName>
    <definedName name="solver_rel9" localSheetId="1" hidden="1">2</definedName>
    <definedName name="solver_rhs1" localSheetId="0" hidden="1">0</definedName>
    <definedName name="solver_rhs1" localSheetId="1" hidden="1">0</definedName>
    <definedName name="solver_rhs10" localSheetId="1" hidden="1">0</definedName>
    <definedName name="solver_rhs11" localSheetId="1" hidden="1">0</definedName>
    <definedName name="solver_rhs12" localSheetId="1" hidden="1">0</definedName>
    <definedName name="solver_rhs2" localSheetId="0" hidden="1">0</definedName>
    <definedName name="solver_rhs2" localSheetId="1" hidden="1">0</definedName>
    <definedName name="solver_rhs3" localSheetId="0" hidden="1">0</definedName>
    <definedName name="solver_rhs3" localSheetId="1" hidden="1">0</definedName>
    <definedName name="solver_rhs4" localSheetId="0" hidden="1">0</definedName>
    <definedName name="solver_rhs4" localSheetId="1" hidden="1">0</definedName>
    <definedName name="solver_rhs5" localSheetId="0" hidden="1">0</definedName>
    <definedName name="solver_rhs5" localSheetId="1" hidden="1">0</definedName>
    <definedName name="solver_rhs6" localSheetId="1" hidden="1">0</definedName>
    <definedName name="solver_rhs7" localSheetId="1" hidden="1">0</definedName>
    <definedName name="solver_rhs8" localSheetId="1" hidden="1">0</definedName>
    <definedName name="solver_rhs9" localSheetId="1" hidden="1">0</definedName>
    <definedName name="solver_rlx" localSheetId="0" hidden="1">2</definedName>
    <definedName name="solver_rlx" localSheetId="1" hidden="1">2</definedName>
    <definedName name="solver_rsd" localSheetId="0" hidden="1">0</definedName>
    <definedName name="solver_rsd" localSheetId="1" hidden="1">0</definedName>
    <definedName name="solver_scl" localSheetId="0" hidden="1">1</definedName>
    <definedName name="solver_scl" localSheetId="1" hidden="1">1</definedName>
    <definedName name="solver_sho" localSheetId="0" hidden="1">2</definedName>
    <definedName name="solver_sho" localSheetId="1" hidden="1">2</definedName>
    <definedName name="solver_ssz" localSheetId="0" hidden="1">100</definedName>
    <definedName name="solver_ssz" localSheetId="1" hidden="1">100</definedName>
    <definedName name="solver_tim" localSheetId="0" hidden="1">2147483647</definedName>
    <definedName name="solver_tim" localSheetId="1" hidden="1">1000</definedName>
    <definedName name="solver_tol" localSheetId="0" hidden="1">0.01</definedName>
    <definedName name="solver_tol" localSheetId="1" hidden="1">0.01</definedName>
    <definedName name="solver_typ" localSheetId="0" hidden="1">3</definedName>
    <definedName name="solver_typ" localSheetId="1" hidden="1">3</definedName>
    <definedName name="solver_val" localSheetId="0" hidden="1">0</definedName>
    <definedName name="solver_val" localSheetId="1" hidden="1">0</definedName>
    <definedName name="solver_ver" localSheetId="0" hidden="1">3</definedName>
    <definedName name="solver_ver" localSheetId="1" hidden="1">3</definedName>
    <definedName name="T" localSheetId="0">Calibration!$C$55</definedName>
    <definedName name="T">Model!$C$55</definedName>
    <definedName name="Target">Model!$I$41</definedName>
    <definedName name="tauL" localSheetId="0">Calibration!$C$50:$D$50</definedName>
    <definedName name="tauL" localSheetId="1">Model!$C$50:$D$50</definedName>
    <definedName name="tauTS" localSheetId="0">Calibration!$C$52:$D$52</definedName>
    <definedName name="tauTS" localSheetId="1">Model!$C$52:$D$52</definedName>
    <definedName name="tauTS2" localSheetId="1">Model!$D$52</definedName>
    <definedName name="tauTVA" localSheetId="0">Calibration!$C$52:$D$52</definedName>
    <definedName name="tauTVA" localSheetId="1">Model!$C$52:$D$52</definedName>
    <definedName name="tauY" localSheetId="0">Calibration!$C$51:$D$51</definedName>
    <definedName name="tauY" localSheetId="1">Model!$C$51:$D$51</definedName>
    <definedName name="tEXC" localSheetId="0">Calibration!$C$53:$D$53</definedName>
    <definedName name="tEXC" localSheetId="1">Model!$C$53:$D$53</definedName>
    <definedName name="tEXC1" localSheetId="0">Calibration!$C$53</definedName>
    <definedName name="tEXC1" localSheetId="1">Model!$C$53</definedName>
    <definedName name="tEXC2" localSheetId="0">Calibration!$D$53</definedName>
    <definedName name="tEXC2" localSheetId="1">Model!$D$53</definedName>
    <definedName name="U" localSheetId="0">Calibration!$C$56</definedName>
    <definedName name="U" localSheetId="1">Model!$C$56</definedName>
    <definedName name="VARIABLES" localSheetId="0">Calibration!$C$114:$D$123</definedName>
    <definedName name="VARIABLES" localSheetId="1">Model!$C$80:$D$89</definedName>
    <definedName name="VOLUMES" localSheetId="0">Calibration!$C$37:$D$48</definedName>
    <definedName name="VOLUMES" localSheetId="1">Model!$C$37:$D$48</definedName>
    <definedName name="w" localSheetId="0">Calibration!$C$31:$D$31</definedName>
    <definedName name="w" localSheetId="1">Model!$C$31:$D$31</definedName>
    <definedName name="wE" localSheetId="1">Model!$D$31</definedName>
    <definedName name="wQ" localSheetId="1">Model!$C$31</definedName>
    <definedName name="X" localSheetId="0">Calibration!$C$44:$D$44</definedName>
    <definedName name="X" localSheetId="1">Model!$C$44:$D$44</definedName>
    <definedName name="XE" localSheetId="0">Calibration!$D$44</definedName>
    <definedName name="XE" localSheetId="1">Model!$D$44</definedName>
    <definedName name="Y" localSheetId="0">Calibration!$C$37:$D$37</definedName>
    <definedName name="Y" localSheetId="1">Model!$C$37:$D$37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46" l="1"/>
  <c r="D2" i="46"/>
  <c r="E2" i="46"/>
  <c r="F2" i="46"/>
  <c r="G2" i="46"/>
  <c r="H2" i="46"/>
  <c r="I2" i="46"/>
  <c r="J2" i="46"/>
  <c r="K2" i="46"/>
  <c r="L2" i="46"/>
  <c r="M2" i="46"/>
  <c r="N2" i="46"/>
  <c r="O2" i="46"/>
  <c r="P2" i="46"/>
  <c r="Q2" i="46"/>
  <c r="R2" i="46"/>
  <c r="S2" i="46"/>
  <c r="T2" i="46"/>
  <c r="U2" i="46"/>
  <c r="V2" i="46"/>
  <c r="W2" i="46"/>
  <c r="X2" i="46"/>
  <c r="Y2" i="46"/>
  <c r="C9" i="46"/>
  <c r="D9" i="46"/>
  <c r="E9" i="46"/>
  <c r="F9" i="46"/>
  <c r="G9" i="46"/>
  <c r="H9" i="46"/>
  <c r="I9" i="46"/>
  <c r="J9" i="46"/>
  <c r="K9" i="46"/>
  <c r="L9" i="46"/>
  <c r="M9" i="46"/>
  <c r="N9" i="46"/>
  <c r="O9" i="46"/>
  <c r="P9" i="46"/>
  <c r="Q9" i="46"/>
  <c r="R9" i="46"/>
  <c r="S9" i="46"/>
  <c r="T9" i="46"/>
  <c r="C3" i="46"/>
  <c r="D3" i="46"/>
  <c r="E3" i="46"/>
  <c r="F3" i="46"/>
  <c r="G3" i="46"/>
  <c r="H3" i="46"/>
  <c r="I3" i="46"/>
  <c r="J3" i="46"/>
  <c r="K3" i="46"/>
  <c r="L3" i="46"/>
  <c r="M3" i="46"/>
  <c r="N3" i="46"/>
  <c r="O3" i="46"/>
  <c r="P3" i="46"/>
  <c r="Q3" i="46"/>
  <c r="R3" i="46"/>
  <c r="S3" i="46"/>
  <c r="T3" i="46"/>
  <c r="U3" i="46"/>
  <c r="V3" i="46"/>
  <c r="W3" i="46"/>
  <c r="X3" i="46"/>
  <c r="Y3" i="46"/>
  <c r="C4" i="46"/>
  <c r="D4" i="46"/>
  <c r="E4" i="46"/>
  <c r="F4" i="46"/>
  <c r="G4" i="46"/>
  <c r="H4" i="46"/>
  <c r="I4" i="46"/>
  <c r="J4" i="46"/>
  <c r="K4" i="46"/>
  <c r="L4" i="46"/>
  <c r="M4" i="46"/>
  <c r="N4" i="46"/>
  <c r="O4" i="46"/>
  <c r="P4" i="46"/>
  <c r="Q4" i="46"/>
  <c r="C5" i="46"/>
  <c r="D5" i="46"/>
  <c r="E5" i="46"/>
  <c r="F5" i="46"/>
  <c r="G5" i="46"/>
  <c r="H5" i="46"/>
  <c r="I5" i="46"/>
  <c r="J5" i="46"/>
  <c r="K5" i="46"/>
  <c r="L5" i="46"/>
  <c r="M5" i="46"/>
  <c r="N5" i="46"/>
  <c r="O5" i="46"/>
  <c r="C6" i="46"/>
  <c r="D6" i="46"/>
  <c r="E6" i="46"/>
  <c r="F6" i="46"/>
  <c r="G6" i="46"/>
  <c r="H6" i="46"/>
  <c r="I6" i="46"/>
  <c r="J6" i="46"/>
  <c r="K6" i="46"/>
  <c r="L6" i="46"/>
  <c r="M6" i="46"/>
  <c r="N6" i="46"/>
  <c r="O6" i="46"/>
  <c r="P6" i="46"/>
  <c r="Q6" i="46"/>
  <c r="R6" i="46"/>
  <c r="S6" i="46"/>
  <c r="T6" i="46"/>
  <c r="C7" i="46"/>
  <c r="D7" i="46"/>
  <c r="E7" i="46"/>
  <c r="F7" i="46"/>
  <c r="G7" i="46"/>
  <c r="H7" i="46"/>
  <c r="I7" i="46"/>
  <c r="J7" i="46"/>
  <c r="K7" i="46"/>
  <c r="L7" i="46"/>
  <c r="M7" i="46"/>
  <c r="N7" i="46"/>
  <c r="O7" i="46"/>
  <c r="P7" i="46"/>
  <c r="Q7" i="46"/>
  <c r="R7" i="46"/>
  <c r="S7" i="46"/>
  <c r="T7" i="46"/>
  <c r="U7" i="46"/>
  <c r="V7" i="46"/>
  <c r="W7" i="46"/>
  <c r="X7" i="46"/>
  <c r="Y7" i="46"/>
  <c r="C8" i="46"/>
  <c r="D8" i="46"/>
  <c r="E8" i="46"/>
  <c r="F8" i="46"/>
  <c r="G8" i="46"/>
  <c r="H8" i="46"/>
  <c r="I8" i="46"/>
  <c r="J8" i="46"/>
  <c r="K8" i="46"/>
  <c r="L8" i="46"/>
  <c r="M8" i="46"/>
  <c r="N8" i="46"/>
  <c r="O8" i="46"/>
  <c r="P8" i="46"/>
  <c r="Q8" i="46"/>
  <c r="R8" i="46"/>
  <c r="S8" i="46"/>
  <c r="T8" i="46"/>
  <c r="U8" i="46"/>
  <c r="V8" i="46"/>
  <c r="W8" i="46"/>
  <c r="X8" i="46"/>
  <c r="Y8" i="46"/>
  <c r="B9" i="46"/>
  <c r="B3" i="46"/>
  <c r="B4" i="46"/>
  <c r="B5" i="46"/>
  <c r="B6" i="46"/>
  <c r="B7" i="46"/>
  <c r="B8" i="46"/>
  <c r="B2" i="46"/>
  <c r="C2" i="45"/>
  <c r="D2" i="45"/>
  <c r="E2" i="45"/>
  <c r="F2" i="45"/>
  <c r="G2" i="45"/>
  <c r="H2" i="45"/>
  <c r="I2" i="45"/>
  <c r="J2" i="45"/>
  <c r="K2" i="45"/>
  <c r="L2" i="45"/>
  <c r="M2" i="45"/>
  <c r="N2" i="45"/>
  <c r="O2" i="45"/>
  <c r="P2" i="45"/>
  <c r="Q2" i="45"/>
  <c r="R2" i="45"/>
  <c r="S2" i="45"/>
  <c r="T2" i="45"/>
  <c r="U2" i="45"/>
  <c r="V2" i="45"/>
  <c r="W2" i="45"/>
  <c r="X2" i="45"/>
  <c r="Y2" i="45"/>
  <c r="C3" i="45"/>
  <c r="D3" i="45"/>
  <c r="E3" i="45"/>
  <c r="F3" i="45"/>
  <c r="G3" i="45"/>
  <c r="H3" i="45"/>
  <c r="I3" i="45"/>
  <c r="J3" i="45"/>
  <c r="K3" i="45"/>
  <c r="L3" i="45"/>
  <c r="M3" i="45"/>
  <c r="N3" i="45"/>
  <c r="O3" i="45"/>
  <c r="P3" i="45"/>
  <c r="Q3" i="45"/>
  <c r="R3" i="45"/>
  <c r="S3" i="45"/>
  <c r="T3" i="45"/>
  <c r="C4" i="45"/>
  <c r="D4" i="45"/>
  <c r="E4" i="45"/>
  <c r="F4" i="45"/>
  <c r="G4" i="45"/>
  <c r="H4" i="45"/>
  <c r="I4" i="45"/>
  <c r="J4" i="45"/>
  <c r="K4" i="45"/>
  <c r="L4" i="45"/>
  <c r="M4" i="45"/>
  <c r="N4" i="45"/>
  <c r="O4" i="45"/>
  <c r="P4" i="45"/>
  <c r="Q4" i="45"/>
  <c r="R4" i="45"/>
  <c r="S4" i="45"/>
  <c r="T4" i="45"/>
  <c r="U4" i="45"/>
  <c r="V4" i="45"/>
  <c r="W4" i="45"/>
  <c r="X4" i="45"/>
  <c r="Y4" i="45"/>
  <c r="C5" i="45"/>
  <c r="D5" i="45"/>
  <c r="E5" i="45"/>
  <c r="F5" i="45"/>
  <c r="G5" i="45"/>
  <c r="H5" i="45"/>
  <c r="I5" i="45"/>
  <c r="J5" i="45"/>
  <c r="K5" i="45"/>
  <c r="L5" i="45"/>
  <c r="M5" i="45"/>
  <c r="N5" i="45"/>
  <c r="O5" i="45"/>
  <c r="P5" i="45"/>
  <c r="Q5" i="45"/>
  <c r="C6" i="45"/>
  <c r="D6" i="45"/>
  <c r="E6" i="45"/>
  <c r="F6" i="45"/>
  <c r="G6" i="45"/>
  <c r="H6" i="45"/>
  <c r="I6" i="45"/>
  <c r="J6" i="45"/>
  <c r="K6" i="45"/>
  <c r="L6" i="45"/>
  <c r="M6" i="45"/>
  <c r="N6" i="45"/>
  <c r="O6" i="45"/>
  <c r="C7" i="45"/>
  <c r="D7" i="45"/>
  <c r="E7" i="45"/>
  <c r="F7" i="45"/>
  <c r="G7" i="45"/>
  <c r="H7" i="45"/>
  <c r="I7" i="45"/>
  <c r="J7" i="45"/>
  <c r="K7" i="45"/>
  <c r="L7" i="45"/>
  <c r="M7" i="45"/>
  <c r="N7" i="45"/>
  <c r="O7" i="45"/>
  <c r="P7" i="45"/>
  <c r="Q7" i="45"/>
  <c r="R7" i="45"/>
  <c r="S7" i="45"/>
  <c r="T7" i="45"/>
  <c r="C8" i="45"/>
  <c r="D8" i="45"/>
  <c r="E8" i="45"/>
  <c r="F8" i="45"/>
  <c r="G8" i="45"/>
  <c r="H8" i="45"/>
  <c r="I8" i="45"/>
  <c r="J8" i="45"/>
  <c r="K8" i="45"/>
  <c r="L8" i="45"/>
  <c r="M8" i="45"/>
  <c r="N8" i="45"/>
  <c r="O8" i="45"/>
  <c r="P8" i="45"/>
  <c r="Q8" i="45"/>
  <c r="R8" i="45"/>
  <c r="S8" i="45"/>
  <c r="T8" i="45"/>
  <c r="U8" i="45"/>
  <c r="V8" i="45"/>
  <c r="W8" i="45"/>
  <c r="X8" i="45"/>
  <c r="Y8" i="45"/>
  <c r="C9" i="45"/>
  <c r="D9" i="45"/>
  <c r="E9" i="45"/>
  <c r="F9" i="45"/>
  <c r="G9" i="45"/>
  <c r="H9" i="45"/>
  <c r="I9" i="45"/>
  <c r="J9" i="45"/>
  <c r="K9" i="45"/>
  <c r="L9" i="45"/>
  <c r="M9" i="45"/>
  <c r="N9" i="45"/>
  <c r="O9" i="45"/>
  <c r="P9" i="45"/>
  <c r="Q9" i="45"/>
  <c r="R9" i="45"/>
  <c r="S9" i="45"/>
  <c r="T9" i="45"/>
  <c r="U9" i="45"/>
  <c r="V9" i="45"/>
  <c r="W9" i="45"/>
  <c r="X9" i="45"/>
  <c r="Y9" i="45"/>
  <c r="B3" i="45"/>
  <c r="B4" i="45"/>
  <c r="B5" i="45"/>
  <c r="B6" i="45"/>
  <c r="B7" i="45"/>
  <c r="B8" i="45"/>
  <c r="B9" i="45"/>
  <c r="B2" i="45"/>
  <c r="C2" i="44"/>
  <c r="A9" i="45"/>
  <c r="A8" i="45"/>
  <c r="A7" i="45"/>
  <c r="A6" i="45"/>
  <c r="A5" i="45"/>
  <c r="A4" i="45"/>
  <c r="A3" i="45"/>
  <c r="A2" i="45"/>
  <c r="Y1" i="45"/>
  <c r="X1" i="45"/>
  <c r="W1" i="45"/>
  <c r="V1" i="45"/>
  <c r="U1" i="45"/>
  <c r="T1" i="45"/>
  <c r="S1" i="45"/>
  <c r="R1" i="45"/>
  <c r="Q1" i="45"/>
  <c r="P1" i="45"/>
  <c r="O1" i="45"/>
  <c r="N1" i="45"/>
  <c r="M1" i="45"/>
  <c r="L1" i="45"/>
  <c r="K1" i="45"/>
  <c r="J1" i="45"/>
  <c r="I1" i="45"/>
  <c r="H1" i="45"/>
  <c r="G1" i="45"/>
  <c r="F1" i="45"/>
  <c r="E1" i="45"/>
  <c r="D1" i="45"/>
  <c r="C1" i="45"/>
  <c r="B1" i="45"/>
  <c r="O3" i="44" l="1"/>
  <c r="P3" i="44"/>
  <c r="Q3" i="44"/>
  <c r="R3" i="44"/>
  <c r="S3" i="44"/>
  <c r="T3" i="44"/>
  <c r="O5" i="44"/>
  <c r="P5" i="44"/>
  <c r="Q5" i="44"/>
  <c r="Y9" i="44"/>
  <c r="X9" i="44"/>
  <c r="W9" i="44"/>
  <c r="V9" i="44"/>
  <c r="U9" i="44"/>
  <c r="T9" i="44"/>
  <c r="S9" i="44"/>
  <c r="R9" i="44"/>
  <c r="Q9" i="44"/>
  <c r="P9" i="44"/>
  <c r="O9" i="44"/>
  <c r="N9" i="44"/>
  <c r="M9" i="44"/>
  <c r="L9" i="44"/>
  <c r="K9" i="44"/>
  <c r="J9" i="44"/>
  <c r="I9" i="44"/>
  <c r="H9" i="44"/>
  <c r="G9" i="44"/>
  <c r="F9" i="44"/>
  <c r="E9" i="44"/>
  <c r="D9" i="44"/>
  <c r="C9" i="44"/>
  <c r="B9" i="44"/>
  <c r="A9" i="44"/>
  <c r="Y8" i="44"/>
  <c r="X8" i="44"/>
  <c r="W8" i="44"/>
  <c r="V8" i="44"/>
  <c r="U8" i="44"/>
  <c r="T8" i="44"/>
  <c r="S8" i="44"/>
  <c r="R8" i="44"/>
  <c r="Q8" i="44"/>
  <c r="P8" i="44"/>
  <c r="O8" i="44"/>
  <c r="N8" i="44"/>
  <c r="M8" i="44"/>
  <c r="L8" i="44"/>
  <c r="K8" i="44"/>
  <c r="J8" i="44"/>
  <c r="I8" i="44"/>
  <c r="H8" i="44"/>
  <c r="G8" i="44"/>
  <c r="F8" i="44"/>
  <c r="E8" i="44"/>
  <c r="D8" i="44"/>
  <c r="C8" i="44"/>
  <c r="B8" i="44"/>
  <c r="A8" i="44"/>
  <c r="T7" i="44"/>
  <c r="S7" i="44"/>
  <c r="R7" i="44"/>
  <c r="Q7" i="44"/>
  <c r="P7" i="44"/>
  <c r="O7" i="44"/>
  <c r="N7" i="44"/>
  <c r="M7" i="44"/>
  <c r="L7" i="44"/>
  <c r="K7" i="44"/>
  <c r="J7" i="44"/>
  <c r="I7" i="44"/>
  <c r="H7" i="44"/>
  <c r="G7" i="44"/>
  <c r="F7" i="44"/>
  <c r="E7" i="44"/>
  <c r="D7" i="44"/>
  <c r="C7" i="44"/>
  <c r="B7" i="44"/>
  <c r="A7" i="44"/>
  <c r="O6" i="44"/>
  <c r="N6" i="44"/>
  <c r="M6" i="44"/>
  <c r="L6" i="44"/>
  <c r="K6" i="44"/>
  <c r="J6" i="44"/>
  <c r="I6" i="44"/>
  <c r="H6" i="44"/>
  <c r="G6" i="44"/>
  <c r="F6" i="44"/>
  <c r="E6" i="44"/>
  <c r="D6" i="44"/>
  <c r="C6" i="44"/>
  <c r="B6" i="44"/>
  <c r="A6" i="44"/>
  <c r="N5" i="44"/>
  <c r="M5" i="44"/>
  <c r="L5" i="44"/>
  <c r="K5" i="44"/>
  <c r="J5" i="44"/>
  <c r="I5" i="44"/>
  <c r="H5" i="44"/>
  <c r="G5" i="44"/>
  <c r="F5" i="44"/>
  <c r="E5" i="44"/>
  <c r="D5" i="44"/>
  <c r="C5" i="44"/>
  <c r="B5" i="44"/>
  <c r="A5" i="44"/>
  <c r="Y4" i="44"/>
  <c r="X4" i="44"/>
  <c r="W4" i="44"/>
  <c r="V4" i="44"/>
  <c r="U4" i="44"/>
  <c r="T4" i="44"/>
  <c r="S4" i="44"/>
  <c r="R4" i="44"/>
  <c r="Q4" i="44"/>
  <c r="P4" i="44"/>
  <c r="O4" i="44"/>
  <c r="N4" i="44"/>
  <c r="M4" i="44"/>
  <c r="L4" i="44"/>
  <c r="K4" i="44"/>
  <c r="J4" i="44"/>
  <c r="I4" i="44"/>
  <c r="H4" i="44"/>
  <c r="G4" i="44"/>
  <c r="F4" i="44"/>
  <c r="E4" i="44"/>
  <c r="D4" i="44"/>
  <c r="C4" i="44"/>
  <c r="B4" i="44"/>
  <c r="A4" i="44"/>
  <c r="N3" i="44"/>
  <c r="M3" i="44"/>
  <c r="L3" i="44"/>
  <c r="K3" i="44"/>
  <c r="J3" i="44"/>
  <c r="I3" i="44"/>
  <c r="H3" i="44"/>
  <c r="G3" i="44"/>
  <c r="F3" i="44"/>
  <c r="E3" i="44"/>
  <c r="D3" i="44"/>
  <c r="C3" i="44"/>
  <c r="B3" i="44"/>
  <c r="A3" i="44"/>
  <c r="Y2" i="44"/>
  <c r="X2" i="44"/>
  <c r="W2" i="44"/>
  <c r="V2" i="44"/>
  <c r="U2" i="44"/>
  <c r="T2" i="44"/>
  <c r="S2" i="44"/>
  <c r="R2" i="44"/>
  <c r="Q2" i="44"/>
  <c r="P2" i="44"/>
  <c r="O2" i="44"/>
  <c r="N2" i="44"/>
  <c r="M2" i="44"/>
  <c r="L2" i="44"/>
  <c r="K2" i="44"/>
  <c r="J2" i="44"/>
  <c r="I2" i="44"/>
  <c r="H2" i="44"/>
  <c r="G2" i="44"/>
  <c r="F2" i="44"/>
  <c r="E2" i="44"/>
  <c r="D2" i="44"/>
  <c r="B2" i="44"/>
  <c r="A2" i="44"/>
  <c r="Y1" i="44"/>
  <c r="X1" i="44"/>
  <c r="W1" i="44"/>
  <c r="V1" i="44"/>
  <c r="U1" i="44"/>
  <c r="T1" i="44"/>
  <c r="S1" i="44"/>
  <c r="R1" i="44"/>
  <c r="Q1" i="44"/>
  <c r="P1" i="44"/>
  <c r="O1" i="44"/>
  <c r="N1" i="44"/>
  <c r="M1" i="44"/>
  <c r="L1" i="44"/>
  <c r="K1" i="44"/>
  <c r="J1" i="44"/>
  <c r="I1" i="44"/>
  <c r="H1" i="44"/>
  <c r="G1" i="44"/>
  <c r="F1" i="44"/>
  <c r="E1" i="44"/>
  <c r="D1" i="44"/>
  <c r="C1" i="44"/>
  <c r="B1" i="44"/>
  <c r="Y65" i="23" l="1"/>
  <c r="X65" i="23"/>
  <c r="W65" i="23"/>
  <c r="V65" i="23"/>
  <c r="U65" i="23"/>
  <c r="T65" i="23"/>
  <c r="S65" i="23"/>
  <c r="R65" i="23"/>
  <c r="Q65" i="23"/>
  <c r="P65" i="23"/>
  <c r="O65" i="23"/>
  <c r="N65" i="23"/>
  <c r="M65" i="23"/>
  <c r="L65" i="23"/>
  <c r="K65" i="23"/>
  <c r="J65" i="23"/>
  <c r="I65" i="23"/>
  <c r="H65" i="23"/>
  <c r="G65" i="23"/>
  <c r="F65" i="23"/>
  <c r="E65" i="23"/>
  <c r="D65" i="23"/>
  <c r="C65" i="23"/>
  <c r="B65" i="23"/>
  <c r="Y64" i="23"/>
  <c r="X64" i="23"/>
  <c r="W64" i="23"/>
  <c r="V64" i="23"/>
  <c r="U64" i="23"/>
  <c r="T64" i="23"/>
  <c r="S64" i="23"/>
  <c r="R64" i="23"/>
  <c r="Q64" i="23"/>
  <c r="P64" i="23"/>
  <c r="O64" i="23"/>
  <c r="N64" i="23"/>
  <c r="M64" i="23"/>
  <c r="L64" i="23"/>
  <c r="K64" i="23"/>
  <c r="J64" i="23"/>
  <c r="I64" i="23"/>
  <c r="H64" i="23"/>
  <c r="G64" i="23"/>
  <c r="F64" i="23"/>
  <c r="E64" i="23"/>
  <c r="D64" i="23"/>
  <c r="C64" i="23"/>
  <c r="B64" i="23"/>
  <c r="T63" i="23"/>
  <c r="S63" i="23"/>
  <c r="R63" i="23"/>
  <c r="Q63" i="23"/>
  <c r="P63" i="23"/>
  <c r="O63" i="23"/>
  <c r="N63" i="23"/>
  <c r="M63" i="23"/>
  <c r="L63" i="23"/>
  <c r="K63" i="23"/>
  <c r="J63" i="23"/>
  <c r="I63" i="23"/>
  <c r="H63" i="23"/>
  <c r="G63" i="23"/>
  <c r="F63" i="23"/>
  <c r="E63" i="23"/>
  <c r="D63" i="23"/>
  <c r="C63" i="23"/>
  <c r="B63" i="23"/>
  <c r="O62" i="23"/>
  <c r="N62" i="23"/>
  <c r="M62" i="23"/>
  <c r="L62" i="23"/>
  <c r="K62" i="23"/>
  <c r="J62" i="23"/>
  <c r="I62" i="23"/>
  <c r="H62" i="23"/>
  <c r="G62" i="23"/>
  <c r="F62" i="23"/>
  <c r="E62" i="23"/>
  <c r="D62" i="23"/>
  <c r="C62" i="23"/>
  <c r="B62" i="23"/>
  <c r="Q61" i="23"/>
  <c r="P61" i="23"/>
  <c r="O61" i="23"/>
  <c r="N61" i="23"/>
  <c r="M61" i="23"/>
  <c r="L61" i="23"/>
  <c r="K61" i="23"/>
  <c r="J61" i="23"/>
  <c r="I61" i="23"/>
  <c r="H61" i="23"/>
  <c r="G61" i="23"/>
  <c r="F61" i="23"/>
  <c r="E61" i="23"/>
  <c r="D61" i="23"/>
  <c r="C61" i="23"/>
  <c r="B61" i="23"/>
  <c r="Y60" i="23"/>
  <c r="X60" i="23"/>
  <c r="W60" i="23"/>
  <c r="V60" i="23"/>
  <c r="U60" i="23"/>
  <c r="T60" i="23"/>
  <c r="S60" i="23"/>
  <c r="R60" i="23"/>
  <c r="Q60" i="23"/>
  <c r="P60" i="23"/>
  <c r="O60" i="23"/>
  <c r="N60" i="23"/>
  <c r="M60" i="23"/>
  <c r="L60" i="23"/>
  <c r="K60" i="23"/>
  <c r="J60" i="23"/>
  <c r="I60" i="23"/>
  <c r="H60" i="23"/>
  <c r="G60" i="23"/>
  <c r="F60" i="23"/>
  <c r="E60" i="23"/>
  <c r="D60" i="23"/>
  <c r="C60" i="23"/>
  <c r="B60" i="23"/>
  <c r="T59" i="23"/>
  <c r="S59" i="23"/>
  <c r="R59" i="23"/>
  <c r="Q59" i="23"/>
  <c r="P59" i="23"/>
  <c r="O59" i="23"/>
  <c r="N59" i="23"/>
  <c r="M59" i="23"/>
  <c r="L59" i="23"/>
  <c r="K59" i="23"/>
  <c r="J59" i="23"/>
  <c r="I59" i="23"/>
  <c r="H59" i="23"/>
  <c r="G59" i="23"/>
  <c r="F59" i="23"/>
  <c r="E59" i="23"/>
  <c r="D59" i="23"/>
  <c r="C59" i="23"/>
  <c r="B59" i="23"/>
  <c r="Y58" i="23"/>
  <c r="X58" i="23"/>
  <c r="W58" i="23"/>
  <c r="V58" i="23"/>
  <c r="U58" i="23"/>
  <c r="T58" i="23"/>
  <c r="S58" i="23"/>
  <c r="R58" i="23"/>
  <c r="Q58" i="23"/>
  <c r="P58" i="23"/>
  <c r="O58" i="23"/>
  <c r="N58" i="23"/>
  <c r="M58" i="23"/>
  <c r="L58" i="23"/>
  <c r="K58" i="23"/>
  <c r="J58" i="23"/>
  <c r="I58" i="23"/>
  <c r="H58" i="23"/>
  <c r="G58" i="23"/>
  <c r="F58" i="23"/>
  <c r="E58" i="23"/>
  <c r="D58" i="23"/>
  <c r="C58" i="23"/>
  <c r="B58" i="23"/>
  <c r="Y54" i="23"/>
  <c r="X54" i="23"/>
  <c r="W54" i="23"/>
  <c r="V54" i="23"/>
  <c r="U54" i="23"/>
  <c r="T54" i="23"/>
  <c r="S54" i="23"/>
  <c r="R54" i="23"/>
  <c r="Q54" i="23"/>
  <c r="P54" i="23"/>
  <c r="O54" i="23"/>
  <c r="N54" i="23"/>
  <c r="M54" i="23"/>
  <c r="L54" i="23"/>
  <c r="K54" i="23"/>
  <c r="J54" i="23"/>
  <c r="I54" i="23"/>
  <c r="H54" i="23"/>
  <c r="G54" i="23"/>
  <c r="F54" i="23"/>
  <c r="E54" i="23"/>
  <c r="D54" i="23"/>
  <c r="C54" i="23"/>
  <c r="B54" i="23"/>
  <c r="Y53" i="23"/>
  <c r="X53" i="23"/>
  <c r="W53" i="23"/>
  <c r="V53" i="23"/>
  <c r="U53" i="23"/>
  <c r="T53" i="23"/>
  <c r="S53" i="23"/>
  <c r="R53" i="23"/>
  <c r="Q53" i="23"/>
  <c r="P53" i="23"/>
  <c r="O53" i="23"/>
  <c r="N53" i="23"/>
  <c r="M53" i="23"/>
  <c r="L53" i="23"/>
  <c r="K53" i="23"/>
  <c r="J53" i="23"/>
  <c r="I53" i="23"/>
  <c r="H53" i="23"/>
  <c r="G53" i="23"/>
  <c r="F53" i="23"/>
  <c r="E53" i="23"/>
  <c r="D53" i="23"/>
  <c r="C53" i="23"/>
  <c r="B53" i="23"/>
  <c r="O51" i="23"/>
  <c r="N51" i="23"/>
  <c r="M51" i="23"/>
  <c r="L51" i="23"/>
  <c r="K51" i="23"/>
  <c r="J51" i="23"/>
  <c r="I51" i="23"/>
  <c r="H51" i="23"/>
  <c r="G51" i="23"/>
  <c r="F51" i="23"/>
  <c r="E51" i="23"/>
  <c r="D51" i="23"/>
  <c r="C51" i="23"/>
  <c r="B51" i="23"/>
  <c r="Q50" i="23"/>
  <c r="P50" i="23"/>
  <c r="O50" i="23"/>
  <c r="N50" i="23"/>
  <c r="M50" i="23"/>
  <c r="L50" i="23"/>
  <c r="K50" i="23"/>
  <c r="J50" i="23"/>
  <c r="I50" i="23"/>
  <c r="H50" i="23"/>
  <c r="G50" i="23"/>
  <c r="F50" i="23"/>
  <c r="E50" i="23"/>
  <c r="D50" i="23"/>
  <c r="C50" i="23"/>
  <c r="B50" i="23"/>
  <c r="T52" i="23"/>
  <c r="S52" i="23"/>
  <c r="R52" i="23"/>
  <c r="Q52" i="23"/>
  <c r="P52" i="23"/>
  <c r="O52" i="23"/>
  <c r="N52" i="23"/>
  <c r="M52" i="23"/>
  <c r="L52" i="23"/>
  <c r="K52" i="23"/>
  <c r="J52" i="23"/>
  <c r="I52" i="23"/>
  <c r="H52" i="23"/>
  <c r="G52" i="23"/>
  <c r="F52" i="23"/>
  <c r="E52" i="23"/>
  <c r="D52" i="23"/>
  <c r="C52" i="23"/>
  <c r="B52" i="23"/>
  <c r="T48" i="23"/>
  <c r="S48" i="23"/>
  <c r="R48" i="23"/>
  <c r="Q48" i="23"/>
  <c r="P48" i="23"/>
  <c r="O48" i="23"/>
  <c r="N48" i="23"/>
  <c r="M48" i="23"/>
  <c r="L48" i="23"/>
  <c r="K48" i="23"/>
  <c r="J48" i="23"/>
  <c r="I48" i="23"/>
  <c r="H48" i="23"/>
  <c r="G48" i="23"/>
  <c r="F48" i="23"/>
  <c r="E48" i="23"/>
  <c r="D48" i="23"/>
  <c r="C48" i="23"/>
  <c r="B48" i="23"/>
  <c r="Y49" i="23"/>
  <c r="X49" i="23"/>
  <c r="W49" i="23"/>
  <c r="V49" i="23"/>
  <c r="U49" i="23"/>
  <c r="T49" i="23"/>
  <c r="S49" i="23"/>
  <c r="R49" i="23"/>
  <c r="Q49" i="23"/>
  <c r="P49" i="23"/>
  <c r="O49" i="23"/>
  <c r="N49" i="23"/>
  <c r="M49" i="23"/>
  <c r="L49" i="23"/>
  <c r="K49" i="23"/>
  <c r="J49" i="23"/>
  <c r="I49" i="23"/>
  <c r="H49" i="23"/>
  <c r="G49" i="23"/>
  <c r="F49" i="23"/>
  <c r="E49" i="23"/>
  <c r="D49" i="23"/>
  <c r="C49" i="23"/>
  <c r="B49" i="23"/>
  <c r="Y47" i="23"/>
  <c r="X47" i="23"/>
  <c r="W47" i="23"/>
  <c r="V47" i="23"/>
  <c r="U47" i="23"/>
  <c r="T47" i="23"/>
  <c r="S47" i="23"/>
  <c r="R47" i="23"/>
  <c r="Q47" i="23"/>
  <c r="P47" i="23"/>
  <c r="O47" i="23"/>
  <c r="N47" i="23"/>
  <c r="M47" i="23"/>
  <c r="L47" i="23"/>
  <c r="K47" i="23"/>
  <c r="J47" i="23"/>
  <c r="I47" i="23"/>
  <c r="H47" i="23"/>
  <c r="G47" i="23"/>
  <c r="F47" i="23"/>
  <c r="E47" i="23"/>
  <c r="D47" i="23"/>
  <c r="C47" i="23"/>
  <c r="B47" i="23"/>
  <c r="Y42" i="23"/>
  <c r="X42" i="23"/>
  <c r="W42" i="23"/>
  <c r="V42" i="23"/>
  <c r="U42" i="23"/>
  <c r="T42" i="23"/>
  <c r="S42" i="23"/>
  <c r="R42" i="23"/>
  <c r="Q42" i="23"/>
  <c r="P42" i="23"/>
  <c r="O42" i="23"/>
  <c r="N42" i="23"/>
  <c r="M42" i="23"/>
  <c r="L42" i="23"/>
  <c r="K42" i="23"/>
  <c r="J42" i="23"/>
  <c r="I42" i="23"/>
  <c r="H42" i="23"/>
  <c r="G42" i="23"/>
  <c r="F42" i="23"/>
  <c r="E42" i="23"/>
  <c r="D42" i="23"/>
  <c r="C42" i="23"/>
  <c r="B42" i="23"/>
  <c r="Y21" i="23"/>
  <c r="X21" i="23"/>
  <c r="W21" i="23"/>
  <c r="V21" i="23"/>
  <c r="U21" i="23"/>
  <c r="T21" i="23"/>
  <c r="S21" i="23"/>
  <c r="R21" i="23"/>
  <c r="Q21" i="23"/>
  <c r="P21" i="23"/>
  <c r="O21" i="23"/>
  <c r="N21" i="23"/>
  <c r="M21" i="23"/>
  <c r="L21" i="23"/>
  <c r="K21" i="23"/>
  <c r="J21" i="23"/>
  <c r="I21" i="23"/>
  <c r="H21" i="23"/>
  <c r="G21" i="23"/>
  <c r="F21" i="23"/>
  <c r="E21" i="23"/>
  <c r="D21" i="23"/>
  <c r="C21" i="23"/>
  <c r="B21" i="23"/>
  <c r="Y20" i="23"/>
  <c r="X20" i="23"/>
  <c r="W20" i="23"/>
  <c r="V20" i="23"/>
  <c r="U20" i="23"/>
  <c r="T20" i="23"/>
  <c r="S20" i="23"/>
  <c r="R20" i="23"/>
  <c r="Q20" i="23"/>
  <c r="P20" i="23"/>
  <c r="O20" i="23"/>
  <c r="N20" i="23"/>
  <c r="M20" i="23"/>
  <c r="L20" i="23"/>
  <c r="K20" i="23"/>
  <c r="J20" i="23"/>
  <c r="I20" i="23"/>
  <c r="H20" i="23"/>
  <c r="G20" i="23"/>
  <c r="F20" i="23"/>
  <c r="E20" i="23"/>
  <c r="D20" i="23"/>
  <c r="C20" i="23"/>
  <c r="B20" i="23"/>
  <c r="O18" i="23"/>
  <c r="N18" i="23"/>
  <c r="M18" i="23"/>
  <c r="L18" i="23"/>
  <c r="K18" i="23"/>
  <c r="J18" i="23"/>
  <c r="I18" i="23"/>
  <c r="H18" i="23"/>
  <c r="G18" i="23"/>
  <c r="F18" i="23"/>
  <c r="E18" i="23"/>
  <c r="D18" i="23"/>
  <c r="C18" i="23"/>
  <c r="B18" i="23"/>
  <c r="T15" i="23"/>
  <c r="S15" i="23"/>
  <c r="R15" i="23"/>
  <c r="Q15" i="23"/>
  <c r="P15" i="23"/>
  <c r="O15" i="23"/>
  <c r="N15" i="23"/>
  <c r="M15" i="23"/>
  <c r="L15" i="23"/>
  <c r="K15" i="23"/>
  <c r="J15" i="23"/>
  <c r="I15" i="23"/>
  <c r="H15" i="23"/>
  <c r="G15" i="23"/>
  <c r="F15" i="23"/>
  <c r="E15" i="23"/>
  <c r="D15" i="23"/>
  <c r="C15" i="23"/>
  <c r="B15" i="23"/>
  <c r="K78" i="23"/>
  <c r="J78" i="23"/>
  <c r="I78" i="23"/>
  <c r="H78" i="23"/>
  <c r="G78" i="23"/>
  <c r="F78" i="23"/>
  <c r="E78" i="23"/>
  <c r="D78" i="23"/>
  <c r="C78" i="23"/>
  <c r="B78" i="23"/>
  <c r="O77" i="23"/>
  <c r="N77" i="23"/>
  <c r="M77" i="23"/>
  <c r="L77" i="23"/>
  <c r="K77" i="23"/>
  <c r="J77" i="23"/>
  <c r="I77" i="23"/>
  <c r="H77" i="23"/>
  <c r="G77" i="23"/>
  <c r="F77" i="23"/>
  <c r="E77" i="23"/>
  <c r="D77" i="23"/>
  <c r="C77" i="23"/>
  <c r="B77" i="23"/>
  <c r="O76" i="23"/>
  <c r="N76" i="23"/>
  <c r="M76" i="23"/>
  <c r="L76" i="23"/>
  <c r="K76" i="23"/>
  <c r="J76" i="23"/>
  <c r="I76" i="23"/>
  <c r="H76" i="23"/>
  <c r="G76" i="23"/>
  <c r="F76" i="23"/>
  <c r="E76" i="23"/>
  <c r="D76" i="23"/>
  <c r="C76" i="23"/>
  <c r="B76" i="23"/>
  <c r="O75" i="23"/>
  <c r="N75" i="23"/>
  <c r="M75" i="23"/>
  <c r="L75" i="23"/>
  <c r="K75" i="23"/>
  <c r="J75" i="23"/>
  <c r="I75" i="23"/>
  <c r="H75" i="23"/>
  <c r="G75" i="23"/>
  <c r="F75" i="23"/>
  <c r="E75" i="23"/>
  <c r="D75" i="23"/>
  <c r="C75" i="23"/>
  <c r="B75" i="23"/>
  <c r="O74" i="23"/>
  <c r="N74" i="23"/>
  <c r="M74" i="23"/>
  <c r="L74" i="23"/>
  <c r="K74" i="23"/>
  <c r="J74" i="23"/>
  <c r="I74" i="23"/>
  <c r="H74" i="23"/>
  <c r="G74" i="23"/>
  <c r="F74" i="23"/>
  <c r="E74" i="23"/>
  <c r="D74" i="23"/>
  <c r="C74" i="23"/>
  <c r="B74" i="23"/>
  <c r="O73" i="23"/>
  <c r="N73" i="23"/>
  <c r="M73" i="23"/>
  <c r="L73" i="23"/>
  <c r="K73" i="23"/>
  <c r="J73" i="23"/>
  <c r="I73" i="23"/>
  <c r="H73" i="23"/>
  <c r="G73" i="23"/>
  <c r="F73" i="23"/>
  <c r="E73" i="23"/>
  <c r="D73" i="23"/>
  <c r="C73" i="23"/>
  <c r="B73" i="23"/>
  <c r="O72" i="23"/>
  <c r="N72" i="23"/>
  <c r="M72" i="23"/>
  <c r="L72" i="23"/>
  <c r="K72" i="23"/>
  <c r="J72" i="23"/>
  <c r="I72" i="23"/>
  <c r="H72" i="23"/>
  <c r="G72" i="23"/>
  <c r="F72" i="23"/>
  <c r="E72" i="23"/>
  <c r="D72" i="23"/>
  <c r="C72" i="23"/>
  <c r="B72" i="23"/>
  <c r="O71" i="23"/>
  <c r="N71" i="23"/>
  <c r="M71" i="23"/>
  <c r="L71" i="23"/>
  <c r="K71" i="23"/>
  <c r="J71" i="23"/>
  <c r="I71" i="23"/>
  <c r="H71" i="23"/>
  <c r="G71" i="23"/>
  <c r="F71" i="23"/>
  <c r="E71" i="23"/>
  <c r="D71" i="23"/>
  <c r="C71" i="23"/>
  <c r="B71" i="23"/>
  <c r="O70" i="23"/>
  <c r="N70" i="23"/>
  <c r="M70" i="23"/>
  <c r="L70" i="23"/>
  <c r="K70" i="23"/>
  <c r="J70" i="23"/>
  <c r="I70" i="23"/>
  <c r="H70" i="23"/>
  <c r="G70" i="23"/>
  <c r="F70" i="23"/>
  <c r="E70" i="23"/>
  <c r="D70" i="23"/>
  <c r="C70" i="23"/>
  <c r="B70" i="23"/>
  <c r="O69" i="23"/>
  <c r="N69" i="23"/>
  <c r="M69" i="23"/>
  <c r="L69" i="23"/>
  <c r="K69" i="23"/>
  <c r="J69" i="23"/>
  <c r="I69" i="23"/>
  <c r="H69" i="23"/>
  <c r="G69" i="23"/>
  <c r="F69" i="23"/>
  <c r="E69" i="23"/>
  <c r="D69" i="23"/>
  <c r="C69" i="23"/>
  <c r="B69" i="23"/>
  <c r="Y43" i="23"/>
  <c r="X43" i="23"/>
  <c r="W43" i="23"/>
  <c r="V43" i="23"/>
  <c r="U43" i="23"/>
  <c r="T43" i="23"/>
  <c r="S43" i="23"/>
  <c r="R43" i="23"/>
  <c r="Q43" i="23"/>
  <c r="P43" i="23"/>
  <c r="O43" i="23"/>
  <c r="N43" i="23"/>
  <c r="M43" i="23"/>
  <c r="L43" i="23"/>
  <c r="K43" i="23"/>
  <c r="J43" i="23"/>
  <c r="I43" i="23"/>
  <c r="H43" i="23"/>
  <c r="G43" i="23"/>
  <c r="F43" i="23"/>
  <c r="E43" i="23"/>
  <c r="D43" i="23"/>
  <c r="C43" i="23"/>
  <c r="B43" i="23"/>
  <c r="O40" i="23"/>
  <c r="N40" i="23"/>
  <c r="M40" i="23"/>
  <c r="L40" i="23"/>
  <c r="K40" i="23"/>
  <c r="J40" i="23"/>
  <c r="I40" i="23"/>
  <c r="H40" i="23"/>
  <c r="G40" i="23"/>
  <c r="F40" i="23"/>
  <c r="E40" i="23"/>
  <c r="D40" i="23"/>
  <c r="C40" i="23"/>
  <c r="B40" i="23"/>
  <c r="Q39" i="23"/>
  <c r="P39" i="23"/>
  <c r="O39" i="23"/>
  <c r="N39" i="23"/>
  <c r="M39" i="23"/>
  <c r="L39" i="23"/>
  <c r="K39" i="23"/>
  <c r="J39" i="23"/>
  <c r="I39" i="23"/>
  <c r="H39" i="23"/>
  <c r="G39" i="23"/>
  <c r="F39" i="23"/>
  <c r="E39" i="23"/>
  <c r="D39" i="23"/>
  <c r="C39" i="23"/>
  <c r="B39" i="23"/>
  <c r="T41" i="23"/>
  <c r="S41" i="23"/>
  <c r="R41" i="23"/>
  <c r="Q41" i="23"/>
  <c r="P41" i="23"/>
  <c r="O41" i="23"/>
  <c r="N41" i="23"/>
  <c r="M41" i="23"/>
  <c r="L41" i="23"/>
  <c r="K41" i="23"/>
  <c r="J41" i="23"/>
  <c r="I41" i="23"/>
  <c r="H41" i="23"/>
  <c r="G41" i="23"/>
  <c r="F41" i="23"/>
  <c r="E41" i="23"/>
  <c r="D41" i="23"/>
  <c r="C41" i="23"/>
  <c r="B41" i="23"/>
  <c r="T37" i="23"/>
  <c r="S37" i="23"/>
  <c r="R37" i="23"/>
  <c r="Q37" i="23"/>
  <c r="P37" i="23"/>
  <c r="O37" i="23"/>
  <c r="N37" i="23"/>
  <c r="M37" i="23"/>
  <c r="L37" i="23"/>
  <c r="K37" i="23"/>
  <c r="J37" i="23"/>
  <c r="I37" i="23"/>
  <c r="H37" i="23"/>
  <c r="G37" i="23"/>
  <c r="F37" i="23"/>
  <c r="E37" i="23"/>
  <c r="D37" i="23"/>
  <c r="C37" i="23"/>
  <c r="B37" i="23"/>
  <c r="Y38" i="23"/>
  <c r="X38" i="23"/>
  <c r="W38" i="23"/>
  <c r="V38" i="23"/>
  <c r="U38" i="23"/>
  <c r="T38" i="23"/>
  <c r="S38" i="23"/>
  <c r="R38" i="23"/>
  <c r="Q38" i="23"/>
  <c r="P38" i="23"/>
  <c r="O38" i="23"/>
  <c r="N38" i="23"/>
  <c r="M38" i="23"/>
  <c r="L38" i="23"/>
  <c r="K38" i="23"/>
  <c r="J38" i="23"/>
  <c r="I38" i="23"/>
  <c r="H38" i="23"/>
  <c r="G38" i="23"/>
  <c r="F38" i="23"/>
  <c r="E38" i="23"/>
  <c r="D38" i="23"/>
  <c r="C38" i="23"/>
  <c r="B38" i="23"/>
  <c r="Y36" i="23"/>
  <c r="X36" i="23"/>
  <c r="W36" i="23"/>
  <c r="V36" i="23"/>
  <c r="U36" i="23"/>
  <c r="T36" i="23"/>
  <c r="S36" i="23"/>
  <c r="R36" i="23"/>
  <c r="Q36" i="23"/>
  <c r="P36" i="23"/>
  <c r="O36" i="23"/>
  <c r="N36" i="23"/>
  <c r="M36" i="23"/>
  <c r="L36" i="23"/>
  <c r="K36" i="23"/>
  <c r="J36" i="23"/>
  <c r="I36" i="23"/>
  <c r="H36" i="23"/>
  <c r="G36" i="23"/>
  <c r="F36" i="23"/>
  <c r="E36" i="23"/>
  <c r="D36" i="23"/>
  <c r="C36" i="23"/>
  <c r="B36" i="23"/>
  <c r="Y9" i="23"/>
  <c r="X9" i="23"/>
  <c r="W9" i="23"/>
  <c r="V9" i="23"/>
  <c r="U9" i="23"/>
  <c r="T9" i="23"/>
  <c r="S9" i="23"/>
  <c r="R9" i="23"/>
  <c r="Q9" i="23"/>
  <c r="P9" i="23"/>
  <c r="O9" i="23"/>
  <c r="N9" i="23"/>
  <c r="M9" i="23"/>
  <c r="L9" i="23"/>
  <c r="K9" i="23"/>
  <c r="J9" i="23"/>
  <c r="I9" i="23"/>
  <c r="H9" i="23"/>
  <c r="G9" i="23"/>
  <c r="F9" i="23"/>
  <c r="E9" i="23"/>
  <c r="D9" i="23"/>
  <c r="C9" i="23"/>
  <c r="B9" i="23"/>
  <c r="Y10" i="23"/>
  <c r="X10" i="23"/>
  <c r="W10" i="23"/>
  <c r="V10" i="23"/>
  <c r="U10" i="23"/>
  <c r="T10" i="23"/>
  <c r="S10" i="23"/>
  <c r="R10" i="23"/>
  <c r="Q10" i="23"/>
  <c r="P10" i="23"/>
  <c r="O10" i="23"/>
  <c r="N10" i="23"/>
  <c r="M10" i="23"/>
  <c r="L10" i="23"/>
  <c r="K10" i="23"/>
  <c r="J10" i="23"/>
  <c r="I10" i="23"/>
  <c r="H10" i="23"/>
  <c r="G10" i="23"/>
  <c r="F10" i="23"/>
  <c r="E10" i="23"/>
  <c r="D10" i="23"/>
  <c r="C10" i="23"/>
  <c r="B10" i="23"/>
  <c r="T8" i="23"/>
  <c r="S8" i="23"/>
  <c r="R8" i="23"/>
  <c r="Q8" i="23"/>
  <c r="P8" i="23"/>
  <c r="O8" i="23"/>
  <c r="N8" i="23"/>
  <c r="M8" i="23"/>
  <c r="L8" i="23"/>
  <c r="K8" i="23"/>
  <c r="J8" i="23"/>
  <c r="I8" i="23"/>
  <c r="H8" i="23"/>
  <c r="G8" i="23"/>
  <c r="F8" i="23"/>
  <c r="E8" i="23"/>
  <c r="D8" i="23"/>
  <c r="C8" i="23"/>
  <c r="B8" i="23"/>
  <c r="O7" i="23"/>
  <c r="N7" i="23"/>
  <c r="M7" i="23"/>
  <c r="L7" i="23"/>
  <c r="K7" i="23"/>
  <c r="J7" i="23"/>
  <c r="I7" i="23"/>
  <c r="H7" i="23"/>
  <c r="G7" i="23"/>
  <c r="F7" i="23"/>
  <c r="E7" i="23"/>
  <c r="D7" i="23"/>
  <c r="C7" i="23"/>
  <c r="B7" i="23"/>
  <c r="Q6" i="23"/>
  <c r="P6" i="23"/>
  <c r="O6" i="23"/>
  <c r="N6" i="23"/>
  <c r="M6" i="23"/>
  <c r="L6" i="23"/>
  <c r="K6" i="23"/>
  <c r="J6" i="23"/>
  <c r="I6" i="23"/>
  <c r="H6" i="23"/>
  <c r="G6" i="23"/>
  <c r="F6" i="23"/>
  <c r="E6" i="23"/>
  <c r="D6" i="23"/>
  <c r="C6" i="23"/>
  <c r="B6" i="23"/>
  <c r="Y5" i="23"/>
  <c r="X5" i="23"/>
  <c r="W5" i="23"/>
  <c r="V5" i="23"/>
  <c r="U5" i="23"/>
  <c r="T5" i="23"/>
  <c r="S5" i="23"/>
  <c r="R5" i="23"/>
  <c r="Q5" i="23"/>
  <c r="P5" i="23"/>
  <c r="O5" i="23"/>
  <c r="N5" i="23"/>
  <c r="M5" i="23"/>
  <c r="L5" i="23"/>
  <c r="K5" i="23"/>
  <c r="J5" i="23"/>
  <c r="I5" i="23"/>
  <c r="H5" i="23"/>
  <c r="G5" i="23"/>
  <c r="F5" i="23"/>
  <c r="E5" i="23"/>
  <c r="D5" i="23"/>
  <c r="C5" i="23"/>
  <c r="B5" i="23"/>
  <c r="T4" i="23"/>
  <c r="S4" i="23"/>
  <c r="R4" i="23"/>
  <c r="Q4" i="23"/>
  <c r="P4" i="23"/>
  <c r="O4" i="23"/>
  <c r="N4" i="23"/>
  <c r="M4" i="23"/>
  <c r="L4" i="23"/>
  <c r="K4" i="23"/>
  <c r="J4" i="23"/>
  <c r="I4" i="23"/>
  <c r="H4" i="23"/>
  <c r="G4" i="23"/>
  <c r="F4" i="23"/>
  <c r="E4" i="23"/>
  <c r="D4" i="23"/>
  <c r="C4" i="23"/>
  <c r="B4" i="23"/>
  <c r="Y3" i="23"/>
  <c r="X3" i="23"/>
  <c r="W3" i="23"/>
  <c r="V3" i="23"/>
  <c r="U3" i="23"/>
  <c r="T3" i="23"/>
  <c r="S3" i="23"/>
  <c r="R3" i="23"/>
  <c r="Q3" i="23"/>
  <c r="P3" i="23"/>
  <c r="O3" i="23"/>
  <c r="N3" i="23"/>
  <c r="M3" i="23"/>
  <c r="L3" i="23"/>
  <c r="K3" i="23"/>
  <c r="J3" i="23"/>
  <c r="I3" i="23"/>
  <c r="H3" i="23"/>
  <c r="G3" i="23"/>
  <c r="F3" i="23"/>
  <c r="E3" i="23"/>
  <c r="D3" i="23"/>
  <c r="C3" i="23"/>
  <c r="B3" i="23"/>
  <c r="AN81" i="3"/>
  <c r="AL81" i="3"/>
  <c r="AH81" i="3"/>
  <c r="AV79" i="3" a="1"/>
  <c r="AV79" i="3" s="1"/>
  <c r="AT79" i="3" a="1"/>
  <c r="AT79" i="3"/>
  <c r="AR79" i="3" a="1"/>
  <c r="AR79" i="3" s="1"/>
  <c r="AP79" i="3" a="1"/>
  <c r="AP79" i="3"/>
  <c r="AN79" i="3" a="1"/>
  <c r="AN79" i="3" s="1"/>
  <c r="AL79" i="3" a="1"/>
  <c r="AL79" i="3" s="1"/>
  <c r="AJ79" i="3" a="1"/>
  <c r="AJ79" i="3" s="1"/>
  <c r="AH79" i="3" a="1"/>
  <c r="AH79" i="3" s="1"/>
  <c r="AF79" i="3" a="1"/>
  <c r="AF79" i="3" s="1"/>
  <c r="AD79" i="3" a="1"/>
  <c r="AD79" i="3"/>
  <c r="AB79" i="3" a="1"/>
  <c r="AB79" i="3" s="1"/>
  <c r="Z79" i="3" a="1"/>
  <c r="Z79" i="3" s="1"/>
  <c r="X79" i="3" a="1"/>
  <c r="X79" i="3" s="1"/>
  <c r="V79" i="3" a="1"/>
  <c r="V79" i="3" s="1"/>
  <c r="T79" i="3" a="1"/>
  <c r="T79" i="3"/>
  <c r="R79" i="3" a="1"/>
  <c r="R79" i="3" s="1"/>
  <c r="P79" i="3" a="1"/>
  <c r="P79" i="3"/>
  <c r="N79" i="3" a="1"/>
  <c r="N79" i="3" s="1"/>
  <c r="L79" i="3" a="1"/>
  <c r="L79" i="3" s="1"/>
  <c r="J79" i="3" a="1"/>
  <c r="J79" i="3"/>
  <c r="H79" i="3" a="1"/>
  <c r="H79" i="3" s="1"/>
  <c r="F79" i="3" a="1"/>
  <c r="F79" i="3" s="1"/>
  <c r="D79" i="3" a="1"/>
  <c r="D79" i="3" s="1"/>
  <c r="B79" i="3" a="1"/>
  <c r="B79" i="3" s="1"/>
  <c r="AV78" i="3" a="1"/>
  <c r="AV78" i="3"/>
  <c r="AT78" i="3" a="1"/>
  <c r="AT78" i="3" s="1"/>
  <c r="AR78" i="3" a="1"/>
  <c r="AR78" i="3"/>
  <c r="AP78" i="3" a="1"/>
  <c r="AP78" i="3" s="1"/>
  <c r="AN78" i="3" a="1"/>
  <c r="AN78" i="3" s="1"/>
  <c r="AL78" i="3" a="1"/>
  <c r="AL78" i="3"/>
  <c r="AJ78" i="3" a="1"/>
  <c r="AJ78" i="3" s="1"/>
  <c r="AH78" i="3" a="1"/>
  <c r="AH78" i="3" s="1"/>
  <c r="AF78" i="3" a="1"/>
  <c r="AF78" i="3" s="1"/>
  <c r="AD78" i="3" a="1"/>
  <c r="AD78" i="3" s="1"/>
  <c r="AB78" i="3" a="1"/>
  <c r="AB78" i="3"/>
  <c r="Z78" i="3" a="1"/>
  <c r="Z78" i="3" s="1"/>
  <c r="X78" i="3" a="1"/>
  <c r="X78" i="3"/>
  <c r="V78" i="3" a="1"/>
  <c r="V78" i="3" s="1"/>
  <c r="T78" i="3" a="1"/>
  <c r="T78" i="3" s="1"/>
  <c r="R78" i="3" a="1"/>
  <c r="R78" i="3"/>
  <c r="P78" i="3" a="1"/>
  <c r="P78" i="3" s="1"/>
  <c r="N78" i="3" a="1"/>
  <c r="N78" i="3" s="1"/>
  <c r="L78" i="3" a="1"/>
  <c r="L78" i="3" s="1"/>
  <c r="J78" i="3" a="1"/>
  <c r="J78" i="3" s="1"/>
  <c r="H78" i="3" a="1"/>
  <c r="H78" i="3"/>
  <c r="F78" i="3" a="1"/>
  <c r="F78" i="3" s="1"/>
  <c r="D78" i="3" a="1"/>
  <c r="D78" i="3"/>
  <c r="B78" i="3" a="1"/>
  <c r="B78" i="3" s="1"/>
  <c r="AV77" i="3" a="1"/>
  <c r="AV77" i="3" s="1"/>
  <c r="AT77" i="3" a="1"/>
  <c r="AT77" i="3"/>
  <c r="AR77" i="3" a="1"/>
  <c r="AR77" i="3" s="1"/>
  <c r="AP77" i="3" a="1"/>
  <c r="AP77" i="3" s="1"/>
  <c r="AN77" i="3" a="1"/>
  <c r="AN77" i="3" s="1"/>
  <c r="AL77" i="3" a="1"/>
  <c r="AL77" i="3" s="1"/>
  <c r="AJ77" i="3" a="1"/>
  <c r="AJ77" i="3"/>
  <c r="AH77" i="3" a="1"/>
  <c r="AH77" i="3" s="1"/>
  <c r="AF77" i="3" a="1"/>
  <c r="AF77" i="3"/>
  <c r="AD77" i="3" a="1"/>
  <c r="AD77" i="3" s="1"/>
  <c r="AB77" i="3" a="1"/>
  <c r="AB77" i="3" s="1"/>
  <c r="Z77" i="3" a="1"/>
  <c r="Z77" i="3"/>
  <c r="X77" i="3" a="1"/>
  <c r="X77" i="3" s="1"/>
  <c r="V77" i="3" a="1"/>
  <c r="V77" i="3" s="1"/>
  <c r="T77" i="3" a="1"/>
  <c r="T77" i="3" s="1"/>
  <c r="R77" i="3" a="1"/>
  <c r="R77" i="3"/>
  <c r="P77" i="3" a="1"/>
  <c r="P77" i="3"/>
  <c r="N77" i="3" a="1"/>
  <c r="N77" i="3" s="1"/>
  <c r="L77" i="3" a="1"/>
  <c r="L77" i="3" s="1"/>
  <c r="J77" i="3" a="1"/>
  <c r="J77" i="3" s="1"/>
  <c r="H77" i="3" a="1"/>
  <c r="H77" i="3"/>
  <c r="F77" i="3" a="1"/>
  <c r="F77" i="3"/>
  <c r="D77" i="3" a="1"/>
  <c r="D77" i="3" s="1"/>
  <c r="B77" i="3" a="1"/>
  <c r="B77" i="3" s="1"/>
  <c r="AV76" i="3" a="1"/>
  <c r="AV76" i="3" s="1"/>
  <c r="AT76" i="3" a="1"/>
  <c r="AT76" i="3" s="1"/>
  <c r="AR76" i="3" a="1"/>
  <c r="AR76" i="3" s="1"/>
  <c r="AP76" i="3" a="1"/>
  <c r="AP76" i="3" s="1"/>
  <c r="AN76" i="3" a="1"/>
  <c r="AN76" i="3"/>
  <c r="AL76" i="3" a="1"/>
  <c r="AL76" i="3" s="1"/>
  <c r="AJ76" i="3" a="1"/>
  <c r="AJ76" i="3" s="1"/>
  <c r="AH76" i="3" a="1"/>
  <c r="AH76" i="3" s="1"/>
  <c r="AF76" i="3" a="1"/>
  <c r="AF76" i="3" s="1"/>
  <c r="AD76" i="3" a="1"/>
  <c r="AD76" i="3" s="1"/>
  <c r="AB76" i="3" a="1"/>
  <c r="AB76" i="3" s="1"/>
  <c r="Z76" i="3" a="1"/>
  <c r="Z76" i="3" s="1"/>
  <c r="X76" i="3" a="1"/>
  <c r="X76" i="3"/>
  <c r="V76" i="3" a="1"/>
  <c r="V76" i="3" s="1"/>
  <c r="T76" i="3" a="1"/>
  <c r="T76" i="3"/>
  <c r="R76" i="3" a="1"/>
  <c r="R76" i="3" s="1"/>
  <c r="P76" i="3" a="1"/>
  <c r="P76" i="3"/>
  <c r="N76" i="3" a="1"/>
  <c r="N76" i="3"/>
  <c r="L76" i="3" a="1"/>
  <c r="L76" i="3" s="1"/>
  <c r="J76" i="3" a="1"/>
  <c r="J76" i="3" s="1"/>
  <c r="H76" i="3" a="1"/>
  <c r="H76" i="3" s="1"/>
  <c r="F76" i="3" a="1"/>
  <c r="F76" i="3"/>
  <c r="D76" i="3" a="1"/>
  <c r="D76" i="3" s="1"/>
  <c r="B76" i="3" a="1"/>
  <c r="B76" i="3" s="1"/>
  <c r="AV75" i="3" a="1"/>
  <c r="AV75" i="3"/>
  <c r="AT75" i="3" a="1"/>
  <c r="AT75" i="3" s="1"/>
  <c r="AR75" i="3" a="1"/>
  <c r="AR75" i="3" s="1"/>
  <c r="AP75" i="3" a="1"/>
  <c r="AP75" i="3" s="1"/>
  <c r="AN75" i="3" a="1"/>
  <c r="AN75" i="3" s="1"/>
  <c r="AL75" i="3" a="1"/>
  <c r="AL75" i="3" s="1"/>
  <c r="AJ75" i="3" a="1"/>
  <c r="AJ75" i="3" s="1"/>
  <c r="AH75" i="3" a="1"/>
  <c r="AH75" i="3" s="1"/>
  <c r="AF75" i="3" a="1"/>
  <c r="AF75" i="3" s="1"/>
  <c r="AD75" i="3" a="1"/>
  <c r="AD75" i="3" s="1"/>
  <c r="AB75" i="3" a="1"/>
  <c r="AB75" i="3" s="1"/>
  <c r="Z75" i="3" a="1"/>
  <c r="Z75" i="3" s="1"/>
  <c r="X75" i="3" a="1"/>
  <c r="X75" i="3"/>
  <c r="V75" i="3" a="1"/>
  <c r="V75" i="3"/>
  <c r="T75" i="3" a="1"/>
  <c r="T75" i="3" s="1"/>
  <c r="R75" i="3" a="1"/>
  <c r="R75" i="3" s="1"/>
  <c r="P75" i="3" a="1"/>
  <c r="P75" i="3" s="1"/>
  <c r="N75" i="3" a="1"/>
  <c r="N75" i="3"/>
  <c r="L75" i="3" a="1"/>
  <c r="L75" i="3"/>
  <c r="J75" i="3" a="1"/>
  <c r="J75" i="3" s="1"/>
  <c r="H75" i="3" a="1"/>
  <c r="H75" i="3"/>
  <c r="F75" i="3" a="1"/>
  <c r="F75" i="3" s="1"/>
  <c r="D75" i="3" a="1"/>
  <c r="D75" i="3"/>
  <c r="B75" i="3" a="1"/>
  <c r="B75" i="3" s="1"/>
  <c r="AV74" i="3" a="1"/>
  <c r="AV74" i="3" s="1"/>
  <c r="AT74" i="3" a="1"/>
  <c r="AT74" i="3" s="1"/>
  <c r="AR74" i="3" a="1"/>
  <c r="AR74" i="3" s="1"/>
  <c r="AP74" i="3" a="1"/>
  <c r="AP74" i="3"/>
  <c r="AN74" i="3" a="1"/>
  <c r="AN74" i="3" s="1"/>
  <c r="AL74" i="3" a="1"/>
  <c r="AL74" i="3" s="1"/>
  <c r="AJ74" i="3" a="1"/>
  <c r="AJ74" i="3" s="1"/>
  <c r="AH74" i="3" a="1"/>
  <c r="AH74" i="3" s="1"/>
  <c r="AF74" i="3" a="1"/>
  <c r="AF74" i="3" s="1"/>
  <c r="AD74" i="3" a="1"/>
  <c r="AD74" i="3"/>
  <c r="AB74" i="3" a="1"/>
  <c r="AB74" i="3" s="1"/>
  <c r="Z74" i="3" a="1"/>
  <c r="Z74" i="3" s="1"/>
  <c r="X74" i="3" a="1"/>
  <c r="X74" i="3" s="1"/>
  <c r="V74" i="3" a="1"/>
  <c r="V74" i="3" s="1"/>
  <c r="T74" i="3" a="1"/>
  <c r="T74" i="3"/>
  <c r="R74" i="3" a="1"/>
  <c r="R74" i="3" s="1"/>
  <c r="P74" i="3" a="1"/>
  <c r="P74" i="3"/>
  <c r="N74" i="3" a="1"/>
  <c r="N74" i="3" s="1"/>
  <c r="L74" i="3" a="1"/>
  <c r="L74" i="3"/>
  <c r="J74" i="3" a="1"/>
  <c r="J74" i="3" s="1"/>
  <c r="H74" i="3" a="1"/>
  <c r="H74" i="3" s="1"/>
  <c r="F74" i="3" a="1"/>
  <c r="F74" i="3" s="1"/>
  <c r="D74" i="3" a="1"/>
  <c r="D74" i="3" s="1"/>
  <c r="B74" i="3" a="1"/>
  <c r="B74" i="3" s="1"/>
  <c r="AV73" i="3" a="1"/>
  <c r="AV73" i="3"/>
  <c r="AT73" i="3" a="1"/>
  <c r="AT73" i="3" s="1"/>
  <c r="AR73" i="3" a="1"/>
  <c r="AR73" i="3"/>
  <c r="AP73" i="3" a="1"/>
  <c r="AP73" i="3" s="1"/>
  <c r="AN73" i="3" a="1"/>
  <c r="AN73" i="3" s="1"/>
  <c r="AL73" i="3" a="1"/>
  <c r="AL73" i="3"/>
  <c r="AJ73" i="3" a="1"/>
  <c r="AJ73" i="3" s="1"/>
  <c r="AH73" i="3" a="1"/>
  <c r="AH73" i="3" s="1"/>
  <c r="AF73" i="3" a="1"/>
  <c r="AF73" i="3" s="1"/>
  <c r="AD73" i="3" a="1"/>
  <c r="AD73" i="3" s="1"/>
  <c r="AB73" i="3" a="1"/>
  <c r="AB73" i="3"/>
  <c r="Z73" i="3" a="1"/>
  <c r="Z73" i="3" s="1"/>
  <c r="X73" i="3" a="1"/>
  <c r="X73" i="3" s="1"/>
  <c r="V73" i="3" a="1"/>
  <c r="V73" i="3" s="1"/>
  <c r="T73" i="3" a="1"/>
  <c r="T73" i="3" s="1"/>
  <c r="R73" i="3" a="1"/>
  <c r="R73" i="3" s="1"/>
  <c r="P73" i="3" a="1"/>
  <c r="P73" i="3" s="1"/>
  <c r="N73" i="3" a="1"/>
  <c r="N73" i="3" s="1"/>
  <c r="L73" i="3" a="1"/>
  <c r="L73" i="3" s="1"/>
  <c r="J73" i="3" a="1"/>
  <c r="J73" i="3" s="1"/>
  <c r="H73" i="3" a="1"/>
  <c r="H73" i="3" s="1"/>
  <c r="F73" i="3" a="1"/>
  <c r="F73" i="3" s="1"/>
  <c r="D73" i="3" a="1"/>
  <c r="D73" i="3"/>
  <c r="B73" i="3" a="1"/>
  <c r="B73" i="3" s="1"/>
  <c r="AV65" i="3" a="1"/>
  <c r="AV65" i="3" s="1"/>
  <c r="AV69" i="3" s="1"/>
  <c r="AT65" i="3" a="1"/>
  <c r="AT65" i="3" s="1"/>
  <c r="AT69" i="3" s="1"/>
  <c r="AR65" i="3" a="1"/>
  <c r="AR65" i="3" s="1"/>
  <c r="AR69" i="3" s="1"/>
  <c r="AP65" i="3" a="1"/>
  <c r="AP65" i="3" s="1"/>
  <c r="AP69" i="3" s="1"/>
  <c r="AN65" i="3" a="1"/>
  <c r="AN65" i="3" s="1"/>
  <c r="AN69" i="3" s="1"/>
  <c r="AL65" i="3" a="1"/>
  <c r="AL65" i="3" s="1"/>
  <c r="AL69" i="3" s="1"/>
  <c r="AJ65" i="3" a="1"/>
  <c r="AJ65" i="3" s="1"/>
  <c r="AJ69" i="3" s="1"/>
  <c r="AH65" i="3" a="1"/>
  <c r="AH65" i="3" s="1"/>
  <c r="AH69" i="3" s="1"/>
  <c r="AF65" i="3" a="1"/>
  <c r="AF65" i="3" s="1"/>
  <c r="AF69" i="3" s="1"/>
  <c r="AD65" i="3" a="1"/>
  <c r="AD65" i="3" s="1"/>
  <c r="AD69" i="3" s="1"/>
  <c r="AB65" i="3" a="1"/>
  <c r="AB65" i="3" s="1"/>
  <c r="AB69" i="3" s="1"/>
  <c r="Z65" i="3" a="1"/>
  <c r="Z65" i="3" s="1"/>
  <c r="Z69" i="3" s="1"/>
  <c r="X65" i="3" a="1"/>
  <c r="X65" i="3" s="1"/>
  <c r="X69" i="3" s="1"/>
  <c r="V65" i="3" a="1"/>
  <c r="V65" i="3" s="1"/>
  <c r="V69" i="3" s="1"/>
  <c r="T65" i="3" a="1"/>
  <c r="T65" i="3" s="1"/>
  <c r="T69" i="3" s="1"/>
  <c r="R65" i="3" a="1"/>
  <c r="R65" i="3" s="1"/>
  <c r="R69" i="3" s="1"/>
  <c r="P65" i="3" a="1"/>
  <c r="P65" i="3" s="1"/>
  <c r="P69" i="3" s="1"/>
  <c r="N65" i="3" a="1"/>
  <c r="N65" i="3" s="1"/>
  <c r="N69" i="3" s="1"/>
  <c r="L65" i="3" a="1"/>
  <c r="L65" i="3" s="1"/>
  <c r="L69" i="3" s="1"/>
  <c r="J65" i="3" a="1"/>
  <c r="J65" i="3"/>
  <c r="J69" i="3" s="1"/>
  <c r="H65" i="3" a="1"/>
  <c r="H65" i="3" s="1"/>
  <c r="H69" i="3" s="1"/>
  <c r="F65" i="3" a="1"/>
  <c r="F65" i="3" s="1"/>
  <c r="F69" i="3" s="1"/>
  <c r="D65" i="3" a="1"/>
  <c r="D65" i="3" s="1"/>
  <c r="D69" i="3" s="1"/>
  <c r="B65" i="3"/>
  <c r="B69" i="3" s="1"/>
  <c r="AV62" i="3"/>
  <c r="AT62" i="3"/>
  <c r="AR62" i="3"/>
  <c r="AP62" i="3"/>
  <c r="AN62" i="3"/>
  <c r="AL62" i="3"/>
  <c r="AJ62" i="3"/>
  <c r="AH62" i="3"/>
  <c r="AF62" i="3"/>
  <c r="AD62" i="3"/>
  <c r="AB62" i="3"/>
  <c r="Z62" i="3"/>
  <c r="X62" i="3"/>
  <c r="V62" i="3"/>
  <c r="T62" i="3"/>
  <c r="R62" i="3"/>
  <c r="P62" i="3"/>
  <c r="N62" i="3"/>
  <c r="L62" i="3"/>
  <c r="J62" i="3"/>
  <c r="H62" i="3"/>
  <c r="F62" i="3"/>
  <c r="D62" i="3"/>
  <c r="B62" i="3"/>
  <c r="AV59" i="3"/>
  <c r="AT59" i="3"/>
  <c r="AR59" i="3"/>
  <c r="AP59" i="3"/>
  <c r="AN59" i="3"/>
  <c r="AL59" i="3"/>
  <c r="AJ59" i="3"/>
  <c r="AH59" i="3"/>
  <c r="AF59" i="3"/>
  <c r="AD59" i="3"/>
  <c r="AB59" i="3"/>
  <c r="Z59" i="3"/>
  <c r="X59" i="3"/>
  <c r="V59" i="3"/>
  <c r="T59" i="3"/>
  <c r="R59" i="3"/>
  <c r="P59" i="3"/>
  <c r="N59" i="3"/>
  <c r="L59" i="3"/>
  <c r="J59" i="3"/>
  <c r="H59" i="3"/>
  <c r="F59" i="3"/>
  <c r="D59" i="3"/>
  <c r="B59" i="3"/>
  <c r="AV55" i="3"/>
  <c r="AT55" i="3"/>
  <c r="AR55" i="3"/>
  <c r="AP55" i="3"/>
  <c r="AN55" i="3"/>
  <c r="AL55" i="3"/>
  <c r="AJ55" i="3"/>
  <c r="AH55" i="3"/>
  <c r="AF55" i="3"/>
  <c r="AD55" i="3"/>
  <c r="AB55" i="3"/>
  <c r="Z55" i="3"/>
  <c r="X55" i="3"/>
  <c r="V55" i="3"/>
  <c r="T55" i="3"/>
  <c r="R55" i="3"/>
  <c r="P55" i="3"/>
  <c r="N55" i="3"/>
  <c r="L55" i="3"/>
  <c r="J55" i="3"/>
  <c r="H55" i="3"/>
  <c r="F55" i="3"/>
  <c r="D55" i="3"/>
  <c r="B55" i="3"/>
  <c r="AV51" i="3"/>
  <c r="AV81" i="3" s="1"/>
  <c r="AT51" i="3"/>
  <c r="AT81" i="3" s="1"/>
  <c r="AR51" i="3"/>
  <c r="AR81" i="3" s="1"/>
  <c r="AP51" i="3"/>
  <c r="AP81" i="3" s="1"/>
  <c r="AN51" i="3"/>
  <c r="AL51" i="3"/>
  <c r="AJ51" i="3"/>
  <c r="AJ81" i="3" s="1"/>
  <c r="AH51" i="3"/>
  <c r="AF51" i="3"/>
  <c r="AF81" i="3" s="1"/>
  <c r="AD51" i="3"/>
  <c r="AD81" i="3" s="1"/>
  <c r="AB51" i="3"/>
  <c r="AB81" i="3" s="1"/>
  <c r="Z51" i="3"/>
  <c r="Z81" i="3" s="1"/>
  <c r="X51" i="3"/>
  <c r="X81" i="3" s="1"/>
  <c r="V51" i="3"/>
  <c r="V81" i="3" s="1"/>
  <c r="T51" i="3"/>
  <c r="T81" i="3" s="1"/>
  <c r="R51" i="3"/>
  <c r="R81" i="3" s="1"/>
  <c r="P51" i="3"/>
  <c r="P81" i="3" s="1"/>
  <c r="N51" i="3"/>
  <c r="N81" i="3" s="1"/>
  <c r="L51" i="3"/>
  <c r="L81" i="3" s="1"/>
  <c r="J51" i="3"/>
  <c r="J81" i="3" s="1"/>
  <c r="H51" i="3"/>
  <c r="H81" i="3" s="1"/>
  <c r="F51" i="3"/>
  <c r="F81" i="3" s="1"/>
  <c r="D51" i="3"/>
  <c r="D81" i="3" s="1"/>
  <c r="B51" i="3"/>
  <c r="B81" i="3" s="1"/>
  <c r="AV49" i="3"/>
  <c r="AT49" i="3"/>
  <c r="AR49" i="3"/>
  <c r="AP49" i="3"/>
  <c r="AN49" i="3"/>
  <c r="AL49" i="3"/>
  <c r="AJ49" i="3"/>
  <c r="AH49" i="3"/>
  <c r="AF49" i="3"/>
  <c r="AD49" i="3"/>
  <c r="AB49" i="3"/>
  <c r="Z49" i="3"/>
  <c r="X49" i="3"/>
  <c r="V49" i="3"/>
  <c r="T49" i="3"/>
  <c r="R49" i="3"/>
  <c r="P49" i="3"/>
  <c r="N49" i="3"/>
  <c r="L49" i="3"/>
  <c r="J49" i="3"/>
  <c r="H49" i="3"/>
  <c r="F49" i="3"/>
  <c r="D49" i="3"/>
  <c r="B49" i="3"/>
  <c r="AV46" i="3"/>
  <c r="AT46" i="3"/>
  <c r="AR46" i="3"/>
  <c r="AP46" i="3"/>
  <c r="AN46" i="3"/>
  <c r="AL46" i="3"/>
  <c r="AJ46" i="3"/>
  <c r="AH46" i="3"/>
  <c r="AF46" i="3"/>
  <c r="AD46" i="3"/>
  <c r="AB46" i="3"/>
  <c r="Z46" i="3"/>
  <c r="X46" i="3"/>
  <c r="V46" i="3"/>
  <c r="T46" i="3"/>
  <c r="R46" i="3"/>
  <c r="P46" i="3"/>
  <c r="N46" i="3"/>
  <c r="L46" i="3"/>
  <c r="J46" i="3"/>
  <c r="H46" i="3"/>
  <c r="F46" i="3"/>
  <c r="D46" i="3"/>
  <c r="B46" i="3"/>
  <c r="AV45" i="3"/>
  <c r="AT45" i="3"/>
  <c r="AR45" i="3"/>
  <c r="AP45" i="3"/>
  <c r="AN45" i="3"/>
  <c r="AL45" i="3"/>
  <c r="AJ45" i="3"/>
  <c r="AH45" i="3"/>
  <c r="AF45" i="3"/>
  <c r="AD45" i="3"/>
  <c r="AB45" i="3"/>
  <c r="Z45" i="3"/>
  <c r="X45" i="3"/>
  <c r="V45" i="3"/>
  <c r="T45" i="3"/>
  <c r="R45" i="3"/>
  <c r="P45" i="3"/>
  <c r="N45" i="3"/>
  <c r="L45" i="3"/>
  <c r="J45" i="3"/>
  <c r="H45" i="3"/>
  <c r="F45" i="3"/>
  <c r="D45" i="3"/>
  <c r="B45" i="3"/>
  <c r="AV44" i="3"/>
  <c r="AT44" i="3"/>
  <c r="AR44" i="3"/>
  <c r="AP44" i="3"/>
  <c r="AN44" i="3"/>
  <c r="AL44" i="3"/>
  <c r="AJ44" i="3"/>
  <c r="AH44" i="3"/>
  <c r="AF44" i="3"/>
  <c r="AD44" i="3"/>
  <c r="AB44" i="3"/>
  <c r="Z44" i="3"/>
  <c r="X44" i="3"/>
  <c r="V44" i="3"/>
  <c r="T44" i="3"/>
  <c r="R44" i="3"/>
  <c r="P44" i="3"/>
  <c r="N44" i="3"/>
  <c r="L44" i="3"/>
  <c r="J44" i="3"/>
  <c r="H44" i="3"/>
  <c r="F44" i="3"/>
  <c r="D44" i="3"/>
  <c r="B44" i="3"/>
  <c r="AV43" i="3" a="1"/>
  <c r="AV43" i="3" s="1"/>
  <c r="AT43" i="3" a="1"/>
  <c r="AT43" i="3" s="1"/>
  <c r="AR43" i="3" a="1"/>
  <c r="AR43" i="3" s="1"/>
  <c r="AP43" i="3" a="1"/>
  <c r="AP43" i="3" s="1"/>
  <c r="AN43" i="3" a="1"/>
  <c r="AN43" i="3"/>
  <c r="AL43" i="3" a="1"/>
  <c r="AL43" i="3" s="1"/>
  <c r="AJ43" i="3" a="1"/>
  <c r="AJ43" i="3" s="1"/>
  <c r="AH43" i="3" a="1"/>
  <c r="AH43" i="3"/>
  <c r="AF43" i="3" a="1"/>
  <c r="AF43" i="3" s="1"/>
  <c r="AD43" i="3" a="1"/>
  <c r="AD43" i="3"/>
  <c r="AB43" i="3" a="1"/>
  <c r="AB43" i="3"/>
  <c r="Z43" i="3" a="1"/>
  <c r="Z43" i="3" s="1"/>
  <c r="X43" i="3" a="1"/>
  <c r="X43" i="3"/>
  <c r="V43" i="3" a="1"/>
  <c r="V43" i="3" s="1"/>
  <c r="T43" i="3" a="1"/>
  <c r="T43" i="3"/>
  <c r="R43" i="3" a="1"/>
  <c r="R43" i="3"/>
  <c r="P43" i="3" a="1"/>
  <c r="P43" i="3" s="1"/>
  <c r="N43" i="3" a="1"/>
  <c r="N43" i="3" s="1"/>
  <c r="L43" i="3" a="1"/>
  <c r="L43" i="3" s="1"/>
  <c r="J43" i="3" a="1"/>
  <c r="J43" i="3" s="1"/>
  <c r="H43" i="3" a="1"/>
  <c r="H43" i="3" s="1"/>
  <c r="F43" i="3" a="1"/>
  <c r="F43" i="3" s="1"/>
  <c r="D43" i="3" a="1"/>
  <c r="D43" i="3" s="1"/>
  <c r="B43" i="3"/>
  <c r="C33" i="2"/>
  <c r="D33" i="2" s="1"/>
  <c r="H4" i="2"/>
  <c r="E3" i="2" a="1"/>
  <c r="F4" i="2" s="1"/>
  <c r="D11" i="2"/>
  <c r="C11" i="2"/>
  <c r="C9" i="2"/>
  <c r="D8" i="2"/>
  <c r="D7" i="2"/>
  <c r="C7" i="2"/>
  <c r="C6" i="2"/>
  <c r="C3" i="2" a="1"/>
  <c r="C10" i="2" s="1"/>
  <c r="C3" i="2"/>
  <c r="C59" i="1"/>
  <c r="E57" i="1"/>
  <c r="C52" i="1" a="1"/>
  <c r="D52" i="1" s="1"/>
  <c r="G12" i="1"/>
  <c r="F12" i="1"/>
  <c r="D12" i="1"/>
  <c r="C12" i="1"/>
  <c r="F8" i="1"/>
  <c r="I3" i="1"/>
  <c r="O78" i="23"/>
  <c r="N78" i="23"/>
  <c r="M78" i="23"/>
  <c r="L78" i="23"/>
  <c r="C52" i="1" l="1"/>
  <c r="C41" i="1" s="1" a="1"/>
  <c r="G4" i="2"/>
  <c r="D5" i="2"/>
  <c r="D6" i="2"/>
  <c r="C8" i="2"/>
  <c r="C14" i="1"/>
  <c r="D10" i="2"/>
  <c r="C41" i="1"/>
  <c r="D41" i="1"/>
  <c r="C42" i="1" a="1"/>
  <c r="E3" i="2"/>
  <c r="F3" i="2"/>
  <c r="C43" i="1" a="1"/>
  <c r="D3" i="2"/>
  <c r="G3" i="2"/>
  <c r="C4" i="2"/>
  <c r="H3" i="2"/>
  <c r="D4" i="2"/>
  <c r="E4" i="2"/>
  <c r="C5" i="2"/>
  <c r="D9" i="2"/>
  <c r="V32" i="23"/>
  <c r="U32" i="23"/>
  <c r="T32" i="23"/>
  <c r="S32" i="23"/>
  <c r="R32" i="23"/>
  <c r="Q32" i="23"/>
  <c r="P32" i="23"/>
  <c r="O32" i="23"/>
  <c r="N32" i="23"/>
  <c r="M32" i="23"/>
  <c r="L32" i="23"/>
  <c r="K32" i="23"/>
  <c r="J32" i="23"/>
  <c r="I32" i="23"/>
  <c r="H32" i="23"/>
  <c r="G32" i="23"/>
  <c r="F32" i="23"/>
  <c r="E32" i="23"/>
  <c r="D32" i="23"/>
  <c r="C32" i="23"/>
  <c r="B32" i="23"/>
  <c r="Y31" i="23"/>
  <c r="X31" i="23"/>
  <c r="W31" i="23"/>
  <c r="V31" i="23"/>
  <c r="U31" i="23"/>
  <c r="T31" i="23"/>
  <c r="S31" i="23"/>
  <c r="R31" i="23"/>
  <c r="Q31" i="23"/>
  <c r="P31" i="23"/>
  <c r="O31" i="23"/>
  <c r="N31" i="23"/>
  <c r="M31" i="23"/>
  <c r="L31" i="23"/>
  <c r="K31" i="23"/>
  <c r="J31" i="23"/>
  <c r="I31" i="23"/>
  <c r="H31" i="23"/>
  <c r="G31" i="23"/>
  <c r="F31" i="23"/>
  <c r="E31" i="23"/>
  <c r="D31" i="23"/>
  <c r="C31" i="23"/>
  <c r="B31" i="23"/>
  <c r="T30" i="23"/>
  <c r="S30" i="23"/>
  <c r="R30" i="23"/>
  <c r="Q30" i="23"/>
  <c r="P30" i="23"/>
  <c r="O30" i="23"/>
  <c r="N30" i="23"/>
  <c r="M30" i="23"/>
  <c r="L30" i="23"/>
  <c r="K30" i="23"/>
  <c r="J30" i="23"/>
  <c r="I30" i="23"/>
  <c r="H30" i="23"/>
  <c r="G30" i="23"/>
  <c r="F30" i="23"/>
  <c r="E30" i="23"/>
  <c r="D30" i="23"/>
  <c r="C30" i="23"/>
  <c r="B30" i="23"/>
  <c r="O29" i="23"/>
  <c r="N29" i="23"/>
  <c r="M29" i="23"/>
  <c r="L29" i="23"/>
  <c r="K29" i="23"/>
  <c r="J29" i="23"/>
  <c r="I29" i="23"/>
  <c r="H29" i="23"/>
  <c r="G29" i="23"/>
  <c r="F29" i="23"/>
  <c r="E29" i="23"/>
  <c r="D29" i="23"/>
  <c r="C29" i="23"/>
  <c r="B29" i="23"/>
  <c r="Q28" i="23"/>
  <c r="P28" i="23"/>
  <c r="O28" i="23"/>
  <c r="N28" i="23"/>
  <c r="M28" i="23"/>
  <c r="L28" i="23"/>
  <c r="K28" i="23"/>
  <c r="J28" i="23"/>
  <c r="I28" i="23"/>
  <c r="H28" i="23"/>
  <c r="G28" i="23"/>
  <c r="F28" i="23"/>
  <c r="E28" i="23"/>
  <c r="D28" i="23"/>
  <c r="C28" i="23"/>
  <c r="B28" i="23"/>
  <c r="T26" i="23"/>
  <c r="S26" i="23"/>
  <c r="R26" i="23"/>
  <c r="Q26" i="23"/>
  <c r="P26" i="23"/>
  <c r="O26" i="23"/>
  <c r="N26" i="23"/>
  <c r="M26" i="23"/>
  <c r="L26" i="23"/>
  <c r="K26" i="23"/>
  <c r="J26" i="23"/>
  <c r="I26" i="23"/>
  <c r="H26" i="23"/>
  <c r="G26" i="23"/>
  <c r="F26" i="23"/>
  <c r="E26" i="23"/>
  <c r="D26" i="23"/>
  <c r="C26" i="23"/>
  <c r="B26" i="23"/>
  <c r="Y27" i="23"/>
  <c r="X27" i="23"/>
  <c r="W27" i="23"/>
  <c r="V27" i="23"/>
  <c r="U27" i="23"/>
  <c r="T27" i="23"/>
  <c r="S27" i="23"/>
  <c r="R27" i="23"/>
  <c r="Q27" i="23"/>
  <c r="P27" i="23"/>
  <c r="O27" i="23"/>
  <c r="N27" i="23"/>
  <c r="M27" i="23"/>
  <c r="L27" i="23"/>
  <c r="K27" i="23"/>
  <c r="J27" i="23"/>
  <c r="I27" i="23"/>
  <c r="H27" i="23"/>
  <c r="G27" i="23"/>
  <c r="F27" i="23"/>
  <c r="E27" i="23"/>
  <c r="D27" i="23"/>
  <c r="C27" i="23"/>
  <c r="B27" i="23"/>
  <c r="Y25" i="23"/>
  <c r="X25" i="23"/>
  <c r="W25" i="23"/>
  <c r="V25" i="23"/>
  <c r="U25" i="23"/>
  <c r="T25" i="23"/>
  <c r="S25" i="23"/>
  <c r="R25" i="23"/>
  <c r="Q25" i="23"/>
  <c r="P25" i="23"/>
  <c r="O25" i="23"/>
  <c r="N25" i="23"/>
  <c r="M25" i="23"/>
  <c r="L25" i="23"/>
  <c r="K25" i="23"/>
  <c r="J25" i="23"/>
  <c r="I25" i="23"/>
  <c r="H25" i="23"/>
  <c r="G25" i="23"/>
  <c r="F25" i="23"/>
  <c r="E25" i="23"/>
  <c r="D25" i="23"/>
  <c r="C25" i="23"/>
  <c r="B25" i="23"/>
  <c r="C27" i="1" l="1" a="1"/>
  <c r="D27" i="1" s="1"/>
  <c r="D42" i="1"/>
  <c r="C42" i="1"/>
  <c r="C28" i="1" s="1" a="1"/>
  <c r="F12" i="2"/>
  <c r="C12" i="2"/>
  <c r="G12" i="2"/>
  <c r="D12" i="2"/>
  <c r="I3" i="2"/>
  <c r="C14" i="2" s="1"/>
  <c r="D43" i="1"/>
  <c r="C43" i="1"/>
  <c r="AV85" i="18"/>
  <c r="AT85" i="18"/>
  <c r="AR85" i="18"/>
  <c r="AP85" i="18"/>
  <c r="AN85" i="18"/>
  <c r="AL85" i="18"/>
  <c r="AJ85" i="18"/>
  <c r="AH85" i="18"/>
  <c r="AF85" i="18"/>
  <c r="AD85" i="18"/>
  <c r="AB85" i="18"/>
  <c r="Z85" i="18"/>
  <c r="X85" i="18"/>
  <c r="V85" i="18"/>
  <c r="T85" i="18"/>
  <c r="R85" i="18"/>
  <c r="P85" i="18"/>
  <c r="N85" i="18"/>
  <c r="L85" i="18"/>
  <c r="J85" i="18"/>
  <c r="H85" i="18"/>
  <c r="F85" i="18"/>
  <c r="D85" i="18"/>
  <c r="B85" i="18"/>
  <c r="AV42" i="3"/>
  <c r="AT42" i="3"/>
  <c r="AR42" i="3"/>
  <c r="AP42" i="3"/>
  <c r="AN42" i="3"/>
  <c r="AL42" i="3"/>
  <c r="AJ42" i="3"/>
  <c r="AH42" i="3"/>
  <c r="AF42" i="3"/>
  <c r="AD42" i="3"/>
  <c r="AB42" i="3"/>
  <c r="Z42" i="3"/>
  <c r="X42" i="3"/>
  <c r="V42" i="3"/>
  <c r="T42" i="3"/>
  <c r="R42" i="3"/>
  <c r="P42" i="3"/>
  <c r="N42" i="3"/>
  <c r="L42" i="3"/>
  <c r="J42" i="3"/>
  <c r="H42" i="3"/>
  <c r="F42" i="3"/>
  <c r="D42" i="3"/>
  <c r="B42" i="3"/>
  <c r="C27" i="1" l="1"/>
  <c r="D28" i="1"/>
  <c r="C28" i="1"/>
  <c r="C120" i="1"/>
  <c r="C29" i="1" a="1"/>
  <c r="C66" i="1"/>
  <c r="G8" i="1"/>
  <c r="P52" i="3" l="1" a="1"/>
  <c r="P52" i="3" s="1"/>
  <c r="P82" i="3" s="1"/>
  <c r="L52" i="3" a="1"/>
  <c r="L52" i="3" s="1"/>
  <c r="L82" i="3" s="1"/>
  <c r="AL52" i="3" a="1"/>
  <c r="AL52" i="3" s="1"/>
  <c r="AL82" i="3" s="1"/>
  <c r="AJ52" i="3" a="1"/>
  <c r="AJ52" i="3" s="1"/>
  <c r="AJ82" i="3" s="1"/>
  <c r="N52" i="3" a="1"/>
  <c r="N52" i="3" s="1"/>
  <c r="N82" i="3" s="1"/>
  <c r="AH52" i="3" a="1"/>
  <c r="AH52" i="3" s="1"/>
  <c r="AH82" i="3" s="1"/>
  <c r="J52" i="3" a="1"/>
  <c r="J52" i="3" s="1"/>
  <c r="J82" i="3" s="1"/>
  <c r="AF52" i="3" a="1"/>
  <c r="AF52" i="3" s="1"/>
  <c r="AF82" i="3" s="1"/>
  <c r="H52" i="3" a="1"/>
  <c r="H52" i="3" s="1"/>
  <c r="H82" i="3" s="1"/>
  <c r="AD52" i="3" a="1"/>
  <c r="AD52" i="3" s="1"/>
  <c r="AD82" i="3" s="1"/>
  <c r="F52" i="3" a="1"/>
  <c r="F52" i="3" s="1"/>
  <c r="F82" i="3" s="1"/>
  <c r="AB52" i="3" a="1"/>
  <c r="AB52" i="3" s="1"/>
  <c r="AB82" i="3" s="1"/>
  <c r="D52" i="3" a="1"/>
  <c r="D52" i="3" s="1"/>
  <c r="D82" i="3" s="1"/>
  <c r="AV52" i="3" a="1"/>
  <c r="AV52" i="3" s="1"/>
  <c r="AV82" i="3" s="1"/>
  <c r="Z52" i="3" a="1"/>
  <c r="Z52" i="3" s="1"/>
  <c r="Z82" i="3" s="1"/>
  <c r="B52" i="3" a="1"/>
  <c r="B52" i="3" s="1"/>
  <c r="B82" i="3" s="1"/>
  <c r="AT52" i="3" a="1"/>
  <c r="AT52" i="3" s="1"/>
  <c r="AT82" i="3" s="1"/>
  <c r="X52" i="3" a="1"/>
  <c r="X52" i="3" s="1"/>
  <c r="X82" i="3" s="1"/>
  <c r="AR52" i="3" a="1"/>
  <c r="AR52" i="3" s="1"/>
  <c r="AR82" i="3" s="1"/>
  <c r="AP52" i="3" a="1"/>
  <c r="AP52" i="3" s="1"/>
  <c r="AP82" i="3" s="1"/>
  <c r="T52" i="3" a="1"/>
  <c r="T52" i="3" s="1"/>
  <c r="T82" i="3" s="1"/>
  <c r="V52" i="3" a="1"/>
  <c r="V52" i="3" s="1"/>
  <c r="V82" i="3" s="1"/>
  <c r="R52" i="3" a="1"/>
  <c r="R52" i="3" s="1"/>
  <c r="R82" i="3" s="1"/>
  <c r="AN52" i="3" a="1"/>
  <c r="AN52" i="3" s="1"/>
  <c r="AN82" i="3" s="1"/>
  <c r="C29" i="1"/>
  <c r="D29" i="1"/>
  <c r="AV72" i="3"/>
  <c r="AT72" i="3"/>
  <c r="AR72" i="3"/>
  <c r="AP72" i="3"/>
  <c r="AN72" i="3"/>
  <c r="AL72" i="3"/>
  <c r="AJ72" i="3"/>
  <c r="AH72" i="3"/>
  <c r="AF72" i="3"/>
  <c r="AD72" i="3"/>
  <c r="AB72" i="3"/>
  <c r="Z72" i="3"/>
  <c r="X72" i="3"/>
  <c r="V72" i="3"/>
  <c r="T72" i="3"/>
  <c r="R72" i="3"/>
  <c r="P72" i="3"/>
  <c r="N72" i="3"/>
  <c r="L72" i="3"/>
  <c r="J72" i="3"/>
  <c r="H72" i="3"/>
  <c r="F72" i="3"/>
  <c r="D72" i="3"/>
  <c r="B72" i="3"/>
  <c r="AV71" i="3"/>
  <c r="AT71" i="3"/>
  <c r="AR71" i="3"/>
  <c r="AP71" i="3"/>
  <c r="AN71" i="3"/>
  <c r="AL71" i="3"/>
  <c r="AJ71" i="3"/>
  <c r="AH71" i="3"/>
  <c r="AF71" i="3"/>
  <c r="AD71" i="3"/>
  <c r="AB71" i="3"/>
  <c r="Z71" i="3"/>
  <c r="X71" i="3"/>
  <c r="V71" i="3"/>
  <c r="T71" i="3"/>
  <c r="R71" i="3"/>
  <c r="P71" i="3"/>
  <c r="N71" i="3"/>
  <c r="L71" i="3"/>
  <c r="J71" i="3"/>
  <c r="H71" i="3"/>
  <c r="F71" i="3"/>
  <c r="D71" i="3"/>
  <c r="B71" i="3"/>
  <c r="AV70" i="3"/>
  <c r="AT70" i="3"/>
  <c r="AR70" i="3"/>
  <c r="AP70" i="3"/>
  <c r="AN70" i="3"/>
  <c r="AL70" i="3"/>
  <c r="AJ70" i="3"/>
  <c r="AH70" i="3"/>
  <c r="AF70" i="3"/>
  <c r="AD70" i="3"/>
  <c r="AB70" i="3"/>
  <c r="Z70" i="3"/>
  <c r="X70" i="3"/>
  <c r="V70" i="3"/>
  <c r="T70" i="3"/>
  <c r="R70" i="3"/>
  <c r="P70" i="3"/>
  <c r="N70" i="3"/>
  <c r="L70" i="3"/>
  <c r="J70" i="3"/>
  <c r="H70" i="3"/>
  <c r="F70" i="3"/>
  <c r="D70" i="3"/>
  <c r="B70" i="3"/>
  <c r="AV67" i="3" a="1"/>
  <c r="AV67" i="3" s="1"/>
  <c r="AT67" i="3" a="1"/>
  <c r="AT67" i="3" s="1"/>
  <c r="AR67" i="3" a="1"/>
  <c r="AR67" i="3" s="1"/>
  <c r="AP67" i="3" a="1"/>
  <c r="AP67" i="3" s="1"/>
  <c r="AN67" i="3" a="1"/>
  <c r="AN67" i="3" s="1"/>
  <c r="AL67" i="3" a="1"/>
  <c r="AL67" i="3" s="1"/>
  <c r="AJ67" i="3" a="1"/>
  <c r="AJ67" i="3" s="1"/>
  <c r="AH67" i="3" a="1"/>
  <c r="AH67" i="3" s="1"/>
  <c r="AF67" i="3" a="1"/>
  <c r="AF67" i="3" s="1"/>
  <c r="AD67" i="3"/>
  <c r="AD67" i="3" a="1"/>
  <c r="AB67" i="3" a="1"/>
  <c r="AB67" i="3" s="1"/>
  <c r="Z67" i="3" a="1"/>
  <c r="Z67" i="3" s="1"/>
  <c r="X67" i="3" a="1"/>
  <c r="X67" i="3" s="1"/>
  <c r="V67" i="3" a="1"/>
  <c r="V67" i="3" s="1"/>
  <c r="T67" i="3" a="1"/>
  <c r="T67" i="3" s="1"/>
  <c r="R67" i="3" a="1"/>
  <c r="R67" i="3" s="1"/>
  <c r="P67" i="3" a="1"/>
  <c r="P67" i="3" s="1"/>
  <c r="N67" i="3"/>
  <c r="N67" i="3" a="1"/>
  <c r="L67" i="3" a="1"/>
  <c r="L67" i="3" s="1"/>
  <c r="J67" i="3" a="1"/>
  <c r="J67" i="3" s="1"/>
  <c r="H67" i="3" a="1"/>
  <c r="H67" i="3" s="1"/>
  <c r="F67" i="3" a="1"/>
  <c r="F67" i="3" s="1"/>
  <c r="D67" i="3" a="1"/>
  <c r="D67" i="3" s="1"/>
  <c r="B67" i="3" a="1"/>
  <c r="B67" i="3" s="1"/>
  <c r="AV66" i="3" a="1"/>
  <c r="AV66" i="3" s="1"/>
  <c r="AT66" i="3" a="1"/>
  <c r="AT66" i="3" s="1"/>
  <c r="AR66" i="3" a="1"/>
  <c r="AR66" i="3" s="1"/>
  <c r="AP66" i="3" a="1"/>
  <c r="AP66" i="3" s="1"/>
  <c r="AN66" i="3" a="1"/>
  <c r="AN66" i="3" s="1"/>
  <c r="AL66" i="3" a="1"/>
  <c r="AL66" i="3" s="1"/>
  <c r="AJ66" i="3" a="1"/>
  <c r="AJ66" i="3" s="1"/>
  <c r="AH66" i="3" a="1"/>
  <c r="AH66" i="3" s="1"/>
  <c r="AF66" i="3" a="1"/>
  <c r="AF66" i="3" s="1"/>
  <c r="AD66" i="3" a="1"/>
  <c r="AD66" i="3" s="1"/>
  <c r="AB66" i="3" a="1"/>
  <c r="AB66" i="3" s="1"/>
  <c r="Z66" i="3" a="1"/>
  <c r="Z66" i="3" s="1"/>
  <c r="X66" i="3" a="1"/>
  <c r="X66" i="3" s="1"/>
  <c r="V66" i="3" a="1"/>
  <c r="V66" i="3" s="1"/>
  <c r="T66" i="3" a="1"/>
  <c r="T66" i="3" s="1"/>
  <c r="R66" i="3" a="1"/>
  <c r="R66" i="3" s="1"/>
  <c r="P66" i="3" a="1"/>
  <c r="P66" i="3" s="1"/>
  <c r="N66" i="3" a="1"/>
  <c r="N66" i="3" s="1"/>
  <c r="L66" i="3" a="1"/>
  <c r="L66" i="3" s="1"/>
  <c r="J66" i="3" a="1"/>
  <c r="J66" i="3" s="1"/>
  <c r="H66" i="3" a="1"/>
  <c r="H66" i="3" s="1"/>
  <c r="F66" i="3" a="1"/>
  <c r="F66" i="3" s="1"/>
  <c r="D66" i="3" a="1"/>
  <c r="D66" i="3" s="1"/>
  <c r="B66" i="3" a="1"/>
  <c r="B66" i="3" s="1"/>
  <c r="X68" i="3" l="1"/>
  <c r="Z68" i="3"/>
  <c r="V68" i="3"/>
  <c r="AF68" i="3"/>
  <c r="AT68" i="3"/>
  <c r="B68" i="3"/>
  <c r="AH68" i="3"/>
  <c r="AJ68" i="3"/>
  <c r="AP68" i="3"/>
  <c r="AV68" i="3"/>
  <c r="R68" i="3"/>
  <c r="N68" i="3"/>
  <c r="L68" i="3"/>
  <c r="AD68" i="3"/>
  <c r="T68" i="3"/>
  <c r="P68" i="3"/>
  <c r="F68" i="3"/>
  <c r="AL68" i="3"/>
  <c r="H68" i="3"/>
  <c r="D68" i="3"/>
  <c r="J68" i="3"/>
  <c r="AR68" i="3"/>
  <c r="AB68" i="3"/>
  <c r="AN68" i="3"/>
  <c r="AV80" i="3" l="1"/>
  <c r="AT80" i="3"/>
  <c r="AR80" i="3"/>
  <c r="AP80" i="3"/>
  <c r="AN80" i="3"/>
  <c r="AL80" i="3"/>
  <c r="AJ80" i="3"/>
  <c r="AH80" i="3"/>
  <c r="AF80" i="3"/>
  <c r="AD80" i="3"/>
  <c r="AB80" i="3"/>
  <c r="Z80" i="3"/>
  <c r="X80" i="3"/>
  <c r="V80" i="3"/>
  <c r="T80" i="3"/>
  <c r="R80" i="3"/>
  <c r="P80" i="3"/>
  <c r="N80" i="3"/>
  <c r="L80" i="3"/>
  <c r="J80" i="3"/>
  <c r="H80" i="3"/>
  <c r="F80" i="3"/>
  <c r="D80" i="3"/>
  <c r="B80" i="3"/>
  <c r="AV48" i="3" l="1"/>
  <c r="AT48" i="3"/>
  <c r="AR48" i="3"/>
  <c r="AP48" i="3"/>
  <c r="AN48" i="3"/>
  <c r="AL48" i="3"/>
  <c r="AJ48" i="3"/>
  <c r="AH48" i="3"/>
  <c r="AF48" i="3"/>
  <c r="AD48" i="3"/>
  <c r="AB48" i="3"/>
  <c r="Z48" i="3"/>
  <c r="X48" i="3"/>
  <c r="V48" i="3"/>
  <c r="T48" i="3"/>
  <c r="R48" i="3"/>
  <c r="P48" i="3"/>
  <c r="N48" i="3"/>
  <c r="L48" i="3"/>
  <c r="J48" i="3"/>
  <c r="H48" i="3"/>
  <c r="F48" i="3"/>
  <c r="D48" i="3"/>
  <c r="B48" i="3"/>
  <c r="F39" i="1" l="1" a="1"/>
  <c r="D52" i="2" l="1"/>
  <c r="C43" i="2" l="1"/>
  <c r="H29" i="1" l="1" a="1"/>
  <c r="H28" i="1" a="1"/>
  <c r="H27" i="1" a="1"/>
  <c r="H27" i="1" l="1"/>
  <c r="F39" i="1" l="1"/>
  <c r="H29" i="1"/>
  <c r="H28" i="1"/>
  <c r="H25" i="1" a="1"/>
  <c r="C52" i="2"/>
  <c r="AP60" i="3" l="1"/>
  <c r="B60" i="3"/>
  <c r="J56" i="3"/>
  <c r="AD60" i="3"/>
  <c r="AH56" i="3"/>
  <c r="AN60" i="3"/>
  <c r="AV56" i="3"/>
  <c r="H56" i="3"/>
  <c r="AJ60" i="3"/>
  <c r="D56" i="3"/>
  <c r="AL56" i="3"/>
  <c r="AL60" i="3"/>
  <c r="AT56" i="3"/>
  <c r="F56" i="3"/>
  <c r="Z60" i="3"/>
  <c r="AR56" i="3"/>
  <c r="AP56" i="3"/>
  <c r="AF60" i="3"/>
  <c r="AB60" i="3"/>
  <c r="AJ56" i="3"/>
  <c r="X60" i="3"/>
  <c r="AF56" i="3"/>
  <c r="V60" i="3"/>
  <c r="T60" i="3"/>
  <c r="AB56" i="3"/>
  <c r="F60" i="3"/>
  <c r="N56" i="3"/>
  <c r="R60" i="3"/>
  <c r="Z56" i="3"/>
  <c r="P60" i="3"/>
  <c r="X56" i="3"/>
  <c r="N60" i="3"/>
  <c r="V56" i="3"/>
  <c r="AR60" i="3"/>
  <c r="AH60" i="3"/>
  <c r="B56" i="3"/>
  <c r="AN56" i="3"/>
  <c r="L60" i="3"/>
  <c r="T56" i="3"/>
  <c r="J60" i="3"/>
  <c r="R56" i="3"/>
  <c r="AT60" i="3"/>
  <c r="L56" i="3"/>
  <c r="AV60" i="3"/>
  <c r="H60" i="3"/>
  <c r="P56" i="3"/>
  <c r="D60" i="3"/>
  <c r="AD56" i="3"/>
  <c r="H26" i="1"/>
  <c r="I25" i="1"/>
  <c r="H25" i="1"/>
  <c r="I26" i="1"/>
  <c r="G39" i="1"/>
  <c r="I29" i="1"/>
  <c r="I28" i="1"/>
  <c r="I27" i="1"/>
  <c r="D120" i="1"/>
  <c r="C118" i="1" l="1" a="1"/>
  <c r="C118" i="1" s="1"/>
  <c r="C45" i="2" a="1"/>
  <c r="D45" i="2" s="1"/>
  <c r="C34" i="2" a="1"/>
  <c r="C34" i="2" s="1"/>
  <c r="D118" i="1" l="1"/>
  <c r="C45" i="2"/>
  <c r="D34" i="2"/>
  <c r="C37" i="2" l="1" a="1"/>
  <c r="C37" i="2" s="1"/>
  <c r="D37" i="2" l="1"/>
  <c r="C80" i="1" a="1"/>
  <c r="C80" i="1" s="1"/>
  <c r="C115" i="1" a="1"/>
  <c r="D115" i="1" s="1"/>
  <c r="C46" i="1" a="1"/>
  <c r="C46" i="1" s="1"/>
  <c r="D80" i="1" l="1"/>
  <c r="C115" i="1"/>
  <c r="D46" i="1"/>
  <c r="C31" i="2" l="1"/>
  <c r="D31" i="2" l="1"/>
  <c r="C23" i="2" a="1"/>
  <c r="C38" i="1" l="1" a="1"/>
  <c r="C38" i="1" s="1"/>
  <c r="C30" i="1" a="1"/>
  <c r="C30" i="1" s="1"/>
  <c r="H30" i="1" a="1"/>
  <c r="H30" i="1" s="1"/>
  <c r="C100" i="1" a="1"/>
  <c r="D100" i="1" s="1"/>
  <c r="D38" i="1" l="1"/>
  <c r="D30" i="1"/>
  <c r="C44" i="1" s="1" a="1"/>
  <c r="I30" i="1"/>
  <c r="K30" i="1" s="1" a="1"/>
  <c r="C100" i="1"/>
  <c r="K30" i="1" l="1"/>
  <c r="L30" i="1"/>
  <c r="D44" i="1"/>
  <c r="C44" i="1"/>
  <c r="L9" i="1" a="1"/>
  <c r="C22" i="2" a="1"/>
  <c r="C22" i="2" s="1"/>
  <c r="L9" i="1" l="1"/>
  <c r="M9" i="1"/>
  <c r="D22" i="2"/>
  <c r="C30" i="2" s="1" a="1"/>
  <c r="D30" i="2" l="1"/>
  <c r="C30" i="2"/>
  <c r="C39" i="2" l="1" a="1"/>
  <c r="C21" i="2" a="1"/>
  <c r="C116" i="1" a="1"/>
  <c r="C116" i="1" s="1"/>
  <c r="C114" i="1" a="1"/>
  <c r="D114" i="1" s="1"/>
  <c r="D116" i="1" l="1"/>
  <c r="C114" i="1"/>
  <c r="Q17" i="23" l="1"/>
  <c r="P17" i="23"/>
  <c r="O17" i="23"/>
  <c r="N17" i="23"/>
  <c r="M17" i="23"/>
  <c r="L17" i="23"/>
  <c r="K17" i="23"/>
  <c r="J17" i="23"/>
  <c r="I17" i="23"/>
  <c r="H17" i="23"/>
  <c r="G17" i="23"/>
  <c r="F17" i="23"/>
  <c r="E17" i="23"/>
  <c r="D17" i="23"/>
  <c r="C17" i="23"/>
  <c r="B17" i="23"/>
  <c r="T19" i="23"/>
  <c r="S19" i="23"/>
  <c r="R19" i="23"/>
  <c r="Q19" i="23"/>
  <c r="P19" i="23"/>
  <c r="O19" i="23"/>
  <c r="N19" i="23"/>
  <c r="M19" i="23"/>
  <c r="L19" i="23"/>
  <c r="K19" i="23"/>
  <c r="J19" i="23"/>
  <c r="I19" i="23"/>
  <c r="H19" i="23"/>
  <c r="G19" i="23"/>
  <c r="F19" i="23"/>
  <c r="E19" i="23"/>
  <c r="D19" i="23"/>
  <c r="C19" i="23"/>
  <c r="B19" i="23"/>
  <c r="Y16" i="23"/>
  <c r="X16" i="23"/>
  <c r="W16" i="23"/>
  <c r="V16" i="23"/>
  <c r="U16" i="23"/>
  <c r="T16" i="23"/>
  <c r="S16" i="23"/>
  <c r="R16" i="23"/>
  <c r="Q16" i="23"/>
  <c r="P16" i="23"/>
  <c r="O16" i="23"/>
  <c r="N16" i="23"/>
  <c r="M16" i="23"/>
  <c r="L16" i="23"/>
  <c r="K16" i="23"/>
  <c r="J16" i="23"/>
  <c r="I16" i="23"/>
  <c r="H16" i="23"/>
  <c r="G16" i="23"/>
  <c r="F16" i="23"/>
  <c r="E16" i="23"/>
  <c r="D16" i="23"/>
  <c r="C16" i="23"/>
  <c r="B16" i="23"/>
  <c r="Y14" i="23"/>
  <c r="X14" i="23"/>
  <c r="W14" i="23"/>
  <c r="V14" i="23"/>
  <c r="U14" i="23"/>
  <c r="T14" i="23"/>
  <c r="S14" i="23"/>
  <c r="R14" i="23"/>
  <c r="Q14" i="23"/>
  <c r="P14" i="23"/>
  <c r="O14" i="23"/>
  <c r="N14" i="23"/>
  <c r="M14" i="23"/>
  <c r="L14" i="23"/>
  <c r="K14" i="23"/>
  <c r="J14" i="23"/>
  <c r="I14" i="23"/>
  <c r="H14" i="23"/>
  <c r="G14" i="23"/>
  <c r="F14" i="23"/>
  <c r="E14" i="23"/>
  <c r="D14" i="23"/>
  <c r="C14" i="23"/>
  <c r="B14" i="23"/>
  <c r="C45" i="1" l="1" a="1"/>
  <c r="C45" i="1" s="1"/>
  <c r="D45" i="1" l="1"/>
  <c r="L5" i="1" s="1" a="1"/>
  <c r="W56" i="2" l="1"/>
  <c r="U56" i="2"/>
  <c r="Y56" i="2"/>
  <c r="C122" i="1" a="1"/>
  <c r="L5" i="1"/>
  <c r="M5" i="1"/>
  <c r="C122" i="1" l="1"/>
  <c r="D122" i="1"/>
  <c r="C90" i="1" a="1"/>
  <c r="D90" i="1" s="1"/>
  <c r="C85" i="1" a="1"/>
  <c r="D85" i="1" s="1"/>
  <c r="C90" i="1" l="1"/>
  <c r="C85" i="1"/>
  <c r="C32" i="1" l="1" a="1"/>
  <c r="C32" i="1" l="1"/>
  <c r="D32" i="1"/>
  <c r="C47" i="1" l="1" a="1"/>
  <c r="D47" i="1" s="1"/>
  <c r="C47" i="1" l="1"/>
  <c r="C48" i="1" a="1"/>
  <c r="D48" i="1" s="1"/>
  <c r="C55" i="1" a="1"/>
  <c r="C55" i="1" s="1"/>
  <c r="C48" i="1" l="1"/>
  <c r="C57" i="1"/>
  <c r="C121" i="1" s="1"/>
  <c r="C95" i="1" l="1" a="1"/>
  <c r="C95" i="1" s="1"/>
  <c r="D95" i="1" l="1"/>
  <c r="L8" i="1" l="1" a="1"/>
  <c r="C117" i="1" a="1"/>
  <c r="I57" i="1" a="1"/>
  <c r="I57" i="1" s="1"/>
  <c r="L57" i="1" s="1"/>
  <c r="C83" i="1" a="1"/>
  <c r="C82" i="1" a="1"/>
  <c r="M8" i="1" l="1"/>
  <c r="L8" i="1"/>
  <c r="C117" i="1"/>
  <c r="D117" i="1"/>
  <c r="C83" i="1"/>
  <c r="D83" i="1"/>
  <c r="D82" i="1"/>
  <c r="C82" i="1"/>
  <c r="N33" i="1" s="1" a="1"/>
  <c r="N33" i="1" l="1"/>
  <c r="O33" i="1"/>
  <c r="N32" i="1" a="1"/>
  <c r="H34" i="1" a="1"/>
  <c r="I34" i="1" s="1"/>
  <c r="O32" i="1" l="1"/>
  <c r="N32" i="1"/>
  <c r="H34" i="1"/>
  <c r="K34" i="1" s="1" a="1"/>
  <c r="F82" i="1" a="1"/>
  <c r="F82" i="1" s="1"/>
  <c r="L34" i="1" l="1"/>
  <c r="K34" i="1"/>
  <c r="G82" i="1"/>
  <c r="F83" i="1" s="1" a="1"/>
  <c r="F83" i="1" l="1"/>
  <c r="G83" i="1"/>
  <c r="I4" i="1" l="1"/>
  <c r="C37" i="1" l="1" a="1"/>
  <c r="D37" i="1" s="1"/>
  <c r="D14" i="1"/>
  <c r="I4" i="2"/>
  <c r="D14" i="2" s="1"/>
  <c r="C37" i="1" l="1"/>
  <c r="C70" i="1" s="1" a="1"/>
  <c r="C70" i="1" l="1"/>
  <c r="D70" i="1"/>
  <c r="C71" i="1"/>
  <c r="D71" i="1"/>
  <c r="C123" i="1" a="1"/>
  <c r="C51" i="1" a="1"/>
  <c r="H72" i="1" a="1"/>
  <c r="C72" i="1" a="1"/>
  <c r="H73" i="1" a="1"/>
  <c r="C73" i="1" a="1"/>
  <c r="O12" i="1" a="1"/>
  <c r="C25" i="1" l="1" a="1"/>
  <c r="C123" i="1"/>
  <c r="D123" i="1"/>
  <c r="C51" i="1"/>
  <c r="D51" i="1"/>
  <c r="C73" i="1"/>
  <c r="D73" i="1"/>
  <c r="I73" i="1"/>
  <c r="H73" i="1"/>
  <c r="K73" i="1" s="1" a="1"/>
  <c r="P12" i="1"/>
  <c r="O12" i="1"/>
  <c r="D72" i="1"/>
  <c r="C72" i="1"/>
  <c r="H72" i="1"/>
  <c r="I72" i="1"/>
  <c r="L73" i="1" l="1"/>
  <c r="K73" i="1"/>
  <c r="D26" i="1"/>
  <c r="C25" i="1"/>
  <c r="C26" i="1"/>
  <c r="D25" i="1"/>
  <c r="L7" i="1" a="1"/>
  <c r="C50" i="1" a="1"/>
  <c r="H45" i="1" a="1"/>
  <c r="H46" i="1" a="1"/>
  <c r="C51" i="2" a="1"/>
  <c r="K72" i="1" a="1"/>
  <c r="M7" i="1" l="1"/>
  <c r="L7" i="1"/>
  <c r="C51" i="2"/>
  <c r="D51" i="2"/>
  <c r="I46" i="1"/>
  <c r="H46" i="1"/>
  <c r="K72" i="1"/>
  <c r="L72" i="1"/>
  <c r="I45" i="1"/>
  <c r="H45" i="1"/>
  <c r="D50" i="1"/>
  <c r="C50" i="1"/>
  <c r="AB58" i="3" l="1" a="1"/>
  <c r="AB58" i="3" s="1"/>
  <c r="AF58" i="3" a="1"/>
  <c r="AF58" i="3" s="1"/>
  <c r="L58" i="3" a="1"/>
  <c r="L58" i="3" s="1"/>
  <c r="AD58" i="3" a="1"/>
  <c r="AD58" i="3" s="1"/>
  <c r="J58" i="3" a="1"/>
  <c r="J58" i="3" s="1"/>
  <c r="AT58" i="3" a="1"/>
  <c r="AT58" i="3" s="1"/>
  <c r="Z58" i="3" a="1"/>
  <c r="Z58" i="3" s="1"/>
  <c r="F58" i="3" a="1"/>
  <c r="F58" i="3" s="1"/>
  <c r="AR58" i="3" a="1"/>
  <c r="AR58" i="3" s="1"/>
  <c r="X58" i="3" a="1"/>
  <c r="X58" i="3" s="1"/>
  <c r="D58" i="3" a="1"/>
  <c r="D58" i="3" s="1"/>
  <c r="AP58" i="3" a="1"/>
  <c r="AP58" i="3" s="1"/>
  <c r="V58" i="3" a="1"/>
  <c r="V58" i="3" s="1"/>
  <c r="B58" i="3" a="1"/>
  <c r="B58" i="3" s="1"/>
  <c r="AN58" i="3" a="1"/>
  <c r="AN58" i="3" s="1"/>
  <c r="T58" i="3" a="1"/>
  <c r="T58" i="3" s="1"/>
  <c r="H58" i="3" a="1"/>
  <c r="H58" i="3" s="1"/>
  <c r="AH58" i="3" a="1"/>
  <c r="AH58" i="3" s="1"/>
  <c r="AL58" i="3" a="1"/>
  <c r="AL58" i="3" s="1"/>
  <c r="R58" i="3" a="1"/>
  <c r="R58" i="3" s="1"/>
  <c r="AV58" i="3" a="1"/>
  <c r="AV58" i="3" s="1"/>
  <c r="AJ58" i="3" a="1"/>
  <c r="AJ58" i="3" s="1"/>
  <c r="P58" i="3" a="1"/>
  <c r="P58" i="3" s="1"/>
  <c r="N58" i="3" a="1"/>
  <c r="N58" i="3" s="1"/>
  <c r="L6" i="1" a="1"/>
  <c r="L6" i="1" s="1"/>
  <c r="K45" i="1" a="1"/>
  <c r="L45" i="1" s="1"/>
  <c r="K46" i="1" a="1"/>
  <c r="L46" i="1" s="1"/>
  <c r="H32" i="1" a="1"/>
  <c r="C50" i="2" a="1"/>
  <c r="M6" i="1" l="1"/>
  <c r="K45" i="1"/>
  <c r="K46" i="1"/>
  <c r="I32" i="1"/>
  <c r="H32" i="1"/>
  <c r="K32" i="1" s="1" a="1"/>
  <c r="D50" i="2"/>
  <c r="C50" i="2"/>
  <c r="AL57" i="3" l="1" a="1"/>
  <c r="AL57" i="3" s="1"/>
  <c r="AN57" i="3" a="1"/>
  <c r="AN57" i="3" s="1"/>
  <c r="T57" i="3" a="1"/>
  <c r="T57" i="3" s="1"/>
  <c r="R57" i="3" a="1"/>
  <c r="R57" i="3" s="1"/>
  <c r="AJ57" i="3" a="1"/>
  <c r="AJ57" i="3" s="1"/>
  <c r="AH57" i="3" a="1"/>
  <c r="AH57" i="3" s="1"/>
  <c r="N57" i="3" a="1"/>
  <c r="N57" i="3" s="1"/>
  <c r="AF57" i="3" a="1"/>
  <c r="AF57" i="3" s="1"/>
  <c r="L57" i="3" a="1"/>
  <c r="L57" i="3" s="1"/>
  <c r="AD57" i="3" a="1"/>
  <c r="AD57" i="3" s="1"/>
  <c r="J57" i="3" a="1"/>
  <c r="J57" i="3" s="1"/>
  <c r="AP57" i="3" a="1"/>
  <c r="AP57" i="3" s="1"/>
  <c r="AV57" i="3" a="1"/>
  <c r="AV57" i="3" s="1"/>
  <c r="AB57" i="3" a="1"/>
  <c r="AB57" i="3" s="1"/>
  <c r="H57" i="3" a="1"/>
  <c r="H57" i="3" s="1"/>
  <c r="V57" i="3" a="1"/>
  <c r="V57" i="3" s="1"/>
  <c r="AT57" i="3" a="1"/>
  <c r="AT57" i="3" s="1"/>
  <c r="Z57" i="3" a="1"/>
  <c r="Z57" i="3" s="1"/>
  <c r="F57" i="3" a="1"/>
  <c r="F57" i="3" s="1"/>
  <c r="B57" i="3" a="1"/>
  <c r="B57" i="3" s="1"/>
  <c r="P57" i="3" a="1"/>
  <c r="P57" i="3" s="1"/>
  <c r="AR57" i="3" a="1"/>
  <c r="AR57" i="3" s="1"/>
  <c r="X57" i="3" a="1"/>
  <c r="X57" i="3" s="1"/>
  <c r="D57" i="3" a="1"/>
  <c r="D57" i="3" s="1"/>
  <c r="K32" i="1"/>
  <c r="L32" i="1"/>
  <c r="Q3" i="1" a="1"/>
  <c r="Q4" i="1" s="1"/>
  <c r="C32" i="2" a="1"/>
  <c r="Q3" i="1" l="1"/>
  <c r="K25" i="1" l="1" a="1"/>
  <c r="C93" i="1" l="1" a="1"/>
  <c r="C88" i="1" l="1" a="1"/>
  <c r="D88" i="1" s="1"/>
  <c r="C87" i="1" a="1"/>
  <c r="C87" i="1" s="1"/>
  <c r="C92" i="1" a="1"/>
  <c r="D92" i="1" s="1"/>
  <c r="L3" i="1" a="1"/>
  <c r="L4" i="1" s="1"/>
  <c r="C93" i="1"/>
  <c r="D93" i="1"/>
  <c r="C92" i="1" l="1"/>
  <c r="M3" i="1"/>
  <c r="L3" i="1"/>
  <c r="D87" i="1"/>
  <c r="M4" i="1"/>
  <c r="H70" i="1" a="1"/>
  <c r="I70" i="1" s="1"/>
  <c r="C88" i="1"/>
  <c r="H71" i="1" l="1" a="1"/>
  <c r="I71" i="1" s="1"/>
  <c r="H70" i="1"/>
  <c r="H21" i="1" a="1"/>
  <c r="H48" i="1" a="1"/>
  <c r="F92" i="1" a="1"/>
  <c r="F87" i="1" a="1"/>
  <c r="H47" i="1" a="1"/>
  <c r="H35" i="1" a="1"/>
  <c r="H71" i="1" l="1"/>
  <c r="H47" i="1"/>
  <c r="I47" i="1"/>
  <c r="G92" i="1"/>
  <c r="F92" i="1"/>
  <c r="I48" i="1"/>
  <c r="H48" i="1"/>
  <c r="H21" i="1"/>
  <c r="I21" i="1"/>
  <c r="I35" i="1"/>
  <c r="H35" i="1"/>
  <c r="K35" i="1" s="1" a="1"/>
  <c r="G87" i="1"/>
  <c r="F87" i="1"/>
  <c r="K70" i="1" l="1" a="1"/>
  <c r="L35" i="1"/>
  <c r="K35" i="1"/>
  <c r="K21" i="1" a="1"/>
  <c r="L21" i="1" s="1"/>
  <c r="K48" i="1" a="1"/>
  <c r="L48" i="1" s="1"/>
  <c r="F88" i="1" a="1"/>
  <c r="F88" i="1" s="1"/>
  <c r="F93" i="1" a="1"/>
  <c r="F93" i="1" s="1"/>
  <c r="K47" i="1" a="1"/>
  <c r="L47" i="1" s="1"/>
  <c r="L70" i="1" l="1"/>
  <c r="K70" i="1"/>
  <c r="L71" i="1"/>
  <c r="K71" i="1"/>
  <c r="K21" i="1"/>
  <c r="K47" i="1"/>
  <c r="G93" i="1"/>
  <c r="K48" i="1"/>
  <c r="G88" i="1"/>
  <c r="K26" i="1" l="1"/>
  <c r="K25" i="1" l="1"/>
  <c r="L25" i="1"/>
  <c r="C39" i="1" a="1"/>
  <c r="H39" i="1" a="1"/>
  <c r="L26" i="1"/>
  <c r="I39" i="1" l="1"/>
  <c r="H39" i="1"/>
  <c r="D39" i="1"/>
  <c r="C39" i="1"/>
  <c r="K39" i="1" l="1" a="1"/>
  <c r="L10" i="1" a="1"/>
  <c r="M10" i="1" s="1"/>
  <c r="M12" i="1" s="1"/>
  <c r="H55" i="1" a="1"/>
  <c r="H55" i="1" s="1"/>
  <c r="C40" i="1" a="1"/>
  <c r="C119" i="1" a="1"/>
  <c r="H23" i="1" a="1"/>
  <c r="K27" i="1" a="1"/>
  <c r="L27" i="1" s="1"/>
  <c r="N3" i="1" a="1"/>
  <c r="K27" i="1"/>
  <c r="L39" i="1" l="1"/>
  <c r="K39" i="1"/>
  <c r="L10" i="1"/>
  <c r="L12" i="1" s="1"/>
  <c r="I23" i="1"/>
  <c r="H23" i="1"/>
  <c r="K23" i="1" s="1" a="1"/>
  <c r="C119" i="1"/>
  <c r="D119" i="1"/>
  <c r="C40" i="1"/>
  <c r="D40" i="1"/>
  <c r="K29" i="1" a="1"/>
  <c r="C107" i="1"/>
  <c r="N4" i="1"/>
  <c r="N3" i="1"/>
  <c r="K23" i="1" l="1"/>
  <c r="L23" i="1"/>
  <c r="C77" i="1" a="1"/>
  <c r="C78" i="1" a="1"/>
  <c r="C104" i="1"/>
  <c r="C105" i="1"/>
  <c r="H57" i="1" a="1"/>
  <c r="H57" i="1" s="1"/>
  <c r="K57" i="1" s="1"/>
  <c r="K29" i="1"/>
  <c r="L29" i="1"/>
  <c r="K28" i="1" a="1"/>
  <c r="C58" i="1" a="1"/>
  <c r="C58" i="1" s="1"/>
  <c r="C62" i="1" a="1"/>
  <c r="C62" i="1" s="1"/>
  <c r="H42" i="1" s="1" a="1"/>
  <c r="H42" i="1" s="1"/>
  <c r="P3" i="1" a="1"/>
  <c r="P3" i="1" s="1"/>
  <c r="C97" i="1" a="1"/>
  <c r="C98" i="1" a="1"/>
  <c r="C64" i="1" a="1"/>
  <c r="C64" i="1" s="1"/>
  <c r="C63" i="1" a="1"/>
  <c r="C63" i="1" s="1"/>
  <c r="C63" i="2" s="1"/>
  <c r="O3" i="1" a="1"/>
  <c r="O4" i="1" s="1"/>
  <c r="H43" i="1" l="1" a="1"/>
  <c r="H43" i="1" s="1"/>
  <c r="K43" i="1" s="1" a="1"/>
  <c r="I41" i="1"/>
  <c r="H41" i="1" a="1"/>
  <c r="H41" i="1" s="1"/>
  <c r="F104" i="1"/>
  <c r="D78" i="1"/>
  <c r="C78" i="1"/>
  <c r="D77" i="1"/>
  <c r="C77" i="1"/>
  <c r="P4" i="1"/>
  <c r="C62" i="2"/>
  <c r="K55" i="1" a="1"/>
  <c r="K55" i="1" s="1"/>
  <c r="K28" i="1"/>
  <c r="L28" i="1"/>
  <c r="K42" i="1" a="1"/>
  <c r="L42" i="1" s="1"/>
  <c r="O3" i="1"/>
  <c r="R3" i="1" s="1"/>
  <c r="L14" i="1" s="1"/>
  <c r="R4" i="1"/>
  <c r="K43" i="1" l="1"/>
  <c r="L43" i="1"/>
  <c r="F77" i="1" a="1"/>
  <c r="H40" i="1" a="1"/>
  <c r="H38" i="1" a="1"/>
  <c r="C66" i="2"/>
  <c r="M14" i="1"/>
  <c r="K42" i="1"/>
  <c r="F105" i="1" a="1"/>
  <c r="F105" i="1" s="1"/>
  <c r="K41" i="1" a="1"/>
  <c r="K41" i="1" s="1"/>
  <c r="C98" i="1"/>
  <c r="C97" i="1"/>
  <c r="D97" i="1"/>
  <c r="D98" i="1"/>
  <c r="C65" i="1" l="1" a="1"/>
  <c r="C65" i="1" s="1"/>
  <c r="C67" i="2"/>
  <c r="H38" i="1"/>
  <c r="I38" i="1"/>
  <c r="H40" i="1"/>
  <c r="I40" i="1"/>
  <c r="F77" i="1"/>
  <c r="G77" i="1"/>
  <c r="H44" i="1" a="1"/>
  <c r="H44" i="1" s="1"/>
  <c r="L41" i="1"/>
  <c r="N21" i="1" a="1"/>
  <c r="N21" i="1" s="1"/>
  <c r="H24" i="1" a="1"/>
  <c r="H24" i="1" s="1"/>
  <c r="F97" i="1" a="1"/>
  <c r="F97" i="1" s="1"/>
  <c r="H37" i="1" a="1"/>
  <c r="I37" i="1" s="1"/>
  <c r="K38" i="1" l="1" a="1"/>
  <c r="AJ53" i="3" a="1"/>
  <c r="AB53" i="3" a="1"/>
  <c r="Z53" i="3" a="1"/>
  <c r="V53" i="3" a="1"/>
  <c r="T53" i="3" a="1"/>
  <c r="T53" i="3" s="1"/>
  <c r="T83" i="3" s="1"/>
  <c r="R53" i="3" a="1"/>
  <c r="R53" i="3" s="1"/>
  <c r="R83" i="3" s="1"/>
  <c r="P53" i="3" a="1"/>
  <c r="P53" i="3" s="1"/>
  <c r="P83" i="3" s="1"/>
  <c r="N53" i="3" a="1"/>
  <c r="N53" i="3" s="1"/>
  <c r="N83" i="3" s="1"/>
  <c r="AH53" i="3" a="1"/>
  <c r="AH53" i="3" s="1"/>
  <c r="AH83" i="3" s="1"/>
  <c r="AF53" i="3" a="1"/>
  <c r="AF53" i="3" s="1"/>
  <c r="AF83" i="3" s="1"/>
  <c r="AD53" i="3" a="1"/>
  <c r="AD53" i="3" s="1"/>
  <c r="AD83" i="3" s="1"/>
  <c r="X53" i="3" a="1"/>
  <c r="X53" i="3" s="1"/>
  <c r="X83" i="3" s="1"/>
  <c r="J53" i="3" a="1"/>
  <c r="J53" i="3" s="1"/>
  <c r="J83" i="3" s="1"/>
  <c r="AV53" i="3" a="1"/>
  <c r="AV53" i="3" s="1"/>
  <c r="AV83" i="3" s="1"/>
  <c r="H53" i="3" a="1"/>
  <c r="H53" i="3" s="1"/>
  <c r="H83" i="3" s="1"/>
  <c r="AT53" i="3" a="1"/>
  <c r="AT53" i="3" s="1"/>
  <c r="AT83" i="3" s="1"/>
  <c r="F53" i="3" a="1"/>
  <c r="F53" i="3" s="1"/>
  <c r="F83" i="3" s="1"/>
  <c r="AR53" i="3" a="1"/>
  <c r="AR53" i="3" s="1"/>
  <c r="AR83" i="3" s="1"/>
  <c r="D53" i="3" a="1"/>
  <c r="D53" i="3" s="1"/>
  <c r="D83" i="3" s="1"/>
  <c r="AP53" i="3" a="1"/>
  <c r="AP53" i="3" s="1"/>
  <c r="AP83" i="3" s="1"/>
  <c r="B53" i="3" a="1"/>
  <c r="B53" i="3" s="1"/>
  <c r="B83" i="3" s="1"/>
  <c r="AN53" i="3" a="1"/>
  <c r="AN53" i="3" s="1"/>
  <c r="AN83" i="3" s="1"/>
  <c r="AL53" i="3" a="1"/>
  <c r="L53" i="3" a="1"/>
  <c r="K65" i="1"/>
  <c r="Z53" i="3"/>
  <c r="Z83" i="3" s="1"/>
  <c r="AB53" i="3"/>
  <c r="AB83" i="3" s="1"/>
  <c r="V53" i="3"/>
  <c r="V83" i="3" s="1"/>
  <c r="L53" i="3"/>
  <c r="L83" i="3" s="1"/>
  <c r="AL53" i="3"/>
  <c r="AL83" i="3" s="1"/>
  <c r="AJ53" i="3"/>
  <c r="AJ83" i="3" s="1"/>
  <c r="C65" i="2"/>
  <c r="F78" i="1" a="1"/>
  <c r="G78" i="1" s="1"/>
  <c r="O21" i="1"/>
  <c r="I44" i="1"/>
  <c r="K44" i="1" s="1" a="1"/>
  <c r="K44" i="1" s="1"/>
  <c r="G97" i="1"/>
  <c r="F98" i="1" s="1" a="1"/>
  <c r="F98" i="1" s="1"/>
  <c r="H37" i="1"/>
  <c r="K37" i="1" s="1" a="1"/>
  <c r="I24" i="1"/>
  <c r="L37" i="1" l="1"/>
  <c r="K37" i="1"/>
  <c r="L38" i="1"/>
  <c r="K38" i="1"/>
  <c r="F78" i="1"/>
  <c r="G98" i="1"/>
  <c r="L44" i="1"/>
  <c r="K24" i="1" a="1"/>
  <c r="K24" i="1" s="1"/>
  <c r="K40" i="1" a="1"/>
  <c r="L40" i="1" s="1"/>
  <c r="K40" i="1" l="1"/>
  <c r="L24" i="1"/>
  <c r="D39" i="2" l="1"/>
  <c r="K41" i="2" s="1"/>
  <c r="D32" i="2"/>
  <c r="C57" i="2"/>
  <c r="D21" i="2"/>
  <c r="D23" i="2"/>
  <c r="C21" i="2"/>
  <c r="C23" i="2"/>
  <c r="C39" i="2"/>
  <c r="C29" i="2" l="1" a="1"/>
  <c r="C27" i="2" a="1"/>
  <c r="D27" i="2" s="1"/>
  <c r="C28" i="2" a="1"/>
  <c r="C28" i="2" s="1"/>
  <c r="L10" i="2" a="1"/>
  <c r="M10" i="2" s="1"/>
  <c r="O12" i="2" a="1"/>
  <c r="P12" i="2" s="1"/>
  <c r="L7" i="2" a="1"/>
  <c r="L7" i="2" s="1"/>
  <c r="C55" i="2" a="1"/>
  <c r="C55" i="2" s="1"/>
  <c r="C24" i="2" a="1"/>
  <c r="D24" i="2" s="1"/>
  <c r="D29" i="2"/>
  <c r="C25" i="2" a="1"/>
  <c r="C27" i="2"/>
  <c r="C29" i="2"/>
  <c r="K58" i="2" s="1" a="1"/>
  <c r="C32" i="2"/>
  <c r="K58" i="2" l="1"/>
  <c r="D28" i="2"/>
  <c r="AK58" i="2" a="1"/>
  <c r="AK58" i="2" s="1"/>
  <c r="O12" i="2"/>
  <c r="L10" i="2"/>
  <c r="M7" i="2"/>
  <c r="C24" i="2"/>
  <c r="C40" i="2" s="1" a="1"/>
  <c r="D40" i="2" s="1"/>
  <c r="H23" i="2" a="1"/>
  <c r="C26" i="2"/>
  <c r="D26" i="2"/>
  <c r="D25" i="2"/>
  <c r="C25" i="2"/>
  <c r="C42" i="2" a="1"/>
  <c r="C42" i="2" s="1"/>
  <c r="AE58" i="2" a="1"/>
  <c r="AE58" i="2" s="1"/>
  <c r="W59" i="2" a="1"/>
  <c r="W59" i="2" s="1"/>
  <c r="Y58" i="2" a="1"/>
  <c r="Y58" i="2" s="1"/>
  <c r="AC58" i="2" a="1"/>
  <c r="AC58" i="2" s="1"/>
  <c r="AA56" i="2" a="1"/>
  <c r="AA56" i="2" s="1"/>
  <c r="AI55" i="2" a="1"/>
  <c r="AI55" i="2" s="1"/>
  <c r="Q34" i="2" a="1"/>
  <c r="R34" i="2" s="1"/>
  <c r="P3" i="2" a="1"/>
  <c r="C38" i="2" l="1" a="1"/>
  <c r="D38" i="2" s="1"/>
  <c r="T21" i="2" a="1"/>
  <c r="U21" i="2" s="1"/>
  <c r="C44" i="2" a="1"/>
  <c r="H23" i="2"/>
  <c r="I23" i="2"/>
  <c r="Q34" i="2"/>
  <c r="C40" i="2"/>
  <c r="O3" i="2" a="1"/>
  <c r="O3" i="2" s="1"/>
  <c r="P3" i="2"/>
  <c r="P4" i="2"/>
  <c r="C38" i="2" l="1"/>
  <c r="L9" i="2" s="1" a="1"/>
  <c r="M9" i="2" s="1"/>
  <c r="C44" i="2"/>
  <c r="D44" i="2"/>
  <c r="H37" i="2" a="1"/>
  <c r="T21" i="2"/>
  <c r="Q38" i="2" a="1"/>
  <c r="R38" i="2" s="1"/>
  <c r="L9" i="2"/>
  <c r="Q23" i="2" a="1"/>
  <c r="O4" i="2"/>
  <c r="C35" i="2" a="1"/>
  <c r="H37" i="2" l="1"/>
  <c r="I37" i="2"/>
  <c r="K23" i="2" a="1"/>
  <c r="Q3" i="2" a="1"/>
  <c r="C59" i="2" a="1"/>
  <c r="C59" i="2" s="1"/>
  <c r="K57" i="2" s="1"/>
  <c r="Q38" i="2"/>
  <c r="C58" i="2" a="1"/>
  <c r="R23" i="2"/>
  <c r="Q23" i="2"/>
  <c r="K37" i="2" l="1" a="1"/>
  <c r="C64" i="2" a="1"/>
  <c r="AG57" i="2"/>
  <c r="C58" i="2"/>
  <c r="D41" i="2" s="1"/>
  <c r="W57" i="2"/>
  <c r="C64" i="2"/>
  <c r="Y57" i="2"/>
  <c r="AK57" i="2"/>
  <c r="Q4" i="2"/>
  <c r="Q3" i="2"/>
  <c r="L23" i="2"/>
  <c r="K23" i="2"/>
  <c r="AA57" i="2"/>
  <c r="U57" i="2"/>
  <c r="AC57" i="2"/>
  <c r="AE57" i="2"/>
  <c r="L37" i="2" l="1"/>
  <c r="K37" i="2"/>
  <c r="C41" i="2"/>
  <c r="N3" i="2" s="1" a="1"/>
  <c r="N4" i="2" s="1"/>
  <c r="C60" i="2" l="1" a="1"/>
  <c r="C60" i="2" s="1"/>
  <c r="Q58" i="2" a="1"/>
  <c r="Q58" i="2" s="1"/>
  <c r="Q57" i="2" a="1"/>
  <c r="Q57" i="2" s="1"/>
  <c r="C56" i="2"/>
  <c r="N3" i="2"/>
  <c r="AI56" i="2" l="1" a="1"/>
  <c r="AI56" i="2" s="1"/>
  <c r="AG56" i="2" a="1"/>
  <c r="AG56" i="2" s="1"/>
  <c r="K56" i="2" a="1"/>
  <c r="K56" i="2" s="1"/>
  <c r="AK56" i="2" a="1"/>
  <c r="AK56" i="2" s="1"/>
  <c r="AE56" i="2" a="1"/>
  <c r="AE56" i="2" s="1"/>
  <c r="AC56" i="2" a="1"/>
  <c r="AC56" i="2" s="1"/>
  <c r="C35" i="2"/>
  <c r="D35" i="2"/>
  <c r="C70" i="2" l="1" a="1"/>
  <c r="C70" i="2" s="1"/>
  <c r="N21" i="2" a="1"/>
  <c r="O35" i="2" s="1"/>
  <c r="C48" i="2" a="1"/>
  <c r="D48" i="2" s="1"/>
  <c r="H21" i="2" a="1"/>
  <c r="H21" i="2" s="1"/>
  <c r="N35" i="2" l="1"/>
  <c r="I21" i="2"/>
  <c r="D70" i="2"/>
  <c r="C48" i="2"/>
  <c r="O33" i="2"/>
  <c r="O29" i="2"/>
  <c r="O25" i="2"/>
  <c r="O24" i="2"/>
  <c r="N29" i="2"/>
  <c r="O32" i="2"/>
  <c r="O31" i="2"/>
  <c r="O30" i="2"/>
  <c r="N31" i="2"/>
  <c r="N28" i="2"/>
  <c r="N25" i="2"/>
  <c r="N30" i="2"/>
  <c r="N24" i="2"/>
  <c r="N27" i="2"/>
  <c r="N32" i="2"/>
  <c r="N22" i="2"/>
  <c r="N23" i="2"/>
  <c r="O27" i="2"/>
  <c r="O26" i="2"/>
  <c r="O22" i="2"/>
  <c r="O28" i="2"/>
  <c r="O21" i="2"/>
  <c r="N21" i="2"/>
  <c r="N26" i="2"/>
  <c r="O23" i="2"/>
  <c r="N33" i="2"/>
  <c r="O34" i="2"/>
  <c r="N34" i="2"/>
  <c r="Q21" i="2" l="1" a="1"/>
  <c r="Q21" i="2" s="1"/>
  <c r="Q37" i="2" a="1"/>
  <c r="C71" i="2" a="1"/>
  <c r="C47" i="2" a="1"/>
  <c r="K21" i="2" a="1"/>
  <c r="K21" i="2" s="1"/>
  <c r="R21" i="2" l="1"/>
  <c r="L21" i="2"/>
  <c r="C47" i="2"/>
  <c r="D47" i="2"/>
  <c r="C71" i="2"/>
  <c r="D71" i="2"/>
  <c r="Q37" i="2"/>
  <c r="R37" i="2"/>
  <c r="L58" i="2" l="1"/>
  <c r="AG58" i="2" a="1"/>
  <c r="AG58" i="2" s="1"/>
  <c r="AL58" i="2"/>
  <c r="AI58" i="2" a="1"/>
  <c r="AJ58" i="2" s="1"/>
  <c r="AA58" i="2" a="1"/>
  <c r="AA58" i="2" s="1"/>
  <c r="U58" i="2" a="1"/>
  <c r="V58" i="2" s="1"/>
  <c r="AF58" i="2"/>
  <c r="AD58" i="2"/>
  <c r="Z58" i="2"/>
  <c r="W58" i="2" a="1"/>
  <c r="Q32" i="2" a="1"/>
  <c r="R32" i="2" s="1"/>
  <c r="Q45" i="2" a="1"/>
  <c r="R45" i="2" s="1"/>
  <c r="C46" i="2" a="1"/>
  <c r="Q48" i="2" a="1"/>
  <c r="Q35" i="2" a="1"/>
  <c r="H39" i="2" a="1"/>
  <c r="L3" i="2" a="1"/>
  <c r="AH58" i="2" l="1"/>
  <c r="AI58" i="2"/>
  <c r="U58" i="2"/>
  <c r="AB58" i="2"/>
  <c r="X58" i="2"/>
  <c r="W58" i="2"/>
  <c r="Q32" i="2"/>
  <c r="Q45" i="2"/>
  <c r="C46" i="2"/>
  <c r="D46" i="2"/>
  <c r="I39" i="2"/>
  <c r="H39" i="2"/>
  <c r="K39" i="2" s="1" a="1"/>
  <c r="Q48" i="2"/>
  <c r="R48" i="2"/>
  <c r="L3" i="2"/>
  <c r="M3" i="2"/>
  <c r="L4" i="2"/>
  <c r="M4" i="2"/>
  <c r="Q35" i="2"/>
  <c r="R35" i="2"/>
  <c r="R3" i="2" l="1" a="1"/>
  <c r="R3" i="2" s="1"/>
  <c r="K39" i="2"/>
  <c r="L39" i="2"/>
  <c r="Y59" i="2" a="1"/>
  <c r="K59" i="2" a="1"/>
  <c r="K59" i="2" s="1"/>
  <c r="K55" i="2"/>
  <c r="Y59" i="2"/>
  <c r="AG55" i="2" a="1"/>
  <c r="AG55" i="2" s="1"/>
  <c r="AG59" i="2" a="1"/>
  <c r="AG59" i="2" s="1"/>
  <c r="R4" i="2" a="1"/>
  <c r="R4" i="2" s="1"/>
  <c r="AK55" i="2"/>
  <c r="AI57" i="2" a="1"/>
  <c r="AI57" i="2" s="1"/>
  <c r="AE55" i="2"/>
  <c r="AC55" i="2"/>
  <c r="U55" i="2"/>
  <c r="AA55" i="2"/>
  <c r="Y55" i="2"/>
  <c r="W55" i="2"/>
  <c r="Q33" i="2" a="1"/>
  <c r="Q33" i="2" s="1"/>
  <c r="Q46" i="2" a="1"/>
  <c r="R46" i="2" s="1"/>
  <c r="L5" i="2" a="1"/>
  <c r="L6" i="2" a="1"/>
  <c r="C72" i="2" a="1"/>
  <c r="N37" i="2" a="1"/>
  <c r="Q47" i="2" a="1"/>
  <c r="C73" i="2" a="1"/>
  <c r="K34" i="2" a="1"/>
  <c r="L17" i="2" l="1"/>
  <c r="AK59" i="2" a="1"/>
  <c r="AK59" i="2" s="1"/>
  <c r="AE59" i="2" a="1"/>
  <c r="AE59" i="2" s="1"/>
  <c r="U59" i="2" a="1"/>
  <c r="U59" i="2" s="1"/>
  <c r="AA59" i="2" a="1"/>
  <c r="AA59" i="2" s="1"/>
  <c r="AC59" i="2" a="1"/>
  <c r="AC59" i="2" s="1"/>
  <c r="AI59" i="2" a="1"/>
  <c r="AI59" i="2" s="1"/>
  <c r="R33" i="2"/>
  <c r="Q46" i="2"/>
  <c r="N55" i="2" a="1"/>
  <c r="D72" i="2"/>
  <c r="C72" i="2"/>
  <c r="N39" i="2"/>
  <c r="O41" i="2"/>
  <c r="N40" i="2"/>
  <c r="N41" i="2"/>
  <c r="O42" i="2"/>
  <c r="N38" i="2"/>
  <c r="O38" i="2"/>
  <c r="O37" i="2"/>
  <c r="O39" i="2"/>
  <c r="O44" i="2"/>
  <c r="O43" i="2"/>
  <c r="O40" i="2"/>
  <c r="N43" i="2"/>
  <c r="N44" i="2"/>
  <c r="N37" i="2"/>
  <c r="N42" i="2"/>
  <c r="N48" i="2"/>
  <c r="O48" i="2"/>
  <c r="N47" i="2"/>
  <c r="O47" i="2"/>
  <c r="O45" i="2"/>
  <c r="N46" i="2"/>
  <c r="N45" i="2"/>
  <c r="O46" i="2"/>
  <c r="L6" i="2"/>
  <c r="M6" i="2"/>
  <c r="K34" i="2"/>
  <c r="L34" i="2"/>
  <c r="R47" i="2"/>
  <c r="Q47" i="2"/>
  <c r="L5" i="2"/>
  <c r="M5" i="2"/>
  <c r="D73" i="2"/>
  <c r="C73" i="2"/>
  <c r="R57" i="2" a="1"/>
  <c r="R57" i="2" s="1"/>
  <c r="L8" i="2" l="1" a="1"/>
  <c r="M8" i="2" s="1"/>
  <c r="M12" i="2" s="1"/>
  <c r="N70" i="2" a="1"/>
  <c r="O72" i="2" s="1"/>
  <c r="N57" i="2"/>
  <c r="N59" i="2"/>
  <c r="N58" i="2"/>
  <c r="N56" i="2"/>
  <c r="N55" i="2"/>
  <c r="M14" i="2" l="1" a="1"/>
  <c r="M14" i="2" s="1"/>
  <c r="L8" i="2"/>
  <c r="L12" i="2" s="1"/>
  <c r="L14" i="2" s="1" a="1"/>
  <c r="L14" i="2" s="1"/>
  <c r="N70" i="2"/>
  <c r="O70" i="2"/>
  <c r="N71" i="2"/>
  <c r="O71" i="2"/>
  <c r="O73" i="2"/>
  <c r="N73" i="2"/>
  <c r="N7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Frédéric Ghersi</author>
    <author>tc={C96615DD-9C03-4E40-B6D8-F4143B40B058}</author>
    <author>tc={D3DFF277-FA45-464F-847A-E2B29A5F813E}</author>
  </authors>
  <commentList>
    <comment ref="E57" authorId="0" shapeId="0" xr:uid="{00000000-0006-0000-0000-000001000000}">
      <text>
        <r>
          <rPr>
            <b/>
            <sz val="9"/>
            <color indexed="81"/>
            <rFont val="Tahoma"/>
            <family val="2"/>
          </rPr>
          <t>Frédéric Ghersi:</t>
        </r>
        <r>
          <rPr>
            <sz val="9"/>
            <color indexed="81"/>
            <rFont val="Tahoma"/>
            <family val="2"/>
          </rPr>
          <t xml:space="preserve">
PIB UE en dollars x PIB France en euros / PIB France en dollars, 2019. Extrait le 16 février 2024.</t>
        </r>
      </text>
    </comment>
    <comment ref="C66" authorId="0" shapeId="0" xr:uid="{00000000-0006-0000-0000-000002000000}">
      <text>
        <r>
          <rPr>
            <b/>
            <sz val="9"/>
            <color indexed="81"/>
            <rFont val="Tahoma"/>
            <family val="2"/>
          </rPr>
          <t>Frédéric Ghersi:</t>
        </r>
        <r>
          <rPr>
            <sz val="9"/>
            <color indexed="81"/>
            <rFont val="Tahoma"/>
            <family val="2"/>
          </rPr>
          <t xml:space="preserve">
Le taux est déterminé par solveur. Il est élevé parce que les dépenses publiques dépassent largement T, donc le déficit d'épargne publique est élevé. Une part des épargnes élevées sL et sK couvre en fait les impôts directs. Ou encore : les taux s'appliquent au revenu brut.</t>
        </r>
      </text>
    </comment>
    <comment ref="C97" authorId="1" shapeId="0" xr:uid="{00000000-0006-0000-0000-000003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Calibrage des coefficients de la CET</t>
      </text>
    </comment>
    <comment ref="B99" authorId="2" shapeId="0" xr:uid="{00000000-0006-0000-0000-000004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Elasticité CET</t>
      </text>
    </comment>
    <comment ref="C106" authorId="0" shapeId="0" xr:uid="{00000000-0006-0000-0000-000005000000}">
      <text>
        <r>
          <rPr>
            <b/>
            <sz val="9"/>
            <color indexed="81"/>
            <rFont val="Tahoma"/>
            <family val="2"/>
          </rPr>
          <t>Frédéric Ghersi:</t>
        </r>
        <r>
          <rPr>
            <sz val="9"/>
            <color indexed="81"/>
            <rFont val="Tahoma"/>
            <family val="2"/>
          </rPr>
          <t xml:space="preserve">
Inspired by the long-term estimate for UK from Lecca, P., McGregor, P. G., Swales, J. K., &amp; Turner, K. (2014). The added value from a general equilibrium analysis of increased efficiency in household energy use. Ecological economics, 100, 51-62.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Frédéric Ghersi</author>
  </authors>
  <commentList>
    <comment ref="C46" authorId="0" shapeId="0" xr:uid="{00000000-0006-0000-0100-000001000000}">
      <text>
        <r>
          <rPr>
            <b/>
            <sz val="9"/>
            <color indexed="81"/>
            <rFont val="Tahoma"/>
            <family val="2"/>
          </rPr>
          <t>Frédéric Ghersi:</t>
        </r>
        <r>
          <rPr>
            <sz val="9"/>
            <color indexed="81"/>
            <rFont val="Tahoma"/>
            <family val="2"/>
          </rPr>
          <t xml:space="preserve">
This flows from KL being a CES of K and L.</t>
        </r>
      </text>
    </comment>
    <comment ref="Y54" authorId="0" shapeId="0" xr:uid="{00000000-0006-0000-0100-000002000000}">
      <text>
        <r>
          <rPr>
            <b/>
            <sz val="9"/>
            <color indexed="81"/>
            <rFont val="Tahoma"/>
            <family val="2"/>
          </rPr>
          <t>Frédéric Ghersi:</t>
        </r>
        <r>
          <rPr>
            <sz val="9"/>
            <color indexed="81"/>
            <rFont val="Tahoma"/>
            <family val="2"/>
          </rPr>
          <t xml:space="preserve">
La constance de l'effort d'épargne ne change rien par rapport à Johansen (seule différence) puisque elle est mécaniquement induite par les constances de sI et sB dans Johansen. Donc Kaldor va chercher la rémunération des facteurs qui correspond strictement à celle de Johansen.</t>
        </r>
      </text>
    </comment>
    <comment ref="AA54" authorId="0" shapeId="0" xr:uid="{00000000-0006-0000-0100-000003000000}">
      <text>
        <r>
          <rPr>
            <b/>
            <sz val="9"/>
            <color indexed="81"/>
            <rFont val="Tahoma"/>
            <family val="2"/>
          </rPr>
          <t>Frédéric Ghersi:</t>
        </r>
        <r>
          <rPr>
            <sz val="9"/>
            <color indexed="81"/>
            <rFont val="Tahoma"/>
            <family val="2"/>
          </rPr>
          <t xml:space="preserve">
Par rapport au néoclassique, on substitue la contrainte de l'effort d'investissement à celle de la dotation en travail. Comme le prix des immobilisations progresse moins vite que celui du PIB (car le PIB comporte les consommations d'énergie), le volume d'investissement progresse plus vite que le PIB et produit un effet relance par la demande.</t>
        </r>
      </text>
    </comment>
    <comment ref="AK54" authorId="0" shapeId="0" xr:uid="{00000000-0006-0000-0100-000004000000}">
      <text>
        <r>
          <rPr>
            <b/>
            <sz val="9"/>
            <color indexed="81"/>
            <rFont val="Tahoma"/>
            <family val="2"/>
          </rPr>
          <t>Frédéric Ghersi:</t>
        </r>
        <r>
          <rPr>
            <sz val="9"/>
            <color indexed="81"/>
            <rFont val="Tahoma"/>
            <family val="2"/>
          </rPr>
          <t xml:space="preserve">
Option viciée ! Solutions multiples.</t>
        </r>
      </text>
    </comment>
    <comment ref="U58" authorId="0" shapeId="0" xr:uid="{00000000-0006-0000-0100-000005000000}">
      <text>
        <r>
          <rPr>
            <b/>
            <sz val="9"/>
            <color indexed="81"/>
            <rFont val="Tahoma"/>
            <family val="2"/>
          </rPr>
          <t>Frédéric Ghersi:</t>
        </r>
        <r>
          <rPr>
            <sz val="9"/>
            <color indexed="81"/>
            <rFont val="Tahoma"/>
            <family val="2"/>
          </rPr>
          <t xml:space="preserve">
This is optimal L input into KL CES considering pK and pL.</t>
        </r>
      </text>
    </comment>
    <comment ref="Z58" authorId="0" shapeId="0" xr:uid="{00000000-0006-0000-0100-000006000000}">
      <text>
        <r>
          <rPr>
            <b/>
            <sz val="9"/>
            <color indexed="81"/>
            <rFont val="Tahoma"/>
            <family val="2"/>
          </rPr>
          <t>Frédéric Ghersi:</t>
        </r>
        <r>
          <rPr>
            <sz val="9"/>
            <color indexed="81"/>
            <rFont val="Tahoma"/>
            <family val="2"/>
          </rPr>
          <t xml:space="preserve">
This is forcing the L intensity of KL to evolve in parallel in both sectors.</t>
        </r>
      </text>
    </comment>
  </commentList>
</comments>
</file>

<file path=xl/sharedStrings.xml><?xml version="1.0" encoding="utf-8"?>
<sst xmlns="http://schemas.openxmlformats.org/spreadsheetml/2006/main" count="1032" uniqueCount="188">
  <si>
    <t>X</t>
  </si>
  <si>
    <t>L net</t>
  </si>
  <si>
    <t>K</t>
  </si>
  <si>
    <t>M</t>
  </si>
  <si>
    <t>VAT</t>
  </si>
  <si>
    <t>EXCISE</t>
  </si>
  <si>
    <t>C</t>
  </si>
  <si>
    <t>G</t>
  </si>
  <si>
    <t>I</t>
  </si>
  <si>
    <t>L taxes</t>
  </si>
  <si>
    <t>Ouput taxes</t>
  </si>
  <si>
    <t>Distributed output</t>
  </si>
  <si>
    <t>pY</t>
  </si>
  <si>
    <t>pIC</t>
  </si>
  <si>
    <t>pC</t>
  </si>
  <si>
    <t>pG</t>
  </si>
  <si>
    <t>pX</t>
  </si>
  <si>
    <t>w</t>
  </si>
  <si>
    <t>pK</t>
  </si>
  <si>
    <t>Y</t>
  </si>
  <si>
    <t>tauY</t>
  </si>
  <si>
    <t>alpha</t>
  </si>
  <si>
    <t>lambda</t>
  </si>
  <si>
    <t>kappa</t>
  </si>
  <si>
    <t>COMPOSITE</t>
  </si>
  <si>
    <t>ENERGY</t>
  </si>
  <si>
    <t>tauL</t>
  </si>
  <si>
    <t>Labour</t>
  </si>
  <si>
    <t>Consumption</t>
  </si>
  <si>
    <t>pI</t>
  </si>
  <si>
    <t>Uses-Resources</t>
  </si>
  <si>
    <t>aKL</t>
  </si>
  <si>
    <t>bKL</t>
  </si>
  <si>
    <t>sigmaKL</t>
  </si>
  <si>
    <t>rhoKL</t>
  </si>
  <si>
    <t>KL</t>
  </si>
  <si>
    <t>pL</t>
  </si>
  <si>
    <t>aY</t>
  </si>
  <si>
    <t>bY</t>
  </si>
  <si>
    <t>sigmaY</t>
  </si>
  <si>
    <t>rhoY</t>
  </si>
  <si>
    <t>(pEY)</t>
  </si>
  <si>
    <t>Consistency check</t>
  </si>
  <si>
    <t>aU</t>
  </si>
  <si>
    <t>bU</t>
  </si>
  <si>
    <t>sigmaU</t>
  </si>
  <si>
    <t>rhoU</t>
  </si>
  <si>
    <t>U</t>
  </si>
  <si>
    <t>T</t>
  </si>
  <si>
    <t>aKLE</t>
  </si>
  <si>
    <t>bKLE</t>
  </si>
  <si>
    <t>sigmaKLE</t>
  </si>
  <si>
    <t>rhoKLE</t>
  </si>
  <si>
    <t>KLE</t>
  </si>
  <si>
    <t>Revenue</t>
  </si>
  <si>
    <t>(R, not allowed per XL naming conventions)</t>
  </si>
  <si>
    <t>(r, not allowed per XL naming conventions)</t>
  </si>
  <si>
    <t>(C, not allowed per XL naming conventions)</t>
  </si>
  <si>
    <t>(L, not allowed per XL naming conventions)</t>
  </si>
  <si>
    <t>Error</t>
  </si>
  <si>
    <t>Equation</t>
  </si>
  <si>
    <t>pKL</t>
  </si>
  <si>
    <t>pKLE</t>
  </si>
  <si>
    <t>(pMY)</t>
  </si>
  <si>
    <t>GDP</t>
  </si>
  <si>
    <t>Max error</t>
  </si>
  <si>
    <t>sigmaX</t>
  </si>
  <si>
    <t>Target</t>
  </si>
  <si>
    <t>Calibration</t>
  </si>
  <si>
    <t>ERROR1</t>
  </si>
  <si>
    <t>ERROR2</t>
  </si>
  <si>
    <t>ERROR3</t>
  </si>
  <si>
    <t>ERROR4</t>
  </si>
  <si>
    <t>ERROR5</t>
  </si>
  <si>
    <t>ERROR6</t>
  </si>
  <si>
    <t>B</t>
  </si>
  <si>
    <t>D</t>
  </si>
  <si>
    <t>pD</t>
  </si>
  <si>
    <t>IPC</t>
  </si>
  <si>
    <t>Variable</t>
  </si>
  <si>
    <t>Domestic saving rate</t>
  </si>
  <si>
    <t>Public spending effort</t>
  </si>
  <si>
    <t>Investment effort</t>
  </si>
  <si>
    <t>Saving rate on K income</t>
  </si>
  <si>
    <t>sK</t>
  </si>
  <si>
    <t>sL</t>
  </si>
  <si>
    <t>Model</t>
  </si>
  <si>
    <t>En rouge variable du solveur</t>
  </si>
  <si>
    <t>ERROR7</t>
  </si>
  <si>
    <t>Neoclassical</t>
  </si>
  <si>
    <t>Johansen</t>
  </si>
  <si>
    <t>Calibration!sL</t>
  </si>
  <si>
    <t>sD</t>
  </si>
  <si>
    <t>Solver variables</t>
  </si>
  <si>
    <t>Unemployment</t>
  </si>
  <si>
    <t>Profit share</t>
  </si>
  <si>
    <t>Saving rate on L income</t>
  </si>
  <si>
    <t>sigmaw</t>
  </si>
  <si>
    <t>omegaG</t>
  </si>
  <si>
    <t>omegaI</t>
  </si>
  <si>
    <t>Aggregate domestic saving rate</t>
  </si>
  <si>
    <t>Saving rate on capital income</t>
  </si>
  <si>
    <t>Saving rate on labour income</t>
  </si>
  <si>
    <t>pW</t>
  </si>
  <si>
    <t>aX</t>
  </si>
  <si>
    <t>bX</t>
  </si>
  <si>
    <t>rhoX</t>
  </si>
  <si>
    <t>ERROR10</t>
  </si>
  <si>
    <t>ERROR11</t>
  </si>
  <si>
    <t>Armington aggregate of D and M</t>
  </si>
  <si>
    <t>sG</t>
  </si>
  <si>
    <t>Output directed to Domestic markets</t>
  </si>
  <si>
    <t>Total output</t>
  </si>
  <si>
    <t>Imports</t>
  </si>
  <si>
    <t>S</t>
  </si>
  <si>
    <t>pS</t>
  </si>
  <si>
    <t>aS</t>
  </si>
  <si>
    <t>bS</t>
  </si>
  <si>
    <t>sigmaS</t>
  </si>
  <si>
    <t>rhoS</t>
  </si>
  <si>
    <t>(Relative to pKL)</t>
  </si>
  <si>
    <t>ERROR12</t>
  </si>
  <si>
    <t>Only for neoclassical production</t>
  </si>
  <si>
    <t>ERROR8&amp;9</t>
  </si>
  <si>
    <t>Capital market</t>
  </si>
  <si>
    <t>Labour market</t>
  </si>
  <si>
    <t>Trade balance</t>
  </si>
  <si>
    <t>Factor payments</t>
  </si>
  <si>
    <t>Savings/investment</t>
  </si>
  <si>
    <t>Domestic s</t>
  </si>
  <si>
    <t>Keynes-Marshall</t>
  </si>
  <si>
    <t>Keynes-Kaldor</t>
  </si>
  <si>
    <t>Fossil energy control</t>
  </si>
  <si>
    <t>Keynes-I</t>
  </si>
  <si>
    <t>T&amp;S</t>
  </si>
  <si>
    <t>tauTVA2</t>
  </si>
  <si>
    <t>tauTS</t>
  </si>
  <si>
    <t>Saving rate on budget surplus</t>
  </si>
  <si>
    <t>sK-sL</t>
  </si>
  <si>
    <t>tauTSE</t>
  </si>
  <si>
    <t>Absorption</t>
  </si>
  <si>
    <t>Neo-K2</t>
  </si>
  <si>
    <t>Neo-K1</t>
  </si>
  <si>
    <t>Real investment</t>
  </si>
  <si>
    <t>Real wage</t>
  </si>
  <si>
    <t>CPI</t>
  </si>
  <si>
    <t>Keynesian</t>
  </si>
  <si>
    <t>Kaldorian</t>
  </si>
  <si>
    <t>tauTS2</t>
  </si>
  <si>
    <t>Investment volume</t>
  </si>
  <si>
    <t>Public S</t>
  </si>
  <si>
    <t>Labour S</t>
  </si>
  <si>
    <t>Capital S</t>
  </si>
  <si>
    <t>T in GDP</t>
  </si>
  <si>
    <t>Sales tax in GDP</t>
  </si>
  <si>
    <t>L tax in GDP</t>
  </si>
  <si>
    <t>Y tax in GDP</t>
  </si>
  <si>
    <t>E sales tax in GDP</t>
  </si>
  <si>
    <t>Q sales tax in GDP</t>
  </si>
  <si>
    <t>w/pK</t>
  </si>
  <si>
    <t>GDP price index</t>
  </si>
  <si>
    <t>Real GDP</t>
  </si>
  <si>
    <t>Non-E output</t>
  </si>
  <si>
    <t>E output</t>
  </si>
  <si>
    <t>E imports</t>
  </si>
  <si>
    <t>REER</t>
  </si>
  <si>
    <t>C price index</t>
  </si>
  <si>
    <t>M price index</t>
  </si>
  <si>
    <t>C in GDP</t>
  </si>
  <si>
    <t>G in GDP</t>
  </si>
  <si>
    <t>I in GDP</t>
  </si>
  <si>
    <t>X in GDP</t>
  </si>
  <si>
    <t>M in GDP</t>
  </si>
  <si>
    <t>wL in GDP</t>
  </si>
  <si>
    <t>rK in GDP</t>
  </si>
  <si>
    <t>S_G in GDP</t>
  </si>
  <si>
    <t>S_L in GDP</t>
  </si>
  <si>
    <t>S_K in GDP</t>
  </si>
  <si>
    <t>Output taxes</t>
  </si>
  <si>
    <t>WorldBank WDI</t>
  </si>
  <si>
    <t>Copier-Coller du tableau UE 2022 - Fichier matrix_eu-ic-io_prod-by-prod_24ed_2022</t>
  </si>
  <si>
    <t>Employment</t>
  </si>
  <si>
    <t>Energy control</t>
  </si>
  <si>
    <t>Welfare</t>
  </si>
  <si>
    <t>Energy tax rate</t>
  </si>
  <si>
    <t>VA-share of K</t>
  </si>
  <si>
    <t>From Results sheet</t>
  </si>
  <si>
    <t>Closure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</si>
</sst>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_-* #,##0.00\ _€_-;\-* #,##0.00\ _€_-;_-* &quot;-&quot;??\ _€_-;_-@_-"/>
    <numFmt numFmtId="165" formatCode="#,##0;\-#,##0;\-"/>
    <numFmt numFmtId="166" formatCode="0E+00"/>
    <numFmt numFmtId="167" formatCode="\+0.0%;\-0.0%;\i\d."/>
    <numFmt numFmtId="168" formatCode="#,##0.000"/>
    <numFmt numFmtId="169" formatCode="0.0000"/>
    <numFmt numFmtId="170" formatCode="0.000%"/>
    <numFmt numFmtId="171" formatCode="0.0%"/>
    <numFmt numFmtId="172" formatCode="0.000"/>
    <numFmt numFmtId="173" formatCode="#,##0.0000"/>
  </numFmts>
  <fonts count="13" x14ac:knownFonts="1">
    <font>
      <sz val="8"/>
      <color theme="1"/>
      <name val="Arial"/>
      <family val="2"/>
    </font>
    <font>
      <sz val="8"/>
      <name val="Arial"/>
      <family val="2"/>
    </font>
    <font>
      <sz val="8"/>
      <color theme="1"/>
      <name val="Arial"/>
      <family val="2"/>
    </font>
    <font>
      <sz val="8"/>
      <color theme="0"/>
      <name val="Arial"/>
      <family val="2"/>
    </font>
    <font>
      <sz val="8"/>
      <name val="Arial"/>
      <family val="2"/>
    </font>
    <font>
      <b/>
      <sz val="8"/>
      <name val="Arial"/>
      <family val="2"/>
    </font>
    <font>
      <sz val="8"/>
      <color indexed="9"/>
      <name val="Arial"/>
      <family val="2"/>
    </font>
    <font>
      <sz val="8"/>
      <color rgb="FFFF0000"/>
      <name val="Arial"/>
      <family val="2"/>
    </font>
    <font>
      <b/>
      <sz val="8"/>
      <color theme="1"/>
      <name val="Arial"/>
      <family val="2"/>
    </font>
    <font>
      <sz val="10"/>
      <name val="Arial"/>
      <family val="2"/>
    </font>
    <font>
      <sz val="8"/>
      <color rgb="FF000000"/>
      <name val="Arial"/>
      <family val="2"/>
    </font>
    <font>
      <sz val="9"/>
      <color indexed="81"/>
      <name val="Tahoma"/>
      <family val="2"/>
    </font>
    <font>
      <b/>
      <sz val="9"/>
      <color indexed="81"/>
      <name val="Tahoma"/>
      <family val="2"/>
    </font>
  </fonts>
  <fills count="7">
    <fill>
      <patternFill patternType="none"/>
    </fill>
    <fill>
      <patternFill patternType="gray125"/>
    </fill>
    <fill>
      <patternFill patternType="solid">
        <fgColor rgb="FF666699"/>
        <bgColor indexed="64"/>
      </patternFill>
    </fill>
    <fill>
      <patternFill patternType="solid">
        <fgColor indexed="22"/>
        <bgColor indexed="64"/>
      </patternFill>
    </fill>
    <fill>
      <patternFill patternType="solid">
        <fgColor theme="1"/>
        <bgColor indexed="64"/>
      </patternFill>
    </fill>
    <fill>
      <patternFill patternType="solid">
        <fgColor rgb="FF438787"/>
        <bgColor indexed="64"/>
      </patternFill>
    </fill>
    <fill>
      <patternFill patternType="solid">
        <fgColor theme="5" tint="-0.249977111117893"/>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164" fontId="2" fillId="0" borderId="0" applyFont="0" applyFill="0" applyBorder="0" applyAlignment="0" applyProtection="0"/>
    <xf numFmtId="9" fontId="2" fillId="0" borderId="0" applyFont="0" applyFill="0" applyBorder="0" applyAlignment="0" applyProtection="0"/>
    <xf numFmtId="165" fontId="4" fillId="0" borderId="0" applyFill="0" applyBorder="0" applyProtection="0">
      <alignment vertical="center"/>
    </xf>
    <xf numFmtId="0" fontId="9" fillId="0" borderId="0"/>
  </cellStyleXfs>
  <cellXfs count="207">
    <xf numFmtId="0" fontId="0" fillId="0" borderId="0" xfId="0"/>
    <xf numFmtId="0" fontId="4" fillId="0" borderId="0" xfId="0" applyFont="1"/>
    <xf numFmtId="0" fontId="4" fillId="0" borderId="1" xfId="0" applyFont="1" applyBorder="1"/>
    <xf numFmtId="0" fontId="4" fillId="0" borderId="2" xfId="0" applyFont="1" applyBorder="1"/>
    <xf numFmtId="0" fontId="4" fillId="0" borderId="3" xfId="0" applyFont="1" applyBorder="1"/>
    <xf numFmtId="0" fontId="4" fillId="0" borderId="4" xfId="0" applyFont="1" applyBorder="1"/>
    <xf numFmtId="0" fontId="4" fillId="0" borderId="5" xfId="0" applyFont="1" applyBorder="1"/>
    <xf numFmtId="165" fontId="3" fillId="2" borderId="7" xfId="0" applyNumberFormat="1" applyFont="1" applyFill="1" applyBorder="1"/>
    <xf numFmtId="0" fontId="3" fillId="2" borderId="8" xfId="0" applyFont="1" applyFill="1" applyBorder="1"/>
    <xf numFmtId="3" fontId="5" fillId="0" borderId="9" xfId="0" applyNumberFormat="1" applyFont="1" applyBorder="1"/>
    <xf numFmtId="0" fontId="4" fillId="0" borderId="7" xfId="0" applyFont="1" applyBorder="1"/>
    <xf numFmtId="3" fontId="5" fillId="0" borderId="13" xfId="0" applyNumberFormat="1" applyFont="1" applyBorder="1"/>
    <xf numFmtId="0" fontId="4" fillId="0" borderId="9" xfId="0" applyFont="1" applyBorder="1"/>
    <xf numFmtId="3" fontId="4" fillId="0" borderId="0" xfId="0" applyNumberFormat="1" applyFont="1"/>
    <xf numFmtId="0" fontId="4" fillId="0" borderId="14" xfId="0" applyFont="1" applyBorder="1"/>
    <xf numFmtId="0" fontId="4" fillId="0" borderId="10" xfId="0" applyFont="1" applyBorder="1"/>
    <xf numFmtId="3" fontId="4" fillId="0" borderId="6" xfId="1" applyNumberFormat="1" applyFont="1" applyFill="1" applyBorder="1" applyAlignment="1" applyProtection="1">
      <alignment vertical="center"/>
      <protection locked="0"/>
    </xf>
    <xf numFmtId="165" fontId="5" fillId="0" borderId="3" xfId="0" applyNumberFormat="1" applyFont="1" applyBorder="1"/>
    <xf numFmtId="165" fontId="5" fillId="0" borderId="5" xfId="0" applyNumberFormat="1" applyFont="1" applyBorder="1"/>
    <xf numFmtId="3" fontId="4" fillId="0" borderId="0" xfId="0" applyNumberFormat="1" applyFont="1" applyAlignment="1">
      <alignment horizontal="right"/>
    </xf>
    <xf numFmtId="3" fontId="4" fillId="0" borderId="3" xfId="0" applyNumberFormat="1" applyFont="1" applyBorder="1"/>
    <xf numFmtId="3" fontId="4" fillId="0" borderId="5" xfId="0" applyNumberFormat="1" applyFont="1" applyBorder="1"/>
    <xf numFmtId="0" fontId="5" fillId="0" borderId="0" xfId="0" applyFont="1" applyAlignment="1">
      <alignment horizontal="right"/>
    </xf>
    <xf numFmtId="3" fontId="4" fillId="0" borderId="0" xfId="2" applyNumberFormat="1" applyFont="1" applyAlignment="1">
      <alignment horizontal="right"/>
    </xf>
    <xf numFmtId="3" fontId="4" fillId="0" borderId="0" xfId="2" applyNumberFormat="1" applyFont="1" applyFill="1" applyAlignment="1">
      <alignment horizontal="center"/>
    </xf>
    <xf numFmtId="3" fontId="4" fillId="0" borderId="0" xfId="2" applyNumberFormat="1" applyFont="1"/>
    <xf numFmtId="0" fontId="3" fillId="2" borderId="0" xfId="0" applyFont="1" applyFill="1"/>
    <xf numFmtId="3" fontId="0" fillId="0" borderId="0" xfId="0" applyNumberFormat="1"/>
    <xf numFmtId="0" fontId="3" fillId="2" borderId="7" xfId="0" applyFont="1" applyFill="1" applyBorder="1"/>
    <xf numFmtId="3" fontId="3" fillId="2" borderId="7" xfId="0" applyNumberFormat="1" applyFont="1" applyFill="1" applyBorder="1"/>
    <xf numFmtId="3" fontId="3" fillId="2" borderId="8" xfId="0" applyNumberFormat="1" applyFont="1" applyFill="1" applyBorder="1"/>
    <xf numFmtId="3" fontId="0" fillId="0" borderId="1" xfId="0" applyNumberFormat="1" applyBorder="1"/>
    <xf numFmtId="3" fontId="0" fillId="0" borderId="6" xfId="0" applyNumberFormat="1" applyBorder="1"/>
    <xf numFmtId="3" fontId="0" fillId="0" borderId="10" xfId="0" applyNumberFormat="1" applyBorder="1"/>
    <xf numFmtId="3" fontId="0" fillId="0" borderId="11" xfId="0" applyNumberFormat="1" applyBorder="1"/>
    <xf numFmtId="2" fontId="0" fillId="0" borderId="1" xfId="0" applyNumberFormat="1" applyBorder="1"/>
    <xf numFmtId="2" fontId="0" fillId="0" borderId="6" xfId="0" applyNumberFormat="1" applyBorder="1"/>
    <xf numFmtId="2" fontId="0" fillId="0" borderId="10" xfId="0" applyNumberFormat="1" applyBorder="1"/>
    <xf numFmtId="2" fontId="0" fillId="0" borderId="11" xfId="0" applyNumberFormat="1" applyBorder="1"/>
    <xf numFmtId="3" fontId="0" fillId="0" borderId="7" xfId="0" applyNumberFormat="1" applyBorder="1"/>
    <xf numFmtId="3" fontId="0" fillId="0" borderId="8" xfId="0" applyNumberFormat="1" applyBorder="1"/>
    <xf numFmtId="9" fontId="0" fillId="0" borderId="1" xfId="2" applyFont="1" applyBorder="1"/>
    <xf numFmtId="9" fontId="0" fillId="0" borderId="6" xfId="2" applyFont="1" applyBorder="1"/>
    <xf numFmtId="9" fontId="0" fillId="0" borderId="10" xfId="2" applyFont="1" applyBorder="1"/>
    <xf numFmtId="9" fontId="0" fillId="0" borderId="7" xfId="2" applyFont="1" applyBorder="1"/>
    <xf numFmtId="9" fontId="0" fillId="0" borderId="8" xfId="2" applyFont="1" applyBorder="1"/>
    <xf numFmtId="3" fontId="4" fillId="0" borderId="11" xfId="0" applyNumberFormat="1" applyFont="1" applyBorder="1"/>
    <xf numFmtId="3" fontId="4" fillId="0" borderId="1" xfId="0" applyNumberFormat="1" applyFont="1" applyBorder="1"/>
    <xf numFmtId="165" fontId="4" fillId="0" borderId="1" xfId="0" applyNumberFormat="1" applyFont="1" applyBorder="1"/>
    <xf numFmtId="165" fontId="4" fillId="0" borderId="6" xfId="0" applyNumberFormat="1" applyFont="1" applyBorder="1"/>
    <xf numFmtId="165" fontId="4" fillId="0" borderId="7" xfId="0" applyNumberFormat="1" applyFont="1" applyBorder="1"/>
    <xf numFmtId="165" fontId="4" fillId="0" borderId="0" xfId="0" applyNumberFormat="1" applyFont="1"/>
    <xf numFmtId="165" fontId="4" fillId="0" borderId="10" xfId="0" applyNumberFormat="1" applyFont="1" applyBorder="1"/>
    <xf numFmtId="165" fontId="4" fillId="0" borderId="11" xfId="0" applyNumberFormat="1" applyFont="1" applyBorder="1"/>
    <xf numFmtId="165" fontId="4" fillId="0" borderId="12" xfId="0" applyNumberFormat="1" applyFont="1" applyBorder="1"/>
    <xf numFmtId="165" fontId="4" fillId="0" borderId="8" xfId="0" applyNumberFormat="1" applyFont="1" applyBorder="1"/>
    <xf numFmtId="3" fontId="4" fillId="0" borderId="7" xfId="0" applyNumberFormat="1" applyFont="1" applyBorder="1"/>
    <xf numFmtId="3" fontId="4" fillId="0" borderId="8" xfId="0" applyNumberFormat="1" applyFont="1" applyBorder="1"/>
    <xf numFmtId="3" fontId="4" fillId="0" borderId="10" xfId="0" applyNumberFormat="1" applyFont="1" applyBorder="1"/>
    <xf numFmtId="0" fontId="0" fillId="0" borderId="0" xfId="0" applyAlignment="1">
      <alignment horizontal="right"/>
    </xf>
    <xf numFmtId="3" fontId="0" fillId="0" borderId="3" xfId="0" applyNumberFormat="1" applyBorder="1"/>
    <xf numFmtId="3" fontId="0" fillId="0" borderId="5" xfId="0" applyNumberFormat="1" applyBorder="1"/>
    <xf numFmtId="3" fontId="0" fillId="0" borderId="15" xfId="0" applyNumberFormat="1" applyBorder="1"/>
    <xf numFmtId="2" fontId="0" fillId="0" borderId="9" xfId="0" applyNumberFormat="1" applyBorder="1"/>
    <xf numFmtId="2" fontId="0" fillId="0" borderId="14" xfId="0" applyNumberFormat="1" applyBorder="1"/>
    <xf numFmtId="2" fontId="0" fillId="0" borderId="13" xfId="0" applyNumberFormat="1" applyBorder="1"/>
    <xf numFmtId="3" fontId="0" fillId="0" borderId="9" xfId="0" applyNumberFormat="1" applyBorder="1"/>
    <xf numFmtId="3" fontId="0" fillId="0" borderId="13" xfId="0" applyNumberFormat="1" applyBorder="1"/>
    <xf numFmtId="167" fontId="0" fillId="0" borderId="1" xfId="0" applyNumberFormat="1" applyBorder="1"/>
    <xf numFmtId="167" fontId="0" fillId="0" borderId="6" xfId="0" applyNumberFormat="1" applyBorder="1"/>
    <xf numFmtId="167" fontId="0" fillId="0" borderId="7" xfId="0" applyNumberFormat="1" applyBorder="1"/>
    <xf numFmtId="167" fontId="0" fillId="0" borderId="8" xfId="0" applyNumberFormat="1" applyBorder="1"/>
    <xf numFmtId="167" fontId="0" fillId="0" borderId="10" xfId="0" applyNumberFormat="1" applyBorder="1"/>
    <xf numFmtId="167" fontId="0" fillId="0" borderId="11" xfId="0" applyNumberFormat="1" applyBorder="1"/>
    <xf numFmtId="167" fontId="0" fillId="0" borderId="9" xfId="0" applyNumberFormat="1" applyBorder="1"/>
    <xf numFmtId="167" fontId="0" fillId="0" borderId="14" xfId="0" applyNumberFormat="1" applyBorder="1"/>
    <xf numFmtId="167" fontId="0" fillId="0" borderId="13" xfId="0" applyNumberFormat="1" applyBorder="1"/>
    <xf numFmtId="168" fontId="0" fillId="0" borderId="14" xfId="0" applyNumberFormat="1" applyBorder="1"/>
    <xf numFmtId="0" fontId="0" fillId="0" borderId="0" xfId="0" applyAlignment="1">
      <alignment horizontal="center"/>
    </xf>
    <xf numFmtId="3" fontId="7" fillId="0" borderId="7" xfId="0" applyNumberFormat="1" applyFont="1" applyBorder="1" applyAlignment="1">
      <alignment horizontal="right"/>
    </xf>
    <xf numFmtId="3" fontId="7" fillId="0" borderId="8" xfId="0" applyNumberFormat="1" applyFont="1" applyBorder="1" applyAlignment="1">
      <alignment horizontal="right"/>
    </xf>
    <xf numFmtId="3" fontId="7" fillId="0" borderId="1" xfId="0" applyNumberFormat="1" applyFont="1" applyBorder="1"/>
    <xf numFmtId="3" fontId="7" fillId="0" borderId="6" xfId="0" applyNumberFormat="1" applyFont="1" applyBorder="1"/>
    <xf numFmtId="165" fontId="7" fillId="0" borderId="14" xfId="0" applyNumberFormat="1" applyFont="1" applyBorder="1"/>
    <xf numFmtId="3" fontId="0" fillId="0" borderId="1" xfId="0" applyNumberFormat="1" applyBorder="1" applyAlignment="1">
      <alignment horizontal="right"/>
    </xf>
    <xf numFmtId="3" fontId="0" fillId="0" borderId="6" xfId="0" applyNumberFormat="1" applyBorder="1" applyAlignment="1">
      <alignment horizontal="right"/>
    </xf>
    <xf numFmtId="3" fontId="0" fillId="0" borderId="7" xfId="0" applyNumberFormat="1" applyBorder="1" applyAlignment="1">
      <alignment horizontal="right"/>
    </xf>
    <xf numFmtId="3" fontId="0" fillId="0" borderId="8" xfId="0" applyNumberFormat="1" applyBorder="1" applyAlignment="1">
      <alignment horizontal="right"/>
    </xf>
    <xf numFmtId="9" fontId="3" fillId="5" borderId="1" xfId="2" applyFont="1" applyFill="1" applyBorder="1"/>
    <xf numFmtId="9" fontId="3" fillId="5" borderId="6" xfId="2" applyFont="1" applyFill="1" applyBorder="1"/>
    <xf numFmtId="9" fontId="3" fillId="5" borderId="10" xfId="2" applyFont="1" applyFill="1" applyBorder="1"/>
    <xf numFmtId="9" fontId="3" fillId="2" borderId="15" xfId="0" applyNumberFormat="1" applyFont="1" applyFill="1" applyBorder="1"/>
    <xf numFmtId="0" fontId="8" fillId="0" borderId="0" xfId="0" applyFont="1"/>
    <xf numFmtId="3" fontId="7" fillId="0" borderId="7" xfId="0" applyNumberFormat="1" applyFont="1" applyBorder="1"/>
    <xf numFmtId="3" fontId="7" fillId="0" borderId="8" xfId="0" applyNumberFormat="1" applyFont="1" applyBorder="1"/>
    <xf numFmtId="3" fontId="3" fillId="5" borderId="7" xfId="0" applyNumberFormat="1" applyFont="1" applyFill="1" applyBorder="1"/>
    <xf numFmtId="3" fontId="3" fillId="5" borderId="8" xfId="0" applyNumberFormat="1" applyFont="1" applyFill="1" applyBorder="1"/>
    <xf numFmtId="3" fontId="1" fillId="0" borderId="0" xfId="0" applyNumberFormat="1" applyFont="1"/>
    <xf numFmtId="3" fontId="1" fillId="0" borderId="1" xfId="0" applyNumberFormat="1" applyFont="1" applyBorder="1"/>
    <xf numFmtId="3" fontId="1" fillId="0" borderId="6" xfId="1" applyNumberFormat="1" applyFont="1" applyFill="1" applyBorder="1" applyAlignment="1" applyProtection="1">
      <alignment vertical="center"/>
      <protection locked="0"/>
    </xf>
    <xf numFmtId="3" fontId="1" fillId="0" borderId="0" xfId="0" applyNumberFormat="1" applyFont="1" applyAlignment="1">
      <alignment horizontal="right"/>
    </xf>
    <xf numFmtId="3" fontId="1" fillId="0" borderId="3" xfId="0" applyNumberFormat="1" applyFont="1" applyBorder="1"/>
    <xf numFmtId="3" fontId="1" fillId="0" borderId="5" xfId="0" applyNumberFormat="1" applyFont="1" applyBorder="1"/>
    <xf numFmtId="0" fontId="1" fillId="0" borderId="0" xfId="0" applyFont="1"/>
    <xf numFmtId="165" fontId="5" fillId="0" borderId="10" xfId="0" applyNumberFormat="1" applyFont="1" applyBorder="1"/>
    <xf numFmtId="165" fontId="5" fillId="0" borderId="11" xfId="0" applyNumberFormat="1" applyFont="1" applyBorder="1"/>
    <xf numFmtId="0" fontId="7" fillId="0" borderId="0" xfId="0" applyFont="1"/>
    <xf numFmtId="0" fontId="8" fillId="0" borderId="0" xfId="0" applyFont="1" applyAlignment="1">
      <alignment horizontal="right"/>
    </xf>
    <xf numFmtId="9" fontId="4" fillId="0" borderId="0" xfId="2" applyFont="1" applyFill="1"/>
    <xf numFmtId="169" fontId="0" fillId="0" borderId="0" xfId="0" applyNumberFormat="1"/>
    <xf numFmtId="3" fontId="1" fillId="0" borderId="7" xfId="0" applyNumberFormat="1" applyFont="1" applyBorder="1"/>
    <xf numFmtId="3" fontId="0" fillId="0" borderId="14" xfId="0" applyNumberFormat="1" applyBorder="1"/>
    <xf numFmtId="3" fontId="1" fillId="0" borderId="9" xfId="0" applyNumberFormat="1" applyFont="1" applyBorder="1"/>
    <xf numFmtId="166" fontId="1" fillId="3" borderId="0" xfId="4" quotePrefix="1" applyNumberFormat="1" applyFont="1" applyFill="1"/>
    <xf numFmtId="166" fontId="1" fillId="3" borderId="15" xfId="4" quotePrefix="1" applyNumberFormat="1" applyFont="1" applyFill="1" applyBorder="1"/>
    <xf numFmtId="165" fontId="0" fillId="0" borderId="0" xfId="0" applyNumberFormat="1"/>
    <xf numFmtId="166" fontId="0" fillId="0" borderId="0" xfId="0" applyNumberFormat="1"/>
    <xf numFmtId="0" fontId="5" fillId="0" borderId="0" xfId="0" applyFont="1"/>
    <xf numFmtId="165" fontId="4" fillId="0" borderId="3" xfId="0" applyNumberFormat="1" applyFont="1" applyBorder="1"/>
    <xf numFmtId="165" fontId="4" fillId="0" borderId="5" xfId="0" applyNumberFormat="1" applyFont="1" applyBorder="1"/>
    <xf numFmtId="166" fontId="1" fillId="3" borderId="3" xfId="4" quotePrefix="1" applyNumberFormat="1" applyFont="1" applyFill="1" applyBorder="1"/>
    <xf numFmtId="166" fontId="1" fillId="3" borderId="5" xfId="4" quotePrefix="1" applyNumberFormat="1" applyFont="1" applyFill="1" applyBorder="1"/>
    <xf numFmtId="166" fontId="3" fillId="4" borderId="0" xfId="0" applyNumberFormat="1" applyFont="1" applyFill="1"/>
    <xf numFmtId="0" fontId="3" fillId="2" borderId="14" xfId="0" applyFont="1" applyFill="1" applyBorder="1"/>
    <xf numFmtId="165" fontId="0" fillId="0" borderId="14" xfId="0" applyNumberFormat="1" applyBorder="1"/>
    <xf numFmtId="167" fontId="0" fillId="0" borderId="0" xfId="0" applyNumberFormat="1"/>
    <xf numFmtId="2" fontId="0" fillId="0" borderId="0" xfId="0" applyNumberFormat="1"/>
    <xf numFmtId="0" fontId="8" fillId="0" borderId="0" xfId="0" applyFont="1" applyAlignment="1">
      <alignment horizontal="center"/>
    </xf>
    <xf numFmtId="9" fontId="3" fillId="0" borderId="0" xfId="2" applyFont="1" applyFill="1" applyBorder="1"/>
    <xf numFmtId="168" fontId="0" fillId="0" borderId="0" xfId="0" applyNumberFormat="1"/>
    <xf numFmtId="9" fontId="3" fillId="0" borderId="0" xfId="0" applyNumberFormat="1" applyFont="1"/>
    <xf numFmtId="165" fontId="3" fillId="2" borderId="0" xfId="0" applyNumberFormat="1" applyFont="1" applyFill="1"/>
    <xf numFmtId="0" fontId="4" fillId="0" borderId="6" xfId="0" applyFont="1" applyBorder="1"/>
    <xf numFmtId="165" fontId="3" fillId="2" borderId="1" xfId="0" applyNumberFormat="1" applyFont="1" applyFill="1" applyBorder="1"/>
    <xf numFmtId="165" fontId="3" fillId="2" borderId="2" xfId="0" applyNumberFormat="1" applyFont="1" applyFill="1" applyBorder="1"/>
    <xf numFmtId="165" fontId="3" fillId="2" borderId="9" xfId="0" applyNumberFormat="1" applyFont="1" applyFill="1" applyBorder="1"/>
    <xf numFmtId="165" fontId="3" fillId="2" borderId="10" xfId="0" applyNumberFormat="1" applyFont="1" applyFill="1" applyBorder="1"/>
    <xf numFmtId="165" fontId="3" fillId="2" borderId="12" xfId="0" applyNumberFormat="1" applyFont="1" applyFill="1" applyBorder="1"/>
    <xf numFmtId="165" fontId="3" fillId="2" borderId="13" xfId="0" applyNumberFormat="1" applyFont="1" applyFill="1" applyBorder="1"/>
    <xf numFmtId="165" fontId="3" fillId="2" borderId="6" xfId="0" applyNumberFormat="1" applyFont="1" applyFill="1" applyBorder="1"/>
    <xf numFmtId="165" fontId="3" fillId="2" borderId="8" xfId="0" applyNumberFormat="1" applyFont="1" applyFill="1" applyBorder="1"/>
    <xf numFmtId="165" fontId="3" fillId="2" borderId="11" xfId="0" applyNumberFormat="1" applyFont="1" applyFill="1" applyBorder="1"/>
    <xf numFmtId="165" fontId="3" fillId="2" borderId="3" xfId="0" applyNumberFormat="1" applyFont="1" applyFill="1" applyBorder="1"/>
    <xf numFmtId="165" fontId="3" fillId="2" borderId="5" xfId="0" applyNumberFormat="1" applyFont="1" applyFill="1" applyBorder="1"/>
    <xf numFmtId="3" fontId="7" fillId="0" borderId="10" xfId="2" applyNumberFormat="1" applyFont="1" applyFill="1" applyBorder="1"/>
    <xf numFmtId="3" fontId="7" fillId="0" borderId="11" xfId="2" applyNumberFormat="1" applyFont="1" applyFill="1" applyBorder="1"/>
    <xf numFmtId="3" fontId="7" fillId="0" borderId="7" xfId="2" applyNumberFormat="1" applyFont="1" applyFill="1" applyBorder="1"/>
    <xf numFmtId="3" fontId="7" fillId="0" borderId="8" xfId="2" applyNumberFormat="1" applyFont="1" applyFill="1" applyBorder="1"/>
    <xf numFmtId="165" fontId="7" fillId="0" borderId="10" xfId="0" applyNumberFormat="1" applyFont="1" applyBorder="1"/>
    <xf numFmtId="165" fontId="7" fillId="0" borderId="7" xfId="0" applyNumberFormat="1" applyFont="1" applyBorder="1"/>
    <xf numFmtId="0" fontId="0" fillId="0" borderId="8" xfId="0" applyBorder="1"/>
    <xf numFmtId="165" fontId="7" fillId="0" borderId="11" xfId="0" applyNumberFormat="1" applyFont="1" applyBorder="1"/>
    <xf numFmtId="9" fontId="0" fillId="0" borderId="0" xfId="2" applyFont="1" applyBorder="1"/>
    <xf numFmtId="171" fontId="0" fillId="0" borderId="9" xfId="2" applyNumberFormat="1" applyFont="1" applyBorder="1"/>
    <xf numFmtId="171" fontId="1" fillId="0" borderId="14" xfId="2" applyNumberFormat="1" applyFont="1" applyFill="1" applyBorder="1"/>
    <xf numFmtId="171" fontId="3" fillId="2" borderId="15" xfId="2" applyNumberFormat="1" applyFont="1" applyFill="1" applyBorder="1"/>
    <xf numFmtId="11" fontId="0" fillId="0" borderId="0" xfId="0" applyNumberFormat="1"/>
    <xf numFmtId="165" fontId="7" fillId="0" borderId="8" xfId="0" applyNumberFormat="1" applyFont="1" applyBorder="1"/>
    <xf numFmtId="3" fontId="1" fillId="0" borderId="10" xfId="0" applyNumberFormat="1" applyFont="1" applyBorder="1"/>
    <xf numFmtId="3" fontId="1" fillId="0" borderId="11" xfId="0" applyNumberFormat="1" applyFont="1" applyBorder="1"/>
    <xf numFmtId="3" fontId="3" fillId="2" borderId="10" xfId="0" applyNumberFormat="1" applyFont="1" applyFill="1" applyBorder="1"/>
    <xf numFmtId="3" fontId="3" fillId="2" borderId="11" xfId="0" applyNumberFormat="1" applyFont="1" applyFill="1" applyBorder="1"/>
    <xf numFmtId="3" fontId="3" fillId="2" borderId="1" xfId="0" applyNumberFormat="1" applyFont="1" applyFill="1" applyBorder="1"/>
    <xf numFmtId="3" fontId="3" fillId="2" borderId="6" xfId="0" applyNumberFormat="1" applyFont="1" applyFill="1" applyBorder="1"/>
    <xf numFmtId="3" fontId="1" fillId="0" borderId="8" xfId="0" applyNumberFormat="1" applyFont="1" applyBorder="1"/>
    <xf numFmtId="3" fontId="1" fillId="0" borderId="11" xfId="2" applyNumberFormat="1" applyFont="1" applyFill="1" applyBorder="1"/>
    <xf numFmtId="171" fontId="3" fillId="6" borderId="0" xfId="0" applyNumberFormat="1" applyFont="1" applyFill="1"/>
    <xf numFmtId="171" fontId="0" fillId="0" borderId="0" xfId="2" applyNumberFormat="1" applyFont="1" applyBorder="1"/>
    <xf numFmtId="3" fontId="3" fillId="2" borderId="10" xfId="2" applyNumberFormat="1" applyFont="1" applyFill="1" applyBorder="1"/>
    <xf numFmtId="3" fontId="3" fillId="2" borderId="11" xfId="2" applyNumberFormat="1" applyFont="1" applyFill="1" applyBorder="1"/>
    <xf numFmtId="172" fontId="3" fillId="2" borderId="7" xfId="0" applyNumberFormat="1" applyFont="1" applyFill="1" applyBorder="1"/>
    <xf numFmtId="172" fontId="3" fillId="2" borderId="8" xfId="0" applyNumberFormat="1" applyFont="1" applyFill="1" applyBorder="1"/>
    <xf numFmtId="171" fontId="0" fillId="0" borderId="13" xfId="2" applyNumberFormat="1" applyFont="1" applyBorder="1"/>
    <xf numFmtId="172" fontId="0" fillId="0" borderId="1" xfId="0" applyNumberFormat="1" applyBorder="1"/>
    <xf numFmtId="172" fontId="0" fillId="0" borderId="6" xfId="0" applyNumberFormat="1" applyBorder="1"/>
    <xf numFmtId="172" fontId="0" fillId="0" borderId="7" xfId="0" applyNumberFormat="1" applyBorder="1"/>
    <xf numFmtId="172" fontId="0" fillId="0" borderId="8" xfId="0" applyNumberFormat="1" applyBorder="1"/>
    <xf numFmtId="172" fontId="3" fillId="2" borderId="3" xfId="1" applyNumberFormat="1" applyFont="1" applyFill="1" applyBorder="1"/>
    <xf numFmtId="172" fontId="3" fillId="2" borderId="5" xfId="1" applyNumberFormat="1" applyFont="1" applyFill="1" applyBorder="1"/>
    <xf numFmtId="172" fontId="0" fillId="0" borderId="10" xfId="0" applyNumberFormat="1" applyBorder="1"/>
    <xf numFmtId="172" fontId="0" fillId="0" borderId="11" xfId="0" applyNumberFormat="1" applyBorder="1"/>
    <xf numFmtId="172" fontId="0" fillId="0" borderId="0" xfId="0" applyNumberFormat="1"/>
    <xf numFmtId="171" fontId="3" fillId="5" borderId="14" xfId="2" applyNumberFormat="1" applyFont="1" applyFill="1" applyBorder="1"/>
    <xf numFmtId="171" fontId="0" fillId="0" borderId="0" xfId="2" applyNumberFormat="1" applyFont="1"/>
    <xf numFmtId="0" fontId="5" fillId="0" borderId="0" xfId="0" applyFont="1" applyAlignment="1">
      <alignment horizontal="center"/>
    </xf>
    <xf numFmtId="0" fontId="1" fillId="0" borderId="1" xfId="0" applyFont="1" applyBorder="1"/>
    <xf numFmtId="9" fontId="7" fillId="0" borderId="8" xfId="2" applyFont="1" applyFill="1" applyBorder="1"/>
    <xf numFmtId="9" fontId="7" fillId="0" borderId="11" xfId="2" applyFont="1" applyFill="1" applyBorder="1"/>
    <xf numFmtId="10" fontId="7" fillId="0" borderId="15" xfId="0" applyNumberFormat="1" applyFont="1" applyBorder="1"/>
    <xf numFmtId="10" fontId="0" fillId="0" borderId="0" xfId="0" applyNumberFormat="1" applyAlignment="1">
      <alignment horizontal="center"/>
    </xf>
    <xf numFmtId="0" fontId="0" fillId="0" borderId="0" xfId="0" applyAlignment="1">
      <alignment horizontal="left"/>
    </xf>
    <xf numFmtId="172" fontId="0" fillId="0" borderId="13" xfId="0" applyNumberFormat="1" applyBorder="1"/>
    <xf numFmtId="168" fontId="0" fillId="0" borderId="13" xfId="0" applyNumberFormat="1" applyBorder="1"/>
    <xf numFmtId="10" fontId="3" fillId="5" borderId="7" xfId="2" applyNumberFormat="1" applyFont="1" applyFill="1" applyBorder="1"/>
    <xf numFmtId="10" fontId="3" fillId="5" borderId="8" xfId="2" applyNumberFormat="1" applyFont="1" applyFill="1" applyBorder="1"/>
    <xf numFmtId="171" fontId="0" fillId="0" borderId="0" xfId="0" applyNumberFormat="1"/>
    <xf numFmtId="0" fontId="1" fillId="0" borderId="14" xfId="0" applyFont="1" applyBorder="1"/>
    <xf numFmtId="2" fontId="3" fillId="2" borderId="14" xfId="0" applyNumberFormat="1" applyFont="1" applyFill="1" applyBorder="1"/>
    <xf numFmtId="171" fontId="3" fillId="5" borderId="15" xfId="2" applyNumberFormat="1" applyFont="1" applyFill="1" applyBorder="1"/>
    <xf numFmtId="9" fontId="0" fillId="0" borderId="11" xfId="2" applyFont="1" applyBorder="1"/>
    <xf numFmtId="166" fontId="6" fillId="3" borderId="0" xfId="0" applyNumberFormat="1" applyFont="1" applyFill="1" applyAlignment="1">
      <alignment horizontal="center"/>
    </xf>
    <xf numFmtId="166" fontId="3" fillId="3" borderId="0" xfId="4" quotePrefix="1" applyNumberFormat="1" applyFont="1" applyFill="1"/>
    <xf numFmtId="4" fontId="0" fillId="0" borderId="0" xfId="0" applyNumberFormat="1"/>
    <xf numFmtId="173" fontId="0" fillId="0" borderId="0" xfId="0" applyNumberFormat="1"/>
    <xf numFmtId="9" fontId="3" fillId="2" borderId="0" xfId="0" applyNumberFormat="1" applyFont="1" applyFill="1"/>
    <xf numFmtId="170" fontId="0" fillId="0" borderId="0" xfId="0" applyNumberFormat="1"/>
    <xf numFmtId="9" fontId="0" fillId="0" borderId="0" xfId="0" applyNumberFormat="1"/>
  </cellXfs>
  <cellStyles count="5">
    <cellStyle name="Milliers" xfId="1" builtinId="3"/>
    <cellStyle name="Motif" xfId="3" xr:uid="{00000000-0005-0000-0000-000001000000}"/>
    <cellStyle name="Motif 2" xfId="4" xr:uid="{00000000-0005-0000-0000-000002000000}"/>
    <cellStyle name="Normal" xfId="0" builtinId="0"/>
    <cellStyle name="Pourcentage" xfId="2" builtinId="5"/>
  </cellStyles>
  <dxfs count="1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theme="5" tint="0.59996337778862885"/>
        </patternFill>
      </fill>
    </dxf>
    <dxf>
      <font>
        <color rgb="FF9C0006"/>
      </font>
      <fill>
        <patternFill>
          <bgColor rgb="FFFFC7CE"/>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s>
  <tableStyles count="1" defaultTableStyle="TableStyleMedium9" defaultPivotStyle="PivotStyleLight16">
    <tableStyle name="Invisible" pivot="0" table="0" count="0" xr9:uid="{3462DDAC-82E6-4CE7-B570-CB78552E5574}"/>
  </tableStyles>
  <colors>
    <mruColors>
      <color rgb="FF438787"/>
      <color rgb="FF666699"/>
      <color rgb="FF4189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hartsheet" Target="chartsheets/sheet1.xml"/><Relationship Id="rId18" Type="http://schemas.openxmlformats.org/officeDocument/2006/relationships/chartsheet" Target="chartsheets/sheet6.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1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hartsheet" Target="chartsheets/sheet5.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chartsheet" Target="chartsheets/sheet4.xml"/><Relationship Id="rId20" Type="http://schemas.openxmlformats.org/officeDocument/2006/relationships/worksheet" Target="worksheets/sheet1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hartsheet" Target="chartsheets/sheet3.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2.xml"/><Relationship Id="rId22" Type="http://schemas.openxmlformats.org/officeDocument/2006/relationships/externalLink" Target="externalLinks/externalLink1.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5.0489076522019991E-2"/>
          <c:w val="0.91954496211515768"/>
          <c:h val="0.86934076835108043"/>
        </c:manualLayout>
      </c:layout>
      <c:scatterChart>
        <c:scatterStyle val="smoothMarker"/>
        <c:varyColors val="0"/>
        <c:ser>
          <c:idx val="0"/>
          <c:order val="0"/>
          <c:tx>
            <c:strRef>
              <c:f>'Diagnosis Indicators'!$A$3</c:f>
              <c:strCache>
                <c:ptCount val="1"/>
                <c:pt idx="0">
                  <c:v>Neoclassical</c:v>
                </c:pt>
              </c:strCache>
            </c:strRef>
          </c:tx>
          <c:spPr>
            <a:ln w="25400" cap="rnd">
              <a:solidFill>
                <a:schemeClr val="accent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Indicators'!$B$3:$Y$3</c:f>
              <c:numCache>
                <c:formatCode>#,##0.000</c:formatCode>
                <c:ptCount val="24"/>
                <c:pt idx="0">
                  <c:v>1</c:v>
                </c:pt>
                <c:pt idx="1">
                  <c:v>0.99302062677919511</c:v>
                </c:pt>
                <c:pt idx="2">
                  <c:v>0.98553972486380859</c:v>
                </c:pt>
                <c:pt idx="3">
                  <c:v>0.97748996340967742</c:v>
                </c:pt>
                <c:pt idx="4">
                  <c:v>0.96879045452105683</c:v>
                </c:pt>
                <c:pt idx="5">
                  <c:v>0.9593428566500678</c:v>
                </c:pt>
                <c:pt idx="6">
                  <c:v>0.94902557946986699</c:v>
                </c:pt>
                <c:pt idx="7">
                  <c:v>0.93768551077657025</c:v>
                </c:pt>
                <c:pt idx="8">
                  <c:v>0.92512554604070263</c:v>
                </c:pt>
                <c:pt idx="9">
                  <c:v>0.91108484375636389</c:v>
                </c:pt>
                <c:pt idx="10">
                  <c:v>0.8952070839223939</c:v>
                </c:pt>
                <c:pt idx="11">
                  <c:v>0.87698688468025743</c:v>
                </c:pt>
                <c:pt idx="12">
                  <c:v>0.85567555501051518</c:v>
                </c:pt>
                <c:pt idx="13">
                  <c:v>0.83010944949893217</c:v>
                </c:pt>
                <c:pt idx="14">
                  <c:v>0.79838810296648222</c:v>
                </c:pt>
                <c:pt idx="15">
                  <c:v>0.75728015797189818</c:v>
                </c:pt>
                <c:pt idx="16">
                  <c:v>0.70122795461443421</c:v>
                </c:pt>
                <c:pt idx="17">
                  <c:v>0.62090077428746848</c:v>
                </c:pt>
                <c:pt idx="18">
                  <c:v>0.49998637086338488</c:v>
                </c:pt>
                <c:pt idx="19">
                  <c:v>0.30271960794022484</c:v>
                </c:pt>
                <c:pt idx="20">
                  <c:v>0.24781961832821592</c:v>
                </c:pt>
                <c:pt idx="21">
                  <c:v>0.18593055021836416</c:v>
                </c:pt>
                <c:pt idx="22">
                  <c:v>0.11716740552071138</c:v>
                </c:pt>
                <c:pt idx="23">
                  <c:v>4.587695530615752E-2</c:v>
                </c:pt>
              </c:numCache>
            </c:numRef>
          </c:yVal>
          <c:smooth val="1"/>
          <c:extLst>
            <c:ext xmlns:c16="http://schemas.microsoft.com/office/drawing/2014/chart" uri="{C3380CC4-5D6E-409C-BE32-E72D297353CC}">
              <c16:uniqueId val="{00000000-C093-4C38-8D34-BC5EA4637B9C}"/>
            </c:ext>
          </c:extLst>
        </c:ser>
        <c:ser>
          <c:idx val="5"/>
          <c:order val="1"/>
          <c:tx>
            <c:strRef>
              <c:f>'Diagnosis Indicators'!$A$4</c:f>
              <c:strCache>
                <c:ptCount val="1"/>
                <c:pt idx="0">
                  <c:v>Kaldorian</c:v>
                </c:pt>
              </c:strCache>
            </c:strRef>
          </c:tx>
          <c:spPr>
            <a:ln w="25400" cap="rnd">
              <a:solidFill>
                <a:schemeClr val="accent2"/>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Indicators'!$B$4:$Y$4</c:f>
              <c:numCache>
                <c:formatCode>#,##0.000</c:formatCode>
                <c:ptCount val="24"/>
                <c:pt idx="0">
                  <c:v>1</c:v>
                </c:pt>
                <c:pt idx="1">
                  <c:v>0.99787249060470684</c:v>
                </c:pt>
                <c:pt idx="2">
                  <c:v>0.99532889861171903</c:v>
                </c:pt>
                <c:pt idx="3">
                  <c:v>0.992312529748827</c:v>
                </c:pt>
                <c:pt idx="4">
                  <c:v>0.98875526526714752</c:v>
                </c:pt>
                <c:pt idx="5">
                  <c:v>0.9845736509407903</c:v>
                </c:pt>
                <c:pt idx="6">
                  <c:v>0.9796652696443181</c:v>
                </c:pt>
                <c:pt idx="7">
                  <c:v>0.973900989527685</c:v>
                </c:pt>
                <c:pt idx="8">
                  <c:v>0.96711542887366642</c:v>
                </c:pt>
                <c:pt idx="9">
                  <c:v>0.95909165220050174</c:v>
                </c:pt>
                <c:pt idx="10">
                  <c:v>0.94953659227144582</c:v>
                </c:pt>
                <c:pt idx="11">
                  <c:v>0.93804056496524935</c:v>
                </c:pt>
                <c:pt idx="12">
                  <c:v>0.92400649813386526</c:v>
                </c:pt>
                <c:pt idx="13">
                  <c:v>0.90652052568700381</c:v>
                </c:pt>
                <c:pt idx="14">
                  <c:v>0.8841034548773955</c:v>
                </c:pt>
                <c:pt idx="15">
                  <c:v>0.85422091138367884</c:v>
                </c:pt>
                <c:pt idx="16">
                  <c:v>0.81232022253755731</c:v>
                </c:pt>
                <c:pt idx="17">
                  <c:v>0.74990401488347702</c:v>
                </c:pt>
                <c:pt idx="18">
                  <c:v>0.64947568599901417</c:v>
                </c:pt>
              </c:numCache>
            </c:numRef>
          </c:yVal>
          <c:smooth val="1"/>
          <c:extLst xmlns:c15="http://schemas.microsoft.com/office/drawing/2012/chart">
            <c:ext xmlns:c16="http://schemas.microsoft.com/office/drawing/2014/chart" uri="{C3380CC4-5D6E-409C-BE32-E72D297353CC}">
              <c16:uniqueId val="{00000005-C093-4C38-8D34-BC5EA4637B9C}"/>
            </c:ext>
          </c:extLst>
        </c:ser>
        <c:ser>
          <c:idx val="1"/>
          <c:order val="2"/>
          <c:tx>
            <c:strRef>
              <c:f>'Diagnosis Indicators'!$A$5</c:f>
              <c:strCache>
                <c:ptCount val="1"/>
                <c:pt idx="0">
                  <c:v>Johansen</c:v>
                </c:pt>
              </c:strCache>
            </c:strRef>
          </c:tx>
          <c:spPr>
            <a:ln w="25400" cap="rnd">
              <a:solidFill>
                <a:schemeClr val="accent3"/>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Indicators'!$B$5:$Y$5</c:f>
              <c:numCache>
                <c:formatCode>#,##0.000</c:formatCode>
                <c:ptCount val="24"/>
                <c:pt idx="0">
                  <c:v>1</c:v>
                </c:pt>
                <c:pt idx="1">
                  <c:v>0.99789423855811932</c:v>
                </c:pt>
                <c:pt idx="2">
                  <c:v>0.99537296485269977</c:v>
                </c:pt>
                <c:pt idx="3">
                  <c:v>0.99237958567328621</c:v>
                </c:pt>
                <c:pt idx="4">
                  <c:v>0.98884592823561812</c:v>
                </c:pt>
                <c:pt idx="5">
                  <c:v>0.98468892393764018</c:v>
                </c:pt>
                <c:pt idx="6">
                  <c:v>0.97980579842137949</c:v>
                </c:pt>
                <c:pt idx="7">
                  <c:v>0.97406732611841051</c:v>
                </c:pt>
                <c:pt idx="8">
                  <c:v>0.96730777633696396</c:v>
                </c:pt>
                <c:pt idx="9">
                  <c:v>0.95930941199306152</c:v>
                </c:pt>
                <c:pt idx="10">
                  <c:v>0.94977784258756459</c:v>
                </c:pt>
                <c:pt idx="11">
                  <c:v>0.93830113707549367</c:v>
                </c:pt>
                <c:pt idx="12">
                  <c:v>0.92427860103316728</c:v>
                </c:pt>
                <c:pt idx="13">
                  <c:v>0.90679055884660875</c:v>
                </c:pt>
                <c:pt idx="14">
                  <c:v>0.88434963265085353</c:v>
                </c:pt>
                <c:pt idx="15">
                  <c:v>0.85441295093365555</c:v>
                </c:pt>
                <c:pt idx="16">
                  <c:v>0.81243162705890126</c:v>
                </c:pt>
                <c:pt idx="17">
                  <c:v>0.74994186017707209</c:v>
                </c:pt>
                <c:pt idx="18">
                  <c:v>0.64948099060639797</c:v>
                </c:pt>
                <c:pt idx="19">
                  <c:v>0.46476536716926015</c:v>
                </c:pt>
                <c:pt idx="20">
                  <c:v>0.40734468798779588</c:v>
                </c:pt>
                <c:pt idx="21">
                  <c:v>0.3379880894319785</c:v>
                </c:pt>
                <c:pt idx="22">
                  <c:v>0.25229610600956093</c:v>
                </c:pt>
                <c:pt idx="23">
                  <c:v>0.14335126240857823</c:v>
                </c:pt>
              </c:numCache>
            </c:numRef>
          </c:yVal>
          <c:smooth val="1"/>
          <c:extLst>
            <c:ext xmlns:c16="http://schemas.microsoft.com/office/drawing/2014/chart" uri="{C3380CC4-5D6E-409C-BE32-E72D297353CC}">
              <c16:uniqueId val="{00000001-C093-4C38-8D34-BC5EA4637B9C}"/>
            </c:ext>
          </c:extLst>
        </c:ser>
        <c:ser>
          <c:idx val="4"/>
          <c:order val="3"/>
          <c:tx>
            <c:strRef>
              <c:f>'Diagnosis Indicators'!$A$6</c:f>
              <c:strCache>
                <c:ptCount val="1"/>
                <c:pt idx="0">
                  <c:v>Keynes-Marshall</c:v>
                </c:pt>
              </c:strCache>
            </c:strRef>
          </c:tx>
          <c:spPr>
            <a:ln w="25400" cap="rnd">
              <a:solidFill>
                <a:schemeClr val="accent4"/>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Indicators'!$B$6:$Y$6</c:f>
              <c:numCache>
                <c:formatCode>#,##0.000</c:formatCode>
                <c:ptCount val="24"/>
                <c:pt idx="0">
                  <c:v>1</c:v>
                </c:pt>
                <c:pt idx="1">
                  <c:v>1.0110824695187413</c:v>
                </c:pt>
                <c:pt idx="2">
                  <c:v>1.0218181786199856</c:v>
                </c:pt>
                <c:pt idx="3">
                  <c:v>1.032179696171124</c:v>
                </c:pt>
                <c:pt idx="4">
                  <c:v>1.0421322517742855</c:v>
                </c:pt>
                <c:pt idx="5">
                  <c:v>1.0516332404808972</c:v>
                </c:pt>
                <c:pt idx="6">
                  <c:v>1.0606318497209446</c:v>
                </c:pt>
                <c:pt idx="7">
                  <c:v>1.0690693524846639</c:v>
                </c:pt>
                <c:pt idx="8">
                  <c:v>1.0768804230399354</c:v>
                </c:pt>
                <c:pt idx="9">
                  <c:v>1.0839965383234167</c:v>
                </c:pt>
                <c:pt idx="10">
                  <c:v>1.090352511170962</c:v>
                </c:pt>
                <c:pt idx="11">
                  <c:v>1.0958958104021557</c:v>
                </c:pt>
                <c:pt idx="12">
                  <c:v>1.1005867761022399</c:v>
                </c:pt>
                <c:pt idx="13">
                  <c:v>1.1043198998500825</c:v>
                </c:pt>
                <c:pt idx="14">
                  <c:v>1.1064750305000075</c:v>
                </c:pt>
                <c:pt idx="15">
                  <c:v>1.1043462260899115</c:v>
                </c:pt>
              </c:numCache>
            </c:numRef>
          </c:yVal>
          <c:smooth val="1"/>
          <c:extLst>
            <c:ext xmlns:c16="http://schemas.microsoft.com/office/drawing/2014/chart" uri="{C3380CC4-5D6E-409C-BE32-E72D297353CC}">
              <c16:uniqueId val="{00000004-C093-4C38-8D34-BC5EA4637B9C}"/>
            </c:ext>
          </c:extLst>
        </c:ser>
        <c:ser>
          <c:idx val="2"/>
          <c:order val="4"/>
          <c:tx>
            <c:strRef>
              <c:f>'Diagnosis Indicators'!$A$7</c:f>
              <c:strCache>
                <c:ptCount val="1"/>
                <c:pt idx="0">
                  <c:v>Keynesian</c:v>
                </c:pt>
              </c:strCache>
            </c:strRef>
          </c:tx>
          <c:spPr>
            <a:ln w="25400" cap="rnd">
              <a:solidFill>
                <a:schemeClr val="accent5"/>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Indicators'!$B$7:$Y$7</c:f>
              <c:numCache>
                <c:formatCode>#,##0.000</c:formatCode>
                <c:ptCount val="24"/>
                <c:pt idx="0">
                  <c:v>1</c:v>
                </c:pt>
                <c:pt idx="1">
                  <c:v>0.97787495790268164</c:v>
                </c:pt>
                <c:pt idx="2">
                  <c:v>0.95348428104338312</c:v>
                </c:pt>
                <c:pt idx="3">
                  <c:v>0.92660638681738461</c:v>
                </c:pt>
                <c:pt idx="4">
                  <c:v>0.89701157114703278</c:v>
                </c:pt>
                <c:pt idx="5">
                  <c:v>0.86447313770647982</c:v>
                </c:pt>
                <c:pt idx="6">
                  <c:v>0.82878219391947927</c:v>
                </c:pt>
                <c:pt idx="7">
                  <c:v>0.78977473492312456</c:v>
                </c:pt>
                <c:pt idx="8">
                  <c:v>0.74737443803428261</c:v>
                </c:pt>
                <c:pt idx="9">
                  <c:v>0.70166999085340565</c:v>
                </c:pt>
                <c:pt idx="10">
                  <c:v>0.65308406822730747</c:v>
                </c:pt>
                <c:pt idx="11">
                  <c:v>0.60285714982857719</c:v>
                </c:pt>
                <c:pt idx="12">
                  <c:v>0.55499855572189494</c:v>
                </c:pt>
                <c:pt idx="13">
                  <c:v>0.52283398020189853</c:v>
                </c:pt>
              </c:numCache>
            </c:numRef>
          </c:yVal>
          <c:smooth val="1"/>
          <c:extLst>
            <c:ext xmlns:c16="http://schemas.microsoft.com/office/drawing/2014/chart" uri="{C3380CC4-5D6E-409C-BE32-E72D297353CC}">
              <c16:uniqueId val="{00000000-C850-4F38-B604-CD5347F209EA}"/>
            </c:ext>
          </c:extLst>
        </c:ser>
        <c:ser>
          <c:idx val="3"/>
          <c:order val="5"/>
          <c:tx>
            <c:strRef>
              <c:f>'Diagnosis Indicators'!$A$8</c:f>
              <c:strCache>
                <c:ptCount val="1"/>
                <c:pt idx="0">
                  <c:v>Keynes-Kaldor</c:v>
                </c:pt>
              </c:strCache>
            </c:strRef>
          </c:tx>
          <c:spPr>
            <a:ln w="25400" cap="rnd">
              <a:solidFill>
                <a:schemeClr val="accent6"/>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Indicators'!$B$8:$Y$8</c:f>
              <c:numCache>
                <c:formatCode>#,##0.000</c:formatCode>
                <c:ptCount val="24"/>
                <c:pt idx="0">
                  <c:v>1</c:v>
                </c:pt>
                <c:pt idx="1">
                  <c:v>1.002660843141975</c:v>
                </c:pt>
                <c:pt idx="2">
                  <c:v>1.0043664683966231</c:v>
                </c:pt>
                <c:pt idx="3">
                  <c:v>1.0050397748036626</c:v>
                </c:pt>
                <c:pt idx="4">
                  <c:v>1.0045796398575031</c:v>
                </c:pt>
                <c:pt idx="5">
                  <c:v>1.0028555522116873</c:v>
                </c:pt>
                <c:pt idx="6">
                  <c:v>0.9996992768673072</c:v>
                </c:pt>
                <c:pt idx="7">
                  <c:v>0.9948932750245304</c:v>
                </c:pt>
                <c:pt idx="8">
                  <c:v>0.98815336839158974</c:v>
                </c:pt>
                <c:pt idx="9">
                  <c:v>0.9791026211120395</c:v>
                </c:pt>
                <c:pt idx="10">
                  <c:v>0.96723053120239089</c:v>
                </c:pt>
                <c:pt idx="11">
                  <c:v>0.95182676826534718</c:v>
                </c:pt>
                <c:pt idx="12">
                  <c:v>0.9318694783979784</c:v>
                </c:pt>
                <c:pt idx="13">
                  <c:v>0.90582711556382089</c:v>
                </c:pt>
                <c:pt idx="14">
                  <c:v>0.87129305897331821</c:v>
                </c:pt>
                <c:pt idx="15">
                  <c:v>0.82429093890316385</c:v>
                </c:pt>
                <c:pt idx="16">
                  <c:v>0.75797031705687434</c:v>
                </c:pt>
                <c:pt idx="17">
                  <c:v>0.66039647482582453</c:v>
                </c:pt>
                <c:pt idx="18">
                  <c:v>0.51193011761588092</c:v>
                </c:pt>
              </c:numCache>
            </c:numRef>
          </c:yVal>
          <c:smooth val="1"/>
          <c:extLst>
            <c:ext xmlns:c16="http://schemas.microsoft.com/office/drawing/2014/chart" uri="{C3380CC4-5D6E-409C-BE32-E72D297353CC}">
              <c16:uniqueId val="{00000003-C093-4C38-8D34-BC5EA4637B9C}"/>
            </c:ext>
          </c:extLst>
        </c:ser>
        <c:ser>
          <c:idx val="7"/>
          <c:order val="6"/>
          <c:tx>
            <c:strRef>
              <c:f>'Diagnosis Indicators'!$A$9</c:f>
              <c:strCache>
                <c:ptCount val="1"/>
                <c:pt idx="0">
                  <c:v>Neo-K1</c:v>
                </c:pt>
              </c:strCache>
            </c:strRef>
          </c:tx>
          <c:spPr>
            <a:ln w="25400" cap="rnd">
              <a:solidFill>
                <a:schemeClr val="accent5"/>
              </a:solidFill>
              <a:prstDash val="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Indicators'!$B$9:$Y$9</c:f>
              <c:numCache>
                <c:formatCode>#,##0.000</c:formatCode>
                <c:ptCount val="24"/>
                <c:pt idx="0">
                  <c:v>1</c:v>
                </c:pt>
                <c:pt idx="1">
                  <c:v>0.98928645183887631</c:v>
                </c:pt>
                <c:pt idx="2">
                  <c:v>0.97764708462205241</c:v>
                </c:pt>
                <c:pt idx="3">
                  <c:v>0.9649359723863532</c:v>
                </c:pt>
                <c:pt idx="4">
                  <c:v>0.95097460963605918</c:v>
                </c:pt>
                <c:pt idx="5">
                  <c:v>0.9355422161468836</c:v>
                </c:pt>
                <c:pt idx="6">
                  <c:v>0.91836245579452236</c:v>
                </c:pt>
                <c:pt idx="7">
                  <c:v>0.89908614082395288</c:v>
                </c:pt>
                <c:pt idx="8">
                  <c:v>0.87726718802927728</c:v>
                </c:pt>
                <c:pt idx="9">
                  <c:v>0.852329976864033</c:v>
                </c:pt>
                <c:pt idx="10">
                  <c:v>0.82352655462288626</c:v>
                </c:pt>
                <c:pt idx="11">
                  <c:v>0.78988213579540911</c:v>
                </c:pt>
                <c:pt idx="12">
                  <c:v>0.75013236683625095</c:v>
                </c:pt>
                <c:pt idx="13">
                  <c:v>0.7026672098303306</c:v>
                </c:pt>
                <c:pt idx="14">
                  <c:v>0.64551723409439998</c:v>
                </c:pt>
                <c:pt idx="15">
                  <c:v>0.57644891158704858</c:v>
                </c:pt>
                <c:pt idx="16">
                  <c:v>0.49324528557055669</c:v>
                </c:pt>
                <c:pt idx="17">
                  <c:v>0.39417717528152174</c:v>
                </c:pt>
                <c:pt idx="18">
                  <c:v>0.27849255785186017</c:v>
                </c:pt>
                <c:pt idx="19">
                  <c:v>0.14662839280827886</c:v>
                </c:pt>
                <c:pt idx="20">
                  <c:v>0.11842636021245553</c:v>
                </c:pt>
                <c:pt idx="21">
                  <c:v>8.9646894574572838E-2</c:v>
                </c:pt>
                <c:pt idx="22">
                  <c:v>6.0305380004513506E-2</c:v>
                </c:pt>
                <c:pt idx="23">
                  <c:v>3.0417681270794666E-2</c:v>
                </c:pt>
              </c:numCache>
            </c:numRef>
          </c:yVal>
          <c:smooth val="1"/>
          <c:extLst>
            <c:ext xmlns:c16="http://schemas.microsoft.com/office/drawing/2014/chart" uri="{C3380CC4-5D6E-409C-BE32-E72D297353CC}">
              <c16:uniqueId val="{00000002-C850-4F38-B604-CD5347F209EA}"/>
            </c:ext>
          </c:extLst>
        </c:ser>
        <c:ser>
          <c:idx val="6"/>
          <c:order val="7"/>
          <c:tx>
            <c:strRef>
              <c:f>'Diagnosis Indicators'!$A$10</c:f>
              <c:strCache>
                <c:ptCount val="1"/>
                <c:pt idx="0">
                  <c:v>Neo-K2</c:v>
                </c:pt>
              </c:strCache>
            </c:strRef>
          </c:tx>
          <c:spPr>
            <a:ln w="25400" cap="rnd">
              <a:solidFill>
                <a:schemeClr val="accent5"/>
              </a:solidFill>
              <a:prstDash val="lgDashDotDot"/>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Indicators'!$B$10:$Y$10</c:f>
              <c:numCache>
                <c:formatCode>#,##0.000</c:formatCode>
                <c:ptCount val="24"/>
                <c:pt idx="0">
                  <c:v>1</c:v>
                </c:pt>
                <c:pt idx="1">
                  <c:v>0.98816454279996269</c:v>
                </c:pt>
                <c:pt idx="2">
                  <c:v>0.97518218535637691</c:v>
                </c:pt>
                <c:pt idx="3">
                  <c:v>0.96085075658470442</c:v>
                </c:pt>
                <c:pt idx="4">
                  <c:v>0.94491872878262417</c:v>
                </c:pt>
                <c:pt idx="5">
                  <c:v>0.9270738865736311</c:v>
                </c:pt>
                <c:pt idx="6">
                  <c:v>0.90692468648557722</c:v>
                </c:pt>
                <c:pt idx="7">
                  <c:v>0.88398222509350821</c:v>
                </c:pt>
                <c:pt idx="8">
                  <c:v>0.85763994181165737</c:v>
                </c:pt>
                <c:pt idx="9">
                  <c:v>0.82715993194648152</c:v>
                </c:pt>
                <c:pt idx="10">
                  <c:v>0.79168007783096828</c:v>
                </c:pt>
                <c:pt idx="11">
                  <c:v>0.75026915129722682</c:v>
                </c:pt>
                <c:pt idx="12">
                  <c:v>0.70207394029696268</c:v>
                </c:pt>
                <c:pt idx="13">
                  <c:v>0.64660662134622093</c:v>
                </c:pt>
                <c:pt idx="14">
                  <c:v>0.58417015680156736</c:v>
                </c:pt>
                <c:pt idx="15">
                  <c:v>0.51622805013680273</c:v>
                </c:pt>
                <c:pt idx="16">
                  <c:v>0.44512398216414961</c:v>
                </c:pt>
                <c:pt idx="17">
                  <c:v>0.37232232305958662</c:v>
                </c:pt>
                <c:pt idx="18">
                  <c:v>0.29515775345489081</c:v>
                </c:pt>
                <c:pt idx="19">
                  <c:v>0.20126797982258654</c:v>
                </c:pt>
                <c:pt idx="20">
                  <c:v>0.17748065399921875</c:v>
                </c:pt>
                <c:pt idx="21">
                  <c:v>0.15037940349418308</c:v>
                </c:pt>
                <c:pt idx="22">
                  <c:v>0.11820047279475669</c:v>
                </c:pt>
                <c:pt idx="23">
                  <c:v>7.6857603044381342E-2</c:v>
                </c:pt>
              </c:numCache>
            </c:numRef>
          </c:yVal>
          <c:smooth val="1"/>
          <c:extLst>
            <c:ext xmlns:c16="http://schemas.microsoft.com/office/drawing/2014/chart" uri="{C3380CC4-5D6E-409C-BE32-E72D297353CC}">
              <c16:uniqueId val="{00000001-C850-4F38-B604-CD5347F209EA}"/>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3"/>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Welfare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125514157327E-2"/>
          <c:y val="0.43135615717816678"/>
          <c:w val="0.20794849357122944"/>
          <c:h val="0.45976832234980269"/>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8.6117760673193489E-2"/>
          <c:w val="0.91954496211515768"/>
          <c:h val="0.83371195406251841"/>
        </c:manualLayout>
      </c:layout>
      <c:scatterChart>
        <c:scatterStyle val="smoothMarker"/>
        <c:varyColors val="0"/>
        <c:ser>
          <c:idx val="0"/>
          <c:order val="0"/>
          <c:tx>
            <c:strRef>
              <c:f>'Diagnosis Indicators'!$A$14</c:f>
              <c:strCache>
                <c:ptCount val="1"/>
                <c:pt idx="0">
                  <c:v>Neoclassical</c:v>
                </c:pt>
              </c:strCache>
            </c:strRef>
          </c:tx>
          <c:spPr>
            <a:ln w="25400" cap="rnd">
              <a:solidFill>
                <a:schemeClr val="accent1"/>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Indicators'!$B$14:$Y$14</c:f>
              <c:numCache>
                <c:formatCode>#,##0.000</c:formatCode>
                <c:ptCount val="24"/>
                <c:pt idx="0">
                  <c:v>5.7716594496607888E-3</c:v>
                </c:pt>
                <c:pt idx="1">
                  <c:v>5.3165634102402985E-2</c:v>
                </c:pt>
                <c:pt idx="2">
                  <c:v>0.10517172708076596</c:v>
                </c:pt>
                <c:pt idx="3">
                  <c:v>0.16254110393084323</c:v>
                </c:pt>
                <c:pt idx="4">
                  <c:v>0.22621358250856927</c:v>
                </c:pt>
                <c:pt idx="5">
                  <c:v>0.29738932563568649</c:v>
                </c:pt>
                <c:pt idx="6">
                  <c:v>0.3776351384841713</c:v>
                </c:pt>
                <c:pt idx="7">
                  <c:v>0.46904953635821289</c:v>
                </c:pt>
                <c:pt idx="8">
                  <c:v>0.57453002118101404</c:v>
                </c:pt>
                <c:pt idx="9">
                  <c:v>0.69822202809616474</c:v>
                </c:pt>
                <c:pt idx="10">
                  <c:v>0.84630845024498202</c:v>
                </c:pt>
                <c:pt idx="11">
                  <c:v>1.0284771248821325</c:v>
                </c:pt>
                <c:pt idx="12">
                  <c:v>1.2608161454896041</c:v>
                </c:pt>
                <c:pt idx="13">
                  <c:v>1.5719575718219867</c:v>
                </c:pt>
                <c:pt idx="14">
                  <c:v>2.0171494675707931</c:v>
                </c:pt>
                <c:pt idx="15">
                  <c:v>2.7132011906473421</c:v>
                </c:pt>
                <c:pt idx="16">
                  <c:v>3.9318810912339401</c:v>
                </c:pt>
                <c:pt idx="17">
                  <c:v>6.3753205661995018</c:v>
                </c:pt>
                <c:pt idx="18">
                  <c:v>12.238896656659726</c:v>
                </c:pt>
                <c:pt idx="19">
                  <c:v>32.418350434557162</c:v>
                </c:pt>
                <c:pt idx="20">
                  <c:v>42.611586079030317</c:v>
                </c:pt>
                <c:pt idx="21">
                  <c:v>58.862658915347311</c:v>
                </c:pt>
                <c:pt idx="22">
                  <c:v>87.658202987240472</c:v>
                </c:pt>
                <c:pt idx="23">
                  <c:v>148.4184368000065</c:v>
                </c:pt>
              </c:numCache>
            </c:numRef>
          </c:yVal>
          <c:smooth val="1"/>
          <c:extLst>
            <c:ext xmlns:c16="http://schemas.microsoft.com/office/drawing/2014/chart" uri="{C3380CC4-5D6E-409C-BE32-E72D297353CC}">
              <c16:uniqueId val="{00000000-862B-46F0-B0F7-97FD23ADB2E5}"/>
            </c:ext>
          </c:extLst>
        </c:ser>
        <c:ser>
          <c:idx val="5"/>
          <c:order val="1"/>
          <c:tx>
            <c:strRef>
              <c:f>'Diagnosis Indicators'!$A$15</c:f>
              <c:strCache>
                <c:ptCount val="1"/>
                <c:pt idx="0">
                  <c:v>Kaldorian</c:v>
                </c:pt>
              </c:strCache>
            </c:strRef>
          </c:tx>
          <c:spPr>
            <a:ln w="25400" cap="rnd">
              <a:solidFill>
                <a:schemeClr val="accent2"/>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Indicators'!$B$15:$Y$15</c:f>
              <c:numCache>
                <c:formatCode>#,##0.000</c:formatCode>
                <c:ptCount val="24"/>
                <c:pt idx="0">
                  <c:v>5.7716594496607888E-3</c:v>
                </c:pt>
                <c:pt idx="1">
                  <c:v>5.6613144183313743E-2</c:v>
                </c:pt>
                <c:pt idx="2">
                  <c:v>0.11238299223790056</c:v>
                </c:pt>
                <c:pt idx="3">
                  <c:v>0.1738781132406336</c:v>
                </c:pt>
                <c:pt idx="4">
                  <c:v>0.24209690208904491</c:v>
                </c:pt>
                <c:pt idx="5">
                  <c:v>0.31831153568559589</c:v>
                </c:pt>
                <c:pt idx="6">
                  <c:v>0.40419162312909251</c:v>
                </c:pt>
                <c:pt idx="7">
                  <c:v>0.50197315221493877</c:v>
                </c:pt>
                <c:pt idx="8">
                  <c:v>0.61475624813283969</c:v>
                </c:pt>
                <c:pt idx="9">
                  <c:v>0.74699888555461624</c:v>
                </c:pt>
                <c:pt idx="10">
                  <c:v>0.90539407028806029</c:v>
                </c:pt>
                <c:pt idx="11">
                  <c:v>1.1005158046198136</c:v>
                </c:pt>
                <c:pt idx="12">
                  <c:v>1.3501042044668816</c:v>
                </c:pt>
                <c:pt idx="13">
                  <c:v>1.6861089978417878</c:v>
                </c:pt>
                <c:pt idx="14">
                  <c:v>2.1710424633437735</c:v>
                </c:pt>
                <c:pt idx="15">
                  <c:v>2.9390284943982472</c:v>
                </c:pt>
                <c:pt idx="16">
                  <c:v>4.305973188490146</c:v>
                </c:pt>
                <c:pt idx="17">
                  <c:v>7.0932888892520785</c:v>
                </c:pt>
                <c:pt idx="18">
                  <c:v>13.882121838816106</c:v>
                </c:pt>
              </c:numCache>
            </c:numRef>
          </c:yVal>
          <c:smooth val="1"/>
          <c:extLst xmlns:c15="http://schemas.microsoft.com/office/drawing/2012/chart">
            <c:ext xmlns:c16="http://schemas.microsoft.com/office/drawing/2014/chart" uri="{C3380CC4-5D6E-409C-BE32-E72D297353CC}">
              <c16:uniqueId val="{00000001-862B-46F0-B0F7-97FD23ADB2E5}"/>
            </c:ext>
          </c:extLst>
        </c:ser>
        <c:ser>
          <c:idx val="1"/>
          <c:order val="2"/>
          <c:tx>
            <c:strRef>
              <c:f>'Diagnosis Indicators'!$A$16</c:f>
              <c:strCache>
                <c:ptCount val="1"/>
                <c:pt idx="0">
                  <c:v>Johansen</c:v>
                </c:pt>
              </c:strCache>
            </c:strRef>
          </c:tx>
          <c:spPr>
            <a:ln w="25400" cap="rnd">
              <a:solidFill>
                <a:schemeClr val="accent3"/>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Indicators'!$B$16:$Y$16</c:f>
              <c:numCache>
                <c:formatCode>#,##0.000</c:formatCode>
                <c:ptCount val="24"/>
                <c:pt idx="0">
                  <c:v>5.7716594496607888E-3</c:v>
                </c:pt>
                <c:pt idx="1">
                  <c:v>5.5014439997918968E-2</c:v>
                </c:pt>
                <c:pt idx="2">
                  <c:v>0.10906958458026007</c:v>
                </c:pt>
                <c:pt idx="3">
                  <c:v>0.16872438292690839</c:v>
                </c:pt>
                <c:pt idx="4">
                  <c:v>0.23496769938343354</c:v>
                </c:pt>
                <c:pt idx="5">
                  <c:v>0.30906615374944901</c:v>
                </c:pt>
                <c:pt idx="6">
                  <c:v>0.3926801580131119</c:v>
                </c:pt>
                <c:pt idx="7">
                  <c:v>0.48804509618252229</c:v>
                </c:pt>
                <c:pt idx="8">
                  <c:v>0.59826652270557557</c:v>
                </c:pt>
                <c:pt idx="9">
                  <c:v>0.72782096900058313</c:v>
                </c:pt>
                <c:pt idx="10">
                  <c:v>0.88344313079603487</c:v>
                </c:pt>
                <c:pt idx="11">
                  <c:v>1.0757925162930242</c:v>
                </c:pt>
                <c:pt idx="12">
                  <c:v>1.3227809634877583</c:v>
                </c:pt>
                <c:pt idx="13">
                  <c:v>1.6567067892971499</c:v>
                </c:pt>
                <c:pt idx="14">
                  <c:v>2.1407933646851998</c:v>
                </c:pt>
                <c:pt idx="15">
                  <c:v>2.9104917708887981</c:v>
                </c:pt>
                <c:pt idx="16">
                  <c:v>4.2833747151355865</c:v>
                </c:pt>
                <c:pt idx="17">
                  <c:v>7.0803307977105927</c:v>
                </c:pt>
                <c:pt idx="18">
                  <c:v>13.877653156371668</c:v>
                </c:pt>
                <c:pt idx="19">
                  <c:v>37.473069560641029</c:v>
                </c:pt>
                <c:pt idx="20">
                  <c:v>49.321891324375379</c:v>
                </c:pt>
                <c:pt idx="21">
                  <c:v>67.974409258132326</c:v>
                </c:pt>
                <c:pt idx="22">
                  <c:v>100.12194069275338</c:v>
                </c:pt>
                <c:pt idx="23">
                  <c:v>163.76263899729508</c:v>
                </c:pt>
              </c:numCache>
            </c:numRef>
          </c:yVal>
          <c:smooth val="1"/>
          <c:extLst>
            <c:ext xmlns:c16="http://schemas.microsoft.com/office/drawing/2014/chart" uri="{C3380CC4-5D6E-409C-BE32-E72D297353CC}">
              <c16:uniqueId val="{00000002-862B-46F0-B0F7-97FD23ADB2E5}"/>
            </c:ext>
          </c:extLst>
        </c:ser>
        <c:ser>
          <c:idx val="4"/>
          <c:order val="3"/>
          <c:tx>
            <c:strRef>
              <c:f>'Diagnosis Indicators'!$A$17</c:f>
              <c:strCache>
                <c:ptCount val="1"/>
                <c:pt idx="0">
                  <c:v>Keynes-Marshall</c:v>
                </c:pt>
              </c:strCache>
            </c:strRef>
          </c:tx>
          <c:spPr>
            <a:ln w="25400" cap="rnd">
              <a:solidFill>
                <a:schemeClr val="accent4"/>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Indicators'!$B$17:$Y$17</c:f>
              <c:numCache>
                <c:formatCode>#,##0.000</c:formatCode>
                <c:ptCount val="24"/>
                <c:pt idx="0">
                  <c:v>5.7716594496607888E-3</c:v>
                </c:pt>
                <c:pt idx="1">
                  <c:v>6.0471261654331691E-2</c:v>
                </c:pt>
                <c:pt idx="2">
                  <c:v>0.12095345317981721</c:v>
                </c:pt>
                <c:pt idx="3">
                  <c:v>0.18829531151179513</c:v>
                </c:pt>
                <c:pt idx="4">
                  <c:v>0.26390198519849517</c:v>
                </c:pt>
                <c:pt idx="5">
                  <c:v>0.3496548940442159</c:v>
                </c:pt>
                <c:pt idx="6">
                  <c:v>0.44814776611328538</c:v>
                </c:pt>
                <c:pt idx="7">
                  <c:v>0.56307817410465788</c:v>
                </c:pt>
                <c:pt idx="8">
                  <c:v>0.69992436136584468</c:v>
                </c:pt>
                <c:pt idx="9">
                  <c:v>0.86717488759437344</c:v>
                </c:pt>
                <c:pt idx="10">
                  <c:v>1.0786936208042293</c:v>
                </c:pt>
                <c:pt idx="11">
                  <c:v>1.3585657211274431</c:v>
                </c:pt>
                <c:pt idx="12">
                  <c:v>1.7516996252942383</c:v>
                </c:pt>
                <c:pt idx="13">
                  <c:v>2.3483184573784062</c:v>
                </c:pt>
                <c:pt idx="14">
                  <c:v>3.3414401207452875</c:v>
                </c:pt>
                <c:pt idx="15">
                  <c:v>5.1569811900103169</c:v>
                </c:pt>
              </c:numCache>
            </c:numRef>
          </c:yVal>
          <c:smooth val="1"/>
          <c:extLst>
            <c:ext xmlns:c16="http://schemas.microsoft.com/office/drawing/2014/chart" uri="{C3380CC4-5D6E-409C-BE32-E72D297353CC}">
              <c16:uniqueId val="{00000003-862B-46F0-B0F7-97FD23ADB2E5}"/>
            </c:ext>
          </c:extLst>
        </c:ser>
        <c:ser>
          <c:idx val="2"/>
          <c:order val="4"/>
          <c:tx>
            <c:strRef>
              <c:f>'Diagnosis Indicators'!$A$18</c:f>
              <c:strCache>
                <c:ptCount val="1"/>
                <c:pt idx="0">
                  <c:v>Keynesian</c:v>
                </c:pt>
              </c:strCache>
            </c:strRef>
          </c:tx>
          <c:spPr>
            <a:ln w="25400" cap="rnd">
              <a:solidFill>
                <a:schemeClr val="accent5"/>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Indicators'!$B$18:$Y$18</c:f>
              <c:numCache>
                <c:formatCode>#,##0.000</c:formatCode>
                <c:ptCount val="24"/>
                <c:pt idx="0">
                  <c:v>5.7716594496607888E-3</c:v>
                </c:pt>
                <c:pt idx="1">
                  <c:v>3.5074944807207187E-2</c:v>
                </c:pt>
                <c:pt idx="2">
                  <c:v>6.5450917189868188E-2</c:v>
                </c:pt>
                <c:pt idx="3">
                  <c:v>9.6813906878356962E-2</c:v>
                </c:pt>
                <c:pt idx="4">
                  <c:v>0.12902967722351788</c:v>
                </c:pt>
                <c:pt idx="5">
                  <c:v>0.16190373369802477</c:v>
                </c:pt>
                <c:pt idx="6">
                  <c:v>0.19516581074901948</c:v>
                </c:pt>
                <c:pt idx="7">
                  <c:v>0.22845370229541914</c:v>
                </c:pt>
                <c:pt idx="8">
                  <c:v>0.2612902252197572</c:v>
                </c:pt>
                <c:pt idx="9">
                  <c:v>0.29304242272201791</c:v>
                </c:pt>
                <c:pt idx="10">
                  <c:v>0.32282099290967115</c:v>
                </c:pt>
                <c:pt idx="11">
                  <c:v>0.34913325965877384</c:v>
                </c:pt>
                <c:pt idx="12">
                  <c:v>0.36833406901092186</c:v>
                </c:pt>
                <c:pt idx="13">
                  <c:v>0.3692943055570726</c:v>
                </c:pt>
              </c:numCache>
            </c:numRef>
          </c:yVal>
          <c:smooth val="1"/>
          <c:extLst>
            <c:ext xmlns:c16="http://schemas.microsoft.com/office/drawing/2014/chart" uri="{C3380CC4-5D6E-409C-BE32-E72D297353CC}">
              <c16:uniqueId val="{00000004-862B-46F0-B0F7-97FD23ADB2E5}"/>
            </c:ext>
          </c:extLst>
        </c:ser>
        <c:ser>
          <c:idx val="3"/>
          <c:order val="5"/>
          <c:tx>
            <c:strRef>
              <c:f>'Diagnosis Indicators'!$A$19</c:f>
              <c:strCache>
                <c:ptCount val="1"/>
                <c:pt idx="0">
                  <c:v>Keynes-Kaldor</c:v>
                </c:pt>
              </c:strCache>
            </c:strRef>
          </c:tx>
          <c:spPr>
            <a:ln w="25400" cap="rnd">
              <a:solidFill>
                <a:schemeClr val="accent6"/>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Indicators'!$B$19:$Y$19</c:f>
              <c:numCache>
                <c:formatCode>#,##0.000</c:formatCode>
                <c:ptCount val="24"/>
                <c:pt idx="0">
                  <c:v>5.7716594496607888E-3</c:v>
                </c:pt>
                <c:pt idx="1">
                  <c:v>6.0784297872703882E-2</c:v>
                </c:pt>
                <c:pt idx="2">
                  <c:v>0.12072509742981674</c:v>
                </c:pt>
                <c:pt idx="3">
                  <c:v>0.18637390962739658</c:v>
                </c:pt>
                <c:pt idx="4">
                  <c:v>0.25870018017358054</c:v>
                </c:pt>
                <c:pt idx="5">
                  <c:v>0.33892909007004124</c:v>
                </c:pt>
                <c:pt idx="6">
                  <c:v>0.42864748565690663</c:v>
                </c:pt>
                <c:pt idx="7">
                  <c:v>0.5299612844400039</c:v>
                </c:pt>
                <c:pt idx="8">
                  <c:v>0.64574689965076804</c:v>
                </c:pt>
                <c:pt idx="9">
                  <c:v>0.78006174262338579</c:v>
                </c:pt>
                <c:pt idx="10">
                  <c:v>0.93884190849685423</c:v>
                </c:pt>
                <c:pt idx="11">
                  <c:v>1.1311334665385189</c:v>
                </c:pt>
                <c:pt idx="12">
                  <c:v>1.3713654537293865</c:v>
                </c:pt>
                <c:pt idx="13">
                  <c:v>1.6837134809843308</c:v>
                </c:pt>
                <c:pt idx="14">
                  <c:v>2.110732976573106</c:v>
                </c:pt>
                <c:pt idx="15">
                  <c:v>2.7302351744075088</c:v>
                </c:pt>
                <c:pt idx="16">
                  <c:v>3.684286821000438</c:v>
                </c:pt>
                <c:pt idx="17">
                  <c:v>5.2057936576302772</c:v>
                </c:pt>
                <c:pt idx="18">
                  <c:v>7.5277080317793974</c:v>
                </c:pt>
              </c:numCache>
            </c:numRef>
          </c:yVal>
          <c:smooth val="1"/>
          <c:extLst>
            <c:ext xmlns:c16="http://schemas.microsoft.com/office/drawing/2014/chart" uri="{C3380CC4-5D6E-409C-BE32-E72D297353CC}">
              <c16:uniqueId val="{00000005-862B-46F0-B0F7-97FD23ADB2E5}"/>
            </c:ext>
          </c:extLst>
        </c:ser>
        <c:ser>
          <c:idx val="7"/>
          <c:order val="6"/>
          <c:tx>
            <c:strRef>
              <c:f>'Diagnosis Indicators'!$A$20</c:f>
              <c:strCache>
                <c:ptCount val="1"/>
                <c:pt idx="0">
                  <c:v>Neo-K2</c:v>
                </c:pt>
              </c:strCache>
            </c:strRef>
          </c:tx>
          <c:spPr>
            <a:ln w="25400" cap="rnd">
              <a:solidFill>
                <a:schemeClr val="accent5"/>
              </a:solidFill>
              <a:prstDash val="dash"/>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Indicators'!$B$20:$Y$20</c:f>
              <c:numCache>
                <c:formatCode>#,##0.000</c:formatCode>
                <c:ptCount val="24"/>
                <c:pt idx="0">
                  <c:v>5.7716594496607888E-3</c:v>
                </c:pt>
                <c:pt idx="1">
                  <c:v>4.6616560900795224E-2</c:v>
                </c:pt>
                <c:pt idx="2">
                  <c:v>9.0570189780028496E-2</c:v>
                </c:pt>
                <c:pt idx="3">
                  <c:v>0.13795858296821159</c:v>
                </c:pt>
                <c:pt idx="4">
                  <c:v>0.18914053993188792</c:v>
                </c:pt>
                <c:pt idx="5">
                  <c:v>0.24450906318125445</c:v>
                </c:pt>
                <c:pt idx="6">
                  <c:v>0.30448463319685992</c:v>
                </c:pt>
                <c:pt idx="7">
                  <c:v>0.36950799849981214</c:v>
                </c:pt>
                <c:pt idx="8">
                  <c:v>0.44002601008515024</c:v>
                </c:pt>
                <c:pt idx="9">
                  <c:v>0.51648305564793218</c:v>
                </c:pt>
                <c:pt idx="10">
                  <c:v>0.59934479071597546</c:v>
                </c:pt>
                <c:pt idx="11">
                  <c:v>0.68924795464333877</c:v>
                </c:pt>
                <c:pt idx="12">
                  <c:v>0.78752593116657377</c:v>
                </c:pt>
                <c:pt idx="13">
                  <c:v>0.8977580899117632</c:v>
                </c:pt>
                <c:pt idx="14">
                  <c:v>1.0299650993547727</c:v>
                </c:pt>
                <c:pt idx="15">
                  <c:v>1.2117233761951891</c:v>
                </c:pt>
                <c:pt idx="16">
                  <c:v>1.5197381628728401</c:v>
                </c:pt>
                <c:pt idx="17">
                  <c:v>2.1913791855995992</c:v>
                </c:pt>
                <c:pt idx="18">
                  <c:v>4.1595695026330812</c:v>
                </c:pt>
                <c:pt idx="19">
                  <c:v>13.169923289859858</c:v>
                </c:pt>
                <c:pt idx="20">
                  <c:v>18.647168398919394</c:v>
                </c:pt>
                <c:pt idx="21">
                  <c:v>28.630274528412649</c:v>
                </c:pt>
                <c:pt idx="22">
                  <c:v>50.647409509597196</c:v>
                </c:pt>
                <c:pt idx="23">
                  <c:v>124.31276869687984</c:v>
                </c:pt>
              </c:numCache>
            </c:numRef>
          </c:yVal>
          <c:smooth val="1"/>
          <c:extLst>
            <c:ext xmlns:c16="http://schemas.microsoft.com/office/drawing/2014/chart" uri="{C3380CC4-5D6E-409C-BE32-E72D297353CC}">
              <c16:uniqueId val="{00000006-862B-46F0-B0F7-97FD23ADB2E5}"/>
            </c:ext>
          </c:extLst>
        </c:ser>
        <c:ser>
          <c:idx val="6"/>
          <c:order val="7"/>
          <c:tx>
            <c:strRef>
              <c:f>'Diagnosis Indicators'!$A$21</c:f>
              <c:strCache>
                <c:ptCount val="1"/>
                <c:pt idx="0">
                  <c:v>Neo-K1</c:v>
                </c:pt>
              </c:strCache>
            </c:strRef>
          </c:tx>
          <c:spPr>
            <a:ln w="25400" cap="rnd">
              <a:solidFill>
                <a:schemeClr val="accent5"/>
              </a:solidFill>
              <a:prstDash val="lgDashDotDot"/>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Indicators'!$B$21:$Y$21</c:f>
              <c:numCache>
                <c:formatCode>#,##0.000</c:formatCode>
                <c:ptCount val="24"/>
                <c:pt idx="0">
                  <c:v>5.7716594496607888E-3</c:v>
                </c:pt>
                <c:pt idx="1">
                  <c:v>4.8236263315743218E-2</c:v>
                </c:pt>
                <c:pt idx="2">
                  <c:v>9.4333614278895403E-2</c:v>
                </c:pt>
                <c:pt idx="3">
                  <c:v>0.1445460708181428</c:v>
                </c:pt>
                <c:pt idx="4">
                  <c:v>0.19944639100039627</c:v>
                </c:pt>
                <c:pt idx="5">
                  <c:v>0.25972026561609324</c:v>
                </c:pt>
                <c:pt idx="6">
                  <c:v>0.32619530278820824</c:v>
                </c:pt>
                <c:pt idx="7">
                  <c:v>0.3998782158735289</c:v>
                </c:pt>
                <c:pt idx="8">
                  <c:v>0.48200120658524204</c:v>
                </c:pt>
                <c:pt idx="9">
                  <c:v>0.57407980237040201</c:v>
                </c:pt>
                <c:pt idx="10">
                  <c:v>0.67797571593168926</c:v>
                </c:pt>
                <c:pt idx="11">
                  <c:v>0.79595494790866261</c:v>
                </c:pt>
                <c:pt idx="12">
                  <c:v>0.93070716199072867</c:v>
                </c:pt>
                <c:pt idx="13">
                  <c:v>1.0852592982660039</c:v>
                </c:pt>
                <c:pt idx="14">
                  <c:v>1.2626655678379251</c:v>
                </c:pt>
                <c:pt idx="15">
                  <c:v>1.465335939706746</c:v>
                </c:pt>
                <c:pt idx="16">
                  <c:v>1.6939794785809303</c:v>
                </c:pt>
                <c:pt idx="17">
                  <c:v>1.9465108519059251</c:v>
                </c:pt>
                <c:pt idx="18">
                  <c:v>2.2176781779116448</c:v>
                </c:pt>
                <c:pt idx="19">
                  <c:v>2.4999915877256336</c:v>
                </c:pt>
                <c:pt idx="20">
                  <c:v>2.5570831363258324</c:v>
                </c:pt>
                <c:pt idx="21">
                  <c:v>2.6142408977752671</c:v>
                </c:pt>
                <c:pt idx="22">
                  <c:v>2.6714080519972465</c:v>
                </c:pt>
                <c:pt idx="23">
                  <c:v>2.7285306678306651</c:v>
                </c:pt>
              </c:numCache>
            </c:numRef>
          </c:yVal>
          <c:smooth val="1"/>
          <c:extLst>
            <c:ext xmlns:c16="http://schemas.microsoft.com/office/drawing/2014/chart" uri="{C3380CC4-5D6E-409C-BE32-E72D297353CC}">
              <c16:uniqueId val="{00000007-862B-46F0-B0F7-97FD23ADB2E5}"/>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Tax rate (log</a:t>
                </a:r>
                <a:r>
                  <a:rPr lang="en-US" sz="1600" baseline="0"/>
                  <a:t> scale)</a:t>
                </a:r>
                <a:endParaRPr lang="en-US" sz="1600"/>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 ##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0.11181009916630628"/>
          <c:y val="0.10650585159629646"/>
          <c:w val="0.20794849357122944"/>
          <c:h val="0.45976832234980269"/>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7.9830335227042054E-2"/>
          <c:w val="0.91954496211515768"/>
          <c:h val="0.83999937950866999"/>
        </c:manualLayout>
      </c:layout>
      <c:scatterChart>
        <c:scatterStyle val="smoothMarker"/>
        <c:varyColors val="0"/>
        <c:ser>
          <c:idx val="0"/>
          <c:order val="0"/>
          <c:tx>
            <c:strRef>
              <c:f>'Diagnosis Indicators'!$A$25</c:f>
              <c:strCache>
                <c:ptCount val="1"/>
                <c:pt idx="0">
                  <c:v>Neoclassical</c:v>
                </c:pt>
              </c:strCache>
            </c:strRef>
          </c:tx>
          <c:spPr>
            <a:ln w="25400" cap="rnd">
              <a:solidFill>
                <a:schemeClr val="accent1"/>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Indicators'!$B$25:$Y$25</c:f>
              <c:numCache>
                <c:formatCode>#,##0.000</c:formatCode>
                <c:ptCount val="24"/>
                <c:pt idx="0">
                  <c:v>1</c:v>
                </c:pt>
                <c:pt idx="1">
                  <c:v>1.0014662288848144</c:v>
                </c:pt>
                <c:pt idx="2">
                  <c:v>1.0028091352068993</c:v>
                </c:pt>
                <c:pt idx="3">
                  <c:v>1.0040089426367291</c:v>
                </c:pt>
                <c:pt idx="4">
                  <c:v>1.0050414609852509</c:v>
                </c:pt>
                <c:pt idx="5">
                  <c:v>1.0058767556612902</c:v>
                </c:pt>
                <c:pt idx="6">
                  <c:v>1.006477328384328</c:v>
                </c:pt>
                <c:pt idx="7">
                  <c:v>1.0067957305591344</c:v>
                </c:pt>
                <c:pt idx="8">
                  <c:v>1.0067711314553953</c:v>
                </c:pt>
                <c:pt idx="9">
                  <c:v>1.0063241950977737</c:v>
                </c:pt>
                <c:pt idx="10">
                  <c:v>1.0053494334650619</c:v>
                </c:pt>
                <c:pt idx="11">
                  <c:v>1.003702955870005</c:v>
                </c:pt>
                <c:pt idx="12">
                  <c:v>1.001181468806803</c:v>
                </c:pt>
                <c:pt idx="13">
                  <c:v>0.99748296877312193</c:v>
                </c:pt>
                <c:pt idx="14">
                  <c:v>0.99212248908687328</c:v>
                </c:pt>
                <c:pt idx="15">
                  <c:v>0.98422209435155361</c:v>
                </c:pt>
                <c:pt idx="16">
                  <c:v>0.97190306497944112</c:v>
                </c:pt>
                <c:pt idx="17">
                  <c:v>0.9503936561225389</c:v>
                </c:pt>
                <c:pt idx="18">
                  <c:v>0.90578816140380891</c:v>
                </c:pt>
                <c:pt idx="19">
                  <c:v>0.78473628060859946</c:v>
                </c:pt>
                <c:pt idx="20">
                  <c:v>0.73437922097621344</c:v>
                </c:pt>
                <c:pt idx="21">
                  <c:v>0.663112298788749</c:v>
                </c:pt>
                <c:pt idx="22">
                  <c:v>0.55518030323142575</c:v>
                </c:pt>
                <c:pt idx="23">
                  <c:v>0.3732355634907451</c:v>
                </c:pt>
              </c:numCache>
            </c:numRef>
          </c:yVal>
          <c:smooth val="1"/>
          <c:extLst>
            <c:ext xmlns:c16="http://schemas.microsoft.com/office/drawing/2014/chart" uri="{C3380CC4-5D6E-409C-BE32-E72D297353CC}">
              <c16:uniqueId val="{00000000-196C-4AC4-9503-D101CEE25CB6}"/>
            </c:ext>
          </c:extLst>
        </c:ser>
        <c:ser>
          <c:idx val="1"/>
          <c:order val="1"/>
          <c:tx>
            <c:strRef>
              <c:f>'Diagnosis Indicators'!$A$26</c:f>
              <c:strCache>
                <c:ptCount val="1"/>
                <c:pt idx="0">
                  <c:v>Kaldorian</c:v>
                </c:pt>
              </c:strCache>
            </c:strRef>
          </c:tx>
          <c:spPr>
            <a:ln w="25400" cap="rnd">
              <a:solidFill>
                <a:schemeClr val="accent2"/>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Indicators'!$B$26:$Y$26</c:f>
              <c:numCache>
                <c:formatCode>#,##0.000</c:formatCode>
                <c:ptCount val="24"/>
                <c:pt idx="0">
                  <c:v>1</c:v>
                </c:pt>
                <c:pt idx="1">
                  <c:v>1.0015432592960734</c:v>
                </c:pt>
                <c:pt idx="2">
                  <c:v>1.0029683225446424</c:v>
                </c:pt>
                <c:pt idx="3">
                  <c:v>1.0042561511606567</c:v>
                </c:pt>
                <c:pt idx="4">
                  <c:v>1.0053834692802051</c:v>
                </c:pt>
                <c:pt idx="5">
                  <c:v>1.0063211193041832</c:v>
                </c:pt>
                <c:pt idx="6">
                  <c:v>1.0070330288026716</c:v>
                </c:pt>
                <c:pt idx="7">
                  <c:v>1.007473307328103</c:v>
                </c:pt>
                <c:pt idx="8">
                  <c:v>1.0075832172034391</c:v>
                </c:pt>
                <c:pt idx="9">
                  <c:v>1.0072865219570288</c:v>
                </c:pt>
                <c:pt idx="10">
                  <c:v>1.0064823531425899</c:v>
                </c:pt>
                <c:pt idx="11">
                  <c:v>1.0050343393406358</c:v>
                </c:pt>
                <c:pt idx="12">
                  <c:v>1.0027521962988775</c:v>
                </c:pt>
                <c:pt idx="13">
                  <c:v>0.99935761777503695</c:v>
                </c:pt>
                <c:pt idx="14">
                  <c:v>0.99441037367624607</c:v>
                </c:pt>
                <c:pt idx="15">
                  <c:v>0.98711629730066808</c:v>
                </c:pt>
                <c:pt idx="16">
                  <c:v>0.97573568953985279</c:v>
                </c:pt>
                <c:pt idx="17">
                  <c:v>0.95566501224326739</c:v>
                </c:pt>
                <c:pt idx="18">
                  <c:v>0.91310722049607496</c:v>
                </c:pt>
              </c:numCache>
            </c:numRef>
          </c:yVal>
          <c:smooth val="1"/>
          <c:extLst>
            <c:ext xmlns:c16="http://schemas.microsoft.com/office/drawing/2014/chart" uri="{C3380CC4-5D6E-409C-BE32-E72D297353CC}">
              <c16:uniqueId val="{00000002-196C-4AC4-9503-D101CEE25CB6}"/>
            </c:ext>
          </c:extLst>
        </c:ser>
        <c:ser>
          <c:idx val="5"/>
          <c:order val="2"/>
          <c:tx>
            <c:strRef>
              <c:f>'Diagnosis Indicators'!$A$27</c:f>
              <c:strCache>
                <c:ptCount val="1"/>
                <c:pt idx="0">
                  <c:v>Johansen</c:v>
                </c:pt>
              </c:strCache>
            </c:strRef>
          </c:tx>
          <c:spPr>
            <a:ln w="25400" cap="rnd">
              <a:solidFill>
                <a:schemeClr val="accent3"/>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Indicators'!$B$27:$Y$27</c:f>
              <c:numCache>
                <c:formatCode>#,##0.000</c:formatCode>
                <c:ptCount val="24"/>
                <c:pt idx="0">
                  <c:v>1</c:v>
                </c:pt>
                <c:pt idx="1">
                  <c:v>1.0015289785555348</c:v>
                </c:pt>
                <c:pt idx="2">
                  <c:v>1.0029389599012843</c:v>
                </c:pt>
                <c:pt idx="3">
                  <c:v>1.0042107820083273</c:v>
                </c:pt>
                <c:pt idx="4">
                  <c:v>1.005320929829697</c:v>
                </c:pt>
                <c:pt idx="5">
                  <c:v>1.0062403481049549</c:v>
                </c:pt>
                <c:pt idx="6">
                  <c:v>1.0069326964785943</c:v>
                </c:pt>
                <c:pt idx="7">
                  <c:v>1.0073521228780264</c:v>
                </c:pt>
                <c:pt idx="8">
                  <c:v>1.0074401053094406</c:v>
                </c:pt>
                <c:pt idx="9">
                  <c:v>1.0071208201288337</c:v>
                </c:pt>
                <c:pt idx="10">
                  <c:v>1.0062943564966955</c:v>
                </c:pt>
                <c:pt idx="11">
                  <c:v>1.0048261036197557</c:v>
                </c:pt>
                <c:pt idx="12">
                  <c:v>1.002528917129883</c:v>
                </c:pt>
                <c:pt idx="13">
                  <c:v>0.99912972284624169</c:v>
                </c:pt>
                <c:pt idx="14">
                  <c:v>0.99419645669163381</c:v>
                </c:pt>
                <c:pt idx="15">
                  <c:v>0.98694420254539583</c:v>
                </c:pt>
                <c:pt idx="16">
                  <c:v>0.97563262694565345</c:v>
                </c:pt>
                <c:pt idx="17">
                  <c:v>0.9556288099469229</c:v>
                </c:pt>
                <c:pt idx="18">
                  <c:v>0.91310199365386224</c:v>
                </c:pt>
                <c:pt idx="19">
                  <c:v>0.79407417329659269</c:v>
                </c:pt>
                <c:pt idx="20">
                  <c:v>0.74364475154977905</c:v>
                </c:pt>
                <c:pt idx="21">
                  <c:v>0.6716949648070919</c:v>
                </c:pt>
                <c:pt idx="22">
                  <c:v>0.56190796753386985</c:v>
                </c:pt>
                <c:pt idx="23">
                  <c:v>0.3761608095396004</c:v>
                </c:pt>
              </c:numCache>
            </c:numRef>
          </c:yVal>
          <c:smooth val="1"/>
          <c:extLst xmlns:c15="http://schemas.microsoft.com/office/drawing/2012/chart">
            <c:ext xmlns:c16="http://schemas.microsoft.com/office/drawing/2014/chart" uri="{C3380CC4-5D6E-409C-BE32-E72D297353CC}">
              <c16:uniqueId val="{00000001-196C-4AC4-9503-D101CEE25CB6}"/>
            </c:ext>
          </c:extLst>
        </c:ser>
        <c:ser>
          <c:idx val="4"/>
          <c:order val="3"/>
          <c:tx>
            <c:strRef>
              <c:f>'Diagnosis Indicators'!$A$28</c:f>
              <c:strCache>
                <c:ptCount val="1"/>
                <c:pt idx="0">
                  <c:v>Keynes-Marshall</c:v>
                </c:pt>
              </c:strCache>
            </c:strRef>
          </c:tx>
          <c:spPr>
            <a:ln w="25400" cap="rnd">
              <a:solidFill>
                <a:schemeClr val="accent4"/>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Indicators'!$B$28:$Y$28</c:f>
              <c:numCache>
                <c:formatCode>#,##0.000</c:formatCode>
                <c:ptCount val="24"/>
                <c:pt idx="0">
                  <c:v>1</c:v>
                </c:pt>
                <c:pt idx="1">
                  <c:v>1.0155792098184471</c:v>
                </c:pt>
                <c:pt idx="2">
                  <c:v>1.0313046663291843</c:v>
                </c:pt>
                <c:pt idx="3">
                  <c:v>1.0472162140711576</c:v>
                </c:pt>
                <c:pt idx="4">
                  <c:v>1.0633623086804298</c:v>
                </c:pt>
                <c:pt idx="5">
                  <c:v>1.0798056439081865</c:v>
                </c:pt>
                <c:pt idx="6">
                  <c:v>1.0966322455859898</c:v>
                </c:pt>
                <c:pt idx="7">
                  <c:v>1.1139668382857051</c:v>
                </c:pt>
                <c:pt idx="8">
                  <c:v>1.1319990051784525</c:v>
                </c:pt>
                <c:pt idx="9">
                  <c:v>1.1510292468582031</c:v>
                </c:pt>
                <c:pt idx="10">
                  <c:v>1.1715517923558654</c:v>
                </c:pt>
                <c:pt idx="11">
                  <c:v>1.1944059539245977</c:v>
                </c:pt>
                <c:pt idx="12">
                  <c:v>1.2210479222679804</c:v>
                </c:pt>
                <c:pt idx="13">
                  <c:v>1.2539809206765722</c:v>
                </c:pt>
                <c:pt idx="14">
                  <c:v>1.297123259897228</c:v>
                </c:pt>
                <c:pt idx="15">
                  <c:v>1.3550150000451877</c:v>
                </c:pt>
              </c:numCache>
            </c:numRef>
          </c:yVal>
          <c:smooth val="1"/>
          <c:extLst>
            <c:ext xmlns:c16="http://schemas.microsoft.com/office/drawing/2014/chart" uri="{C3380CC4-5D6E-409C-BE32-E72D297353CC}">
              <c16:uniqueId val="{00000003-196C-4AC4-9503-D101CEE25CB6}"/>
            </c:ext>
          </c:extLst>
        </c:ser>
        <c:ser>
          <c:idx val="2"/>
          <c:order val="4"/>
          <c:tx>
            <c:strRef>
              <c:f>'Diagnosis Indicators'!$A$29</c:f>
              <c:strCache>
                <c:ptCount val="1"/>
                <c:pt idx="0">
                  <c:v>Keynesian</c:v>
                </c:pt>
              </c:strCache>
            </c:strRef>
          </c:tx>
          <c:spPr>
            <a:ln w="25400" cap="rnd">
              <a:solidFill>
                <a:schemeClr val="accent5"/>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Indicators'!$B$29:$Y$29</c:f>
              <c:numCache>
                <c:formatCode>#,##0.000</c:formatCode>
                <c:ptCount val="24"/>
                <c:pt idx="0">
                  <c:v>1</c:v>
                </c:pt>
                <c:pt idx="1">
                  <c:v>0.97996799359547548</c:v>
                </c:pt>
                <c:pt idx="2">
                  <c:v>0.95760998578911694</c:v>
                </c:pt>
                <c:pt idx="3">
                  <c:v>0.93267613660927551</c:v>
                </c:pt>
                <c:pt idx="4">
                  <c:v>0.90490426370501087</c:v>
                </c:pt>
                <c:pt idx="5">
                  <c:v>0.87403153309588333</c:v>
                </c:pt>
                <c:pt idx="6">
                  <c:v>0.83981038005887731</c:v>
                </c:pt>
                <c:pt idx="7">
                  <c:v>0.80203806566714453</c:v>
                </c:pt>
                <c:pt idx="8">
                  <c:v>0.76060379933864342</c:v>
                </c:pt>
                <c:pt idx="9">
                  <c:v>0.71557389402514415</c:v>
                </c:pt>
                <c:pt idx="10">
                  <c:v>0.66737684231086891</c:v>
                </c:pt>
                <c:pt idx="11">
                  <c:v>0.61732986678662671</c:v>
                </c:pt>
                <c:pt idx="12">
                  <c:v>0.56975496805519199</c:v>
                </c:pt>
                <c:pt idx="13">
                  <c:v>0.53909034897400709</c:v>
                </c:pt>
              </c:numCache>
            </c:numRef>
          </c:yVal>
          <c:smooth val="1"/>
          <c:extLst>
            <c:ext xmlns:c16="http://schemas.microsoft.com/office/drawing/2014/chart" uri="{C3380CC4-5D6E-409C-BE32-E72D297353CC}">
              <c16:uniqueId val="{00000004-196C-4AC4-9503-D101CEE25CB6}"/>
            </c:ext>
          </c:extLst>
        </c:ser>
        <c:ser>
          <c:idx val="3"/>
          <c:order val="5"/>
          <c:tx>
            <c:strRef>
              <c:f>'Diagnosis Indicators'!$A$30</c:f>
              <c:strCache>
                <c:ptCount val="1"/>
                <c:pt idx="0">
                  <c:v>Keynes-Kaldor</c:v>
                </c:pt>
              </c:strCache>
            </c:strRef>
          </c:tx>
          <c:spPr>
            <a:ln w="25400" cap="rnd">
              <a:solidFill>
                <a:schemeClr val="accent6"/>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Indicators'!$B$30:$Y$30</c:f>
              <c:numCache>
                <c:formatCode>#,##0.000</c:formatCode>
                <c:ptCount val="24"/>
                <c:pt idx="0">
                  <c:v>1</c:v>
                </c:pt>
                <c:pt idx="1">
                  <c:v>1.0066943272377742</c:v>
                </c:pt>
                <c:pt idx="2">
                  <c:v>1.0127553279507626</c:v>
                </c:pt>
                <c:pt idx="3">
                  <c:v>1.0181377464419039</c:v>
                </c:pt>
                <c:pt idx="4">
                  <c:v>1.0227772131009802</c:v>
                </c:pt>
                <c:pt idx="5">
                  <c:v>1.0265860305123258</c:v>
                </c:pt>
                <c:pt idx="6">
                  <c:v>1.0294462953201871</c:v>
                </c:pt>
                <c:pt idx="7">
                  <c:v>1.0312003986283271</c:v>
                </c:pt>
                <c:pt idx="8">
                  <c:v>1.0316366127543457</c:v>
                </c:pt>
                <c:pt idx="9">
                  <c:v>1.0304670772110729</c:v>
                </c:pt>
                <c:pt idx="10">
                  <c:v>1.0272927585759539</c:v>
                </c:pt>
                <c:pt idx="11">
                  <c:v>1.0215446977682479</c:v>
                </c:pt>
                <c:pt idx="12">
                  <c:v>1.0123800905462261</c:v>
                </c:pt>
                <c:pt idx="13">
                  <c:v>0.99848430382257247</c:v>
                </c:pt>
                <c:pt idx="14">
                  <c:v>0.97766507287605642</c:v>
                </c:pt>
                <c:pt idx="15">
                  <c:v>0.94595640809068193</c:v>
                </c:pt>
                <c:pt idx="16">
                  <c:v>0.89555560983400551</c:v>
                </c:pt>
                <c:pt idx="17">
                  <c:v>0.8102680235982076</c:v>
                </c:pt>
                <c:pt idx="18">
                  <c:v>0.65747204401965931</c:v>
                </c:pt>
              </c:numCache>
            </c:numRef>
          </c:yVal>
          <c:smooth val="1"/>
          <c:extLst>
            <c:ext xmlns:c16="http://schemas.microsoft.com/office/drawing/2014/chart" uri="{C3380CC4-5D6E-409C-BE32-E72D297353CC}">
              <c16:uniqueId val="{00000005-196C-4AC4-9503-D101CEE25CB6}"/>
            </c:ext>
          </c:extLst>
        </c:ser>
        <c:ser>
          <c:idx val="7"/>
          <c:order val="6"/>
          <c:tx>
            <c:strRef>
              <c:f>'Diagnosis Indicators'!$A$31</c:f>
              <c:strCache>
                <c:ptCount val="1"/>
                <c:pt idx="0">
                  <c:v>Neo-K1</c:v>
                </c:pt>
              </c:strCache>
            </c:strRef>
          </c:tx>
          <c:spPr>
            <a:ln w="25400" cap="rnd">
              <a:solidFill>
                <a:schemeClr val="accent5"/>
              </a:solidFill>
              <a:prstDash val="dash"/>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Indicators'!$B$31:$Y$31</c:f>
              <c:numCache>
                <c:formatCode>#,##0.000</c:formatCode>
                <c:ptCount val="24"/>
                <c:pt idx="0">
                  <c:v>1</c:v>
                </c:pt>
                <c:pt idx="1">
                  <c:v>0.99649049662466704</c:v>
                </c:pt>
                <c:pt idx="2">
                  <c:v>0.99227002780292395</c:v>
                </c:pt>
                <c:pt idx="3">
                  <c:v>0.98719950051852712</c:v>
                </c:pt>
                <c:pt idx="4">
                  <c:v>0.98110364164607544</c:v>
                </c:pt>
                <c:pt idx="5">
                  <c:v>0.97375892231412919</c:v>
                </c:pt>
                <c:pt idx="6">
                  <c:v>0.96487669608834026</c:v>
                </c:pt>
                <c:pt idx="7">
                  <c:v>0.95408044944602155</c:v>
                </c:pt>
                <c:pt idx="8">
                  <c:v>0.94087327595930836</c:v>
                </c:pt>
                <c:pt idx="9">
                  <c:v>0.92459168385515378</c:v>
                </c:pt>
                <c:pt idx="10">
                  <c:v>0.90434213475440461</c:v>
                </c:pt>
                <c:pt idx="11">
                  <c:v>0.87891390238415057</c:v>
                </c:pt>
                <c:pt idx="12">
                  <c:v>0.84666739595614482</c:v>
                </c:pt>
                <c:pt idx="13">
                  <c:v>0.80540829164998506</c:v>
                </c:pt>
                <c:pt idx="14">
                  <c:v>0.75228698972852615</c:v>
                </c:pt>
                <c:pt idx="15">
                  <c:v>0.68381481349125472</c:v>
                </c:pt>
                <c:pt idx="16">
                  <c:v>0.59613497496620227</c:v>
                </c:pt>
                <c:pt idx="17">
                  <c:v>0.48563760342477397</c:v>
                </c:pt>
                <c:pt idx="18">
                  <c:v>0.34977229779052244</c:v>
                </c:pt>
                <c:pt idx="19">
                  <c:v>0.18763869624004276</c:v>
                </c:pt>
                <c:pt idx="20">
                  <c:v>0.15210222176980154</c:v>
                </c:pt>
                <c:pt idx="21">
                  <c:v>0.11555474403800729</c:v>
                </c:pt>
                <c:pt idx="22">
                  <c:v>7.8010926321451429E-2</c:v>
                </c:pt>
                <c:pt idx="23">
                  <c:v>3.9486889869841932E-2</c:v>
                </c:pt>
              </c:numCache>
            </c:numRef>
          </c:yVal>
          <c:smooth val="1"/>
          <c:extLst>
            <c:ext xmlns:c16="http://schemas.microsoft.com/office/drawing/2014/chart" uri="{C3380CC4-5D6E-409C-BE32-E72D297353CC}">
              <c16:uniqueId val="{00000006-196C-4AC4-9503-D101CEE25CB6}"/>
            </c:ext>
          </c:extLst>
        </c:ser>
        <c:ser>
          <c:idx val="6"/>
          <c:order val="7"/>
          <c:tx>
            <c:strRef>
              <c:f>'Diagnosis Indicators'!$A$32</c:f>
              <c:strCache>
                <c:ptCount val="1"/>
                <c:pt idx="0">
                  <c:v>Neo-K2</c:v>
                </c:pt>
              </c:strCache>
            </c:strRef>
          </c:tx>
          <c:spPr>
            <a:ln w="25400" cap="rnd">
              <a:solidFill>
                <a:schemeClr val="accent5"/>
              </a:solidFill>
              <a:prstDash val="lgDashDotDot"/>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Indicators'!$B$32:$Y$32</c:f>
              <c:numCache>
                <c:formatCode>#,##0.000</c:formatCode>
                <c:ptCount val="24"/>
                <c:pt idx="0">
                  <c:v>1</c:v>
                </c:pt>
                <c:pt idx="1">
                  <c:v>0.99477957894650781</c:v>
                </c:pt>
                <c:pt idx="2">
                  <c:v>0.98855503834533676</c:v>
                </c:pt>
                <c:pt idx="3">
                  <c:v>0.9811122708386657</c:v>
                </c:pt>
                <c:pt idx="4">
                  <c:v>0.97217738143534627</c:v>
                </c:pt>
                <c:pt idx="5">
                  <c:v>0.96140115522771397</c:v>
                </c:pt>
                <c:pt idx="6">
                  <c:v>0.94833335398678575</c:v>
                </c:pt>
                <c:pt idx="7">
                  <c:v>0.93239594352179267</c:v>
                </c:pt>
                <c:pt idx="8">
                  <c:v>0.91285080116169803</c:v>
                </c:pt>
                <c:pt idx="9">
                  <c:v>0.88877145855791506</c:v>
                </c:pt>
                <c:pt idx="10">
                  <c:v>0.85903608571398871</c:v>
                </c:pt>
                <c:pt idx="11">
                  <c:v>0.82237519062132192</c:v>
                </c:pt>
                <c:pt idx="12">
                  <c:v>0.77753287769542245</c:v>
                </c:pt>
                <c:pt idx="13">
                  <c:v>0.72361249708780095</c:v>
                </c:pt>
                <c:pt idx="14">
                  <c:v>0.66062310249080525</c:v>
                </c:pt>
                <c:pt idx="15">
                  <c:v>0.59000420083244598</c:v>
                </c:pt>
                <c:pt idx="16">
                  <c:v>0.51435180271641634</c:v>
                </c:pt>
                <c:pt idx="17">
                  <c:v>0.43492121949778212</c:v>
                </c:pt>
                <c:pt idx="18">
                  <c:v>0.34420438608617226</c:v>
                </c:pt>
                <c:pt idx="19">
                  <c:v>0.18706349626119781</c:v>
                </c:pt>
                <c:pt idx="20">
                  <c:v>0.11330750096906944</c:v>
                </c:pt>
              </c:numCache>
            </c:numRef>
          </c:yVal>
          <c:smooth val="1"/>
          <c:extLst>
            <c:ext xmlns:c16="http://schemas.microsoft.com/office/drawing/2014/chart" uri="{C3380CC4-5D6E-409C-BE32-E72D297353CC}">
              <c16:uniqueId val="{00000007-196C-4AC4-9503-D101CEE25CB6}"/>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4"/>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Real GDP</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125514157327E-2"/>
          <c:y val="0.43135615717816678"/>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7.9830335227042054E-2"/>
          <c:w val="0.91954496211515768"/>
          <c:h val="0.83999937950866999"/>
        </c:manualLayout>
      </c:layout>
      <c:scatterChart>
        <c:scatterStyle val="smoothMarker"/>
        <c:varyColors val="0"/>
        <c:ser>
          <c:idx val="0"/>
          <c:order val="0"/>
          <c:tx>
            <c:strRef>
              <c:f>'Diagnosis Indicators'!$A$47</c:f>
              <c:strCache>
                <c:ptCount val="1"/>
                <c:pt idx="0">
                  <c:v>Neoclassical</c:v>
                </c:pt>
              </c:strCache>
            </c:strRef>
          </c:tx>
          <c:spPr>
            <a:ln w="25400" cap="rnd">
              <a:solidFill>
                <a:schemeClr val="accent1"/>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Indicators'!$B$47:$Y$47</c:f>
              <c:numCache>
                <c:formatCode>#,##0.000</c:formatCode>
                <c:ptCount val="24"/>
                <c:pt idx="0">
                  <c:v>1</c:v>
                </c:pt>
                <c:pt idx="1">
                  <c:v>1.0123262139301665</c:v>
                </c:pt>
                <c:pt idx="2">
                  <c:v>1.0248191624821072</c:v>
                </c:pt>
                <c:pt idx="3">
                  <c:v>1.0374988510866925</c:v>
                </c:pt>
                <c:pt idx="4">
                  <c:v>1.0503890544526371</c:v>
                </c:pt>
                <c:pt idx="5">
                  <c:v>1.063518403467085</c:v>
                </c:pt>
                <c:pt idx="6">
                  <c:v>1.076922520317859</c:v>
                </c:pt>
                <c:pt idx="7">
                  <c:v>1.0906476184012055</c:v>
                </c:pt>
                <c:pt idx="8">
                  <c:v>1.104756501124426</c:v>
                </c:pt>
                <c:pt idx="9">
                  <c:v>1.1193394206021188</c:v>
                </c:pt>
                <c:pt idx="10">
                  <c:v>1.1345335615282366</c:v>
                </c:pt>
                <c:pt idx="11">
                  <c:v>1.1505593866185031</c:v>
                </c:pt>
                <c:pt idx="12">
                  <c:v>1.1677896870259521</c:v>
                </c:pt>
                <c:pt idx="13">
                  <c:v>1.1868824112399774</c:v>
                </c:pt>
                <c:pt idx="14">
                  <c:v>1.2090291090142378</c:v>
                </c:pt>
                <c:pt idx="15">
                  <c:v>1.2363574818972596</c:v>
                </c:pt>
                <c:pt idx="16">
                  <c:v>1.2722324060000769</c:v>
                </c:pt>
                <c:pt idx="17">
                  <c:v>1.3200369428193064</c:v>
                </c:pt>
                <c:pt idx="18">
                  <c:v>1.3770685089572545</c:v>
                </c:pt>
                <c:pt idx="19">
                  <c:v>1.4007315040231239</c:v>
                </c:pt>
                <c:pt idx="20">
                  <c:v>1.3801257248163454</c:v>
                </c:pt>
                <c:pt idx="21">
                  <c:v>1.3299820136484692</c:v>
                </c:pt>
                <c:pt idx="22">
                  <c:v>1.2149564428110227</c:v>
                </c:pt>
                <c:pt idx="23">
                  <c:v>0.92942603523087908</c:v>
                </c:pt>
              </c:numCache>
            </c:numRef>
          </c:yVal>
          <c:smooth val="1"/>
          <c:extLst>
            <c:ext xmlns:c16="http://schemas.microsoft.com/office/drawing/2014/chart" uri="{C3380CC4-5D6E-409C-BE32-E72D297353CC}">
              <c16:uniqueId val="{00000000-8D08-41CF-8E99-FEE4B9BDB7C8}"/>
            </c:ext>
          </c:extLst>
        </c:ser>
        <c:ser>
          <c:idx val="1"/>
          <c:order val="1"/>
          <c:tx>
            <c:strRef>
              <c:f>'Diagnosis Indicators'!$A$48</c:f>
              <c:strCache>
                <c:ptCount val="1"/>
                <c:pt idx="0">
                  <c:v>Kaldorian</c:v>
                </c:pt>
              </c:strCache>
            </c:strRef>
          </c:tx>
          <c:spPr>
            <a:ln w="25400" cap="rnd">
              <a:solidFill>
                <a:schemeClr val="accent2"/>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Indicators'!$B$48:$Y$48</c:f>
              <c:numCache>
                <c:formatCode>#,##0.000</c:formatCode>
                <c:ptCount val="24"/>
                <c:pt idx="0">
                  <c:v>1</c:v>
                </c:pt>
                <c:pt idx="1">
                  <c:v>1.0016748307934191</c:v>
                </c:pt>
                <c:pt idx="2">
                  <c:v>1.0032385789550358</c:v>
                </c:pt>
                <c:pt idx="3">
                  <c:v>1.0046731670591407</c:v>
                </c:pt>
                <c:pt idx="4">
                  <c:v>1.0059564474357596</c:v>
                </c:pt>
                <c:pt idx="5">
                  <c:v>1.0070605697947288</c:v>
                </c:pt>
                <c:pt idx="6">
                  <c:v>1.0079509291788693</c:v>
                </c:pt>
                <c:pt idx="7">
                  <c:v>1.0085832078722783</c:v>
                </c:pt>
                <c:pt idx="8">
                  <c:v>1.0089001953020262</c:v>
                </c:pt>
                <c:pt idx="9">
                  <c:v>1.0088268059683092</c:v>
                </c:pt>
                <c:pt idx="10">
                  <c:v>1.0082622692020375</c:v>
                </c:pt>
                <c:pt idx="11">
                  <c:v>1.0070678922530039</c:v>
                </c:pt>
                <c:pt idx="12">
                  <c:v>1.0050459470787501</c:v>
                </c:pt>
                <c:pt idx="13">
                  <c:v>1.0019003100279995</c:v>
                </c:pt>
                <c:pt idx="14">
                  <c:v>0.99715303105338837</c:v>
                </c:pt>
                <c:pt idx="15">
                  <c:v>0.98993886352382965</c:v>
                </c:pt>
                <c:pt idx="16">
                  <c:v>0.97841274764869679</c:v>
                </c:pt>
                <c:pt idx="17">
                  <c:v>0.95789767397625125</c:v>
                </c:pt>
                <c:pt idx="18">
                  <c:v>0.91468479308370998</c:v>
                </c:pt>
              </c:numCache>
            </c:numRef>
          </c:yVal>
          <c:smooth val="1"/>
          <c:extLst>
            <c:ext xmlns:c16="http://schemas.microsoft.com/office/drawing/2014/chart" uri="{C3380CC4-5D6E-409C-BE32-E72D297353CC}">
              <c16:uniqueId val="{00000001-8D08-41CF-8E99-FEE4B9BDB7C8}"/>
            </c:ext>
          </c:extLst>
        </c:ser>
        <c:ser>
          <c:idx val="5"/>
          <c:order val="2"/>
          <c:tx>
            <c:strRef>
              <c:f>'Diagnosis Indicators'!$A$49</c:f>
              <c:strCache>
                <c:ptCount val="1"/>
                <c:pt idx="0">
                  <c:v>Johansen</c:v>
                </c:pt>
              </c:strCache>
            </c:strRef>
          </c:tx>
          <c:spPr>
            <a:ln w="25400" cap="rnd">
              <a:solidFill>
                <a:schemeClr val="accent3"/>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Indicators'!$B$49:$Y$49</c:f>
              <c:numCache>
                <c:formatCode>#,##0.000</c:formatCode>
                <c:ptCount val="24"/>
                <c:pt idx="0">
                  <c:v>1</c:v>
                </c:pt>
                <c:pt idx="1">
                  <c:v>1.0016696703784878</c:v>
                </c:pt>
                <c:pt idx="2">
                  <c:v>1.003227325599463</c:v>
                </c:pt>
                <c:pt idx="3">
                  <c:v>1.0046547738442992</c:v>
                </c:pt>
                <c:pt idx="4">
                  <c:v>1.0059296301849405</c:v>
                </c:pt>
                <c:pt idx="5">
                  <c:v>1.0070241297520577</c:v>
                </c:pt>
                <c:pt idx="6">
                  <c:v>1.007903360239548</c:v>
                </c:pt>
                <c:pt idx="7">
                  <c:v>1.008522959650302</c:v>
                </c:pt>
                <c:pt idx="8">
                  <c:v>1.0088257838743031</c:v>
                </c:pt>
                <c:pt idx="9">
                  <c:v>1.0087369102696522</c:v>
                </c:pt>
                <c:pt idx="10">
                  <c:v>1.0081561175381224</c:v>
                </c:pt>
                <c:pt idx="11">
                  <c:v>1.0069458224227694</c:v>
                </c:pt>
                <c:pt idx="12">
                  <c:v>1.004910412719064</c:v>
                </c:pt>
                <c:pt idx="13">
                  <c:v>1.001757435100985</c:v>
                </c:pt>
                <c:pt idx="14">
                  <c:v>0.99701493398214069</c:v>
                </c:pt>
                <c:pt idx="15">
                  <c:v>0.98982488539256075</c:v>
                </c:pt>
                <c:pt idx="16">
                  <c:v>0.97834314152452817</c:v>
                </c:pt>
                <c:pt idx="17">
                  <c:v>0.95787304582997901</c:v>
                </c:pt>
                <c:pt idx="18">
                  <c:v>0.91468133373009763</c:v>
                </c:pt>
                <c:pt idx="19">
                  <c:v>0.79501412143295125</c:v>
                </c:pt>
                <c:pt idx="20">
                  <c:v>0.74447685652761386</c:v>
                </c:pt>
                <c:pt idx="21">
                  <c:v>0.67242380127460877</c:v>
                </c:pt>
                <c:pt idx="22">
                  <c:v>0.562525295682481</c:v>
                </c:pt>
                <c:pt idx="23">
                  <c:v>0.37660948934676486</c:v>
                </c:pt>
              </c:numCache>
            </c:numRef>
          </c:yVal>
          <c:smooth val="1"/>
          <c:extLst xmlns:c15="http://schemas.microsoft.com/office/drawing/2012/chart">
            <c:ext xmlns:c16="http://schemas.microsoft.com/office/drawing/2014/chart" uri="{C3380CC4-5D6E-409C-BE32-E72D297353CC}">
              <c16:uniqueId val="{00000002-8D08-41CF-8E99-FEE4B9BDB7C8}"/>
            </c:ext>
          </c:extLst>
        </c:ser>
        <c:ser>
          <c:idx val="4"/>
          <c:order val="3"/>
          <c:tx>
            <c:strRef>
              <c:f>'Diagnosis Indicators'!$A$50</c:f>
              <c:strCache>
                <c:ptCount val="1"/>
                <c:pt idx="0">
                  <c:v>Keynes-Marshall</c:v>
                </c:pt>
              </c:strCache>
            </c:strRef>
          </c:tx>
          <c:spPr>
            <a:ln w="25400" cap="rnd">
              <a:solidFill>
                <a:schemeClr val="accent4"/>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Indicators'!$B$50:$Y$50</c:f>
              <c:numCache>
                <c:formatCode>#,##0.000</c:formatCode>
                <c:ptCount val="24"/>
                <c:pt idx="0">
                  <c:v>1</c:v>
                </c:pt>
                <c:pt idx="1">
                  <c:v>1.0158057211771769</c:v>
                </c:pt>
                <c:pt idx="2">
                  <c:v>1.0317701590253783</c:v>
                </c:pt>
                <c:pt idx="3">
                  <c:v>1.0479350312202824</c:v>
                </c:pt>
                <c:pt idx="4">
                  <c:v>1.0643508335037792</c:v>
                </c:pt>
                <c:pt idx="5">
                  <c:v>1.0810823499915687</c:v>
                </c:pt>
                <c:pt idx="6">
                  <c:v>1.0982175479737364</c:v>
                </c:pt>
                <c:pt idx="7">
                  <c:v>1.1158825425564334</c:v>
                </c:pt>
                <c:pt idx="8">
                  <c:v>1.1342670262667385</c:v>
                </c:pt>
                <c:pt idx="9">
                  <c:v>1.1536689751284006</c:v>
                </c:pt>
                <c:pt idx="10">
                  <c:v>1.1745749325421617</c:v>
                </c:pt>
                <c:pt idx="11">
                  <c:v>1.1978066424826623</c:v>
                </c:pt>
                <c:pt idx="12">
                  <c:v>1.2247843466116766</c:v>
                </c:pt>
                <c:pt idx="13">
                  <c:v>1.2579441162942229</c:v>
                </c:pt>
                <c:pt idx="14">
                  <c:v>1.3010992013053193</c:v>
                </c:pt>
                <c:pt idx="15">
                  <c:v>1.3586906632169653</c:v>
                </c:pt>
              </c:numCache>
            </c:numRef>
          </c:yVal>
          <c:smooth val="1"/>
          <c:extLst>
            <c:ext xmlns:c16="http://schemas.microsoft.com/office/drawing/2014/chart" uri="{C3380CC4-5D6E-409C-BE32-E72D297353CC}">
              <c16:uniqueId val="{00000003-8D08-41CF-8E99-FEE4B9BDB7C8}"/>
            </c:ext>
          </c:extLst>
        </c:ser>
        <c:ser>
          <c:idx val="2"/>
          <c:order val="4"/>
          <c:tx>
            <c:strRef>
              <c:f>'Diagnosis Indicators'!$A$51</c:f>
              <c:strCache>
                <c:ptCount val="1"/>
                <c:pt idx="0">
                  <c:v>Keynesian</c:v>
                </c:pt>
              </c:strCache>
            </c:strRef>
          </c:tx>
          <c:spPr>
            <a:ln w="25400" cap="rnd">
              <a:solidFill>
                <a:schemeClr val="accent5"/>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Indicators'!$B$51:$Y$51</c:f>
              <c:numCache>
                <c:formatCode>#,##0.000</c:formatCode>
                <c:ptCount val="24"/>
                <c:pt idx="0">
                  <c:v>1</c:v>
                </c:pt>
                <c:pt idx="1">
                  <c:v>0.98004551265407069</c:v>
                </c:pt>
                <c:pt idx="2">
                  <c:v>0.95775907902785751</c:v>
                </c:pt>
                <c:pt idx="3">
                  <c:v>0.9328900762746889</c:v>
                </c:pt>
                <c:pt idx="4">
                  <c:v>0.9051755332140009</c:v>
                </c:pt>
                <c:pt idx="5">
                  <c:v>0.87435188655721929</c:v>
                </c:pt>
                <c:pt idx="6">
                  <c:v>0.84017102700358193</c:v>
                </c:pt>
                <c:pt idx="7">
                  <c:v>0.80243005263976996</c:v>
                </c:pt>
                <c:pt idx="8">
                  <c:v>0.7610187608253689</c:v>
                </c:pt>
                <c:pt idx="9">
                  <c:v>0.71600554039298303</c:v>
                </c:pt>
                <c:pt idx="10">
                  <c:v>0.66782422734426772</c:v>
                </c:pt>
                <c:pt idx="11">
                  <c:v>0.61780633120367301</c:v>
                </c:pt>
                <c:pt idx="12">
                  <c:v>0.57032252839562636</c:v>
                </c:pt>
                <c:pt idx="13">
                  <c:v>0.54000706575049928</c:v>
                </c:pt>
              </c:numCache>
            </c:numRef>
          </c:yVal>
          <c:smooth val="1"/>
          <c:extLst>
            <c:ext xmlns:c16="http://schemas.microsoft.com/office/drawing/2014/chart" uri="{C3380CC4-5D6E-409C-BE32-E72D297353CC}">
              <c16:uniqueId val="{00000004-8D08-41CF-8E99-FEE4B9BDB7C8}"/>
            </c:ext>
          </c:extLst>
        </c:ser>
        <c:ser>
          <c:idx val="3"/>
          <c:order val="5"/>
          <c:tx>
            <c:strRef>
              <c:f>'Diagnosis Indicators'!$A$52</c:f>
              <c:strCache>
                <c:ptCount val="1"/>
                <c:pt idx="0">
                  <c:v>Keynes-Kaldor</c:v>
                </c:pt>
              </c:strCache>
            </c:strRef>
          </c:tx>
          <c:spPr>
            <a:ln w="25400" cap="rnd">
              <a:solidFill>
                <a:schemeClr val="accent6"/>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Indicators'!$B$52:$Y$52</c:f>
              <c:numCache>
                <c:formatCode>#,##0.000</c:formatCode>
                <c:ptCount val="24"/>
                <c:pt idx="0">
                  <c:v>1</c:v>
                </c:pt>
                <c:pt idx="1">
                  <c:v>1.0068445134754724</c:v>
                </c:pt>
                <c:pt idx="2">
                  <c:v>1.0130620143832405</c:v>
                </c:pt>
                <c:pt idx="3">
                  <c:v>1.0186080884512847</c:v>
                </c:pt>
                <c:pt idx="4">
                  <c:v>1.0234192877115282</c:v>
                </c:pt>
                <c:pt idx="5">
                  <c:v>1.027408862133905</c:v>
                </c:pt>
                <c:pt idx="6">
                  <c:v>1.0304598254451749</c:v>
                </c:pt>
                <c:pt idx="7">
                  <c:v>1.0324153065497499</c:v>
                </c:pt>
                <c:pt idx="8">
                  <c:v>1.0330638841613189</c:v>
                </c:pt>
                <c:pt idx="9">
                  <c:v>1.0321171182200302</c:v>
                </c:pt>
                <c:pt idx="10">
                  <c:v>1.0291737188215644</c:v>
                </c:pt>
                <c:pt idx="11">
                  <c:v>1.0236594191262904</c:v>
                </c:pt>
                <c:pt idx="12">
                  <c:v>1.0147207014500761</c:v>
                </c:pt>
                <c:pt idx="13">
                  <c:v>1.001022951247442</c:v>
                </c:pt>
                <c:pt idx="14">
                  <c:v>0.98033899414655878</c:v>
                </c:pt>
                <c:pt idx="15">
                  <c:v>0.94864759589386671</c:v>
                </c:pt>
                <c:pt idx="16">
                  <c:v>0.89807568171882401</c:v>
                </c:pt>
                <c:pt idx="17">
                  <c:v>0.8123801186810593</c:v>
                </c:pt>
                <c:pt idx="18">
                  <c:v>0.65897007090171722</c:v>
                </c:pt>
              </c:numCache>
            </c:numRef>
          </c:yVal>
          <c:smooth val="1"/>
          <c:extLst>
            <c:ext xmlns:c16="http://schemas.microsoft.com/office/drawing/2014/chart" uri="{C3380CC4-5D6E-409C-BE32-E72D297353CC}">
              <c16:uniqueId val="{00000005-8D08-41CF-8E99-FEE4B9BDB7C8}"/>
            </c:ext>
          </c:extLst>
        </c:ser>
        <c:ser>
          <c:idx val="7"/>
          <c:order val="6"/>
          <c:tx>
            <c:strRef>
              <c:f>'Diagnosis Indicators'!$A$53</c:f>
              <c:strCache>
                <c:ptCount val="1"/>
                <c:pt idx="0">
                  <c:v>Neo-K1</c:v>
                </c:pt>
              </c:strCache>
            </c:strRef>
          </c:tx>
          <c:spPr>
            <a:ln w="25400" cap="rnd">
              <a:solidFill>
                <a:schemeClr val="accent5"/>
              </a:solidFill>
              <a:prstDash val="dash"/>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Indicators'!$B$53:$Y$53</c:f>
              <c:numCache>
                <c:formatCode>#,##0.000</c:formatCode>
                <c:ptCount val="24"/>
                <c:pt idx="0">
                  <c:v>1</c:v>
                </c:pt>
                <c:pt idx="1">
                  <c:v>1.0054058914013415</c:v>
                </c:pt>
                <c:pt idx="2">
                  <c:v>1.0102218507625746</c:v>
                </c:pt>
                <c:pt idx="3">
                  <c:v>1.0143080734167049</c:v>
                </c:pt>
                <c:pt idx="4">
                  <c:v>1.01748430167437</c:v>
                </c:pt>
                <c:pt idx="5">
                  <c:v>1.0195153261619312</c:v>
                </c:pt>
                <c:pt idx="6">
                  <c:v>1.0200905528597055</c:v>
                </c:pt>
                <c:pt idx="7">
                  <c:v>1.0187958711144178</c:v>
                </c:pt>
                <c:pt idx="8">
                  <c:v>1.0150727513340863</c:v>
                </c:pt>
                <c:pt idx="9">
                  <c:v>1.0081587056887946</c:v>
                </c:pt>
                <c:pt idx="10">
                  <c:v>0.99700343360855403</c:v>
                </c:pt>
                <c:pt idx="11">
                  <c:v>0.98014909980869103</c:v>
                </c:pt>
                <c:pt idx="12">
                  <c:v>0.9555692512689663</c:v>
                </c:pt>
                <c:pt idx="13">
                  <c:v>0.920470970082652</c:v>
                </c:pt>
                <c:pt idx="14">
                  <c:v>0.87110161138137843</c:v>
                </c:pt>
                <c:pt idx="15">
                  <c:v>0.80267397357051873</c:v>
                </c:pt>
                <c:pt idx="16">
                  <c:v>0.70960952667351085</c:v>
                </c:pt>
                <c:pt idx="17">
                  <c:v>0.58628058796103699</c:v>
                </c:pt>
                <c:pt idx="18">
                  <c:v>0.42814628249722675</c:v>
                </c:pt>
                <c:pt idx="19">
                  <c:v>0.23274972838609889</c:v>
                </c:pt>
                <c:pt idx="20">
                  <c:v>0.18915293246190806</c:v>
                </c:pt>
                <c:pt idx="21">
                  <c:v>0.14406568865123986</c:v>
                </c:pt>
                <c:pt idx="22">
                  <c:v>9.7500628287974109E-2</c:v>
                </c:pt>
                <c:pt idx="23">
                  <c:v>4.9472922236781562E-2</c:v>
                </c:pt>
              </c:numCache>
            </c:numRef>
          </c:yVal>
          <c:smooth val="1"/>
          <c:extLst>
            <c:ext xmlns:c16="http://schemas.microsoft.com/office/drawing/2014/chart" uri="{C3380CC4-5D6E-409C-BE32-E72D297353CC}">
              <c16:uniqueId val="{00000006-8D08-41CF-8E99-FEE4B9BDB7C8}"/>
            </c:ext>
          </c:extLst>
        </c:ser>
        <c:ser>
          <c:idx val="6"/>
          <c:order val="7"/>
          <c:tx>
            <c:strRef>
              <c:f>'Diagnosis Indicators'!$A$54</c:f>
              <c:strCache>
                <c:ptCount val="1"/>
                <c:pt idx="0">
                  <c:v>Neo-K2</c:v>
                </c:pt>
              </c:strCache>
            </c:strRef>
          </c:tx>
          <c:spPr>
            <a:ln w="25400" cap="rnd">
              <a:solidFill>
                <a:schemeClr val="accent5"/>
              </a:solidFill>
              <a:prstDash val="lgDashDotDot"/>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Indicators'!$B$54:$Y$54</c:f>
              <c:numCache>
                <c:formatCode>#,##0.000</c:formatCode>
                <c:ptCount val="2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numCache>
            </c:numRef>
          </c:yVal>
          <c:smooth val="1"/>
          <c:extLst>
            <c:ext xmlns:c16="http://schemas.microsoft.com/office/drawing/2014/chart" uri="{C3380CC4-5D6E-409C-BE32-E72D297353CC}">
              <c16:uniqueId val="{00000007-8D08-41CF-8E99-FEE4B9BDB7C8}"/>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4"/>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Real investment</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125514157327E-2"/>
          <c:y val="0.43135615717816678"/>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5.0489076522019991E-2"/>
          <c:w val="0.91954496211515768"/>
          <c:h val="0.86934076835108043"/>
        </c:manualLayout>
      </c:layout>
      <c:scatterChart>
        <c:scatterStyle val="smoothMarker"/>
        <c:varyColors val="0"/>
        <c:ser>
          <c:idx val="0"/>
          <c:order val="0"/>
          <c:tx>
            <c:strRef>
              <c:f>'Diagnosis Indicators'!$A$36</c:f>
              <c:strCache>
                <c:ptCount val="1"/>
                <c:pt idx="0">
                  <c:v>Neoclassical</c:v>
                </c:pt>
              </c:strCache>
            </c:strRef>
          </c:tx>
          <c:spPr>
            <a:ln w="25400" cap="rnd">
              <a:solidFill>
                <a:schemeClr val="accent1"/>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Indicators'!$B$36:$Y$36</c:f>
              <c:numCache>
                <c:formatCode>0.0%</c:formatCode>
                <c:ptCount val="24"/>
                <c:pt idx="0">
                  <c:v>0.56058995943839207</c:v>
                </c:pt>
                <c:pt idx="1">
                  <c:v>0.565763869663093</c:v>
                </c:pt>
                <c:pt idx="2">
                  <c:v>0.56432334774738924</c:v>
                </c:pt>
                <c:pt idx="3">
                  <c:v>0.56287849526781586</c:v>
                </c:pt>
                <c:pt idx="4">
                  <c:v>0.56142883863450199</c:v>
                </c:pt>
                <c:pt idx="5">
                  <c:v>0.55997403161783776</c:v>
                </c:pt>
                <c:pt idx="6">
                  <c:v>0.55851405086407413</c:v>
                </c:pt>
                <c:pt idx="7">
                  <c:v>0.55704943743052737</c:v>
                </c:pt>
                <c:pt idx="8">
                  <c:v>0.55558173600835337</c:v>
                </c:pt>
                <c:pt idx="9">
                  <c:v>0.55411427176442263</c:v>
                </c:pt>
                <c:pt idx="10">
                  <c:v>0.55265336503513163</c:v>
                </c:pt>
                <c:pt idx="11">
                  <c:v>0.55121036181504746</c:v>
                </c:pt>
                <c:pt idx="12">
                  <c:v>0.54980498406014633</c:v>
                </c:pt>
                <c:pt idx="13">
                  <c:v>0.54847059979845647</c:v>
                </c:pt>
                <c:pt idx="14">
                  <c:v>0.5472617182376015</c:v>
                </c:pt>
                <c:pt idx="15">
                  <c:v>0.54625996864731363</c:v>
                </c:pt>
                <c:pt idx="16">
                  <c:v>0.54556082236993153</c:v>
                </c:pt>
                <c:pt idx="17">
                  <c:v>0.54520561344581953</c:v>
                </c:pt>
                <c:pt idx="18">
                  <c:v>0.54509943238967473</c:v>
                </c:pt>
                <c:pt idx="19">
                  <c:v>0.54508574274556731</c:v>
                </c:pt>
                <c:pt idx="20">
                  <c:v>0.54508550385151866</c:v>
                </c:pt>
                <c:pt idx="21">
                  <c:v>0.54508541673594457</c:v>
                </c:pt>
                <c:pt idx="22">
                  <c:v>0.54508539163207481</c:v>
                </c:pt>
                <c:pt idx="23">
                  <c:v>0.54508538664986472</c:v>
                </c:pt>
              </c:numCache>
            </c:numRef>
          </c:yVal>
          <c:smooth val="1"/>
          <c:extLst>
            <c:ext xmlns:c16="http://schemas.microsoft.com/office/drawing/2014/chart" uri="{C3380CC4-5D6E-409C-BE32-E72D297353CC}">
              <c16:uniqueId val="{00000000-943F-4D85-AE78-CE160C49E3D6}"/>
            </c:ext>
          </c:extLst>
        </c:ser>
        <c:ser>
          <c:idx val="1"/>
          <c:order val="1"/>
          <c:tx>
            <c:strRef>
              <c:f>'Diagnosis Indicators'!$A$37</c:f>
              <c:strCache>
                <c:ptCount val="1"/>
                <c:pt idx="0">
                  <c:v>Kaldorian</c:v>
                </c:pt>
              </c:strCache>
            </c:strRef>
          </c:tx>
          <c:spPr>
            <a:ln w="25400" cap="rnd">
              <a:solidFill>
                <a:schemeClr val="accent2"/>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Indicators'!$B$37:$Y$37</c:f>
              <c:numCache>
                <c:formatCode>0.0%</c:formatCode>
                <c:ptCount val="24"/>
                <c:pt idx="0">
                  <c:v>0.56058995943839207</c:v>
                </c:pt>
                <c:pt idx="1">
                  <c:v>0.56139949462718397</c:v>
                </c:pt>
                <c:pt idx="2">
                  <c:v>0.55536069739320404</c:v>
                </c:pt>
                <c:pt idx="3">
                  <c:v>0.54904804754024861</c:v>
                </c:pt>
                <c:pt idx="4">
                  <c:v>0.5424172415115599</c:v>
                </c:pt>
                <c:pt idx="5">
                  <c:v>0.53541299865954206</c:v>
                </c:pt>
                <c:pt idx="6">
                  <c:v>0.52796449064201567</c:v>
                </c:pt>
                <c:pt idx="7">
                  <c:v>0.51997892133010282</c:v>
                </c:pt>
                <c:pt idx="8">
                  <c:v>0.51133041368996424</c:v>
                </c:pt>
                <c:pt idx="9">
                  <c:v>0.50184170668076722</c:v>
                </c:pt>
                <c:pt idx="10">
                  <c:v>0.49125146805007075</c:v>
                </c:pt>
                <c:pt idx="11">
                  <c:v>0.47915416724189142</c:v>
                </c:pt>
                <c:pt idx="12">
                  <c:v>0.46488269329384413</c:v>
                </c:pt>
                <c:pt idx="13">
                  <c:v>0.44726675455199405</c:v>
                </c:pt>
                <c:pt idx="14">
                  <c:v>0.42410800727267106</c:v>
                </c:pt>
                <c:pt idx="15">
                  <c:v>0.3909925133254244</c:v>
                </c:pt>
                <c:pt idx="16">
                  <c:v>0.33854044701860631</c:v>
                </c:pt>
                <c:pt idx="17">
                  <c:v>0.24522511760086549</c:v>
                </c:pt>
                <c:pt idx="18">
                  <c:v>4.6378895601806053E-2</c:v>
                </c:pt>
              </c:numCache>
            </c:numRef>
          </c:yVal>
          <c:smooth val="1"/>
          <c:extLst>
            <c:ext xmlns:c16="http://schemas.microsoft.com/office/drawing/2014/chart" uri="{C3380CC4-5D6E-409C-BE32-E72D297353CC}">
              <c16:uniqueId val="{00000001-943F-4D85-AE78-CE160C49E3D6}"/>
            </c:ext>
          </c:extLst>
        </c:ser>
        <c:ser>
          <c:idx val="5"/>
          <c:order val="2"/>
          <c:tx>
            <c:strRef>
              <c:f>'Diagnosis Indicators'!$A$38</c:f>
              <c:strCache>
                <c:ptCount val="1"/>
                <c:pt idx="0">
                  <c:v>Johansen</c:v>
                </c:pt>
              </c:strCache>
            </c:strRef>
          </c:tx>
          <c:spPr>
            <a:ln w="25400" cap="rnd">
              <a:solidFill>
                <a:schemeClr val="accent3"/>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Indicators'!$B$38:$Y$38</c:f>
              <c:numCache>
                <c:formatCode>0.0%</c:formatCode>
                <c:ptCount val="24"/>
                <c:pt idx="0">
                  <c:v>0.56058995943839207</c:v>
                </c:pt>
                <c:pt idx="1">
                  <c:v>0.56575140399704549</c:v>
                </c:pt>
                <c:pt idx="2">
                  <c:v>0.56429789774285555</c:v>
                </c:pt>
                <c:pt idx="3">
                  <c:v>0.56283942528978304</c:v>
                </c:pt>
                <c:pt idx="4">
                  <c:v>0.56137544875401135</c:v>
                </c:pt>
                <c:pt idx="5">
                  <c:v>0.55990556859423146</c:v>
                </c:pt>
                <c:pt idx="6">
                  <c:v>0.55842975568364195</c:v>
                </c:pt>
                <c:pt idx="7">
                  <c:v>0.55694863061421596</c:v>
                </c:pt>
                <c:pt idx="8">
                  <c:v>0.55546396227914641</c:v>
                </c:pt>
                <c:pt idx="9">
                  <c:v>0.55397953599429961</c:v>
                </c:pt>
                <c:pt idx="10">
                  <c:v>0.55250252180668813</c:v>
                </c:pt>
                <c:pt idx="11">
                  <c:v>0.55104573013733149</c:v>
                </c:pt>
                <c:pt idx="12">
                  <c:v>0.54963129304834102</c:v>
                </c:pt>
                <c:pt idx="13">
                  <c:v>0.54829641954130037</c:v>
                </c:pt>
                <c:pt idx="14">
                  <c:v>0.54710111204737799</c:v>
                </c:pt>
                <c:pt idx="15">
                  <c:v>0.54613266562770335</c:v>
                </c:pt>
                <c:pt idx="16">
                  <c:v>0.5454848102941362</c:v>
                </c:pt>
                <c:pt idx="17">
                  <c:v>0.54517827513390593</c:v>
                </c:pt>
                <c:pt idx="18">
                  <c:v>0.54509518430626702</c:v>
                </c:pt>
                <c:pt idx="19">
                  <c:v>0.54508561050959248</c:v>
                </c:pt>
                <c:pt idx="20">
                  <c:v>0.5450854594504333</c:v>
                </c:pt>
                <c:pt idx="21">
                  <c:v>0.54508540528681482</c:v>
                </c:pt>
                <c:pt idx="22">
                  <c:v>0.54508538972013176</c:v>
                </c:pt>
                <c:pt idx="23">
                  <c:v>0.54508538652703453</c:v>
                </c:pt>
              </c:numCache>
            </c:numRef>
          </c:yVal>
          <c:smooth val="1"/>
          <c:extLst xmlns:c15="http://schemas.microsoft.com/office/drawing/2012/chart">
            <c:ext xmlns:c16="http://schemas.microsoft.com/office/drawing/2014/chart" uri="{C3380CC4-5D6E-409C-BE32-E72D297353CC}">
              <c16:uniqueId val="{00000002-943F-4D85-AE78-CE160C49E3D6}"/>
            </c:ext>
          </c:extLst>
        </c:ser>
        <c:ser>
          <c:idx val="4"/>
          <c:order val="3"/>
          <c:tx>
            <c:strRef>
              <c:f>'Diagnosis Indicators'!$A$39</c:f>
              <c:strCache>
                <c:ptCount val="1"/>
                <c:pt idx="0">
                  <c:v>Keynes-Marshall</c:v>
                </c:pt>
              </c:strCache>
            </c:strRef>
          </c:tx>
          <c:spPr>
            <a:ln w="25400" cap="rnd">
              <a:solidFill>
                <a:schemeClr val="accent4"/>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Indicators'!$B$39:$Y$39</c:f>
              <c:numCache>
                <c:formatCode>0.0%</c:formatCode>
                <c:ptCount val="24"/>
                <c:pt idx="0">
                  <c:v>0.56058995943839207</c:v>
                </c:pt>
                <c:pt idx="1">
                  <c:v>0.58047199957242013</c:v>
                </c:pt>
                <c:pt idx="2">
                  <c:v>0.59414211222306346</c:v>
                </c:pt>
                <c:pt idx="3">
                  <c:v>0.60829070719806311</c:v>
                </c:pt>
                <c:pt idx="4">
                  <c:v>0.62301720511985326</c:v>
                </c:pt>
                <c:pt idx="5">
                  <c:v>0.6384498161913098</c:v>
                </c:pt>
                <c:pt idx="6">
                  <c:v>0.65476011461740602</c:v>
                </c:pt>
                <c:pt idx="7">
                  <c:v>0.67218654765011854</c:v>
                </c:pt>
                <c:pt idx="8">
                  <c:v>0.69107362563306496</c:v>
                </c:pt>
                <c:pt idx="9">
                  <c:v>0.7119396809601678</c:v>
                </c:pt>
                <c:pt idx="10">
                  <c:v>0.73559800264479713</c:v>
                </c:pt>
                <c:pt idx="11">
                  <c:v>0.76338031161631159</c:v>
                </c:pt>
                <c:pt idx="12">
                  <c:v>0.79755385016725211</c:v>
                </c:pt>
                <c:pt idx="13">
                  <c:v>0.84206310912114535</c:v>
                </c:pt>
                <c:pt idx="14">
                  <c:v>0.9035887284565729</c:v>
                </c:pt>
                <c:pt idx="15">
                  <c:v>0.99226890269560331</c:v>
                </c:pt>
              </c:numCache>
            </c:numRef>
          </c:yVal>
          <c:smooth val="1"/>
          <c:extLst>
            <c:ext xmlns:c16="http://schemas.microsoft.com/office/drawing/2014/chart" uri="{C3380CC4-5D6E-409C-BE32-E72D297353CC}">
              <c16:uniqueId val="{00000003-943F-4D85-AE78-CE160C49E3D6}"/>
            </c:ext>
          </c:extLst>
        </c:ser>
        <c:ser>
          <c:idx val="2"/>
          <c:order val="4"/>
          <c:tx>
            <c:strRef>
              <c:f>'Diagnosis Indicators'!$A$40</c:f>
              <c:strCache>
                <c:ptCount val="1"/>
                <c:pt idx="0">
                  <c:v>Keynesian</c:v>
                </c:pt>
              </c:strCache>
            </c:strRef>
          </c:tx>
          <c:spPr>
            <a:ln w="25400" cap="rnd">
              <a:solidFill>
                <a:schemeClr val="accent5"/>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Indicators'!$B$40:$Y$40</c:f>
              <c:numCache>
                <c:formatCode>0.0%</c:formatCode>
                <c:ptCount val="24"/>
                <c:pt idx="0">
                  <c:v>0.56058995943839207</c:v>
                </c:pt>
                <c:pt idx="1">
                  <c:v>0.57444737628800124</c:v>
                </c:pt>
                <c:pt idx="2">
                  <c:v>0.58167854619161252</c:v>
                </c:pt>
                <c:pt idx="3">
                  <c:v>0.58886739047033787</c:v>
                </c:pt>
                <c:pt idx="4">
                  <c:v>0.59597995099820023</c:v>
                </c:pt>
                <c:pt idx="5">
                  <c:v>0.60297530796399212</c:v>
                </c:pt>
                <c:pt idx="6">
                  <c:v>0.60980255257803151</c:v>
                </c:pt>
                <c:pt idx="7">
                  <c:v>0.61640055142479422</c:v>
                </c:pt>
                <c:pt idx="8">
                  <c:v>0.62269481513124858</c:v>
                </c:pt>
                <c:pt idx="9">
                  <c:v>0.62859032675299265</c:v>
                </c:pt>
                <c:pt idx="10">
                  <c:v>0.63395494072514635</c:v>
                </c:pt>
                <c:pt idx="11">
                  <c:v>0.63855714056465773</c:v>
                </c:pt>
                <c:pt idx="12">
                  <c:v>0.64177807894779559</c:v>
                </c:pt>
                <c:pt idx="13">
                  <c:v>0.6415172313973001</c:v>
                </c:pt>
              </c:numCache>
            </c:numRef>
          </c:yVal>
          <c:smooth val="1"/>
          <c:extLst>
            <c:ext xmlns:c16="http://schemas.microsoft.com/office/drawing/2014/chart" uri="{C3380CC4-5D6E-409C-BE32-E72D297353CC}">
              <c16:uniqueId val="{00000004-943F-4D85-AE78-CE160C49E3D6}"/>
            </c:ext>
          </c:extLst>
        </c:ser>
        <c:ser>
          <c:idx val="3"/>
          <c:order val="5"/>
          <c:tx>
            <c:strRef>
              <c:f>'Diagnosis Indicators'!$A$41</c:f>
              <c:strCache>
                <c:ptCount val="1"/>
                <c:pt idx="0">
                  <c:v>Keynes-Kaldor</c:v>
                </c:pt>
              </c:strCache>
            </c:strRef>
          </c:tx>
          <c:spPr>
            <a:ln w="25400" cap="rnd">
              <a:solidFill>
                <a:schemeClr val="accent6"/>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Indicators'!$B$41:$Y$41</c:f>
              <c:numCache>
                <c:formatCode>0.0%</c:formatCode>
                <c:ptCount val="24"/>
                <c:pt idx="0">
                  <c:v>0.56058995943839207</c:v>
                </c:pt>
                <c:pt idx="1">
                  <c:v>0.56093833433108498</c:v>
                </c:pt>
                <c:pt idx="2">
                  <c:v>0.55448704072447919</c:v>
                </c:pt>
                <c:pt idx="3">
                  <c:v>0.54780941692061469</c:v>
                </c:pt>
                <c:pt idx="4">
                  <c:v>0.54086132868528347</c:v>
                </c:pt>
                <c:pt idx="5">
                  <c:v>0.53358926467753665</c:v>
                </c:pt>
                <c:pt idx="6">
                  <c:v>0.52592634193999277</c:v>
                </c:pt>
                <c:pt idx="7">
                  <c:v>0.51778650762562184</c:v>
                </c:pt>
                <c:pt idx="8">
                  <c:v>0.50905522856935037</c:v>
                </c:pt>
                <c:pt idx="9">
                  <c:v>0.49957451962939864</c:v>
                </c:pt>
                <c:pt idx="10">
                  <c:v>0.48911742063417252</c:v>
                </c:pt>
                <c:pt idx="11">
                  <c:v>0.47734407986917088</c:v>
                </c:pt>
                <c:pt idx="12">
                  <c:v>0.46372296935273305</c:v>
                </c:pt>
                <c:pt idx="13">
                  <c:v>0.44738678221721839</c:v>
                </c:pt>
                <c:pt idx="14">
                  <c:v>0.42686935623864397</c:v>
                </c:pt>
                <c:pt idx="15">
                  <c:v>0.39965656142431605</c:v>
                </c:pt>
                <c:pt idx="16">
                  <c:v>0.36160284692911759</c:v>
                </c:pt>
                <c:pt idx="17">
                  <c:v>0.30692255057214168</c:v>
                </c:pt>
                <c:pt idx="18">
                  <c:v>0.23168070233325103</c:v>
                </c:pt>
              </c:numCache>
            </c:numRef>
          </c:yVal>
          <c:smooth val="1"/>
          <c:extLst>
            <c:ext xmlns:c16="http://schemas.microsoft.com/office/drawing/2014/chart" uri="{C3380CC4-5D6E-409C-BE32-E72D297353CC}">
              <c16:uniqueId val="{00000005-943F-4D85-AE78-CE160C49E3D6}"/>
            </c:ext>
          </c:extLst>
        </c:ser>
        <c:ser>
          <c:idx val="7"/>
          <c:order val="6"/>
          <c:tx>
            <c:strRef>
              <c:f>'Diagnosis Indicators'!$A$42</c:f>
              <c:strCache>
                <c:ptCount val="1"/>
                <c:pt idx="0">
                  <c:v>Neo-K1</c:v>
                </c:pt>
              </c:strCache>
            </c:strRef>
          </c:tx>
          <c:spPr>
            <a:ln w="25400" cap="rnd">
              <a:solidFill>
                <a:schemeClr val="accent5"/>
              </a:solidFill>
              <a:prstDash val="dash"/>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Indicators'!$B$42:$Y$42</c:f>
              <c:numCache>
                <c:formatCode>0.0%</c:formatCode>
                <c:ptCount val="24"/>
                <c:pt idx="0">
                  <c:v>0.56058995943839207</c:v>
                </c:pt>
                <c:pt idx="1">
                  <c:v>0.56689106955347601</c:v>
                </c:pt>
                <c:pt idx="2">
                  <c:v>0.56659116835305801</c:v>
                </c:pt>
                <c:pt idx="3">
                  <c:v>0.5662992680236687</c:v>
                </c:pt>
                <c:pt idx="4">
                  <c:v>0.56601299632091562</c:v>
                </c:pt>
                <c:pt idx="5">
                  <c:v>0.56572887637344582</c:v>
                </c:pt>
                <c:pt idx="6">
                  <c:v>0.56544194414098037</c:v>
                </c:pt>
                <c:pt idx="7">
                  <c:v>0.56514521094453696</c:v>
                </c:pt>
                <c:pt idx="8">
                  <c:v>0.56482897732914539</c:v>
                </c:pt>
                <c:pt idx="9">
                  <c:v>0.56447993076624325</c:v>
                </c:pt>
                <c:pt idx="10">
                  <c:v>0.56408011428943217</c:v>
                </c:pt>
                <c:pt idx="11">
                  <c:v>0.56360575561868409</c:v>
                </c:pt>
                <c:pt idx="12">
                  <c:v>0.5630264417158054</c:v>
                </c:pt>
                <c:pt idx="13">
                  <c:v>0.56230530040725879</c:v>
                </c:pt>
                <c:pt idx="14">
                  <c:v>0.56140169616969204</c:v>
                </c:pt>
                <c:pt idx="15">
                  <c:v>0.56027823100084051</c:v>
                </c:pt>
                <c:pt idx="16">
                  <c:v>0.55891270593281106</c:v>
                </c:pt>
                <c:pt idx="17">
                  <c:v>0.55731151212600072</c:v>
                </c:pt>
                <c:pt idx="18">
                  <c:v>0.55551576299385286</c:v>
                </c:pt>
                <c:pt idx="19">
                  <c:v>0.55359299031149789</c:v>
                </c:pt>
                <c:pt idx="20">
                  <c:v>0.55319988166530387</c:v>
                </c:pt>
                <c:pt idx="21">
                  <c:v>0.55280529816304513</c:v>
                </c:pt>
                <c:pt idx="22">
                  <c:v>0.55240979302512072</c:v>
                </c:pt>
                <c:pt idx="23">
                  <c:v>0.55201389228751019</c:v>
                </c:pt>
              </c:numCache>
            </c:numRef>
          </c:yVal>
          <c:smooth val="1"/>
          <c:extLst>
            <c:ext xmlns:c16="http://schemas.microsoft.com/office/drawing/2014/chart" uri="{C3380CC4-5D6E-409C-BE32-E72D297353CC}">
              <c16:uniqueId val="{00000006-943F-4D85-AE78-CE160C49E3D6}"/>
            </c:ext>
          </c:extLst>
        </c:ser>
        <c:ser>
          <c:idx val="6"/>
          <c:order val="7"/>
          <c:tx>
            <c:strRef>
              <c:f>'Diagnosis Indicators'!$A$43</c:f>
              <c:strCache>
                <c:ptCount val="1"/>
                <c:pt idx="0">
                  <c:v>Neo-K2</c:v>
                </c:pt>
              </c:strCache>
            </c:strRef>
          </c:tx>
          <c:spPr>
            <a:ln w="25400" cap="rnd">
              <a:solidFill>
                <a:schemeClr val="accent5"/>
              </a:solidFill>
              <a:prstDash val="lgDashDotDot"/>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Indicators'!$B$43:$Y$43</c:f>
              <c:numCache>
                <c:formatCode>0.0%</c:formatCode>
                <c:ptCount val="24"/>
                <c:pt idx="0">
                  <c:v>0.56058995943839207</c:v>
                </c:pt>
                <c:pt idx="1">
                  <c:v>0.56759599190374921</c:v>
                </c:pt>
                <c:pt idx="2">
                  <c:v>0.56805669413920445</c:v>
                </c:pt>
                <c:pt idx="3">
                  <c:v>0.56859070856655081</c:v>
                </c:pt>
                <c:pt idx="4">
                  <c:v>0.56920716444883723</c:v>
                </c:pt>
                <c:pt idx="5">
                  <c:v>0.56991621978214779</c:v>
                </c:pt>
                <c:pt idx="6">
                  <c:v>0.57072906958879777</c:v>
                </c:pt>
                <c:pt idx="7">
                  <c:v>0.57165762470725734</c:v>
                </c:pt>
                <c:pt idx="8">
                  <c:v>0.57271385261074514</c:v>
                </c:pt>
                <c:pt idx="9">
                  <c:v>0.57390839827101592</c:v>
                </c:pt>
                <c:pt idx="10">
                  <c:v>0.57524787788981868</c:v>
                </c:pt>
                <c:pt idx="11">
                  <c:v>0.57672993156453423</c:v>
                </c:pt>
                <c:pt idx="12">
                  <c:v>0.57833427636782775</c:v>
                </c:pt>
                <c:pt idx="13">
                  <c:v>0.58000656217408852</c:v>
                </c:pt>
                <c:pt idx="14">
                  <c:v>0.58162936516687547</c:v>
                </c:pt>
                <c:pt idx="15">
                  <c:v>0.58297151536831404</c:v>
                </c:pt>
                <c:pt idx="16">
                  <c:v>0.583599411009744</c:v>
                </c:pt>
                <c:pt idx="17">
                  <c:v>0.58265302401989538</c:v>
                </c:pt>
                <c:pt idx="18">
                  <c:v>0.57790261682790134</c:v>
                </c:pt>
                <c:pt idx="19">
                  <c:v>0.56084222594604727</c:v>
                </c:pt>
                <c:pt idx="20">
                  <c:v>0.55313248593529651</c:v>
                </c:pt>
                <c:pt idx="21">
                  <c:v>0.54169836893215617</c:v>
                </c:pt>
                <c:pt idx="22">
                  <c:v>0.52289506193182367</c:v>
                </c:pt>
                <c:pt idx="23">
                  <c:v>0.48448066368802345</c:v>
                </c:pt>
              </c:numCache>
            </c:numRef>
          </c:yVal>
          <c:smooth val="1"/>
          <c:extLst>
            <c:ext xmlns:c16="http://schemas.microsoft.com/office/drawing/2014/chart" uri="{C3380CC4-5D6E-409C-BE32-E72D297353CC}">
              <c16:uniqueId val="{00000007-943F-4D85-AE78-CE160C49E3D6}"/>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K share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majorUnit val="0.15000000000000002"/>
      </c:valAx>
      <c:spPr>
        <a:noFill/>
        <a:ln>
          <a:noFill/>
        </a:ln>
        <a:effectLst/>
      </c:spPr>
    </c:plotArea>
    <c:legend>
      <c:legendPos val="b"/>
      <c:layout>
        <c:manualLayout>
          <c:xMode val="edge"/>
          <c:yMode val="edge"/>
          <c:x val="6.8060099839134802E-2"/>
          <c:y val="0.46698491050897784"/>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9.0309377637294436E-2"/>
          <c:w val="0.91954496211515768"/>
          <c:h val="0.82952033709841755"/>
        </c:manualLayout>
      </c:layout>
      <c:scatterChart>
        <c:scatterStyle val="smoothMarker"/>
        <c:varyColors val="0"/>
        <c:ser>
          <c:idx val="0"/>
          <c:order val="0"/>
          <c:tx>
            <c:strRef>
              <c:f>'Diagnosis Indicators'!$A$58</c:f>
              <c:strCache>
                <c:ptCount val="1"/>
                <c:pt idx="0">
                  <c:v>Neoclassical</c:v>
                </c:pt>
              </c:strCache>
            </c:strRef>
          </c:tx>
          <c:spPr>
            <a:ln w="25400" cap="rnd">
              <a:solidFill>
                <a:schemeClr val="accent1"/>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Indicators'!$B$58:$Y$58</c:f>
              <c:numCache>
                <c:formatCode>#,##0.000</c:formatCode>
                <c:ptCount val="24"/>
                <c:pt idx="0">
                  <c:v>6.0999999999999999E-2</c:v>
                </c:pt>
                <c:pt idx="1">
                  <c:v>6.1000000000000311E-2</c:v>
                </c:pt>
                <c:pt idx="2">
                  <c:v>6.1000000000000519E-2</c:v>
                </c:pt>
                <c:pt idx="3">
                  <c:v>6.0999999999999791E-2</c:v>
                </c:pt>
                <c:pt idx="4">
                  <c:v>6.0999999999999582E-2</c:v>
                </c:pt>
                <c:pt idx="5">
                  <c:v>6.0999999999999374E-2</c:v>
                </c:pt>
                <c:pt idx="6">
                  <c:v>6.1000000000000623E-2</c:v>
                </c:pt>
                <c:pt idx="7">
                  <c:v>6.0999999999998958E-2</c:v>
                </c:pt>
                <c:pt idx="8">
                  <c:v>6.1000000000000519E-2</c:v>
                </c:pt>
                <c:pt idx="9">
                  <c:v>6.0999999999999374E-2</c:v>
                </c:pt>
                <c:pt idx="10">
                  <c:v>6.1000000000000207E-2</c:v>
                </c:pt>
                <c:pt idx="11">
                  <c:v>6.1000000000002816E-2</c:v>
                </c:pt>
                <c:pt idx="12">
                  <c:v>6.1000000000000311E-2</c:v>
                </c:pt>
                <c:pt idx="13">
                  <c:v>6.0999999999998958E-2</c:v>
                </c:pt>
                <c:pt idx="14">
                  <c:v>6.0999999999999582E-2</c:v>
                </c:pt>
                <c:pt idx="15">
                  <c:v>6.1000000000000311E-2</c:v>
                </c:pt>
                <c:pt idx="16">
                  <c:v>6.1000000000000831E-2</c:v>
                </c:pt>
                <c:pt idx="17">
                  <c:v>6.0999999999999999E-2</c:v>
                </c:pt>
                <c:pt idx="18">
                  <c:v>6.0999999999999791E-2</c:v>
                </c:pt>
                <c:pt idx="19">
                  <c:v>6.1000000000000207E-2</c:v>
                </c:pt>
                <c:pt idx="20">
                  <c:v>6.0999999999999999E-2</c:v>
                </c:pt>
                <c:pt idx="21">
                  <c:v>6.0999999999999791E-2</c:v>
                </c:pt>
                <c:pt idx="22">
                  <c:v>6.0999999999999791E-2</c:v>
                </c:pt>
                <c:pt idx="23">
                  <c:v>6.1000000000000207E-2</c:v>
                </c:pt>
              </c:numCache>
            </c:numRef>
          </c:yVal>
          <c:smooth val="1"/>
          <c:extLst>
            <c:ext xmlns:c16="http://schemas.microsoft.com/office/drawing/2014/chart" uri="{C3380CC4-5D6E-409C-BE32-E72D297353CC}">
              <c16:uniqueId val="{00000000-55AD-4D4F-A0AB-9AA22C292A0A}"/>
            </c:ext>
          </c:extLst>
        </c:ser>
        <c:ser>
          <c:idx val="1"/>
          <c:order val="1"/>
          <c:tx>
            <c:strRef>
              <c:f>'Diagnosis Indicators'!$A$59</c:f>
              <c:strCache>
                <c:ptCount val="1"/>
                <c:pt idx="0">
                  <c:v>Kaldorian</c:v>
                </c:pt>
              </c:strCache>
            </c:strRef>
          </c:tx>
          <c:spPr>
            <a:ln w="25400" cap="rnd">
              <a:solidFill>
                <a:schemeClr val="accent2"/>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Indicators'!$B$59:$Y$59</c:f>
              <c:numCache>
                <c:formatCode>#,##0.000</c:formatCode>
                <c:ptCount val="24"/>
                <c:pt idx="0">
                  <c:v>6.0999999999999999E-2</c:v>
                </c:pt>
                <c:pt idx="1">
                  <c:v>6.1000000000000519E-2</c:v>
                </c:pt>
                <c:pt idx="2">
                  <c:v>6.1000000000002295E-2</c:v>
                </c:pt>
                <c:pt idx="3">
                  <c:v>6.0999999999999582E-2</c:v>
                </c:pt>
                <c:pt idx="4">
                  <c:v>6.1000000000000519E-2</c:v>
                </c:pt>
                <c:pt idx="5">
                  <c:v>6.0999999999999999E-2</c:v>
                </c:pt>
                <c:pt idx="6">
                  <c:v>6.0999999999999582E-2</c:v>
                </c:pt>
                <c:pt idx="7">
                  <c:v>6.0999999999998333E-2</c:v>
                </c:pt>
                <c:pt idx="8">
                  <c:v>6.1000000000000311E-2</c:v>
                </c:pt>
                <c:pt idx="9">
                  <c:v>6.1000000000000207E-2</c:v>
                </c:pt>
                <c:pt idx="10">
                  <c:v>6.0999999999999582E-2</c:v>
                </c:pt>
                <c:pt idx="11">
                  <c:v>6.0999999999999582E-2</c:v>
                </c:pt>
                <c:pt idx="12">
                  <c:v>6.0999999999999791E-2</c:v>
                </c:pt>
                <c:pt idx="13">
                  <c:v>6.0999999999999791E-2</c:v>
                </c:pt>
                <c:pt idx="14">
                  <c:v>6.1000000000000311E-2</c:v>
                </c:pt>
                <c:pt idx="15">
                  <c:v>6.1000000000000311E-2</c:v>
                </c:pt>
                <c:pt idx="16">
                  <c:v>6.0999999999999582E-2</c:v>
                </c:pt>
                <c:pt idx="17">
                  <c:v>6.0999999999999791E-2</c:v>
                </c:pt>
                <c:pt idx="18">
                  <c:v>6.099999999999875E-2</c:v>
                </c:pt>
              </c:numCache>
            </c:numRef>
          </c:yVal>
          <c:smooth val="1"/>
          <c:extLst>
            <c:ext xmlns:c16="http://schemas.microsoft.com/office/drawing/2014/chart" uri="{C3380CC4-5D6E-409C-BE32-E72D297353CC}">
              <c16:uniqueId val="{00000001-55AD-4D4F-A0AB-9AA22C292A0A}"/>
            </c:ext>
          </c:extLst>
        </c:ser>
        <c:ser>
          <c:idx val="5"/>
          <c:order val="2"/>
          <c:tx>
            <c:strRef>
              <c:f>'Diagnosis Indicators'!$A$60</c:f>
              <c:strCache>
                <c:ptCount val="1"/>
                <c:pt idx="0">
                  <c:v>Johansen</c:v>
                </c:pt>
              </c:strCache>
            </c:strRef>
          </c:tx>
          <c:spPr>
            <a:ln w="25400" cap="rnd">
              <a:solidFill>
                <a:schemeClr val="accent3"/>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Indicators'!$B$60:$Y$60</c:f>
              <c:numCache>
                <c:formatCode>#,##0.000</c:formatCode>
                <c:ptCount val="24"/>
                <c:pt idx="0">
                  <c:v>6.0999999999999999E-2</c:v>
                </c:pt>
                <c:pt idx="1">
                  <c:v>6.1000000000000311E-2</c:v>
                </c:pt>
                <c:pt idx="2">
                  <c:v>6.099999999999875E-2</c:v>
                </c:pt>
                <c:pt idx="3">
                  <c:v>6.1000000000000207E-2</c:v>
                </c:pt>
                <c:pt idx="4">
                  <c:v>6.1000000000000207E-2</c:v>
                </c:pt>
                <c:pt idx="5">
                  <c:v>6.0999999999999582E-2</c:v>
                </c:pt>
                <c:pt idx="6">
                  <c:v>6.0999999999999999E-2</c:v>
                </c:pt>
                <c:pt idx="7">
                  <c:v>6.1000000000000519E-2</c:v>
                </c:pt>
                <c:pt idx="8">
                  <c:v>6.0999999999999791E-2</c:v>
                </c:pt>
                <c:pt idx="9">
                  <c:v>6.0999999999999582E-2</c:v>
                </c:pt>
                <c:pt idx="10">
                  <c:v>6.1000000000000831E-2</c:v>
                </c:pt>
                <c:pt idx="11">
                  <c:v>6.1000000000000207E-2</c:v>
                </c:pt>
                <c:pt idx="12">
                  <c:v>6.0999999999999791E-2</c:v>
                </c:pt>
                <c:pt idx="13">
                  <c:v>6.0999999999999374E-2</c:v>
                </c:pt>
                <c:pt idx="14">
                  <c:v>6.0999999999999582E-2</c:v>
                </c:pt>
                <c:pt idx="15">
                  <c:v>6.0999999999999999E-2</c:v>
                </c:pt>
                <c:pt idx="16">
                  <c:v>6.1000000000000207E-2</c:v>
                </c:pt>
                <c:pt idx="17">
                  <c:v>6.1000000000000207E-2</c:v>
                </c:pt>
                <c:pt idx="18">
                  <c:v>6.0999999999999999E-2</c:v>
                </c:pt>
                <c:pt idx="19">
                  <c:v>6.0999999999999166E-2</c:v>
                </c:pt>
                <c:pt idx="20">
                  <c:v>6.0999999999999791E-2</c:v>
                </c:pt>
                <c:pt idx="21">
                  <c:v>6.0999999999998333E-2</c:v>
                </c:pt>
                <c:pt idx="22">
                  <c:v>6.0999999999999374E-2</c:v>
                </c:pt>
                <c:pt idx="23">
                  <c:v>6.0999999999999999E-2</c:v>
                </c:pt>
              </c:numCache>
            </c:numRef>
          </c:yVal>
          <c:smooth val="1"/>
          <c:extLst xmlns:c15="http://schemas.microsoft.com/office/drawing/2012/chart">
            <c:ext xmlns:c16="http://schemas.microsoft.com/office/drawing/2014/chart" uri="{C3380CC4-5D6E-409C-BE32-E72D297353CC}">
              <c16:uniqueId val="{00000002-55AD-4D4F-A0AB-9AA22C292A0A}"/>
            </c:ext>
          </c:extLst>
        </c:ser>
        <c:ser>
          <c:idx val="4"/>
          <c:order val="3"/>
          <c:tx>
            <c:strRef>
              <c:f>'Diagnosis Indicators'!$A$61</c:f>
              <c:strCache>
                <c:ptCount val="1"/>
                <c:pt idx="0">
                  <c:v>Keynes-Marshall</c:v>
                </c:pt>
              </c:strCache>
            </c:strRef>
          </c:tx>
          <c:spPr>
            <a:ln w="25400" cap="rnd">
              <a:solidFill>
                <a:schemeClr val="accent4"/>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Indicators'!$B$61:$Y$61</c:f>
              <c:numCache>
                <c:formatCode>#,##0.000</c:formatCode>
                <c:ptCount val="24"/>
                <c:pt idx="0">
                  <c:v>6.0999999999999999E-2</c:v>
                </c:pt>
                <c:pt idx="1">
                  <c:v>3.6092806276886151E-2</c:v>
                </c:pt>
                <c:pt idx="2">
                  <c:v>9.6267010830296262E-3</c:v>
                </c:pt>
                <c:pt idx="3">
                  <c:v>-1.8702544362708101E-2</c:v>
                </c:pt>
                <c:pt idx="4">
                  <c:v>-4.9288459724937492E-2</c:v>
                </c:pt>
                <c:pt idx="5">
                  <c:v>-8.2656107566196457E-2</c:v>
                </c:pt>
                <c:pt idx="6">
                  <c:v>-0.11953230693185626</c:v>
                </c:pt>
                <c:pt idx="7">
                  <c:v>-0.16096657373763323</c:v>
                </c:pt>
                <c:pt idx="8">
                  <c:v>-0.20855198883614501</c:v>
                </c:pt>
                <c:pt idx="9">
                  <c:v>-0.26485574142059387</c:v>
                </c:pt>
                <c:pt idx="10">
                  <c:v>-0.33432936968084842</c:v>
                </c:pt>
                <c:pt idx="11">
                  <c:v>-0.42544848784789774</c:v>
                </c:pt>
                <c:pt idx="12">
                  <c:v>-0.5565336909242049</c:v>
                </c:pt>
                <c:pt idx="13">
                  <c:v>-0.77558377172862847</c:v>
                </c:pt>
                <c:pt idx="14">
                  <c:v>-1.2644652396418821</c:v>
                </c:pt>
                <c:pt idx="15">
                  <c:v>-5.9567943631725964</c:v>
                </c:pt>
              </c:numCache>
            </c:numRef>
          </c:yVal>
          <c:smooth val="1"/>
          <c:extLst>
            <c:ext xmlns:c16="http://schemas.microsoft.com/office/drawing/2014/chart" uri="{C3380CC4-5D6E-409C-BE32-E72D297353CC}">
              <c16:uniqueId val="{00000003-55AD-4D4F-A0AB-9AA22C292A0A}"/>
            </c:ext>
          </c:extLst>
        </c:ser>
        <c:ser>
          <c:idx val="2"/>
          <c:order val="4"/>
          <c:tx>
            <c:strRef>
              <c:f>'Diagnosis Indicators'!$A$62</c:f>
              <c:strCache>
                <c:ptCount val="1"/>
                <c:pt idx="0">
                  <c:v>Keynesian</c:v>
                </c:pt>
              </c:strCache>
            </c:strRef>
          </c:tx>
          <c:spPr>
            <a:ln w="25400" cap="rnd">
              <a:solidFill>
                <a:schemeClr val="accent5"/>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Indicators'!$B$62:$Y$62</c:f>
              <c:numCache>
                <c:formatCode>#,##0.000</c:formatCode>
                <c:ptCount val="24"/>
                <c:pt idx="0">
                  <c:v>6.0999999999999999E-2</c:v>
                </c:pt>
                <c:pt idx="1">
                  <c:v>9.7150729752098985E-2</c:v>
                </c:pt>
                <c:pt idx="2">
                  <c:v>0.13463055894460749</c:v>
                </c:pt>
                <c:pt idx="3">
                  <c:v>0.17348026550665208</c:v>
                </c:pt>
                <c:pt idx="4">
                  <c:v>0.21372762050470923</c:v>
                </c:pt>
                <c:pt idx="5">
                  <c:v>0.25537993675453036</c:v>
                </c:pt>
                <c:pt idx="6">
                  <c:v>0.29841379081879726</c:v>
                </c:pt>
                <c:pt idx="7">
                  <c:v>0.34275905674065821</c:v>
                </c:pt>
                <c:pt idx="8">
                  <c:v>0.38827168838482889</c:v>
                </c:pt>
                <c:pt idx="9">
                  <c:v>0.43467980848960752</c:v>
                </c:pt>
                <c:pt idx="10">
                  <c:v>0.48145211878816419</c:v>
                </c:pt>
                <c:pt idx="11">
                  <c:v>0.52738162155960944</c:v>
                </c:pt>
                <c:pt idx="12">
                  <c:v>0.56882073844666836</c:v>
                </c:pt>
                <c:pt idx="13">
                  <c:v>0.59360899458122196</c:v>
                </c:pt>
              </c:numCache>
            </c:numRef>
          </c:yVal>
          <c:smooth val="1"/>
          <c:extLst>
            <c:ext xmlns:c16="http://schemas.microsoft.com/office/drawing/2014/chart" uri="{C3380CC4-5D6E-409C-BE32-E72D297353CC}">
              <c16:uniqueId val="{00000004-55AD-4D4F-A0AB-9AA22C292A0A}"/>
            </c:ext>
          </c:extLst>
        </c:ser>
        <c:ser>
          <c:idx val="3"/>
          <c:order val="5"/>
          <c:tx>
            <c:strRef>
              <c:f>'Diagnosis Indicators'!$A$63</c:f>
              <c:strCache>
                <c:ptCount val="1"/>
                <c:pt idx="0">
                  <c:v>Keynes-Kaldor</c:v>
                </c:pt>
              </c:strCache>
            </c:strRef>
          </c:tx>
          <c:spPr>
            <a:ln w="25400" cap="rnd">
              <a:solidFill>
                <a:schemeClr val="accent6"/>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Indicators'!$B$63:$Y$63</c:f>
              <c:numCache>
                <c:formatCode>#,##0.000</c:formatCode>
                <c:ptCount val="24"/>
                <c:pt idx="0">
                  <c:v>6.0999999999999999E-2</c:v>
                </c:pt>
                <c:pt idx="1">
                  <c:v>5.2022137765279697E-2</c:v>
                </c:pt>
                <c:pt idx="2">
                  <c:v>4.3833951682723513E-2</c:v>
                </c:pt>
                <c:pt idx="3">
                  <c:v>3.6510324465290941E-2</c:v>
                </c:pt>
                <c:pt idx="4">
                  <c:v>3.015202659143363E-2</c:v>
                </c:pt>
                <c:pt idx="5">
                  <c:v>2.4892112093911858E-2</c:v>
                </c:pt>
                <c:pt idx="6">
                  <c:v>2.0904970065860749E-2</c:v>
                </c:pt>
                <c:pt idx="7">
                  <c:v>1.8419331814069434E-2</c:v>
                </c:pt>
                <c:pt idx="8">
                  <c:v>1.7737146112417758E-2</c:v>
                </c:pt>
                <c:pt idx="9">
                  <c:v>1.9262159340549895E-2</c:v>
                </c:pt>
                <c:pt idx="10">
                  <c:v>2.3543914495895074E-2</c:v>
                </c:pt>
                <c:pt idx="11">
                  <c:v>3.1350274383817225E-2</c:v>
                </c:pt>
                <c:pt idx="12">
                  <c:v>4.3791701289395982E-2</c:v>
                </c:pt>
                <c:pt idx="13">
                  <c:v>6.2548270596391717E-2</c:v>
                </c:pt>
                <c:pt idx="14">
                  <c:v>9.0307411120563494E-2</c:v>
                </c:pt>
                <c:pt idx="15">
                  <c:v>0.13163827966832881</c:v>
                </c:pt>
                <c:pt idx="16">
                  <c:v>0.19468455909293908</c:v>
                </c:pt>
                <c:pt idx="17">
                  <c:v>0.29384347292737445</c:v>
                </c:pt>
                <c:pt idx="18">
                  <c:v>0.45167246858277865</c:v>
                </c:pt>
              </c:numCache>
            </c:numRef>
          </c:yVal>
          <c:smooth val="1"/>
          <c:extLst>
            <c:ext xmlns:c16="http://schemas.microsoft.com/office/drawing/2014/chart" uri="{C3380CC4-5D6E-409C-BE32-E72D297353CC}">
              <c16:uniqueId val="{00000005-55AD-4D4F-A0AB-9AA22C292A0A}"/>
            </c:ext>
          </c:extLst>
        </c:ser>
        <c:ser>
          <c:idx val="7"/>
          <c:order val="6"/>
          <c:tx>
            <c:strRef>
              <c:f>'Diagnosis Indicators'!$A$64</c:f>
              <c:strCache>
                <c:ptCount val="1"/>
                <c:pt idx="0">
                  <c:v>Neo-K1</c:v>
                </c:pt>
              </c:strCache>
            </c:strRef>
          </c:tx>
          <c:spPr>
            <a:ln w="25400" cap="rnd">
              <a:solidFill>
                <a:schemeClr val="accent5"/>
              </a:solidFill>
              <a:prstDash val="dash"/>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Indicators'!$B$64:$Y$64</c:f>
              <c:numCache>
                <c:formatCode>#,##0.000</c:formatCode>
                <c:ptCount val="24"/>
                <c:pt idx="0">
                  <c:v>6.0999999999999999E-2</c:v>
                </c:pt>
                <c:pt idx="1">
                  <c:v>6.4784397780583536E-2</c:v>
                </c:pt>
                <c:pt idx="2">
                  <c:v>6.9129627764640378E-2</c:v>
                </c:pt>
                <c:pt idx="3">
                  <c:v>7.4155543976128599E-2</c:v>
                </c:pt>
                <c:pt idx="4">
                  <c:v>8.0015106672548991E-2</c:v>
                </c:pt>
                <c:pt idx="5">
                  <c:v>8.6905941215803167E-2</c:v>
                </c:pt>
                <c:pt idx="6">
                  <c:v>9.5086561037631967E-2</c:v>
                </c:pt>
                <c:pt idx="7">
                  <c:v>0.1048985773420196</c:v>
                </c:pt>
                <c:pt idx="8">
                  <c:v>0.11679859804742222</c:v>
                </c:pt>
                <c:pt idx="9">
                  <c:v>0.13140401395139112</c:v>
                </c:pt>
                <c:pt idx="10">
                  <c:v>0.14955622806362251</c:v>
                </c:pt>
                <c:pt idx="11">
                  <c:v>0.17240841514660515</c:v>
                </c:pt>
                <c:pt idx="12">
                  <c:v>0.20153876987255667</c:v>
                </c:pt>
                <c:pt idx="13">
                  <c:v>0.23908002519723201</c:v>
                </c:pt>
                <c:pt idx="14">
                  <c:v>0.28782622557238208</c:v>
                </c:pt>
                <c:pt idx="15">
                  <c:v>0.3512258012935815</c:v>
                </c:pt>
                <c:pt idx="16">
                  <c:v>0.43312172866775045</c:v>
                </c:pt>
                <c:pt idx="17">
                  <c:v>0.53714623329726385</c:v>
                </c:pt>
                <c:pt idx="18">
                  <c:v>0.66591144535887858</c:v>
                </c:pt>
                <c:pt idx="19">
                  <c:v>0.82041250274011213</c:v>
                </c:pt>
                <c:pt idx="20">
                  <c:v>0.85436844042198423</c:v>
                </c:pt>
                <c:pt idx="21">
                  <c:v>0.88931957987372767</c:v>
                </c:pt>
                <c:pt idx="22">
                  <c:v>0.92525221097052879</c:v>
                </c:pt>
                <c:pt idx="23">
                  <c:v>0.96215115987836519</c:v>
                </c:pt>
              </c:numCache>
            </c:numRef>
          </c:yVal>
          <c:smooth val="1"/>
          <c:extLst>
            <c:ext xmlns:c16="http://schemas.microsoft.com/office/drawing/2014/chart" uri="{C3380CC4-5D6E-409C-BE32-E72D297353CC}">
              <c16:uniqueId val="{00000006-55AD-4D4F-A0AB-9AA22C292A0A}"/>
            </c:ext>
          </c:extLst>
        </c:ser>
        <c:ser>
          <c:idx val="6"/>
          <c:order val="7"/>
          <c:tx>
            <c:strRef>
              <c:f>'Diagnosis Indicators'!$A$65</c:f>
              <c:strCache>
                <c:ptCount val="1"/>
                <c:pt idx="0">
                  <c:v>Neo-K2</c:v>
                </c:pt>
              </c:strCache>
            </c:strRef>
          </c:tx>
          <c:spPr>
            <a:ln w="25400" cap="rnd">
              <a:solidFill>
                <a:schemeClr val="accent5"/>
              </a:solidFill>
              <a:prstDash val="lgDashDotDot"/>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Indicators'!$B$65:$Y$65</c:f>
              <c:numCache>
                <c:formatCode>#,##0.000</c:formatCode>
                <c:ptCount val="24"/>
                <c:pt idx="0">
                  <c:v>6.0999999999999999E-2</c:v>
                </c:pt>
                <c:pt idx="1">
                  <c:v>6.584695809639575E-2</c:v>
                </c:pt>
                <c:pt idx="2">
                  <c:v>7.1496059027253075E-2</c:v>
                </c:pt>
                <c:pt idx="3">
                  <c:v>7.813613930343602E-2</c:v>
                </c:pt>
                <c:pt idx="4">
                  <c:v>8.6012468449822438E-2</c:v>
                </c:pt>
                <c:pt idx="5">
                  <c:v>9.5442562770882505E-2</c:v>
                </c:pt>
                <c:pt idx="6">
                  <c:v>0.10684220132305658</c:v>
                </c:pt>
                <c:pt idx="7">
                  <c:v>0.12075376161175685</c:v>
                </c:pt>
                <c:pt idx="8">
                  <c:v>0.13788133360056881</c:v>
                </c:pt>
                <c:pt idx="9">
                  <c:v>0.15912420894202048</c:v>
                </c:pt>
                <c:pt idx="10">
                  <c:v>0.18559260523906884</c:v>
                </c:pt>
                <c:pt idx="11">
                  <c:v>0.21857295507629873</c:v>
                </c:pt>
                <c:pt idx="12">
                  <c:v>0.25938343315842827</c:v>
                </c:pt>
                <c:pt idx="13">
                  <c:v>0.30904523360244984</c:v>
                </c:pt>
                <c:pt idx="14">
                  <c:v>0.36774218298881295</c:v>
                </c:pt>
                <c:pt idx="15">
                  <c:v>0.43426540257764895</c:v>
                </c:pt>
                <c:pt idx="16">
                  <c:v>0.50614587364545305</c:v>
                </c:pt>
                <c:pt idx="17">
                  <c:v>0.58156269819730855</c:v>
                </c:pt>
                <c:pt idx="18">
                  <c:v>0.66337036343934286</c:v>
                </c:pt>
                <c:pt idx="19">
                  <c:v>0.7670851172993034</c:v>
                </c:pt>
                <c:pt idx="20">
                  <c:v>0.79441160146399814</c:v>
                </c:pt>
                <c:pt idx="21">
                  <c:v>0.82609439188894429</c:v>
                </c:pt>
                <c:pt idx="22">
                  <c:v>0.86436862583781515</c:v>
                </c:pt>
                <c:pt idx="23">
                  <c:v>0.91406600837288532</c:v>
                </c:pt>
              </c:numCache>
            </c:numRef>
          </c:yVal>
          <c:smooth val="1"/>
          <c:extLst>
            <c:ext xmlns:c16="http://schemas.microsoft.com/office/drawing/2014/chart" uri="{C3380CC4-5D6E-409C-BE32-E72D297353CC}">
              <c16:uniqueId val="{00000007-55AD-4D4F-A0AB-9AA22C292A0A}"/>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
          <c:min val="-2"/>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Unemployment rate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099839134802E-2"/>
          <c:y val="0.46698491050897784"/>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5.xml"/></Relationships>
</file>

<file path=xl/chartsheets/_rels/sheet5.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Graphique1">
    <tabColor theme="1" tint="0.14999847407452621"/>
  </sheetPr>
  <sheetViews>
    <sheetView zoomScale="70"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D00-000000000000}">
  <sheetPr codeName="Graphique2">
    <tabColor theme="1" tint="0.14999847407452621"/>
  </sheetPr>
  <sheetViews>
    <sheetView zoomScale="70"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E00-000000000000}">
  <sheetPr codeName="Graphique3">
    <tabColor theme="1" tint="0.14999847407452621"/>
  </sheetPr>
  <sheetViews>
    <sheetView zoomScale="70" workbookViewId="0"/>
  </sheetViews>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F00-000000000000}">
  <sheetPr codeName="Graphique5">
    <tabColor theme="1" tint="0.14999847407452621"/>
  </sheetPr>
  <sheetViews>
    <sheetView zoomScale="70" workbookViewId="0"/>
  </sheetViews>
  <pageMargins left="0.7" right="0.7" top="0.75" bottom="0.75" header="0.3" footer="0.3"/>
  <drawing r:id="rId1"/>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000-000000000000}">
  <sheetPr codeName="Graphique4">
    <tabColor theme="1" tint="0.14999847407452621"/>
  </sheetPr>
  <sheetViews>
    <sheetView zoomScale="70" workbookViewId="0"/>
  </sheetViews>
  <pageMargins left="0.7" right="0.7" top="0.75" bottom="0.75" header="0.3" footer="0.3"/>
  <drawing r:id="rId1"/>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100-000000000000}">
  <sheetPr codeName="Graphique6">
    <tabColor theme="1" tint="0.14999847407452621"/>
  </sheetPr>
  <sheetViews>
    <sheetView zoomScale="7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393700</xdr:colOff>
          <xdr:row>50</xdr:row>
          <xdr:rowOff>88900</xdr:rowOff>
        </xdr:from>
        <xdr:to>
          <xdr:col>8</xdr:col>
          <xdr:colOff>628650</xdr:colOff>
          <xdr:row>53</xdr:row>
          <xdr:rowOff>88900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368300</xdr:colOff>
          <xdr:row>58</xdr:row>
          <xdr:rowOff>101600</xdr:rowOff>
        </xdr:from>
        <xdr:to>
          <xdr:col>12</xdr:col>
          <xdr:colOff>584200</xdr:colOff>
          <xdr:row>61</xdr:row>
          <xdr:rowOff>95250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Initial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355600</xdr:colOff>
          <xdr:row>50</xdr:row>
          <xdr:rowOff>76200</xdr:rowOff>
        </xdr:from>
        <xdr:to>
          <xdr:col>12</xdr:col>
          <xdr:colOff>584200</xdr:colOff>
          <xdr:row>53</xdr:row>
          <xdr:rowOff>88900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Profile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393700</xdr:colOff>
          <xdr:row>54</xdr:row>
          <xdr:rowOff>57150</xdr:rowOff>
        </xdr:from>
        <xdr:to>
          <xdr:col>8</xdr:col>
          <xdr:colOff>628650</xdr:colOff>
          <xdr:row>57</xdr:row>
          <xdr:rowOff>50800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11146971" cy="7271657"/>
    <xdr:graphicFrame macro="">
      <xdr:nvGraphicFramePr>
        <xdr:cNvPr id="2" name="Graphique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11146971" cy="7271657"/>
    <xdr:graphicFrame macro="">
      <xdr:nvGraphicFramePr>
        <xdr:cNvPr id="2" name="Graphique 1">
          <a:extLst>
            <a:ext uri="{FF2B5EF4-FFF2-40B4-BE49-F238E27FC236}">
              <a16:creationId xmlns:a16="http://schemas.microsoft.com/office/drawing/2014/main" id="{00000000-0008-0000-1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louis\OneDrive\Documents\Travail\Papers\KLEM\KLEM%20-%20Closure%2010avr24%20sG=1-Elast.xlsm" TargetMode="External"/><Relationship Id="rId1" Type="http://schemas.openxmlformats.org/officeDocument/2006/relationships/externalLinkPath" Target="KLEM%20-%20Closure%2010avr24%20sG=1-Ela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alibration"/>
      <sheetName val="Model"/>
      <sheetName val="Results"/>
      <sheetName val="GraphU"/>
      <sheetName val="NeoClassical"/>
      <sheetName val="Johansen"/>
      <sheetName val="Kaldorian"/>
      <sheetName val="Utility_export"/>
      <sheetName val="Keynes-M"/>
      <sheetName val="Keynesian"/>
      <sheetName val="Keynes-K"/>
      <sheetName val="Neo-K1"/>
      <sheetName val="Neo-K2"/>
      <sheetName val="NC heteroS"/>
      <sheetName val="Keynes-I"/>
      <sheetName val="Diagnosis Indicators"/>
      <sheetName val="Tax_export"/>
      <sheetName val="PShare_export"/>
      <sheetName val="Utility-Export"/>
      <sheetName val="GraphPi"/>
      <sheetName val="G Tax"/>
    </sheetNames>
    <sheetDataSet>
      <sheetData sheetId="0"/>
      <sheetData sheetId="1"/>
      <sheetData sheetId="2"/>
      <sheetData sheetId="3" refreshError="1"/>
      <sheetData sheetId="4"/>
      <sheetData sheetId="5"/>
      <sheetData sheetId="6"/>
      <sheetData sheetId="7"/>
      <sheetData sheetId="8"/>
      <sheetData sheetId="9"/>
      <sheetData sheetId="10"/>
      <sheetData sheetId="11"/>
      <sheetData sheetId="12"/>
      <sheetData sheetId="13"/>
      <sheetData sheetId="14"/>
      <sheetData sheetId="15">
        <row r="62">
          <cell r="B62">
            <v>0</v>
          </cell>
          <cell r="C62">
            <v>0.05</v>
          </cell>
          <cell r="D62">
            <v>0.1</v>
          </cell>
          <cell r="E62">
            <v>0.15000000000000002</v>
          </cell>
          <cell r="F62">
            <v>0.2</v>
          </cell>
          <cell r="G62">
            <v>0.25</v>
          </cell>
          <cell r="H62">
            <v>0.3</v>
          </cell>
          <cell r="I62">
            <v>0.35</v>
          </cell>
          <cell r="J62">
            <v>0.39999999999999997</v>
          </cell>
          <cell r="K62">
            <v>0.44999999999999996</v>
          </cell>
          <cell r="L62">
            <v>0.49999999999999994</v>
          </cell>
          <cell r="M62">
            <v>0.54999999999999993</v>
          </cell>
          <cell r="N62">
            <v>0.6</v>
          </cell>
          <cell r="O62">
            <v>0.65</v>
          </cell>
          <cell r="P62">
            <v>0.70000000000000007</v>
          </cell>
          <cell r="Q62">
            <v>0.75000000000000011</v>
          </cell>
          <cell r="R62">
            <v>0.80000000000000016</v>
          </cell>
          <cell r="S62">
            <v>0.8500000000000002</v>
          </cell>
          <cell r="T62">
            <v>0.90000000000000024</v>
          </cell>
          <cell r="U62">
            <v>0.95000000000000029</v>
          </cell>
          <cell r="V62">
            <v>0.9600000000000003</v>
          </cell>
          <cell r="W62">
            <v>0.97000000000000031</v>
          </cell>
          <cell r="X62">
            <v>0.98000000000000032</v>
          </cell>
          <cell r="Y62">
            <v>0.99000000000000032</v>
          </cell>
        </row>
        <row r="63">
          <cell r="A63" t="str">
            <v>Neoclassical</v>
          </cell>
        </row>
        <row r="64">
          <cell r="A64" t="str">
            <v>Kaldorian</v>
          </cell>
        </row>
        <row r="65">
          <cell r="A65" t="str">
            <v>Johansen</v>
          </cell>
        </row>
        <row r="66">
          <cell r="A66" t="str">
            <v>Keynes-Kaldor</v>
          </cell>
        </row>
        <row r="67">
          <cell r="A67" t="str">
            <v>Keynes-Marshall</v>
          </cell>
        </row>
        <row r="68">
          <cell r="A68" t="str">
            <v>Keynesian</v>
          </cell>
        </row>
        <row r="69">
          <cell r="A69" t="str">
            <v>Neo-K1</v>
          </cell>
        </row>
        <row r="70">
          <cell r="A70" t="str">
            <v>Neo-K2</v>
          </cell>
        </row>
      </sheetData>
      <sheetData sheetId="16"/>
      <sheetData sheetId="17"/>
      <sheetData sheetId="18"/>
      <sheetData sheetId="19" refreshError="1"/>
      <sheetData sheetId="20" refreshError="1"/>
    </sheetDataSet>
  </externalBook>
</externalLink>
</file>

<file path=xl/persons/person.xml><?xml version="1.0" encoding="utf-8"?>
<personList xmlns="http://schemas.microsoft.com/office/spreadsheetml/2018/threadedcomments" xmlns:x="http://schemas.openxmlformats.org/spreadsheetml/2006/main">
  <person displayName="Louis" id="{A1B515F5-52A7-492C-8EFF-2ED382D70E68}" userId="Louis" providerId="None"/>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97" dT="2019-12-03T08:18:55.42" personId="{A1B515F5-52A7-492C-8EFF-2ED382D70E68}" id="{C96615DD-9C03-4E40-B6D8-F4143B40B058}">
    <text>Calibrage des coefficients de la CET</text>
  </threadedComment>
  <threadedComment ref="B99" dT="2019-12-03T08:19:30.63" personId="{A1B515F5-52A7-492C-8EFF-2ED382D70E68}" id="{D3DFF277-FA45-464F-847A-E2B29A5F813E}">
    <text>Elasticité CET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1:R127"/>
  <sheetViews>
    <sheetView showGridLines="0" tabSelected="1" topLeftCell="A72" zoomScaleNormal="100" workbookViewId="0">
      <selection activeCell="D96" sqref="D96"/>
    </sheetView>
  </sheetViews>
  <sheetFormatPr baseColWidth="10" defaultColWidth="12" defaultRowHeight="10" x14ac:dyDescent="0.2"/>
  <sheetData>
    <row r="1" spans="2:18" x14ac:dyDescent="0.2">
      <c r="B1" t="s">
        <v>180</v>
      </c>
    </row>
    <row r="2" spans="2:18" x14ac:dyDescent="0.2">
      <c r="B2" s="1"/>
      <c r="C2" s="2" t="s">
        <v>24</v>
      </c>
      <c r="D2" s="3" t="s">
        <v>25</v>
      </c>
      <c r="E2" s="2" t="s">
        <v>6</v>
      </c>
      <c r="F2" s="3" t="s">
        <v>7</v>
      </c>
      <c r="G2" s="3" t="s">
        <v>8</v>
      </c>
      <c r="H2" s="132" t="s">
        <v>0</v>
      </c>
      <c r="I2" s="1"/>
      <c r="K2" s="1"/>
      <c r="L2" s="2" t="s">
        <v>24</v>
      </c>
      <c r="M2" s="3" t="s">
        <v>25</v>
      </c>
      <c r="N2" s="4" t="s">
        <v>6</v>
      </c>
      <c r="O2" s="5" t="s">
        <v>7</v>
      </c>
      <c r="P2" s="5" t="s">
        <v>8</v>
      </c>
      <c r="Q2" s="6" t="s">
        <v>0</v>
      </c>
      <c r="R2" s="1"/>
    </row>
    <row r="3" spans="2:18" ht="10.5" x14ac:dyDescent="0.25">
      <c r="B3" s="2" t="s">
        <v>24</v>
      </c>
      <c r="C3" s="133">
        <v>13356525.920999993</v>
      </c>
      <c r="D3" s="134">
        <v>398781.47400000016</v>
      </c>
      <c r="E3" s="133">
        <v>6637565.1090000011</v>
      </c>
      <c r="F3" s="133">
        <v>3330668.2879999997</v>
      </c>
      <c r="G3" s="133">
        <v>3247244.4950000001</v>
      </c>
      <c r="H3" s="135">
        <v>3195047.6039999989</v>
      </c>
      <c r="I3" s="9">
        <f>SUM(C3:H3)</f>
        <v>30165832.890999991</v>
      </c>
      <c r="K3" s="2" t="s">
        <v>24</v>
      </c>
      <c r="L3" s="48">
        <f t="array" ref="L3:M4">pIC*alpha*Y</f>
        <v>13356525.920999993</v>
      </c>
      <c r="M3" s="49">
        <v>398781.47400000016</v>
      </c>
      <c r="N3" s="50">
        <f t="array" ref="N3:N4">TRANSPOSE(pC*Consumption)</f>
        <v>6637565.1090000011</v>
      </c>
      <c r="O3" s="51">
        <f t="array" ref="O3:O4">TRANSPOSE(pG*G)</f>
        <v>3330668.2879999997</v>
      </c>
      <c r="P3" s="51">
        <f t="array" ref="P3:P4">TRANSPOSE(pI*I)</f>
        <v>3247244.4950000001</v>
      </c>
      <c r="Q3" s="57">
        <f t="array" ref="Q3:Q4">TRANSPOSE(pX*X)</f>
        <v>3195047.6039999989</v>
      </c>
      <c r="R3" s="9">
        <f>SUM(L3:Q3)</f>
        <v>30165832.890999991</v>
      </c>
    </row>
    <row r="4" spans="2:18" ht="10.5" x14ac:dyDescent="0.25">
      <c r="B4" s="10" t="s">
        <v>25</v>
      </c>
      <c r="C4" s="136">
        <v>599670.88199999998</v>
      </c>
      <c r="D4" s="137">
        <v>434900.03099999996</v>
      </c>
      <c r="E4" s="136">
        <v>382100.58199999394</v>
      </c>
      <c r="F4" s="136">
        <v>0</v>
      </c>
      <c r="G4" s="136">
        <v>0</v>
      </c>
      <c r="H4" s="138">
        <v>91012.690000004077</v>
      </c>
      <c r="I4" s="11">
        <f>SUM(C4:H4)</f>
        <v>1507684.184999998</v>
      </c>
      <c r="K4" s="10" t="s">
        <v>25</v>
      </c>
      <c r="L4" s="52">
        <v>599670.88199999998</v>
      </c>
      <c r="M4" s="53">
        <v>434900.03099999996</v>
      </c>
      <c r="N4" s="52">
        <v>382100.58199999394</v>
      </c>
      <c r="O4" s="54">
        <v>0</v>
      </c>
      <c r="P4" s="54">
        <v>0</v>
      </c>
      <c r="Q4" s="46">
        <v>91012.690000004077</v>
      </c>
      <c r="R4" s="11">
        <f>SUM(L4:Q4)</f>
        <v>1507684.184999998</v>
      </c>
    </row>
    <row r="5" spans="2:18" x14ac:dyDescent="0.2">
      <c r="B5" s="12" t="s">
        <v>1</v>
      </c>
      <c r="C5" s="133">
        <v>5036295.3101960644</v>
      </c>
      <c r="D5" s="139">
        <v>74905.331803938272</v>
      </c>
      <c r="E5" s="97"/>
      <c r="F5" s="97"/>
      <c r="G5" s="97"/>
      <c r="H5" s="97"/>
      <c r="I5" s="1"/>
      <c r="K5" s="12" t="s">
        <v>1</v>
      </c>
      <c r="L5" s="48">
        <f t="array" ref="L5:M5">w*Labour</f>
        <v>5036295.3101960644</v>
      </c>
      <c r="M5" s="49">
        <v>74905.331803938272</v>
      </c>
      <c r="N5" s="13"/>
      <c r="O5" s="13"/>
      <c r="P5" s="13"/>
      <c r="Q5" s="13"/>
      <c r="R5" s="1"/>
    </row>
    <row r="6" spans="2:18" x14ac:dyDescent="0.2">
      <c r="B6" s="14" t="s">
        <v>9</v>
      </c>
      <c r="C6" s="7">
        <v>2301604.2068039379</v>
      </c>
      <c r="D6" s="140">
        <v>34231.993196061703</v>
      </c>
      <c r="E6" s="97"/>
      <c r="F6" s="97"/>
      <c r="G6" s="97"/>
      <c r="H6" s="97"/>
      <c r="I6" s="1"/>
      <c r="K6" s="14" t="s">
        <v>9</v>
      </c>
      <c r="L6" s="50">
        <f t="array" ref="L6:M6">w*tauL*Labour</f>
        <v>2301604.2068039374</v>
      </c>
      <c r="M6" s="55">
        <v>34231.993196061703</v>
      </c>
      <c r="N6" s="13"/>
      <c r="O6" s="13"/>
      <c r="P6" s="13"/>
      <c r="Q6" s="13"/>
      <c r="R6" s="1"/>
    </row>
    <row r="7" spans="2:18" x14ac:dyDescent="0.2">
      <c r="B7" s="196" t="s">
        <v>178</v>
      </c>
      <c r="C7" s="7">
        <v>137715.65500000006</v>
      </c>
      <c r="D7" s="140">
        <v>20719.463999999996</v>
      </c>
      <c r="E7" s="97"/>
      <c r="F7" s="98" t="s">
        <v>24</v>
      </c>
      <c r="G7" s="99" t="s">
        <v>25</v>
      </c>
      <c r="H7" s="97"/>
      <c r="I7" s="1"/>
      <c r="K7" s="14" t="s">
        <v>10</v>
      </c>
      <c r="L7" s="50">
        <f t="array" ref="L7:M7">tauY*pY/(1+tauY)*Y</f>
        <v>137715.65500000006</v>
      </c>
      <c r="M7" s="55">
        <v>20719.463999999996</v>
      </c>
      <c r="N7" s="13"/>
      <c r="O7" s="13"/>
      <c r="P7" s="108"/>
      <c r="Q7" s="13"/>
      <c r="R7" s="1"/>
    </row>
    <row r="8" spans="2:18" x14ac:dyDescent="0.2">
      <c r="B8" s="14" t="s">
        <v>2</v>
      </c>
      <c r="C8" s="136">
        <v>6425198.1590000018</v>
      </c>
      <c r="D8" s="141">
        <v>273229.1540000001</v>
      </c>
      <c r="E8" s="97"/>
      <c r="F8" s="101">
        <f>SUM(C3:G3)</f>
        <v>26970785.286999993</v>
      </c>
      <c r="G8" s="102">
        <f>SUM(C4:G4)</f>
        <v>1416671.4949999938</v>
      </c>
      <c r="H8" s="97" t="s">
        <v>140</v>
      </c>
      <c r="I8" s="1"/>
      <c r="K8" s="14" t="s">
        <v>2</v>
      </c>
      <c r="L8" s="50">
        <f t="array" ref="L8:M8">pK*K</f>
        <v>6425198.1590000018</v>
      </c>
      <c r="M8" s="55">
        <v>273229.1540000001</v>
      </c>
      <c r="N8" s="13"/>
      <c r="O8" s="13"/>
      <c r="P8" s="13"/>
      <c r="Q8" s="13"/>
      <c r="R8" s="1"/>
    </row>
    <row r="9" spans="2:18" x14ac:dyDescent="0.2">
      <c r="B9" s="2" t="s">
        <v>3</v>
      </c>
      <c r="C9" s="142">
        <v>1886393.7399999965</v>
      </c>
      <c r="D9" s="143">
        <v>262787.11299999768</v>
      </c>
      <c r="E9" s="97"/>
      <c r="F9" s="97"/>
      <c r="G9" s="97"/>
      <c r="H9" s="97"/>
      <c r="I9" s="1"/>
      <c r="K9" s="2" t="s">
        <v>3</v>
      </c>
      <c r="L9" s="118">
        <f t="array" ref="L9:M9">pW*M</f>
        <v>1886393.7399999965</v>
      </c>
      <c r="M9" s="119">
        <v>262787.11299999768</v>
      </c>
      <c r="N9" s="13"/>
      <c r="O9" s="13"/>
      <c r="P9" s="108"/>
      <c r="Q9" s="13"/>
      <c r="R9" s="1"/>
    </row>
    <row r="10" spans="2:18" x14ac:dyDescent="0.2">
      <c r="B10" s="185" t="s">
        <v>134</v>
      </c>
      <c r="C10" s="7">
        <v>422429.01700000005</v>
      </c>
      <c r="D10" s="131">
        <v>8129.6240000000016</v>
      </c>
      <c r="E10" s="97"/>
      <c r="F10" s="97"/>
      <c r="G10" s="97"/>
      <c r="H10" s="97"/>
      <c r="I10" s="1"/>
      <c r="K10" s="185" t="s">
        <v>134</v>
      </c>
      <c r="L10" s="56">
        <f t="array" ref="L10:M10">tauTS*pS*S</f>
        <v>422429.01700000011</v>
      </c>
      <c r="M10" s="57">
        <v>8129.6240000000025</v>
      </c>
      <c r="N10" s="13"/>
      <c r="O10" s="13"/>
      <c r="P10" s="13"/>
      <c r="Q10" s="13"/>
      <c r="R10" s="1"/>
    </row>
    <row r="11" spans="2:18" x14ac:dyDescent="0.2">
      <c r="B11" s="15"/>
      <c r="C11" s="7">
        <v>0</v>
      </c>
      <c r="D11" s="131">
        <v>0</v>
      </c>
      <c r="E11" s="97"/>
      <c r="F11" s="98" t="s">
        <v>24</v>
      </c>
      <c r="G11" s="99" t="s">
        <v>25</v>
      </c>
      <c r="H11" s="97"/>
      <c r="I11" s="1"/>
      <c r="K11" s="15"/>
      <c r="L11" s="58"/>
      <c r="M11" s="46"/>
      <c r="N11" s="13"/>
      <c r="O11" s="47" t="s">
        <v>24</v>
      </c>
      <c r="P11" s="16" t="s">
        <v>25</v>
      </c>
      <c r="Q11" s="13"/>
      <c r="R11" s="1"/>
    </row>
    <row r="12" spans="2:18" ht="10.5" x14ac:dyDescent="0.25">
      <c r="B12" s="1"/>
      <c r="C12" s="104">
        <f>SUM(C3:C11)</f>
        <v>30165832.890999991</v>
      </c>
      <c r="D12" s="105">
        <f>SUM(D3:D11)</f>
        <v>1507684.184999998</v>
      </c>
      <c r="E12" s="100"/>
      <c r="F12" s="101">
        <f>SUM(C3:C8)</f>
        <v>27857010.133999996</v>
      </c>
      <c r="G12" s="102">
        <f>SUM(D3:D8)</f>
        <v>1236767.4480000003</v>
      </c>
      <c r="H12" s="103" t="s">
        <v>11</v>
      </c>
      <c r="I12" s="1"/>
      <c r="K12" s="1"/>
      <c r="L12" s="17">
        <f>SUM(L3:L11)</f>
        <v>30165832.890999991</v>
      </c>
      <c r="M12" s="18">
        <f>SUM(M3:M11)</f>
        <v>1507684.184999998</v>
      </c>
      <c r="N12" s="19"/>
      <c r="O12" s="20">
        <f t="array" ref="O12:P12">pY*Y</f>
        <v>27857010.133999996</v>
      </c>
      <c r="P12" s="21">
        <v>1236767.4480000003</v>
      </c>
      <c r="Q12" s="1" t="s">
        <v>11</v>
      </c>
      <c r="R12" s="1"/>
    </row>
    <row r="13" spans="2:18" x14ac:dyDescent="0.2">
      <c r="B13" s="1"/>
      <c r="C13" s="103"/>
      <c r="D13" s="103"/>
      <c r="E13" s="97"/>
      <c r="F13" s="97"/>
      <c r="G13" s="97"/>
      <c r="H13" s="103"/>
      <c r="I13" s="1"/>
      <c r="K13" s="1"/>
      <c r="L13" s="1"/>
      <c r="M13" s="1"/>
      <c r="N13" s="13"/>
      <c r="O13" s="13"/>
      <c r="P13" s="13"/>
      <c r="Q13" s="1"/>
      <c r="R13" s="1"/>
    </row>
    <row r="14" spans="2:18" ht="10.5" x14ac:dyDescent="0.25">
      <c r="B14" s="22" t="s">
        <v>30</v>
      </c>
      <c r="C14" s="201">
        <f>I3-C12</f>
        <v>0</v>
      </c>
      <c r="D14" s="201">
        <f>I4-D12</f>
        <v>0</v>
      </c>
      <c r="E14" s="97"/>
      <c r="F14" s="97"/>
      <c r="G14" s="97"/>
      <c r="H14" s="97"/>
      <c r="I14" s="1"/>
      <c r="K14" s="22" t="s">
        <v>30</v>
      </c>
      <c r="L14" s="200">
        <f>R3-L12</f>
        <v>0</v>
      </c>
      <c r="M14" s="200">
        <f>R4-M12</f>
        <v>0</v>
      </c>
      <c r="N14" s="13"/>
      <c r="O14" s="13"/>
      <c r="P14" s="13"/>
      <c r="Q14" s="13"/>
      <c r="R14" s="1"/>
    </row>
    <row r="16" spans="2:18" x14ac:dyDescent="0.2">
      <c r="F16">
        <v>20952.175621751205</v>
      </c>
      <c r="G16">
        <v>1219.7862210892881</v>
      </c>
      <c r="L16" s="27"/>
      <c r="M16" s="27"/>
    </row>
    <row r="17" spans="2:16" x14ac:dyDescent="0.2">
      <c r="L17" s="27"/>
      <c r="M17" s="27"/>
    </row>
    <row r="20" spans="2:16" ht="10.5" x14ac:dyDescent="0.25">
      <c r="B20" s="92" t="s">
        <v>79</v>
      </c>
      <c r="H20" s="92" t="s">
        <v>60</v>
      </c>
      <c r="K20" s="92" t="s">
        <v>59</v>
      </c>
      <c r="N20" s="92" t="s">
        <v>42</v>
      </c>
    </row>
    <row r="21" spans="2:16" x14ac:dyDescent="0.2">
      <c r="B21" t="s">
        <v>12</v>
      </c>
      <c r="C21" s="162">
        <v>1000</v>
      </c>
      <c r="D21" s="163">
        <v>1000</v>
      </c>
      <c r="H21">
        <f t="array" ref="H21:I21">(aY^sigmaY*pKLE^(1-sigmaY)+bY^sigmaY*pMY^(1-sigmaY))^(1/(1-sigmaY))*(1+tauY)</f>
        <v>1000.0000000000014</v>
      </c>
      <c r="I21">
        <v>999.99999999999898</v>
      </c>
      <c r="K21" s="113">
        <f t="array" ref="K21:L21">H21:I21-pY</f>
        <v>1.3642420526593924E-12</v>
      </c>
      <c r="L21" s="113">
        <v>-1.0231815394945443E-12</v>
      </c>
      <c r="N21">
        <f t="array" ref="N21:O21">(aX^sigmaX*pD^(1-sigmaX)+bX^sigmaX*pX^(1-sigmaX))^(1/(1-sigmaX))</f>
        <v>999.99999999999977</v>
      </c>
      <c r="O21">
        <v>999.99999999999977</v>
      </c>
    </row>
    <row r="22" spans="2:16" x14ac:dyDescent="0.2">
      <c r="B22" t="s">
        <v>103</v>
      </c>
      <c r="C22" s="29">
        <v>1000</v>
      </c>
      <c r="D22" s="30">
        <v>1000</v>
      </c>
      <c r="K22" s="116"/>
      <c r="L22" s="116"/>
    </row>
    <row r="23" spans="2:16" x14ac:dyDescent="0.2">
      <c r="B23" t="s">
        <v>115</v>
      </c>
      <c r="C23" s="160">
        <v>1000</v>
      </c>
      <c r="D23" s="161">
        <v>1000</v>
      </c>
      <c r="H23" s="27">
        <f t="array" ref="H23:I23">(pY*Y+pW*M-pX*X)/S</f>
        <v>1000</v>
      </c>
      <c r="I23" s="27">
        <v>1000</v>
      </c>
      <c r="K23" s="113">
        <f t="array" ref="K23:L23">H23:I23-pS</f>
        <v>0</v>
      </c>
      <c r="L23" s="113">
        <v>0</v>
      </c>
    </row>
    <row r="24" spans="2:16" x14ac:dyDescent="0.2">
      <c r="B24" t="s">
        <v>77</v>
      </c>
      <c r="C24" s="29">
        <v>1000</v>
      </c>
      <c r="D24" s="30">
        <v>1000</v>
      </c>
      <c r="H24" s="27">
        <f t="array" ref="H24:I24">aX^(sigmaX/(sigmaX-1))*(pY^(1-sigmaX)-bX^sigmaX*pW^(1-sigmaX))^(1/(1-sigmaX))</f>
        <v>999.99999999999943</v>
      </c>
      <c r="I24" s="27">
        <v>999.99999999999909</v>
      </c>
      <c r="K24" s="113">
        <f t="array" ref="K24:L24">H24:I24-pD</f>
        <v>0</v>
      </c>
      <c r="L24" s="113">
        <v>-9.0949470177292824E-13</v>
      </c>
    </row>
    <row r="25" spans="2:16" x14ac:dyDescent="0.2">
      <c r="B25" t="s">
        <v>13</v>
      </c>
      <c r="C25" s="31">
        <f t="array" ref="C25:D26">C3:D4/(alpha*Y)</f>
        <v>1015.9116825427475</v>
      </c>
      <c r="D25" s="32">
        <v>1015.9116825427475</v>
      </c>
      <c r="E25" t="s">
        <v>63</v>
      </c>
      <c r="H25" s="27">
        <f t="array" ref="H25:I26">TRANSPOSE(pS*(1+tauTS))</f>
        <v>1015.9116825427475</v>
      </c>
      <c r="I25" s="27">
        <v>1015.9116825427475</v>
      </c>
      <c r="K25" s="113">
        <f t="array" ref="K25:L26">H25:I26-C25:D26</f>
        <v>0</v>
      </c>
      <c r="L25" s="113">
        <v>0</v>
      </c>
    </row>
    <row r="26" spans="2:16" x14ac:dyDescent="0.2">
      <c r="C26" s="33">
        <v>1005.7716594496609</v>
      </c>
      <c r="D26" s="34">
        <v>1005.771659449661</v>
      </c>
      <c r="E26" t="s">
        <v>41</v>
      </c>
      <c r="H26" s="27">
        <v>1005.7716594496609</v>
      </c>
      <c r="I26" s="27">
        <v>1005.7716594496609</v>
      </c>
      <c r="K26" s="113">
        <v>0</v>
      </c>
      <c r="L26" s="113">
        <v>0</v>
      </c>
    </row>
    <row r="27" spans="2:16" x14ac:dyDescent="0.2">
      <c r="B27" t="s">
        <v>14</v>
      </c>
      <c r="C27" s="31">
        <f t="array" ref="C27:D27">TRANSPOSE(E3:E4)/Consumption</f>
        <v>1015.9116825427475</v>
      </c>
      <c r="D27" s="32">
        <v>1005.7716594496608</v>
      </c>
      <c r="H27" s="27">
        <f t="array" ref="H27:I27">pS*(1+tauTS)</f>
        <v>1015.9116825427475</v>
      </c>
      <c r="I27" s="27">
        <v>1005.7716594496609</v>
      </c>
      <c r="K27" s="113">
        <f t="array" ref="K27:L27">H27:I27-pC</f>
        <v>0</v>
      </c>
      <c r="L27" s="113">
        <v>0</v>
      </c>
    </row>
    <row r="28" spans="2:16" x14ac:dyDescent="0.2">
      <c r="B28" t="s">
        <v>15</v>
      </c>
      <c r="C28" s="39">
        <f t="array" ref="C28:D28">IF(ISNUMBER(TRANSPOSE(F3:F4)/G),TRANSPOSE(F3:F4)/G,pC)</f>
        <v>1015.9116825427474</v>
      </c>
      <c r="D28" s="40">
        <v>1005.7716594496608</v>
      </c>
      <c r="H28" s="27">
        <f t="array" ref="H28:I28">pS*(1+tauTS)</f>
        <v>1015.9116825427475</v>
      </c>
      <c r="I28" s="27">
        <v>1005.7716594496609</v>
      </c>
      <c r="K28" s="113">
        <f t="array" ref="K28:L28">H28:I28-pG</f>
        <v>0</v>
      </c>
      <c r="L28" s="113">
        <v>0</v>
      </c>
    </row>
    <row r="29" spans="2:16" x14ac:dyDescent="0.2">
      <c r="B29" t="s">
        <v>29</v>
      </c>
      <c r="C29" s="39">
        <f t="array" ref="C29:D29">IF(ISNUMBER(TRANSPOSE(G3:G4)/I),TRANSPOSE(G3:G4)/I,pC)</f>
        <v>1015.9116825427475</v>
      </c>
      <c r="D29" s="40">
        <v>1005.7716594496608</v>
      </c>
      <c r="H29" s="27">
        <f t="array" ref="H29:I29">pS*(1+tauTS)</f>
        <v>1015.9116825427475</v>
      </c>
      <c r="I29" s="27">
        <v>1005.7716594496609</v>
      </c>
      <c r="K29" s="113">
        <f t="array" ref="K29:L29">H29:I29-pI</f>
        <v>0</v>
      </c>
      <c r="L29" s="113">
        <v>0</v>
      </c>
    </row>
    <row r="30" spans="2:16" x14ac:dyDescent="0.2">
      <c r="B30" t="s">
        <v>16</v>
      </c>
      <c r="C30" s="39">
        <f t="array" ref="C30:D30">pW</f>
        <v>1000</v>
      </c>
      <c r="D30" s="40">
        <v>1000</v>
      </c>
      <c r="H30" s="27">
        <f t="array" ref="H30:I30">pW</f>
        <v>1000</v>
      </c>
      <c r="I30" s="27">
        <v>1000</v>
      </c>
      <c r="K30" s="113">
        <f t="array" ref="K30:L30">H30:I30-pX</f>
        <v>0</v>
      </c>
      <c r="L30" s="113">
        <v>0</v>
      </c>
    </row>
    <row r="31" spans="2:16" x14ac:dyDescent="0.2">
      <c r="B31" t="s">
        <v>17</v>
      </c>
      <c r="C31" s="29">
        <v>1000</v>
      </c>
      <c r="D31" s="30">
        <v>1000</v>
      </c>
      <c r="K31" s="116"/>
      <c r="L31" s="116"/>
    </row>
    <row r="32" spans="2:16" x14ac:dyDescent="0.2">
      <c r="B32" t="s">
        <v>36</v>
      </c>
      <c r="C32" s="39">
        <f t="array" ref="C32:D32">(C5:D5+C6:D6)/Labour</f>
        <v>1457.0034251455234</v>
      </c>
      <c r="D32" s="40">
        <v>1457.0034251455236</v>
      </c>
      <c r="H32" s="27">
        <f t="array" ref="H32:I32">w*(1+tauL)</f>
        <v>1457.0034251455234</v>
      </c>
      <c r="I32" s="27">
        <v>1457.0034251455236</v>
      </c>
      <c r="K32" s="113">
        <f t="array" ref="K32:L32">H32:I32-pL</f>
        <v>0</v>
      </c>
      <c r="L32" s="113">
        <v>0</v>
      </c>
      <c r="N32" s="27">
        <f t="array" ref="N32:O32">bKL*(Labour/KL)^(rhoKL-1)*pKL</f>
        <v>1457.0034251455245</v>
      </c>
      <c r="O32" s="27">
        <v>1457.0034251455252</v>
      </c>
      <c r="P32" t="s">
        <v>120</v>
      </c>
    </row>
    <row r="33" spans="2:16" x14ac:dyDescent="0.2">
      <c r="B33" t="s">
        <v>18</v>
      </c>
      <c r="C33" s="168">
        <v>1000</v>
      </c>
      <c r="D33" s="169">
        <v>1000</v>
      </c>
      <c r="E33" t="s">
        <v>56</v>
      </c>
      <c r="K33" s="116"/>
      <c r="L33" s="116"/>
      <c r="N33" s="27">
        <f t="array" ref="N33:O33">aKL*(K/KL)^(rhoKL-1)*pKL</f>
        <v>999.99999999999966</v>
      </c>
      <c r="O33" s="27">
        <v>1000.0000000000005</v>
      </c>
      <c r="P33" t="s">
        <v>120</v>
      </c>
    </row>
    <row r="34" spans="2:16" x14ac:dyDescent="0.2">
      <c r="B34" t="s">
        <v>61</v>
      </c>
      <c r="C34" s="160">
        <v>1000</v>
      </c>
      <c r="D34" s="161">
        <v>1000</v>
      </c>
      <c r="H34" s="27">
        <f t="array" ref="H34:I34">(aKL^sigmaKL*pK^(1-sigmaKL)+bKL^sigmaKL*pL^(1-sigmaKL))^(1/(1-sigmaKL))</f>
        <v>999.99999999999977</v>
      </c>
      <c r="I34" s="27">
        <v>999.99999999999977</v>
      </c>
      <c r="K34" s="113">
        <f t="array" ref="K34:L34">H34:I34-pKL</f>
        <v>0</v>
      </c>
      <c r="L34" s="113">
        <v>0</v>
      </c>
    </row>
    <row r="35" spans="2:16" x14ac:dyDescent="0.2">
      <c r="B35" t="s">
        <v>62</v>
      </c>
      <c r="C35" s="160">
        <v>1000</v>
      </c>
      <c r="D35" s="161">
        <v>1000</v>
      </c>
      <c r="H35" s="27">
        <f t="array" ref="H35:I35">(aKLE^sigmaKLE*pKL^(1-sigmaKLE)+bKLE^sigmaKLE*pEY^(1-sigmaKLE))^(1/(1-sigmaKLE))</f>
        <v>1000.0000000000002</v>
      </c>
      <c r="I35" s="27">
        <v>999.99999999999977</v>
      </c>
      <c r="K35" s="113">
        <f t="array" ref="K35:L35">H35:I35-pKLE</f>
        <v>0</v>
      </c>
      <c r="L35" s="113">
        <v>0</v>
      </c>
    </row>
    <row r="37" spans="2:16" x14ac:dyDescent="0.2">
      <c r="B37" t="s">
        <v>19</v>
      </c>
      <c r="C37" s="84">
        <f t="array" ref="C37:D37">F12:G12/pY</f>
        <v>27857.010133999996</v>
      </c>
      <c r="D37" s="85">
        <v>1236.7674480000003</v>
      </c>
      <c r="E37" t="s">
        <v>112</v>
      </c>
      <c r="H37" s="27">
        <f t="array" ref="H37:I37">(aX*D^rhoX+bX*X^rhoX)^(1/rhoX)</f>
        <v>27857.010133999949</v>
      </c>
      <c r="I37" s="27">
        <v>1236.7674480000003</v>
      </c>
      <c r="K37" s="113">
        <f t="array" ref="K37:L37">H37:I37-Y</f>
        <v>-4.7293724492192268E-11</v>
      </c>
      <c r="L37" s="113">
        <v>0</v>
      </c>
    </row>
    <row r="38" spans="2:16" x14ac:dyDescent="0.2">
      <c r="B38" t="s">
        <v>3</v>
      </c>
      <c r="C38" s="86">
        <f t="array" ref="C38:D38">C9:D9/pW</f>
        <v>1886.3937399999966</v>
      </c>
      <c r="D38" s="87">
        <v>262.7871129999977</v>
      </c>
      <c r="E38" t="s">
        <v>113</v>
      </c>
      <c r="H38" s="27">
        <f t="array" ref="H38:I38">(bS/pW)^sigmaS*(aS^sigmaS*pD^(1-sigmaS)+bS^sigmaS*pW^(1-sigmaS))^(sigmaS/(1-sigmaS))*S</f>
        <v>1886.3937399999948</v>
      </c>
      <c r="I38" s="27">
        <v>262.78711299999759</v>
      </c>
      <c r="K38" s="113">
        <f t="array" ref="K38:L38">H38:I38-M</f>
        <v>-1.8189894035458565E-12</v>
      </c>
      <c r="L38" s="113">
        <v>0</v>
      </c>
    </row>
    <row r="39" spans="2:16" x14ac:dyDescent="0.2">
      <c r="B39" t="s">
        <v>114</v>
      </c>
      <c r="C39" s="86">
        <f t="array" ref="C39:D39">MMULT(Y,TRANSPOSE(alpha))+Consumption+G+I</f>
        <v>26548.356269999993</v>
      </c>
      <c r="D39" s="87">
        <v>1408.5418709999938</v>
      </c>
      <c r="E39" t="s">
        <v>109</v>
      </c>
      <c r="F39" s="60">
        <f t="array" ref="F39:G39">(F8:G8)/(1+tauTS)/pS</f>
        <v>26548.356269999997</v>
      </c>
      <c r="G39" s="61">
        <v>1408.5418709999938</v>
      </c>
      <c r="H39" s="27">
        <f t="array" ref="H39:I39">MMULT(Y,TRANSPOSE(alpha))+Consumption+G+I</f>
        <v>26548.356269999993</v>
      </c>
      <c r="I39" s="27">
        <v>1408.5418709999938</v>
      </c>
      <c r="K39" s="113">
        <f t="array" ref="K39:L39">H39:I39-S</f>
        <v>0</v>
      </c>
      <c r="L39" s="113">
        <v>0</v>
      </c>
      <c r="N39" s="27"/>
      <c r="O39" s="27"/>
    </row>
    <row r="40" spans="2:16" x14ac:dyDescent="0.2">
      <c r="B40" t="s">
        <v>76</v>
      </c>
      <c r="C40" s="86">
        <f t="array" ref="C40:D40">(pS*S-pW*M)/pD</f>
        <v>24661.962529999993</v>
      </c>
      <c r="D40" s="87">
        <v>1145.7547579999962</v>
      </c>
      <c r="E40" t="s">
        <v>111</v>
      </c>
      <c r="H40" s="27">
        <f t="array" ref="H40:I40">(aS/pD)^sigmaS*(aS^sigmaS*pD^(1-sigmaS)+bS^sigmaS*pW^(1-sigmaS))^(sigmaS/(1-sigmaS))*S</f>
        <v>24661.962529999983</v>
      </c>
      <c r="I40" s="27">
        <v>1145.754757999995</v>
      </c>
      <c r="K40" s="113">
        <f t="array" ref="K40:L40">H40:I40-D</f>
        <v>0</v>
      </c>
      <c r="L40" s="113">
        <v>0</v>
      </c>
    </row>
    <row r="41" spans="2:16" x14ac:dyDescent="0.2">
      <c r="B41" t="s">
        <v>28</v>
      </c>
      <c r="C41" s="39">
        <f t="array" ref="C41:D41">TRANSPOSE(E3:E4)/(1+tauTS)/pS</f>
        <v>6533.604468832069</v>
      </c>
      <c r="D41" s="40">
        <v>379.90788307663405</v>
      </c>
      <c r="E41" t="s">
        <v>57</v>
      </c>
      <c r="H41" s="27">
        <f t="array" ref="H41">(aU/pCQ)^sigmaU/(aU^sigmaU*pCQ^(1-sigmaU)+bU^sigmaU*pCE^(1-sigmaU))*Revenue</f>
        <v>6533.6044688320735</v>
      </c>
      <c r="I41" s="27">
        <f>(bU/pCE)^sigmaU/(aU^sigmaU*pCQ^(1-sigmaU)+bU^sigmaU*pCE^(1-sigmaU))*Revenue</f>
        <v>379.90788307663428</v>
      </c>
      <c r="K41" s="113">
        <f t="array" ref="K41:L41">H41:I41-Consumption</f>
        <v>0</v>
      </c>
      <c r="L41" s="113">
        <v>0</v>
      </c>
    </row>
    <row r="42" spans="2:16" x14ac:dyDescent="0.2">
      <c r="B42" t="s">
        <v>7</v>
      </c>
      <c r="C42" s="39">
        <f t="array" ref="C42:D42">TRANSPOSE(F3:F4)/(1+tauTS)/pS</f>
        <v>3278.5018080150412</v>
      </c>
      <c r="D42" s="40">
        <v>0</v>
      </c>
      <c r="H42" s="27">
        <f t="array" ref="H42">omegaG*GDP/pG</f>
        <v>3278.5018080150412</v>
      </c>
      <c r="I42" s="26">
        <v>0</v>
      </c>
      <c r="K42" s="113">
        <f t="array" ref="K42:L42">H42:I42-G</f>
        <v>0</v>
      </c>
      <c r="L42" s="113">
        <v>0</v>
      </c>
    </row>
    <row r="43" spans="2:16" x14ac:dyDescent="0.2">
      <c r="B43" t="s">
        <v>8</v>
      </c>
      <c r="C43" s="39">
        <f t="array" ref="C43:D43">TRANSPOSE(G3:G4)/(1+tauTS)/pS</f>
        <v>3196.3846373657216</v>
      </c>
      <c r="D43" s="40">
        <v>0</v>
      </c>
      <c r="H43" s="27">
        <f t="array" ref="H43">(sD*GDP-B)/pI</f>
        <v>3196.3846373657216</v>
      </c>
      <c r="I43" s="26">
        <v>0</v>
      </c>
      <c r="K43" s="113">
        <f t="array" ref="K43:L43">H43:I43-I</f>
        <v>0</v>
      </c>
      <c r="L43" s="113">
        <v>0</v>
      </c>
    </row>
    <row r="44" spans="2:16" x14ac:dyDescent="0.2">
      <c r="B44" t="s">
        <v>0</v>
      </c>
      <c r="C44" s="39">
        <f t="array" ref="C44:D44">TRANSPOSE(H3:H4)/pX</f>
        <v>3195.047603999999</v>
      </c>
      <c r="D44" s="40">
        <v>91.012690000004071</v>
      </c>
      <c r="H44" s="27">
        <f t="array" ref="H44:I44">(bX/pX)^sigmaX*(aX^sigmaX*pD^(1-sigmaX)+bX^sigmaX*pX^(1-sigmaX))^(-1/rhoX)*Y</f>
        <v>3195.0476040000012</v>
      </c>
      <c r="I44" s="27">
        <v>91.012690000004071</v>
      </c>
      <c r="K44" s="113">
        <f t="array" ref="K44:L44">H44:I44-X</f>
        <v>0</v>
      </c>
      <c r="L44" s="113">
        <v>0</v>
      </c>
    </row>
    <row r="45" spans="2:16" x14ac:dyDescent="0.2">
      <c r="B45" t="s">
        <v>27</v>
      </c>
      <c r="C45" s="39">
        <f t="array" ref="C45:D45">C5:D5/w</f>
        <v>5036.2953101960647</v>
      </c>
      <c r="D45" s="40">
        <v>74.905331803938267</v>
      </c>
      <c r="E45" t="s">
        <v>58</v>
      </c>
      <c r="H45" s="27">
        <f t="array" ref="H45:I45">lambda*Y</f>
        <v>5036.2953101960647</v>
      </c>
      <c r="I45" s="27">
        <v>74.905331803938267</v>
      </c>
      <c r="K45" s="113">
        <f t="array" ref="K45:L45">H45:I45-Labour</f>
        <v>0</v>
      </c>
      <c r="L45" s="113">
        <v>0</v>
      </c>
    </row>
    <row r="46" spans="2:16" x14ac:dyDescent="0.2">
      <c r="B46" t="s">
        <v>2</v>
      </c>
      <c r="C46" s="39">
        <f t="array" ref="C46:D46">C8:D8/pK</f>
        <v>6425.1981590000014</v>
      </c>
      <c r="D46" s="40">
        <v>273.22915400000011</v>
      </c>
      <c r="H46" s="27">
        <f t="array" ref="H46:I46">kappa*Y</f>
        <v>6425.1981590000014</v>
      </c>
      <c r="I46" s="27">
        <v>273.22915400000011</v>
      </c>
      <c r="K46" s="113">
        <f t="array" ref="K46:L46">H46:I46-K</f>
        <v>0</v>
      </c>
      <c r="L46" s="113">
        <v>0</v>
      </c>
    </row>
    <row r="47" spans="2:16" x14ac:dyDescent="0.2">
      <c r="B47" t="s">
        <v>35</v>
      </c>
      <c r="C47" s="110">
        <f t="array" ref="C47:D47">(pK*K+pL*Labour)/pKL</f>
        <v>13763.097676000005</v>
      </c>
      <c r="D47" s="164">
        <v>382.36647900000003</v>
      </c>
      <c r="H47" s="27">
        <f t="array" ref="H47:I47">(aKLE/pKL)^sigmaKLE*(aKLE^sigmaKLE*pKL^(1-sigmaKLE)+bKLE^sigmaKLE*pEY^(1-sigmaKLE))^(-1/rhoKLE)*KLE</f>
        <v>13763.097676000007</v>
      </c>
      <c r="I47" s="27">
        <v>382.36647900000003</v>
      </c>
      <c r="K47" s="113">
        <f t="array" ref="K47:L47">H47:I47-KL</f>
        <v>0</v>
      </c>
      <c r="L47" s="113">
        <v>0</v>
      </c>
    </row>
    <row r="48" spans="2:16" x14ac:dyDescent="0.2">
      <c r="B48" t="s">
        <v>53</v>
      </c>
      <c r="C48" s="158">
        <f t="array" ref="C48:D48">(pKL*KL+C4:D4)/pKLE</f>
        <v>14362.768558000003</v>
      </c>
      <c r="D48" s="159">
        <v>817.26651000000004</v>
      </c>
      <c r="H48" s="27">
        <f t="array" ref="H48:I48">(aY/pKLE)^sigmaY*(aY^sigmaY*pKLE^(1-sigmaY)+bY^sigmaY*pMY^(1-sigmaY))^(-1/rhoY)*Y</f>
        <v>14362.768558000025</v>
      </c>
      <c r="I48" s="27">
        <v>817.26650999999993</v>
      </c>
      <c r="K48" s="113">
        <f t="array" ref="K48:L48">H48:I48-KLE</f>
        <v>2.1827872842550278E-11</v>
      </c>
      <c r="L48" s="113">
        <v>0</v>
      </c>
    </row>
    <row r="50" spans="2:12" x14ac:dyDescent="0.2">
      <c r="B50" t="s">
        <v>26</v>
      </c>
      <c r="C50" s="41">
        <f t="array" ref="C50:D50">C6:D6/(w*lambda*Y)</f>
        <v>0.45700342514552333</v>
      </c>
      <c r="D50" s="42">
        <v>0.4570034251455235</v>
      </c>
      <c r="G50" s="27"/>
    </row>
    <row r="51" spans="2:12" x14ac:dyDescent="0.2">
      <c r="B51" t="s">
        <v>20</v>
      </c>
      <c r="C51" s="44">
        <f t="array" ref="C51:D51">C7:D7/(pY*Y-C7:D7)</f>
        <v>4.9682236719384319E-3</v>
      </c>
      <c r="D51" s="45">
        <v>1.7038360552061892E-2</v>
      </c>
    </row>
    <row r="52" spans="2:12" x14ac:dyDescent="0.2">
      <c r="B52" t="s">
        <v>136</v>
      </c>
      <c r="C52" s="43">
        <f t="array" ref="C52:D52">C10:D10/(TRANSPOSE(C3:C4+D3:D4+E3:E4+F3:F4+G3:G4)-C10:D10)</f>
        <v>1.5911682542747503E-2</v>
      </c>
      <c r="D52" s="199">
        <v>5.7716594496607888E-3</v>
      </c>
    </row>
    <row r="53" spans="2:12" x14ac:dyDescent="0.2">
      <c r="C53" s="27"/>
      <c r="D53" s="27"/>
    </row>
    <row r="54" spans="2:12" x14ac:dyDescent="0.2">
      <c r="C54" s="27"/>
      <c r="D54" s="27"/>
    </row>
    <row r="55" spans="2:12" x14ac:dyDescent="0.2">
      <c r="B55" t="s">
        <v>48</v>
      </c>
      <c r="C55" s="66">
        <f t="array" ref="C55">SUM(C6:D7,C10:D11)</f>
        <v>2924829.96</v>
      </c>
      <c r="H55" s="27">
        <f t="array" ref="H55">SUM(w*tauL*Labour+tauY/(1+tauY)*pY*Y+tauTS*pS*S)</f>
        <v>2924829.9599999995</v>
      </c>
      <c r="K55" s="113">
        <f t="array" ref="K55">H55-T</f>
        <v>0</v>
      </c>
      <c r="L55" s="116"/>
    </row>
    <row r="56" spans="2:12" x14ac:dyDescent="0.2">
      <c r="B56" t="s">
        <v>47</v>
      </c>
      <c r="C56" s="123">
        <v>1</v>
      </c>
      <c r="E56" t="s">
        <v>179</v>
      </c>
      <c r="K56" s="116"/>
      <c r="L56" s="116"/>
    </row>
    <row r="57" spans="2:12" x14ac:dyDescent="0.2">
      <c r="B57" t="s">
        <v>64</v>
      </c>
      <c r="C57" s="124">
        <f>SUM(C5:D8,C10:D11)</f>
        <v>14734457.915000005</v>
      </c>
      <c r="E57" s="62">
        <f>15693432.72*2437635/2728870.25</f>
        <v>14018570.823738214</v>
      </c>
      <c r="H57" s="115">
        <f t="array" ref="H57">SUM(pC*Consumption+pG*G+pI*I+pX*X-pW*M)</f>
        <v>14734457.915000003</v>
      </c>
      <c r="I57" s="115">
        <f t="array" ref="I57">SUM(w*Labour,pK*K,T)</f>
        <v>14734457.915000007</v>
      </c>
      <c r="K57" s="113">
        <f>H57-GDP</f>
        <v>0</v>
      </c>
      <c r="L57" s="113">
        <f>I57-GDP</f>
        <v>0</v>
      </c>
    </row>
    <row r="58" spans="2:12" x14ac:dyDescent="0.2">
      <c r="B58" t="s">
        <v>54</v>
      </c>
      <c r="C58" s="111">
        <f t="array" ref="C58">GDP-SUM(pG*G+pI*I+pX*X-pW*M)</f>
        <v>7019665.6909999968</v>
      </c>
      <c r="D58" t="s">
        <v>55</v>
      </c>
      <c r="K58" s="116"/>
      <c r="L58" s="116"/>
    </row>
    <row r="59" spans="2:12" x14ac:dyDescent="0.2">
      <c r="B59" t="s">
        <v>75</v>
      </c>
      <c r="C59" s="67">
        <f>SUM(H3:H4)-SUM(C9:D9)</f>
        <v>1136879.441000009</v>
      </c>
      <c r="K59" s="116"/>
      <c r="L59" s="116"/>
    </row>
    <row r="60" spans="2:12" x14ac:dyDescent="0.2">
      <c r="C60" s="27"/>
      <c r="D60" s="27"/>
    </row>
    <row r="61" spans="2:12" x14ac:dyDescent="0.2">
      <c r="C61" s="27"/>
      <c r="D61" s="27"/>
    </row>
    <row r="62" spans="2:12" x14ac:dyDescent="0.2">
      <c r="B62" t="s">
        <v>98</v>
      </c>
      <c r="C62" s="153">
        <f t="array" ref="C62">SUM(pG*G)/GDP</f>
        <v>0.22604620456442484</v>
      </c>
      <c r="D62" t="s">
        <v>81</v>
      </c>
    </row>
    <row r="63" spans="2:12" x14ac:dyDescent="0.2">
      <c r="B63" t="s">
        <v>99</v>
      </c>
      <c r="C63" s="172">
        <f t="array" ref="C63">SUM(pI*I)/GDP</f>
        <v>0.22038438833194082</v>
      </c>
      <c r="D63" t="s">
        <v>82</v>
      </c>
    </row>
    <row r="64" spans="2:12" x14ac:dyDescent="0.2">
      <c r="B64" t="s">
        <v>92</v>
      </c>
      <c r="C64" s="153">
        <f t="array" ref="C64">(SUM(pI*I)+B)/GDP</f>
        <v>0.29754226190682415</v>
      </c>
      <c r="D64" t="s">
        <v>80</v>
      </c>
    </row>
    <row r="65" spans="2:12" x14ac:dyDescent="0.2">
      <c r="B65" t="s">
        <v>84</v>
      </c>
      <c r="C65" s="154">
        <f t="array" ref="C65">(SUM(pI*I)+B-sL*(SUM(w*Labour))-sG*(T-SUM(pG*G)))/SUM(pK*K)</f>
        <v>0.40559806644645541</v>
      </c>
      <c r="D65" t="s">
        <v>83</v>
      </c>
      <c r="J65" s="59" t="s">
        <v>138</v>
      </c>
      <c r="K65" s="113">
        <f>sK-sL</f>
        <v>0</v>
      </c>
      <c r="L65" s="116"/>
    </row>
    <row r="66" spans="2:12" x14ac:dyDescent="0.2">
      <c r="B66" t="s">
        <v>85</v>
      </c>
      <c r="C66" s="198">
        <f>Model!K60</f>
        <v>0.40559806644645535</v>
      </c>
      <c r="D66" t="s">
        <v>96</v>
      </c>
      <c r="K66" s="116"/>
      <c r="L66" s="116"/>
    </row>
    <row r="67" spans="2:12" x14ac:dyDescent="0.2">
      <c r="B67" t="s">
        <v>110</v>
      </c>
      <c r="C67" s="155">
        <v>1</v>
      </c>
      <c r="D67" t="s">
        <v>137</v>
      </c>
      <c r="G67" s="167"/>
      <c r="K67" s="116"/>
      <c r="L67" s="116"/>
    </row>
    <row r="70" spans="2:12" x14ac:dyDescent="0.2">
      <c r="B70" t="s">
        <v>21</v>
      </c>
      <c r="C70" s="35">
        <f t="array" ref="C70:D71">(C3:D4)/Y/TRANSPOSE(pS*(1+tauTS))</f>
        <v>0.47195767671988131</v>
      </c>
      <c r="D70" s="36">
        <v>0.31738834428178964</v>
      </c>
      <c r="E70" t="s">
        <v>24</v>
      </c>
      <c r="H70" s="35">
        <f t="array" ref="H70:I70">(bY/pMY)^sigmaY*(aY^sigmaY*pKLE^(1-sigmaY)+bY^sigmaY*pMY^(1-sigmaY))^(-1/rhoY)</f>
        <v>0.47195767671988198</v>
      </c>
      <c r="I70" s="36">
        <v>0.31738834428178964</v>
      </c>
      <c r="K70" s="113">
        <f t="array" ref="K70:L71">H70:I71-C70:D71</f>
        <v>6.6613381477509392E-16</v>
      </c>
      <c r="L70" s="113">
        <v>0</v>
      </c>
    </row>
    <row r="71" spans="2:12" x14ac:dyDescent="0.2">
      <c r="C71" s="37">
        <v>2.1403217525954435E-2</v>
      </c>
      <c r="D71" s="38">
        <v>0.34962461301992526</v>
      </c>
      <c r="E71" t="s">
        <v>25</v>
      </c>
      <c r="H71" s="37">
        <f t="array" ref="H71:I71">(bKLE/pEY)^sigmaKLE*(aKLE^sigmaKLE*pKL^(1-sigmaKLE)+bKLE^sigmaKLE*pEY^(1-sigmaKLE))^(-1/rhoKLE)*KLE/Y</f>
        <v>2.1403217525954435E-2</v>
      </c>
      <c r="I71" s="38">
        <v>0.34962461301992509</v>
      </c>
      <c r="K71" s="113">
        <v>0</v>
      </c>
      <c r="L71" s="113">
        <v>0</v>
      </c>
    </row>
    <row r="72" spans="2:12" x14ac:dyDescent="0.2">
      <c r="B72" t="s">
        <v>22</v>
      </c>
      <c r="C72" s="35">
        <f t="array" ref="C72:D72">Labour/Y</f>
        <v>0.18079094942242827</v>
      </c>
      <c r="D72" s="36">
        <v>6.0565413429233668E-2</v>
      </c>
      <c r="H72" s="35">
        <f t="array" ref="H72:I72">(bKL/pL)^sigmaKL*(aKL^sigmaKL*pK^(1-sigmaKL)+bKL^sigmaKL*pL^(1-sigmaKL))^(-1/rhoKL)*KL/Y</f>
        <v>0.18079094942242829</v>
      </c>
      <c r="I72" s="36">
        <v>6.0565413429233668E-2</v>
      </c>
      <c r="K72" s="113">
        <f t="array" ref="K72:L72">H72:I72-lambda</f>
        <v>0</v>
      </c>
      <c r="L72" s="113">
        <v>0</v>
      </c>
    </row>
    <row r="73" spans="2:12" x14ac:dyDescent="0.2">
      <c r="B73" t="s">
        <v>23</v>
      </c>
      <c r="C73" s="37">
        <f t="array" ref="C73:D73">K/Y</f>
        <v>0.23064923795098627</v>
      </c>
      <c r="D73" s="38">
        <v>0.22092201281804763</v>
      </c>
      <c r="H73" s="37">
        <f t="array" ref="H73:I73">(aKL/pK)^sigmaKL*(aKL^sigmaKL*pK^(1-sigmaKL)+bKL^sigmaKL*pL^(1-sigmaKL))^(-1/rhoKL)*KL/Y</f>
        <v>0.23064923795098624</v>
      </c>
      <c r="I73" s="38">
        <v>0.22092201281804766</v>
      </c>
      <c r="K73" s="113">
        <f t="array" ref="K73:L73">H73:I73-kappa</f>
        <v>0</v>
      </c>
      <c r="L73" s="113">
        <v>0</v>
      </c>
    </row>
    <row r="75" spans="2:12" x14ac:dyDescent="0.2">
      <c r="F75" t="s">
        <v>42</v>
      </c>
    </row>
    <row r="77" spans="2:12" x14ac:dyDescent="0.2">
      <c r="B77" t="s">
        <v>116</v>
      </c>
      <c r="C77" s="173">
        <f t="array" ref="C77:D77">(S/D)^rhoS*pD*D/(pD*D+pW*M)</f>
        <v>0.96381792329050164</v>
      </c>
      <c r="D77" s="174">
        <v>0.94968696469905056</v>
      </c>
      <c r="E77" s="59" t="s">
        <v>114</v>
      </c>
      <c r="F77" s="60">
        <f t="array" ref="F77:G77">(aS*D^rhoS+bS*M^rhoS)^(1/rhoS)</f>
        <v>26548.356269999997</v>
      </c>
      <c r="G77" s="61">
        <v>1408.5418709999931</v>
      </c>
    </row>
    <row r="78" spans="2:12" x14ac:dyDescent="0.2">
      <c r="B78" t="s">
        <v>117</v>
      </c>
      <c r="C78" s="175">
        <f t="array" ref="C78:D78">(S/M)^rhoS*pW*M/(pD*D+pW*M)</f>
        <v>0.26656145772407763</v>
      </c>
      <c r="D78" s="176">
        <v>0.65721667750764312</v>
      </c>
      <c r="F78" s="120">
        <f t="array" ref="F78:G78">F77:G77-S</f>
        <v>0</v>
      </c>
      <c r="G78" s="121">
        <v>0</v>
      </c>
    </row>
    <row r="79" spans="2:12" x14ac:dyDescent="0.2">
      <c r="B79" t="s">
        <v>118</v>
      </c>
      <c r="C79" s="177">
        <v>2</v>
      </c>
      <c r="D79" s="178">
        <v>4</v>
      </c>
    </row>
    <row r="80" spans="2:12" x14ac:dyDescent="0.2">
      <c r="B80" t="s">
        <v>119</v>
      </c>
      <c r="C80" s="179">
        <f t="array" ref="C80:D80">(sigmaS-1)/sigmaS</f>
        <v>0.5</v>
      </c>
      <c r="D80" s="180">
        <v>0.75</v>
      </c>
    </row>
    <row r="81" spans="2:7" x14ac:dyDescent="0.2">
      <c r="C81" s="181"/>
      <c r="D81" s="181"/>
    </row>
    <row r="82" spans="2:7" x14ac:dyDescent="0.2">
      <c r="B82" t="s">
        <v>31</v>
      </c>
      <c r="C82" s="173">
        <f t="array" ref="C82:D82">(KL/K)^rhoKL*pK*K/(pK*K+pL*Labour)</f>
        <v>7.8928608681718054E-2</v>
      </c>
      <c r="D82" s="174">
        <v>0.10640976976244208</v>
      </c>
      <c r="E82" s="59" t="s">
        <v>35</v>
      </c>
      <c r="F82" s="60">
        <f t="array" ref="F82:G82">(aKL*K^rhoKL+bKL*Labour^rhoKL)^(1/rhoKL)</f>
        <v>13763.097676000012</v>
      </c>
      <c r="G82" s="61">
        <v>382.3664789999998</v>
      </c>
    </row>
    <row r="83" spans="2:7" x14ac:dyDescent="0.2">
      <c r="B83" t="s">
        <v>32</v>
      </c>
      <c r="C83" s="175">
        <f t="array" ref="C83:D83">(KL/Labour)^rhoKL*pL*Labour/(pK*K+pL*Labour)</f>
        <v>5.1063497539797449E-2</v>
      </c>
      <c r="D83" s="176">
        <v>2.7776661157113622E-5</v>
      </c>
      <c r="F83" s="120">
        <f t="array" ref="F83:G83">F82:G82-KL</f>
        <v>0</v>
      </c>
      <c r="G83" s="121">
        <v>0</v>
      </c>
    </row>
    <row r="84" spans="2:7" x14ac:dyDescent="0.2">
      <c r="B84" t="s">
        <v>33</v>
      </c>
      <c r="C84" s="177">
        <v>0.3</v>
      </c>
      <c r="D84" s="178">
        <v>0.15</v>
      </c>
    </row>
    <row r="85" spans="2:7" x14ac:dyDescent="0.2">
      <c r="B85" t="s">
        <v>34</v>
      </c>
      <c r="C85" s="179">
        <f t="array" ref="C85:D85">(sigmaKL-1)/sigmaKL</f>
        <v>-2.3333333333333335</v>
      </c>
      <c r="D85" s="180">
        <v>-5.666666666666667</v>
      </c>
    </row>
    <row r="86" spans="2:7" x14ac:dyDescent="0.2">
      <c r="C86" s="181"/>
      <c r="D86" s="181"/>
    </row>
    <row r="87" spans="2:7" x14ac:dyDescent="0.2">
      <c r="B87" t="s">
        <v>49</v>
      </c>
      <c r="C87" s="173">
        <f t="array" ref="C87:D87">(KLE/KL)^rhoKLE*(pK*K+pL*Labour)/(pK*K+pL*Labour+pEY*alphaEY*Y)</f>
        <v>0.91823968729733552</v>
      </c>
      <c r="D87" s="174">
        <v>4.7914221543935986E-2</v>
      </c>
      <c r="E87" s="59" t="s">
        <v>53</v>
      </c>
      <c r="F87" s="60">
        <f t="array" ref="F87:G87">(aKLE*KL^rhoKLE+bKLE*(alphaEY*Y)^rhoKLE)^(1/rhoKLE)</f>
        <v>14362.768558</v>
      </c>
      <c r="G87" s="61">
        <v>817.26650999999947</v>
      </c>
    </row>
    <row r="88" spans="2:7" x14ac:dyDescent="0.2">
      <c r="B88" t="s">
        <v>50</v>
      </c>
      <c r="C88" s="175">
        <f t="array" ref="C88:D88">(KLE/(alphaEY*Y))^rhoKLE*pEY*alphaEY*Y/(pEY*alphaEY*Y+pK*K+pL*Labour)</f>
        <v>1.7332060821993295E-3</v>
      </c>
      <c r="D88" s="176">
        <v>7.8814252643960914E-2</v>
      </c>
      <c r="F88" s="120">
        <f t="array" ref="F88:G88">F87:G87-KLE</f>
        <v>0</v>
      </c>
      <c r="G88" s="121">
        <v>0</v>
      </c>
    </row>
    <row r="89" spans="2:7" x14ac:dyDescent="0.2">
      <c r="B89" t="s">
        <v>51</v>
      </c>
      <c r="C89" s="177">
        <v>0.5</v>
      </c>
      <c r="D89" s="178">
        <v>0.25</v>
      </c>
    </row>
    <row r="90" spans="2:7" x14ac:dyDescent="0.2">
      <c r="B90" t="s">
        <v>52</v>
      </c>
      <c r="C90" s="179">
        <f t="array" ref="C90:D90">(sigmaKLE-1)/sigmaKLE</f>
        <v>-1</v>
      </c>
      <c r="D90" s="180">
        <v>-3</v>
      </c>
    </row>
    <row r="91" spans="2:7" x14ac:dyDescent="0.2">
      <c r="C91" s="181"/>
      <c r="D91" s="181"/>
    </row>
    <row r="92" spans="2:7" x14ac:dyDescent="0.2">
      <c r="B92" t="s">
        <v>37</v>
      </c>
      <c r="C92" s="173">
        <f t="array" ref="C92:D92">(Y/KLE)^rhoY*(pK*K+pL*Labour+pEY*alphaEY*Y)/(pK*K+pL*Labour+pEY*alphaEY*Y+pMY*alphaMY*Y)</f>
        <v>0.39008348025535444</v>
      </c>
      <c r="D92" s="174">
        <v>0.31136355826594386</v>
      </c>
      <c r="E92" s="59" t="s">
        <v>19</v>
      </c>
      <c r="F92" s="60">
        <f t="array" ref="F92:G92">(aY*KLE^rhoY+bY*(alphaMY*Y)^rhoY)^(1/rhoY)</f>
        <v>27857.010133999996</v>
      </c>
      <c r="G92" s="61">
        <v>1236.767447999998</v>
      </c>
    </row>
    <row r="93" spans="2:7" x14ac:dyDescent="0.2">
      <c r="B93" t="s">
        <v>38</v>
      </c>
      <c r="C93" s="175">
        <f t="array" ref="C93:D93">(Y/(alphaMY*Y))^rhoY*pMY*alphaMY*Y/(pMY*alphaMY*Y+pK*K+pL*Labour+pEY*alphaEY*Y)</f>
        <v>0.34926535250575885</v>
      </c>
      <c r="D93" s="176">
        <v>3.8919522129570013E-2</v>
      </c>
      <c r="F93" s="120">
        <f t="array" ref="F93:G93">F92:G92-Y</f>
        <v>0</v>
      </c>
      <c r="G93" s="121">
        <v>-2.2737367544323206E-12</v>
      </c>
    </row>
    <row r="94" spans="2:7" x14ac:dyDescent="0.2">
      <c r="B94" t="s">
        <v>39</v>
      </c>
      <c r="C94" s="177">
        <v>0.7</v>
      </c>
      <c r="D94" s="178">
        <v>0.35</v>
      </c>
    </row>
    <row r="95" spans="2:7" x14ac:dyDescent="0.2">
      <c r="B95" t="s">
        <v>40</v>
      </c>
      <c r="C95" s="179">
        <f t="array" ref="C95:D95">(sigmaY-1)/sigmaY</f>
        <v>-0.42857142857142866</v>
      </c>
      <c r="D95" s="180">
        <v>-1.8571428571428574</v>
      </c>
    </row>
    <row r="96" spans="2:7" x14ac:dyDescent="0.2">
      <c r="C96" s="181"/>
      <c r="D96" s="181"/>
    </row>
    <row r="97" spans="2:9" x14ac:dyDescent="0.2">
      <c r="B97" t="s">
        <v>104</v>
      </c>
      <c r="C97" s="173">
        <f t="array" ref="C97:D97">(Y/D)^rhoX*pD*D/(pD*D+pX*X)</f>
        <v>1.0628046216829141</v>
      </c>
      <c r="D97" s="174">
        <v>1.0389584707528505</v>
      </c>
      <c r="E97" s="59" t="s">
        <v>19</v>
      </c>
      <c r="F97" s="60">
        <f t="array" ref="F97:G97">(aX*D^rhoX+bX*X^rhoX)^(1/rhoX)</f>
        <v>27857.010133999949</v>
      </c>
      <c r="G97" s="61">
        <v>1236.7674480000003</v>
      </c>
    </row>
    <row r="98" spans="2:9" x14ac:dyDescent="0.2">
      <c r="B98" t="s">
        <v>105</v>
      </c>
      <c r="C98" s="175">
        <f t="array" ref="C98:D98">(Y/X)^rhoX*pX*X/(pD*D+pX*X)</f>
        <v>2.9527629608409791</v>
      </c>
      <c r="D98" s="176">
        <v>3.686320128465423</v>
      </c>
      <c r="F98" s="120">
        <f t="array" ref="F98:G98">F97:G97-Y</f>
        <v>-4.7293724492192268E-11</v>
      </c>
      <c r="G98" s="121">
        <v>0</v>
      </c>
    </row>
    <row r="99" spans="2:9" x14ac:dyDescent="0.2">
      <c r="B99" t="s">
        <v>66</v>
      </c>
      <c r="C99" s="170">
        <v>-2</v>
      </c>
      <c r="D99" s="171">
        <v>-2</v>
      </c>
    </row>
    <row r="100" spans="2:9" x14ac:dyDescent="0.2">
      <c r="B100" t="s">
        <v>106</v>
      </c>
      <c r="C100" s="179">
        <f t="array" ref="C100:D100">(sigmaX - 1)/sigmaX</f>
        <v>1.5</v>
      </c>
      <c r="D100" s="180">
        <v>1.5</v>
      </c>
    </row>
    <row r="102" spans="2:9" x14ac:dyDescent="0.2">
      <c r="B102" t="s">
        <v>97</v>
      </c>
      <c r="C102" s="28">
        <v>-0.1</v>
      </c>
    </row>
    <row r="104" spans="2:9" x14ac:dyDescent="0.2">
      <c r="B104" t="s">
        <v>43</v>
      </c>
      <c r="C104" s="63">
        <f>(U/CQ)^rhoU*pCQ*CQ/(pCQ*CQ+pCE*CE)</f>
        <v>330.46661434562492</v>
      </c>
      <c r="E104" s="59" t="s">
        <v>47</v>
      </c>
      <c r="F104" s="62">
        <f>(aU*CQ^rhoU+bU*CE^rhoU)^(1/rhoU)</f>
        <v>1</v>
      </c>
    </row>
    <row r="105" spans="2:9" x14ac:dyDescent="0.2">
      <c r="B105" t="s">
        <v>44</v>
      </c>
      <c r="C105" s="64">
        <f>(U/CE)^rhoU*pCE*CE/(pCQ*CQ+pCE*CE)</f>
        <v>2.8552675295613739</v>
      </c>
      <c r="F105" s="114">
        <f t="array" ref="F105">F104-U</f>
        <v>0</v>
      </c>
    </row>
    <row r="106" spans="2:9" x14ac:dyDescent="0.2">
      <c r="B106" t="s">
        <v>45</v>
      </c>
      <c r="C106" s="197">
        <v>0.6</v>
      </c>
    </row>
    <row r="107" spans="2:9" x14ac:dyDescent="0.2">
      <c r="B107" t="s">
        <v>46</v>
      </c>
      <c r="C107" s="65">
        <f>(sigmaU-1)/sigmaU</f>
        <v>-0.66666666666666674</v>
      </c>
    </row>
    <row r="111" spans="2:9" x14ac:dyDescent="0.2">
      <c r="H111" s="109"/>
      <c r="I111" s="109"/>
    </row>
    <row r="112" spans="2:9" x14ac:dyDescent="0.2">
      <c r="H112" s="109"/>
      <c r="I112" s="109"/>
    </row>
    <row r="113" spans="2:16" ht="10.5" x14ac:dyDescent="0.25">
      <c r="B113" s="92" t="s">
        <v>93</v>
      </c>
    </row>
    <row r="114" spans="2:16" x14ac:dyDescent="0.2">
      <c r="B114" t="s">
        <v>12</v>
      </c>
      <c r="C114" s="81">
        <f t="array" ref="C114:D114">pY</f>
        <v>1000</v>
      </c>
      <c r="D114" s="82">
        <v>1000</v>
      </c>
    </row>
    <row r="115" spans="2:16" x14ac:dyDescent="0.2">
      <c r="B115" t="s">
        <v>115</v>
      </c>
      <c r="C115" s="93">
        <f t="array" ref="C115:D115">pS</f>
        <v>1000</v>
      </c>
      <c r="D115" s="94">
        <v>1000</v>
      </c>
    </row>
    <row r="116" spans="2:16" x14ac:dyDescent="0.2">
      <c r="B116" t="s">
        <v>17</v>
      </c>
      <c r="C116" s="93">
        <f t="array" ref="C116:D116">w</f>
        <v>1000</v>
      </c>
      <c r="D116" s="94">
        <v>1000</v>
      </c>
    </row>
    <row r="117" spans="2:16" x14ac:dyDescent="0.2">
      <c r="B117" t="s">
        <v>18</v>
      </c>
      <c r="C117" s="146">
        <f t="array" ref="C117:D117">pK</f>
        <v>1000</v>
      </c>
      <c r="D117" s="147">
        <v>1000</v>
      </c>
    </row>
    <row r="118" spans="2:16" x14ac:dyDescent="0.2">
      <c r="B118" t="s">
        <v>61</v>
      </c>
      <c r="C118" s="146">
        <f t="array" ref="C118:D118">pKL</f>
        <v>1000</v>
      </c>
      <c r="D118" s="147">
        <v>1000</v>
      </c>
    </row>
    <row r="119" spans="2:16" x14ac:dyDescent="0.2">
      <c r="B119" t="s">
        <v>114</v>
      </c>
      <c r="C119" s="79">
        <f t="array" ref="C119:D119">S</f>
        <v>26548.356269999993</v>
      </c>
      <c r="D119" s="80">
        <v>1408.5418709999938</v>
      </c>
    </row>
    <row r="120" spans="2:16" x14ac:dyDescent="0.2">
      <c r="B120" t="s">
        <v>8</v>
      </c>
      <c r="C120" s="93">
        <f>C43</f>
        <v>3196.3846373657216</v>
      </c>
      <c r="D120" s="186">
        <f>D52</f>
        <v>5.7716594496607888E-3</v>
      </c>
      <c r="E120" t="s">
        <v>135</v>
      </c>
    </row>
    <row r="121" spans="2:16" x14ac:dyDescent="0.2">
      <c r="B121" t="s">
        <v>64</v>
      </c>
      <c r="C121" s="149">
        <f>GDP</f>
        <v>14734457.915000005</v>
      </c>
      <c r="D121" s="150">
        <v>0</v>
      </c>
    </row>
    <row r="122" spans="2:16" x14ac:dyDescent="0.2">
      <c r="B122" t="s">
        <v>27</v>
      </c>
      <c r="C122" s="149">
        <f t="array" ref="C122:D122">Labour</f>
        <v>5036.2953101960647</v>
      </c>
      <c r="D122" s="157">
        <v>74.905331803938267</v>
      </c>
    </row>
    <row r="123" spans="2:16" x14ac:dyDescent="0.2">
      <c r="B123" t="s">
        <v>19</v>
      </c>
      <c r="C123" s="148">
        <f t="array" ref="C123:D123">Y</f>
        <v>27857.010133999996</v>
      </c>
      <c r="D123" s="151">
        <v>1236.7674480000003</v>
      </c>
    </row>
    <row r="126" spans="2:16" x14ac:dyDescent="0.2">
      <c r="E126" s="27"/>
      <c r="F126" s="27"/>
      <c r="G126" s="27"/>
      <c r="H126" s="27"/>
      <c r="I126" s="27"/>
      <c r="J126" s="27"/>
      <c r="K126" s="27"/>
      <c r="L126" s="27"/>
      <c r="M126" s="27"/>
      <c r="N126" s="27"/>
      <c r="O126" s="27"/>
      <c r="P126" s="27"/>
    </row>
    <row r="127" spans="2:16" x14ac:dyDescent="0.2">
      <c r="E127" s="27"/>
      <c r="F127" s="27"/>
      <c r="G127" s="27"/>
      <c r="H127" s="27"/>
      <c r="I127" s="27"/>
      <c r="J127" s="27"/>
      <c r="K127" s="27"/>
      <c r="L127" s="27"/>
      <c r="M127" s="27"/>
      <c r="N127" s="27"/>
      <c r="O127" s="27"/>
      <c r="P127" s="27"/>
    </row>
  </sheetData>
  <conditionalFormatting sqref="C14:D14">
    <cfRule type="cellIs" dxfId="110" priority="28" stopIfTrue="1" operator="notEqual">
      <formula>0</formula>
    </cfRule>
  </conditionalFormatting>
  <conditionalFormatting sqref="K21:L21">
    <cfRule type="cellIs" dxfId="109" priority="27" stopIfTrue="1" operator="notEqual">
      <formula>0</formula>
    </cfRule>
  </conditionalFormatting>
  <conditionalFormatting sqref="K23:L23 K25:L30">
    <cfRule type="cellIs" dxfId="108" priority="26" stopIfTrue="1" operator="notEqual">
      <formula>0</formula>
    </cfRule>
  </conditionalFormatting>
  <conditionalFormatting sqref="K32:L32">
    <cfRule type="cellIs" dxfId="107" priority="25" stopIfTrue="1" operator="notEqual">
      <formula>0</formula>
    </cfRule>
  </conditionalFormatting>
  <conditionalFormatting sqref="K37:L39 K41:L43">
    <cfRule type="cellIs" dxfId="106" priority="24" stopIfTrue="1" operator="notEqual">
      <formula>0</formula>
    </cfRule>
  </conditionalFormatting>
  <conditionalFormatting sqref="K45:L48">
    <cfRule type="cellIs" dxfId="105" priority="23" stopIfTrue="1" operator="notEqual">
      <formula>0</formula>
    </cfRule>
  </conditionalFormatting>
  <conditionalFormatting sqref="K34:L35">
    <cfRule type="cellIs" dxfId="104" priority="22" stopIfTrue="1" operator="notEqual">
      <formula>0</formula>
    </cfRule>
  </conditionalFormatting>
  <conditionalFormatting sqref="K70:L73">
    <cfRule type="cellIs" dxfId="103" priority="21" stopIfTrue="1" operator="notEqual">
      <formula>0</formula>
    </cfRule>
  </conditionalFormatting>
  <conditionalFormatting sqref="K57">
    <cfRule type="cellIs" dxfId="102" priority="20" stopIfTrue="1" operator="notEqual">
      <formula>0</formula>
    </cfRule>
  </conditionalFormatting>
  <conditionalFormatting sqref="K55">
    <cfRule type="cellIs" dxfId="101" priority="19" stopIfTrue="1" operator="notEqual">
      <formula>0</formula>
    </cfRule>
  </conditionalFormatting>
  <conditionalFormatting sqref="F78:G78">
    <cfRule type="cellIs" dxfId="100" priority="18" stopIfTrue="1" operator="notEqual">
      <formula>0</formula>
    </cfRule>
  </conditionalFormatting>
  <conditionalFormatting sqref="F83:G83">
    <cfRule type="cellIs" dxfId="99" priority="17" stopIfTrue="1" operator="notEqual">
      <formula>0</formula>
    </cfRule>
  </conditionalFormatting>
  <conditionalFormatting sqref="F88:G88">
    <cfRule type="cellIs" dxfId="98" priority="16" stopIfTrue="1" operator="notEqual">
      <formula>0</formula>
    </cfRule>
  </conditionalFormatting>
  <conditionalFormatting sqref="F93:G93">
    <cfRule type="cellIs" dxfId="97" priority="15" stopIfTrue="1" operator="notEqual">
      <formula>0</formula>
    </cfRule>
  </conditionalFormatting>
  <conditionalFormatting sqref="F105">
    <cfRule type="cellIs" dxfId="96" priority="14" stopIfTrue="1" operator="notEqual">
      <formula>0</formula>
    </cfRule>
  </conditionalFormatting>
  <conditionalFormatting sqref="K44:L44">
    <cfRule type="cellIs" dxfId="95" priority="11" stopIfTrue="1" operator="notEqual">
      <formula>0</formula>
    </cfRule>
  </conditionalFormatting>
  <conditionalFormatting sqref="L57">
    <cfRule type="cellIs" dxfId="94" priority="8" stopIfTrue="1" operator="notEqual">
      <formula>0</formula>
    </cfRule>
  </conditionalFormatting>
  <conditionalFormatting sqref="K24:L24">
    <cfRule type="cellIs" dxfId="93" priority="6" stopIfTrue="1" operator="notEqual">
      <formula>0</formula>
    </cfRule>
  </conditionalFormatting>
  <conditionalFormatting sqref="K40:L40">
    <cfRule type="cellIs" dxfId="92" priority="5" stopIfTrue="1" operator="notEqual">
      <formula>0</formula>
    </cfRule>
  </conditionalFormatting>
  <conditionalFormatting sqref="F98:G98">
    <cfRule type="cellIs" dxfId="91" priority="3" stopIfTrue="1" operator="notEqual">
      <formula>0</formula>
    </cfRule>
  </conditionalFormatting>
  <conditionalFormatting sqref="K65">
    <cfRule type="cellIs" dxfId="90" priority="2" stopIfTrue="1" operator="notEqual">
      <formula>0</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B2:AL89"/>
  <sheetViews>
    <sheetView showGridLines="0" topLeftCell="H35" workbookViewId="0">
      <selection activeCell="K54" sqref="K54"/>
    </sheetView>
  </sheetViews>
  <sheetFormatPr baseColWidth="10" defaultRowHeight="10" x14ac:dyDescent="0.2"/>
  <cols>
    <col min="6" max="7" width="12" customWidth="1"/>
    <col min="11" max="11" width="12" customWidth="1"/>
    <col min="12" max="12" width="13" bestFit="1" customWidth="1"/>
    <col min="14" max="14" width="13" bestFit="1" customWidth="1"/>
    <col min="15" max="15" width="12.77734375" bestFit="1" customWidth="1"/>
  </cols>
  <sheetData>
    <row r="2" spans="2:18" ht="10.5" x14ac:dyDescent="0.25">
      <c r="B2" s="117" t="s">
        <v>68</v>
      </c>
      <c r="C2" s="2" t="s">
        <v>24</v>
      </c>
      <c r="D2" s="3" t="s">
        <v>25</v>
      </c>
      <c r="E2" s="4" t="s">
        <v>6</v>
      </c>
      <c r="F2" s="5" t="s">
        <v>7</v>
      </c>
      <c r="G2" s="5" t="s">
        <v>8</v>
      </c>
      <c r="H2" s="6" t="s">
        <v>0</v>
      </c>
      <c r="I2" s="1"/>
      <c r="K2" s="117" t="s">
        <v>86</v>
      </c>
      <c r="L2" s="2" t="s">
        <v>24</v>
      </c>
      <c r="M2" s="3" t="s">
        <v>25</v>
      </c>
      <c r="N2" s="4" t="s">
        <v>6</v>
      </c>
      <c r="O2" s="5" t="s">
        <v>7</v>
      </c>
      <c r="P2" s="5" t="s">
        <v>8</v>
      </c>
      <c r="Q2" s="6" t="s">
        <v>0</v>
      </c>
      <c r="R2" s="1"/>
    </row>
    <row r="3" spans="2:18" ht="10.5" x14ac:dyDescent="0.25">
      <c r="B3" s="2" t="s">
        <v>24</v>
      </c>
      <c r="C3" s="48">
        <f t="array" ref="C3:D11">Calibration!C3:D11</f>
        <v>13356525.920999993</v>
      </c>
      <c r="D3" s="49">
        <v>398781.47400000016</v>
      </c>
      <c r="E3" s="50">
        <f t="array" ref="E3:H4">Calibration!E3:H4</f>
        <v>6637565.1090000011</v>
      </c>
      <c r="F3" s="51">
        <v>3330668.2879999997</v>
      </c>
      <c r="G3" s="51">
        <v>3247244.4950000001</v>
      </c>
      <c r="H3" s="57">
        <v>3195047.6039999989</v>
      </c>
      <c r="I3" s="9">
        <f>SUM(C3:H3)</f>
        <v>30165832.890999991</v>
      </c>
      <c r="K3" s="2" t="s">
        <v>24</v>
      </c>
      <c r="L3" s="48">
        <f t="array" ref="L3:M4">pIC*alpha*Y</f>
        <v>13356525.921000011</v>
      </c>
      <c r="M3" s="49">
        <v>398781.47400000016</v>
      </c>
      <c r="N3" s="50">
        <f t="array" ref="N3:N4">TRANSPOSE(pC*Consumption)</f>
        <v>6637565.1089999983</v>
      </c>
      <c r="O3" s="51">
        <f t="array" ref="O3:O4">TRANSPOSE(pG*G)</f>
        <v>3330668.2879999997</v>
      </c>
      <c r="P3" s="51">
        <f t="array" ref="P3:P4">TRANSPOSE(pI*I)</f>
        <v>3247244.4950000001</v>
      </c>
      <c r="Q3" s="57">
        <f t="array" ref="Q3:Q4">TRANSPOSE(pX*X)</f>
        <v>3195047.6040000012</v>
      </c>
      <c r="R3" s="9">
        <f t="array" ref="R3">SUM(L3:Q3)</f>
        <v>30165832.89100001</v>
      </c>
    </row>
    <row r="4" spans="2:18" ht="10.5" x14ac:dyDescent="0.25">
      <c r="B4" s="10" t="s">
        <v>25</v>
      </c>
      <c r="C4" s="52">
        <v>599670.88199999998</v>
      </c>
      <c r="D4" s="53">
        <v>434900.03099999996</v>
      </c>
      <c r="E4" s="52">
        <v>382100.58199999394</v>
      </c>
      <c r="F4" s="54">
        <v>0</v>
      </c>
      <c r="G4" s="54">
        <v>0</v>
      </c>
      <c r="H4" s="46">
        <v>91012.690000004077</v>
      </c>
      <c r="I4" s="11">
        <f>SUM(C4:H4)</f>
        <v>1507684.184999998</v>
      </c>
      <c r="K4" s="10" t="s">
        <v>25</v>
      </c>
      <c r="L4" s="52">
        <v>599670.8820000008</v>
      </c>
      <c r="M4" s="53">
        <v>434900.03099999984</v>
      </c>
      <c r="N4" s="52">
        <v>382100.58199999377</v>
      </c>
      <c r="O4" s="54">
        <v>0</v>
      </c>
      <c r="P4" s="54">
        <v>0</v>
      </c>
      <c r="Q4" s="46">
        <v>91012.690000004397</v>
      </c>
      <c r="R4" s="11">
        <f t="array" ref="R4">SUM(L4:Q4)</f>
        <v>1507684.1849999989</v>
      </c>
    </row>
    <row r="5" spans="2:18" x14ac:dyDescent="0.2">
      <c r="B5" s="12" t="s">
        <v>1</v>
      </c>
      <c r="C5" s="48">
        <v>5036295.3101960644</v>
      </c>
      <c r="D5" s="49">
        <v>74905.331803938272</v>
      </c>
      <c r="E5" s="13"/>
      <c r="F5" s="13"/>
      <c r="G5" s="13"/>
      <c r="H5" s="13"/>
      <c r="I5" s="1"/>
      <c r="K5" s="12" t="s">
        <v>1</v>
      </c>
      <c r="L5" s="48">
        <f t="array" ref="L5:M5">w*Labour</f>
        <v>5036295.3101960644</v>
      </c>
      <c r="M5" s="49">
        <v>74905.331803938272</v>
      </c>
      <c r="N5" s="13"/>
      <c r="O5" s="13"/>
      <c r="P5" s="13"/>
      <c r="Q5" s="13"/>
      <c r="R5" s="1"/>
    </row>
    <row r="6" spans="2:18" x14ac:dyDescent="0.2">
      <c r="B6" s="14" t="s">
        <v>9</v>
      </c>
      <c r="C6" s="50">
        <v>2301604.2068039379</v>
      </c>
      <c r="D6" s="55">
        <v>34231.993196061703</v>
      </c>
      <c r="E6" s="13"/>
      <c r="F6" s="13"/>
      <c r="G6" s="13"/>
      <c r="H6" s="13"/>
      <c r="I6" s="1"/>
      <c r="K6" s="14" t="s">
        <v>9</v>
      </c>
      <c r="L6" s="50">
        <f t="array" ref="L6:M6">w*tauL*Labour</f>
        <v>2301604.2068039374</v>
      </c>
      <c r="M6" s="55">
        <v>34231.993196061703</v>
      </c>
      <c r="N6" s="13"/>
      <c r="O6" s="13"/>
      <c r="P6" s="13"/>
      <c r="Q6" s="13"/>
      <c r="R6" s="1"/>
    </row>
    <row r="7" spans="2:18" x14ac:dyDescent="0.2">
      <c r="B7" s="14" t="s">
        <v>10</v>
      </c>
      <c r="C7" s="50">
        <v>137715.65500000006</v>
      </c>
      <c r="D7" s="55">
        <v>20719.463999999996</v>
      </c>
      <c r="E7" s="13"/>
      <c r="F7" s="13"/>
      <c r="G7" s="13"/>
      <c r="H7" s="13"/>
      <c r="I7" s="1"/>
      <c r="K7" s="14" t="s">
        <v>10</v>
      </c>
      <c r="L7" s="50">
        <f t="array" ref="L7:M7">tauY*pY/(1+tauY)*Y</f>
        <v>137715.65500000006</v>
      </c>
      <c r="M7" s="55">
        <v>20719.463999999996</v>
      </c>
      <c r="N7" s="13"/>
      <c r="O7" s="13"/>
      <c r="P7" s="13"/>
      <c r="Q7" s="13"/>
      <c r="R7" s="1"/>
    </row>
    <row r="8" spans="2:18" x14ac:dyDescent="0.2">
      <c r="B8" s="14" t="s">
        <v>2</v>
      </c>
      <c r="C8" s="50">
        <v>6425198.1590000018</v>
      </c>
      <c r="D8" s="55">
        <v>273229.1540000001</v>
      </c>
      <c r="E8" s="13"/>
      <c r="F8" s="13"/>
      <c r="G8" s="13"/>
      <c r="H8" s="13"/>
      <c r="I8" s="1"/>
      <c r="K8" s="14" t="s">
        <v>2</v>
      </c>
      <c r="L8" s="50">
        <f t="array" ref="L8:M8">pK*kappa*Y</f>
        <v>6425198.1590000419</v>
      </c>
      <c r="M8" s="55">
        <v>273229.15400000027</v>
      </c>
      <c r="N8" s="13"/>
      <c r="O8" s="13"/>
      <c r="P8" s="13"/>
      <c r="Q8" s="13"/>
      <c r="R8" s="1"/>
    </row>
    <row r="9" spans="2:18" x14ac:dyDescent="0.2">
      <c r="B9" s="2" t="s">
        <v>3</v>
      </c>
      <c r="C9" s="118">
        <v>1886393.7399999965</v>
      </c>
      <c r="D9" s="119">
        <v>262787.11299999768</v>
      </c>
      <c r="E9" s="13"/>
      <c r="F9" s="13"/>
      <c r="G9" s="13"/>
      <c r="H9" s="13"/>
      <c r="I9" s="1"/>
      <c r="K9" s="2" t="s">
        <v>3</v>
      </c>
      <c r="L9" s="118">
        <f t="array" ref="L9:M9">pW*M</f>
        <v>1886393.7399999918</v>
      </c>
      <c r="M9" s="119">
        <v>262787.11299999757</v>
      </c>
      <c r="N9" s="13"/>
      <c r="O9" s="13"/>
      <c r="P9" s="13"/>
      <c r="Q9" s="13"/>
      <c r="R9" s="1"/>
    </row>
    <row r="10" spans="2:18" x14ac:dyDescent="0.2">
      <c r="B10" s="2" t="s">
        <v>4</v>
      </c>
      <c r="C10" s="56">
        <v>422429.01700000005</v>
      </c>
      <c r="D10" s="57">
        <v>8129.6240000000016</v>
      </c>
      <c r="E10" s="13"/>
      <c r="F10" s="13"/>
      <c r="G10" s="13"/>
      <c r="H10" s="13"/>
      <c r="I10" s="1"/>
      <c r="K10" s="2" t="s">
        <v>4</v>
      </c>
      <c r="L10" s="56">
        <f t="array" ref="L10:M10">tauTS*pS*S</f>
        <v>422429.01700000011</v>
      </c>
      <c r="M10" s="57">
        <v>8129.6240000000025</v>
      </c>
      <c r="N10" s="13"/>
      <c r="O10" s="13"/>
      <c r="P10" s="13"/>
      <c r="Q10" s="13"/>
      <c r="R10" s="1"/>
    </row>
    <row r="11" spans="2:18" x14ac:dyDescent="0.2">
      <c r="B11" s="15" t="s">
        <v>5</v>
      </c>
      <c r="C11" s="58">
        <v>0</v>
      </c>
      <c r="D11" s="46">
        <v>0</v>
      </c>
      <c r="E11" s="13"/>
      <c r="F11" s="47" t="s">
        <v>24</v>
      </c>
      <c r="G11" s="16" t="s">
        <v>25</v>
      </c>
      <c r="H11" s="13"/>
      <c r="I11" s="1"/>
      <c r="K11" s="15"/>
      <c r="L11" s="58"/>
      <c r="M11" s="46"/>
      <c r="N11" s="13"/>
      <c r="O11" s="98" t="s">
        <v>24</v>
      </c>
      <c r="P11" s="16" t="s">
        <v>25</v>
      </c>
      <c r="Q11" s="13"/>
      <c r="R11" s="1"/>
    </row>
    <row r="12" spans="2:18" ht="10.5" x14ac:dyDescent="0.25">
      <c r="B12" s="1"/>
      <c r="C12" s="17">
        <f>SUM(C3:C11)</f>
        <v>30165832.890999991</v>
      </c>
      <c r="D12" s="18">
        <f>SUM(D3:D11)</f>
        <v>1507684.184999998</v>
      </c>
      <c r="E12" s="19"/>
      <c r="F12" s="20">
        <f>SUM(C3:C8)</f>
        <v>27857010.133999996</v>
      </c>
      <c r="G12" s="21">
        <f>SUM(D3:D8)</f>
        <v>1236767.4480000003</v>
      </c>
      <c r="H12" s="1" t="s">
        <v>11</v>
      </c>
      <c r="I12" s="1"/>
      <c r="K12" s="1"/>
      <c r="L12" s="17">
        <f>SUM(L3:L11)</f>
        <v>30165832.891000047</v>
      </c>
      <c r="M12" s="18">
        <f>SUM(M3:M11)</f>
        <v>1507684.184999998</v>
      </c>
      <c r="N12" s="19"/>
      <c r="O12" s="20">
        <f t="array" ref="O12:P12">pY*Y</f>
        <v>27857010.133999996</v>
      </c>
      <c r="P12" s="21">
        <v>1236767.4480000003</v>
      </c>
      <c r="Q12" s="1" t="s">
        <v>11</v>
      </c>
      <c r="R12" s="1"/>
    </row>
    <row r="13" spans="2:18" x14ac:dyDescent="0.2">
      <c r="B13" s="1"/>
      <c r="C13" s="1"/>
      <c r="D13" s="1"/>
      <c r="E13" s="13"/>
      <c r="F13" s="13"/>
      <c r="G13" s="13"/>
      <c r="H13" s="1"/>
      <c r="I13" s="1"/>
      <c r="K13" s="1"/>
      <c r="L13" s="1"/>
      <c r="M13" s="1"/>
      <c r="N13" s="13"/>
      <c r="O13" s="1"/>
      <c r="P13" s="1"/>
      <c r="Q13" s="1"/>
      <c r="R13" s="1"/>
    </row>
    <row r="14" spans="2:18" ht="10.5" x14ac:dyDescent="0.25">
      <c r="B14" s="22" t="s">
        <v>30</v>
      </c>
      <c r="C14" s="200">
        <f>I3-C12</f>
        <v>0</v>
      </c>
      <c r="D14" s="200">
        <f>I4-D12</f>
        <v>0</v>
      </c>
      <c r="E14" s="13"/>
      <c r="F14" s="13"/>
      <c r="G14" s="13"/>
      <c r="H14" s="13"/>
      <c r="I14" s="1"/>
      <c r="K14" s="22" t="s">
        <v>30</v>
      </c>
      <c r="L14" s="200">
        <f t="array" ref="L14">R3-L12</f>
        <v>-3.7252902984619141E-8</v>
      </c>
      <c r="M14" s="200">
        <f t="array" ref="M14">R4-M12</f>
        <v>0</v>
      </c>
      <c r="N14" s="13"/>
      <c r="O14" s="13"/>
      <c r="P14" s="13"/>
      <c r="Q14" s="13"/>
      <c r="R14" s="1"/>
    </row>
    <row r="15" spans="2:18" x14ac:dyDescent="0.2">
      <c r="B15" s="1"/>
      <c r="C15" s="1"/>
      <c r="D15" s="1"/>
      <c r="E15" s="13"/>
      <c r="F15" s="23"/>
      <c r="G15" s="24"/>
      <c r="H15" s="13"/>
      <c r="I15" s="1"/>
    </row>
    <row r="16" spans="2:18" x14ac:dyDescent="0.2">
      <c r="G16" s="24"/>
      <c r="H16" s="25"/>
      <c r="I16" s="1"/>
    </row>
    <row r="17" spans="2:21" x14ac:dyDescent="0.2">
      <c r="K17" s="59" t="s">
        <v>65</v>
      </c>
      <c r="L17" s="122">
        <f>MAX(ERROR1,ERROR2,ERROR3,ERROR4,ERROR5,ERROR6,ERROR7,ERROR8,ERROR9,ERROR10,ERROR11,ABS(MIN(ERROR1,ERROR2,ERROR3,ERROR4,ERROR5,ERROR6,ERROR7,ERROR8,ERROR9,ERROR10,ERROR11)))</f>
        <v>1.8571428571428572</v>
      </c>
    </row>
    <row r="19" spans="2:21" ht="10.5" x14ac:dyDescent="0.25">
      <c r="B19" s="92" t="s">
        <v>79</v>
      </c>
      <c r="C19" s="106" t="s">
        <v>87</v>
      </c>
      <c r="H19" s="92" t="s">
        <v>60</v>
      </c>
      <c r="K19" s="92" t="s">
        <v>59</v>
      </c>
      <c r="Q19" s="92" t="s">
        <v>42</v>
      </c>
    </row>
    <row r="21" spans="2:21" ht="10.5" x14ac:dyDescent="0.25">
      <c r="B21" t="s">
        <v>12</v>
      </c>
      <c r="C21" s="81">
        <f t="array" ref="C21:D21">ABS(C80:D80)</f>
        <v>1000</v>
      </c>
      <c r="D21" s="82">
        <v>1000</v>
      </c>
      <c r="H21" s="60">
        <f t="array" ref="H21:I21">(aY^sigmaY*pKLE^(1-sigmaY)+bY^sigmaY*pMY^(1-sigmaY))^(1/(1-sigmaY))*(1+tauY)</f>
        <v>1000.0000000000014</v>
      </c>
      <c r="I21" s="61">
        <v>999.99999999999898</v>
      </c>
      <c r="J21" s="107" t="s">
        <v>69</v>
      </c>
      <c r="K21" s="113">
        <f t="array" ref="K21:L21">H21:I21/pY-1</f>
        <v>0</v>
      </c>
      <c r="L21" s="113">
        <v>-9.9920072216264089E-16</v>
      </c>
      <c r="N21" s="68">
        <f t="array" ref="N21:O35">PRICES/Calibration!PRICES-1</f>
        <v>0</v>
      </c>
      <c r="O21" s="69">
        <v>0</v>
      </c>
      <c r="Q21" s="113">
        <f t="array" ref="Q21:R21">(pKLE*KLE+pMY*alphaMY*Y)*(1+tauY)/Y-pY</f>
        <v>1.4779288903810084E-12</v>
      </c>
      <c r="R21" s="113">
        <v>0</v>
      </c>
      <c r="T21" s="113">
        <f t="array" ref="T21:U21">(aX^sigmaX*pD^(1-sigmaX)+bX^sigmaX*pW^(1-sigmaX))^(1/(1-sigmaX))-pY</f>
        <v>0</v>
      </c>
      <c r="U21" s="113">
        <v>-2.0463630789890885E-12</v>
      </c>
    </row>
    <row r="22" spans="2:21" x14ac:dyDescent="0.2">
      <c r="B22" t="s">
        <v>103</v>
      </c>
      <c r="C22" s="95">
        <f t="array" ref="C22:D22">Calibration!pW</f>
        <v>1000</v>
      </c>
      <c r="D22" s="96">
        <v>1000</v>
      </c>
      <c r="N22" s="70">
        <v>0</v>
      </c>
      <c r="O22" s="71">
        <v>0</v>
      </c>
    </row>
    <row r="23" spans="2:21" ht="10.5" x14ac:dyDescent="0.25">
      <c r="B23" t="s">
        <v>115</v>
      </c>
      <c r="C23" s="93">
        <f t="array" ref="C23:D23">ABS(C81:D81)</f>
        <v>1000</v>
      </c>
      <c r="D23" s="94">
        <v>1000</v>
      </c>
      <c r="H23" s="60">
        <f t="array" ref="H23:I23">(aS^sigmaS*pD^(1-sigmaS)+bS^sigmaS*pW^(1-sigmaS))^(1/(1-sigmaS))</f>
        <v>999.99999999999864</v>
      </c>
      <c r="I23" s="61">
        <v>999.99999999999977</v>
      </c>
      <c r="J23" s="107" t="s">
        <v>108</v>
      </c>
      <c r="K23" s="113">
        <f t="array" ref="K23:L23">(pY*Y+pW*M)/(pS*S+pW*X)-1</f>
        <v>0</v>
      </c>
      <c r="L23" s="113">
        <v>0</v>
      </c>
      <c r="N23" s="70">
        <v>0</v>
      </c>
      <c r="O23" s="71">
        <v>0</v>
      </c>
      <c r="Q23" s="113">
        <f t="array" ref="Q23:R23">pS*S-pD*D-pW*M</f>
        <v>4.7497451305389404E-8</v>
      </c>
      <c r="R23" s="113">
        <v>-1.862645149230957E-9</v>
      </c>
    </row>
    <row r="24" spans="2:21" x14ac:dyDescent="0.2">
      <c r="B24" t="s">
        <v>77</v>
      </c>
      <c r="C24" s="110">
        <f t="array" ref="C24:D24">aX^(sigmaX/(sigmaX-1))*(pY^(1-sigmaX)-bX^sigmaX*pW^(1-sigmaX))^(1/(1-sigmaX))</f>
        <v>999.99999999999943</v>
      </c>
      <c r="D24" s="164">
        <v>999.99999999999909</v>
      </c>
      <c r="N24" s="70">
        <v>0</v>
      </c>
      <c r="O24" s="71">
        <v>-8.8817841970012523E-16</v>
      </c>
    </row>
    <row r="25" spans="2:21" x14ac:dyDescent="0.2">
      <c r="B25" t="s">
        <v>13</v>
      </c>
      <c r="C25" s="31">
        <f t="array" ref="C25:D26">TRANSPOSE(pS*(1+tauTS))</f>
        <v>1015.9116825427475</v>
      </c>
      <c r="D25" s="32">
        <v>1015.9116825427475</v>
      </c>
      <c r="E25" t="s">
        <v>63</v>
      </c>
      <c r="N25" s="70">
        <v>0</v>
      </c>
      <c r="O25" s="71">
        <v>0</v>
      </c>
    </row>
    <row r="26" spans="2:21" x14ac:dyDescent="0.2">
      <c r="C26" s="33">
        <v>1005.7716594496609</v>
      </c>
      <c r="D26" s="34">
        <v>1005.7716594496609</v>
      </c>
      <c r="E26" t="s">
        <v>41</v>
      </c>
      <c r="N26" s="70">
        <v>0</v>
      </c>
      <c r="O26" s="71">
        <v>0</v>
      </c>
    </row>
    <row r="27" spans="2:21" ht="10.5" x14ac:dyDescent="0.25">
      <c r="B27" t="s">
        <v>14</v>
      </c>
      <c r="C27" s="39">
        <f t="array" ref="C27:D27">pS*(1+tauTS)</f>
        <v>1015.9116825427475</v>
      </c>
      <c r="D27" s="40">
        <v>1005.7716594496609</v>
      </c>
      <c r="J27" s="92"/>
      <c r="N27" s="70">
        <v>0</v>
      </c>
      <c r="O27" s="71">
        <v>0</v>
      </c>
    </row>
    <row r="28" spans="2:21" ht="10.5" x14ac:dyDescent="0.25">
      <c r="B28" t="s">
        <v>15</v>
      </c>
      <c r="C28" s="39">
        <f t="array" ref="C28:D28">pS*(1+tauTS)</f>
        <v>1015.9116825427475</v>
      </c>
      <c r="D28" s="40">
        <v>1005.7716594496609</v>
      </c>
      <c r="J28" s="92"/>
      <c r="N28" s="70">
        <v>0</v>
      </c>
      <c r="O28" s="71">
        <v>0</v>
      </c>
    </row>
    <row r="29" spans="2:21" ht="10.5" x14ac:dyDescent="0.25">
      <c r="B29" t="s">
        <v>29</v>
      </c>
      <c r="C29" s="39">
        <f t="array" ref="C29:D29">pS*(1+tauTS)</f>
        <v>1015.9116825427475</v>
      </c>
      <c r="D29" s="40">
        <v>1005.7716594496609</v>
      </c>
      <c r="J29" s="92"/>
      <c r="N29" s="70">
        <v>0</v>
      </c>
      <c r="O29" s="71">
        <v>0</v>
      </c>
    </row>
    <row r="30" spans="2:21" ht="10.5" x14ac:dyDescent="0.25">
      <c r="B30" t="s">
        <v>16</v>
      </c>
      <c r="C30" s="39">
        <f t="array" ref="C30:D30">pW</f>
        <v>1000</v>
      </c>
      <c r="D30" s="40">
        <v>1000</v>
      </c>
      <c r="J30" s="92"/>
      <c r="N30" s="70">
        <v>0</v>
      </c>
      <c r="O30" s="71">
        <v>0</v>
      </c>
    </row>
    <row r="31" spans="2:21" x14ac:dyDescent="0.2">
      <c r="B31" t="s">
        <v>17</v>
      </c>
      <c r="C31" s="93">
        <f>ABS(C82)</f>
        <v>1000</v>
      </c>
      <c r="D31" s="164">
        <f>wQ</f>
        <v>1000</v>
      </c>
      <c r="N31" s="70">
        <v>0</v>
      </c>
      <c r="O31" s="71">
        <v>0</v>
      </c>
    </row>
    <row r="32" spans="2:21" x14ac:dyDescent="0.2">
      <c r="B32" t="s">
        <v>36</v>
      </c>
      <c r="C32" s="39">
        <f t="array" ref="C32:D32">w*(1+tauL)</f>
        <v>1457.0034251455234</v>
      </c>
      <c r="D32" s="40">
        <v>1457.0034251455236</v>
      </c>
      <c r="N32" s="70">
        <v>0</v>
      </c>
      <c r="O32" s="71">
        <v>0</v>
      </c>
      <c r="Q32" s="113">
        <f t="array" ref="Q32:R32">bKL*(Labour/KL)^(rhoKL-1)*pKL/pL-1</f>
        <v>5.773159728050814E-15</v>
      </c>
      <c r="R32" s="113">
        <v>0</v>
      </c>
      <c r="S32" t="s">
        <v>122</v>
      </c>
    </row>
    <row r="33" spans="2:19" x14ac:dyDescent="0.2">
      <c r="B33" t="s">
        <v>18</v>
      </c>
      <c r="C33" s="144">
        <f>ABS(C83)</f>
        <v>1000</v>
      </c>
      <c r="D33" s="165">
        <f>C33</f>
        <v>1000</v>
      </c>
      <c r="E33" t="s">
        <v>56</v>
      </c>
      <c r="N33" s="70">
        <v>0</v>
      </c>
      <c r="O33" s="71">
        <v>0</v>
      </c>
      <c r="Q33" s="113">
        <f t="array" ref="Q33:R33">aKL*(K/KL)^(rhoKL-1)*pKL/pK-1</f>
        <v>-1.5099033134902129E-14</v>
      </c>
      <c r="R33" s="113">
        <v>-4.8849813083506888E-15</v>
      </c>
      <c r="S33" t="s">
        <v>122</v>
      </c>
    </row>
    <row r="34" spans="2:19" ht="10.5" x14ac:dyDescent="0.25">
      <c r="B34" t="s">
        <v>61</v>
      </c>
      <c r="C34" s="93">
        <f t="array" ref="C34:D34">ABS(C84:D84)</f>
        <v>1000</v>
      </c>
      <c r="D34" s="94">
        <v>1000</v>
      </c>
      <c r="J34" s="107" t="s">
        <v>121</v>
      </c>
      <c r="K34" s="113">
        <f t="array" ref="K34:L34">pKL*KL/(pK*K+pL*Labour)-1</f>
        <v>-1.1102230246251565E-15</v>
      </c>
      <c r="L34" s="113">
        <v>0</v>
      </c>
      <c r="N34" s="70">
        <v>0</v>
      </c>
      <c r="O34" s="71">
        <v>0</v>
      </c>
      <c r="Q34" s="113">
        <f t="array" ref="Q34:R34">(aKL^sigmaKL*pK^(1-sigmaKL)+bKL^sigmaKL*pL^(1-sigmaKL))^((rhoKL-1)/rhoKL)-pKL</f>
        <v>0</v>
      </c>
      <c r="R34" s="113">
        <v>0</v>
      </c>
      <c r="S34" t="s">
        <v>122</v>
      </c>
    </row>
    <row r="35" spans="2:19" x14ac:dyDescent="0.2">
      <c r="B35" t="s">
        <v>62</v>
      </c>
      <c r="C35" s="33">
        <f t="array" ref="C35:D35">(aKLE^sigmaKLE*pKL^(1-sigmaKLE)+bKLE^sigmaKLE*pEY^(1-sigmaKLE))^(1/(1-sigmaKLE))</f>
        <v>1000.0000000000002</v>
      </c>
      <c r="D35" s="34">
        <v>999.99999999999977</v>
      </c>
      <c r="N35" s="72">
        <v>0</v>
      </c>
      <c r="O35" s="73">
        <v>0</v>
      </c>
      <c r="Q35" s="113">
        <f t="array" ref="Q35:R35">(pKL*KL+pEY*alphaEY*Y)/KLE-pKLE</f>
        <v>0</v>
      </c>
      <c r="R35" s="113">
        <v>0</v>
      </c>
    </row>
    <row r="37" spans="2:19" ht="10.5" x14ac:dyDescent="0.25">
      <c r="B37" t="s">
        <v>19</v>
      </c>
      <c r="C37" s="81">
        <f t="array" ref="C37:D37">ABS(C89:D89)</f>
        <v>27857.010133999996</v>
      </c>
      <c r="D37" s="82">
        <v>1236.7674480000003</v>
      </c>
      <c r="H37" s="60">
        <f t="array" ref="H37:I37">(aX*D^rhoX+bX*X^rhoX)^(1/rhoX)</f>
        <v>27857.010133999949</v>
      </c>
      <c r="I37" s="61">
        <v>1236.7674480000046</v>
      </c>
      <c r="J37" s="107" t="s">
        <v>107</v>
      </c>
      <c r="K37" s="113">
        <f t="array" ref="K37:L37">H37:I37/Y-1</f>
        <v>-1.6653345369377348E-15</v>
      </c>
      <c r="L37" s="113">
        <v>3.5527136788005009E-15</v>
      </c>
      <c r="N37" s="68">
        <f t="array" ref="N37:O48">VOLUMES/Calibration!VOLUMES-1</f>
        <v>0</v>
      </c>
      <c r="O37" s="69">
        <v>0</v>
      </c>
      <c r="Q37" s="113">
        <f t="array" ref="Q37:R37">(aY*KLE^rhoY+bY*(alphaMY*Y)^rhoY)^(1/rhoY)-Y</f>
        <v>9.822542779147625E-11</v>
      </c>
      <c r="R37" s="113">
        <v>-2.2737367544323206E-12</v>
      </c>
    </row>
    <row r="38" spans="2:19" x14ac:dyDescent="0.2">
      <c r="B38" t="s">
        <v>3</v>
      </c>
      <c r="C38" s="39">
        <f t="array" ref="C38:D38">(bS/pW)^sigmaS*(aS^sigmaS*pD^(1-sigmaS)+bS^sigmaS*pW^(1-sigmaS))^(-1/rhoS)*S</f>
        <v>1886.3937399999918</v>
      </c>
      <c r="D38" s="40">
        <v>262.78711299999759</v>
      </c>
      <c r="N38" s="70">
        <v>-2.55351295663786E-15</v>
      </c>
      <c r="O38" s="71">
        <v>0</v>
      </c>
      <c r="Q38" s="113">
        <f t="array" ref="Q38:R38">pD*D+pW*M-pS*S</f>
        <v>-4.8428773880004883E-8</v>
      </c>
      <c r="R38" s="113">
        <v>1.862645149230957E-9</v>
      </c>
    </row>
    <row r="39" spans="2:19" ht="10.5" x14ac:dyDescent="0.25">
      <c r="B39" t="s">
        <v>114</v>
      </c>
      <c r="C39" s="79">
        <f t="array" ref="C39:D39">ABS(C85:D85)</f>
        <v>26548.356269999993</v>
      </c>
      <c r="D39" s="80">
        <v>1408.5418709999938</v>
      </c>
      <c r="E39" t="s">
        <v>109</v>
      </c>
      <c r="H39" s="60">
        <f t="array" ref="H39:I39">MMULT(Y,TRANSPOSE(alpha))+Consumption+G+I</f>
        <v>26548.356270000007</v>
      </c>
      <c r="I39" s="61">
        <v>1408.5418709999944</v>
      </c>
      <c r="J39" s="107" t="s">
        <v>72</v>
      </c>
      <c r="K39" s="113">
        <f t="array" ref="K39:L39">H39:I39/S-1</f>
        <v>0</v>
      </c>
      <c r="L39" s="113">
        <v>0</v>
      </c>
      <c r="N39" s="70">
        <v>0</v>
      </c>
      <c r="O39" s="71">
        <v>0</v>
      </c>
    </row>
    <row r="40" spans="2:19" x14ac:dyDescent="0.2">
      <c r="B40" t="s">
        <v>76</v>
      </c>
      <c r="C40" s="39">
        <f t="array" ref="C40:D40">(aS/pD)^sigmaS*(aS^sigmaS*pD^(1-sigmaS)+bS^sigmaS*pW^(1-sigmaS))^(-1/rhoS)*S</f>
        <v>24661.962529999968</v>
      </c>
      <c r="D40" s="40">
        <v>1145.7547579999991</v>
      </c>
      <c r="F40" s="156"/>
      <c r="N40" s="72">
        <v>-9.9920072216264089E-16</v>
      </c>
      <c r="O40" s="73">
        <v>2.6645352591003757E-15</v>
      </c>
    </row>
    <row r="41" spans="2:19" ht="10.5" x14ac:dyDescent="0.25">
      <c r="B41" t="s">
        <v>28</v>
      </c>
      <c r="C41" s="39">
        <f>(aU/pCQ)^sigmaU/(aU^sigmaU*pCQ^(1-sigmaU)+bU^sigmaU*pCE^(1-sigmaU))*Revenue</f>
        <v>6533.6044688320662</v>
      </c>
      <c r="D41" s="40">
        <f>(bU/pCE)^sigmaU/(aU^sigmaU*pCQ^(1-sigmaU)+bU^sigmaU*pCE^(1-sigmaU))*Revenue</f>
        <v>379.90788307663382</v>
      </c>
      <c r="E41" t="s">
        <v>57</v>
      </c>
      <c r="H41" s="59" t="s">
        <v>67</v>
      </c>
      <c r="I41" s="91">
        <v>0.65</v>
      </c>
      <c r="J41" s="107" t="s">
        <v>73</v>
      </c>
      <c r="K41" s="113">
        <f>Model!SE/(1-I41)/Calibration!SE-1</f>
        <v>1.8571428571428572</v>
      </c>
      <c r="N41" s="70">
        <v>0</v>
      </c>
      <c r="O41" s="71">
        <v>0</v>
      </c>
    </row>
    <row r="42" spans="2:19" x14ac:dyDescent="0.2">
      <c r="B42" t="s">
        <v>7</v>
      </c>
      <c r="C42" s="110">
        <f t="array" ref="C42">omegaG*GDP/pG</f>
        <v>3278.5018080150408</v>
      </c>
      <c r="D42" s="8">
        <v>0</v>
      </c>
      <c r="N42" s="70">
        <v>0</v>
      </c>
      <c r="O42" s="71" t="e">
        <v>#DIV/0!</v>
      </c>
    </row>
    <row r="43" spans="2:19" x14ac:dyDescent="0.2">
      <c r="B43" t="s">
        <v>8</v>
      </c>
      <c r="C43" s="93">
        <f>ABS(C86)</f>
        <v>3196.3846373657216</v>
      </c>
      <c r="D43" s="8">
        <v>0</v>
      </c>
      <c r="J43" s="59"/>
      <c r="N43" s="70">
        <v>0</v>
      </c>
      <c r="O43" s="71" t="e">
        <v>#DIV/0!</v>
      </c>
    </row>
    <row r="44" spans="2:19" x14ac:dyDescent="0.2">
      <c r="B44" t="s">
        <v>0</v>
      </c>
      <c r="C44" s="158">
        <f t="array" ref="C44:D44">(bX/pX)^sigmaX*(aX^sigmaX*pD^(1-sigmaX)+bX^sigmaX*pX^(1-sigmaX))^(-1/rhoX)*Y</f>
        <v>3195.0476040000012</v>
      </c>
      <c r="D44" s="159">
        <v>91.012690000004397</v>
      </c>
      <c r="N44" s="70">
        <v>0</v>
      </c>
      <c r="O44" s="71">
        <v>3.5527136788005009E-15</v>
      </c>
    </row>
    <row r="45" spans="2:19" x14ac:dyDescent="0.2">
      <c r="B45" t="s">
        <v>27</v>
      </c>
      <c r="C45" s="81">
        <f t="array" ref="C45:D45">ABS(C88:D88)</f>
        <v>5036.2953101960647</v>
      </c>
      <c r="D45" s="82">
        <v>74.905331803938267</v>
      </c>
      <c r="H45" s="27"/>
      <c r="N45" s="70">
        <v>0</v>
      </c>
      <c r="O45" s="71">
        <v>0</v>
      </c>
      <c r="Q45" s="113">
        <f t="array" ref="Q45:R45">(bKL/pL)^sigmaKL*(aKL^sigmaKL*pK^(1-sigmaKL)+bKL^sigmaKL*pL^(1-sigmaKL))^(-1/rhoKL)*KL/Labour-1</f>
        <v>1.7763568394002505E-15</v>
      </c>
      <c r="R45" s="113">
        <v>0</v>
      </c>
      <c r="S45" t="s">
        <v>122</v>
      </c>
    </row>
    <row r="46" spans="2:19" x14ac:dyDescent="0.2">
      <c r="B46" t="s">
        <v>2</v>
      </c>
      <c r="C46" s="33">
        <f t="array" ref="C46:D46">(KL^rhoKL/aKL-bKL*Labour^rhoKL/aKL)^(1/rhoKL)</f>
        <v>6425.1981590000414</v>
      </c>
      <c r="D46" s="34">
        <v>273.22915400000028</v>
      </c>
      <c r="N46" s="70">
        <v>6.2172489379008766E-15</v>
      </c>
      <c r="O46" s="71">
        <v>0</v>
      </c>
      <c r="Q46" s="113">
        <f t="array" ref="Q46:R46">(aKL/pK)^sigmaKL*(aKL^sigmaKL*pK^(1-sigmaKL)+bKL^sigmaKL*pL^(1-sigmaKL))^(-1/rhoKL)*KL/K-1</f>
        <v>-4.6629367034256575E-15</v>
      </c>
      <c r="R46" s="113">
        <v>0</v>
      </c>
      <c r="S46" t="s">
        <v>122</v>
      </c>
    </row>
    <row r="47" spans="2:19" x14ac:dyDescent="0.2">
      <c r="B47" t="s">
        <v>35</v>
      </c>
      <c r="C47" s="39">
        <f t="array" ref="C47:D47">(aKLE/pKL)^sigmaKLE*(aKLE^sigmaKLE*pKL^(1-sigmaKLE)+bKLE^sigmaKLE*pEY^(1-sigmaKLE))^(-1/rhoKLE)*KLE</f>
        <v>13763.097676000029</v>
      </c>
      <c r="D47" s="40">
        <v>382.36647899999997</v>
      </c>
      <c r="N47" s="70">
        <v>1.7763568394002505E-15</v>
      </c>
      <c r="O47" s="71">
        <v>0</v>
      </c>
      <c r="Q47" s="113">
        <f t="array" ref="Q47:R47">(aKL*K^rhoKL+bKL*Labour^rhoKL)^(1/rhoKL)-KL</f>
        <v>3.2741809263825417E-11</v>
      </c>
      <c r="R47" s="113">
        <v>0</v>
      </c>
    </row>
    <row r="48" spans="2:19" x14ac:dyDescent="0.2">
      <c r="B48" t="s">
        <v>53</v>
      </c>
      <c r="C48" s="33">
        <f t="array" ref="C48:D48">(aY/pKLE)^sigmaY*(aY^sigmaY*pKLE^(1-sigmaY)+bY^sigmaY*pMY^(1-sigmaY))^(-1/rhoY)*Y</f>
        <v>14362.768558000025</v>
      </c>
      <c r="D48" s="34">
        <v>817.26650999999993</v>
      </c>
      <c r="N48" s="72">
        <v>0</v>
      </c>
      <c r="O48" s="73">
        <v>0</v>
      </c>
      <c r="Q48" s="113">
        <f t="array" ref="Q48:R48">(aKLE*KL^rhoKLE+bKLE*(alphaEY*Y)^rhoKLE)^(1/rhoKLE)-KLE</f>
        <v>0</v>
      </c>
      <c r="R48" s="113">
        <v>0</v>
      </c>
    </row>
    <row r="50" spans="2:38" x14ac:dyDescent="0.2">
      <c r="B50" t="s">
        <v>26</v>
      </c>
      <c r="C50" s="88">
        <f t="array" ref="C50:D50">Calibration!tauL</f>
        <v>0.45700342514552333</v>
      </c>
      <c r="D50" s="89">
        <v>0.4570034251455235</v>
      </c>
    </row>
    <row r="51" spans="2:38" x14ac:dyDescent="0.2">
      <c r="B51" t="s">
        <v>20</v>
      </c>
      <c r="C51" s="193">
        <f t="array" ref="C51:D51">Calibration!tauY</f>
        <v>4.9682236719384319E-3</v>
      </c>
      <c r="D51" s="194">
        <v>1.7038360552061892E-2</v>
      </c>
    </row>
    <row r="52" spans="2:38" x14ac:dyDescent="0.2">
      <c r="B52" t="s">
        <v>136</v>
      </c>
      <c r="C52" s="90">
        <f>Calibration!C52</f>
        <v>1.5911682542747503E-2</v>
      </c>
      <c r="D52" s="187">
        <f>D86</f>
        <v>5.7716594496607888E-3</v>
      </c>
      <c r="J52" s="27"/>
      <c r="AA52" s="78"/>
    </row>
    <row r="53" spans="2:38" x14ac:dyDescent="0.2">
      <c r="C53" s="27"/>
      <c r="D53" s="27"/>
      <c r="Y53" s="78"/>
      <c r="AA53" s="78"/>
      <c r="AC53" s="78"/>
    </row>
    <row r="54" spans="2:38" ht="10.5" x14ac:dyDescent="0.25">
      <c r="C54" s="27"/>
      <c r="D54" s="27"/>
      <c r="K54" s="184" t="s">
        <v>146</v>
      </c>
      <c r="U54" s="127" t="s">
        <v>89</v>
      </c>
      <c r="W54" s="127" t="s">
        <v>90</v>
      </c>
      <c r="Y54" s="127" t="s">
        <v>147</v>
      </c>
      <c r="AA54" s="184" t="s">
        <v>130</v>
      </c>
      <c r="AC54" s="184" t="s">
        <v>146</v>
      </c>
      <c r="AE54" s="184" t="s">
        <v>131</v>
      </c>
      <c r="AG54" s="184" t="s">
        <v>142</v>
      </c>
      <c r="AI54" s="184" t="s">
        <v>141</v>
      </c>
      <c r="AK54" s="184" t="s">
        <v>133</v>
      </c>
    </row>
    <row r="55" spans="2:38" ht="10.5" x14ac:dyDescent="0.25">
      <c r="B55" t="s">
        <v>48</v>
      </c>
      <c r="C55" s="112">
        <f t="array" ref="C55">SUM(w*tauL*Labour+tauY/(1+tauY)*pY*Y+tauTS*pS*S)</f>
        <v>2924829.9599999995</v>
      </c>
      <c r="J55" s="107" t="s">
        <v>71</v>
      </c>
      <c r="K55" s="113">
        <f>SUM(K)/SUM(Calibration!K)-1</f>
        <v>5.9952043329758453E-15</v>
      </c>
      <c r="N55" s="74">
        <f t="array" ref="N55:N59">AGGREGATES/Calibration!AGGREGATES-1</f>
        <v>0</v>
      </c>
      <c r="T55" s="107" t="s">
        <v>124</v>
      </c>
      <c r="U55" s="113">
        <f>SUM(K)/SUM(Calibration!K)-1</f>
        <v>5.9952043329758453E-15</v>
      </c>
      <c r="W55" s="113">
        <f>SUM(K)/SUM(Calibration!K)-1</f>
        <v>5.9952043329758453E-15</v>
      </c>
      <c r="Y55" s="113">
        <f>SUM(K)/SUM(Calibration!K)-1</f>
        <v>5.9952043329758453E-15</v>
      </c>
      <c r="AA55" s="113">
        <f>SUM(K)/SUM(Calibration!K)-1</f>
        <v>5.9952043329758453E-15</v>
      </c>
      <c r="AC55" s="113">
        <f>SUM(K)/SUM(Calibration!K)-1</f>
        <v>5.9952043329758453E-15</v>
      </c>
      <c r="AE55" s="113">
        <f>SUM(K)/SUM(Calibration!K)-1</f>
        <v>5.9952043329758453E-15</v>
      </c>
      <c r="AG55" s="113">
        <f t="array" ref="AG55">pK/pI/Calibration!pK*Calibration!pI*20%^sigmaw*(20%+80%*(SUM(Calibration!K)-SUM(K))/SUM(Calibration!K))^-sigmaw-1</f>
        <v>-2.2204460492503131E-15</v>
      </c>
      <c r="AI55" s="113">
        <f t="array" ref="AI55">pK/pI/Calibration!pK*Calibration!pI-1</f>
        <v>0</v>
      </c>
      <c r="AK55" s="113">
        <f>SUM(K)/SUM(Calibration!K)-1</f>
        <v>5.9952043329758453E-15</v>
      </c>
    </row>
    <row r="56" spans="2:38" ht="10.5" x14ac:dyDescent="0.25">
      <c r="B56" t="s">
        <v>47</v>
      </c>
      <c r="C56" s="77">
        <f>(aU*CQ^rhoU+bU*CE^rhoU)^(1/rhoU)</f>
        <v>1</v>
      </c>
      <c r="J56" s="107" t="s">
        <v>74</v>
      </c>
      <c r="K56" s="113">
        <f t="array" ref="K56">w/CPI/Calibration!w-1</f>
        <v>0</v>
      </c>
      <c r="N56" s="75">
        <v>0</v>
      </c>
      <c r="T56" s="107" t="s">
        <v>125</v>
      </c>
      <c r="U56" s="113">
        <f>SUM(Labour)/SUM(Calibration!Labour)-1</f>
        <v>0</v>
      </c>
      <c r="W56" s="113">
        <f>SUM(Labour)/SUM(Calibration!Labour)-1</f>
        <v>0</v>
      </c>
      <c r="Y56" s="113">
        <f>SUM(Labour)/SUM(Calibration!Labour)-1</f>
        <v>0</v>
      </c>
      <c r="AA56" s="113">
        <f t="array" ref="AA56">omegaI*GDP/SUM(pI*I)-1</f>
        <v>0</v>
      </c>
      <c r="AC56" s="113">
        <f t="array" ref="AC56">w/CPI/Calibration!w-1</f>
        <v>0</v>
      </c>
      <c r="AE56" s="113">
        <f t="array" ref="AE56">w/CPI/Calibration!w-1</f>
        <v>0</v>
      </c>
      <c r="AG56" s="113">
        <f t="array" ref="AG56">w/CPI/Calibration!w*6.1%^sigmaw*(6.1%+93.9%*(SUM(Calibration!Labour)-SUM(Labour))/SUM(Calibration!Labour))^-sigmaw-1</f>
        <v>0</v>
      </c>
      <c r="AI56" s="113">
        <f t="array" ref="AI56">w/CPI/Calibration!w*6.1%^sigmaw*(6.1%+93.9%*(SUM(Calibration!Labour)-SUM(Labour))/SUM(Calibration!Labour))^-sigmaw-1</f>
        <v>0</v>
      </c>
      <c r="AK56" s="113">
        <f t="array" ref="AK56">w/CPI/Calibration!w-1</f>
        <v>0</v>
      </c>
    </row>
    <row r="57" spans="2:38" ht="10.5" x14ac:dyDescent="0.25">
      <c r="B57" t="s">
        <v>64</v>
      </c>
      <c r="C57" s="83">
        <f>ABS(C87)</f>
        <v>14734457.915000005</v>
      </c>
      <c r="J57" s="107" t="s">
        <v>88</v>
      </c>
      <c r="K57" s="113">
        <f>B/GDP/Calibration!B*Calibration!GDP-1</f>
        <v>6.4392935428259079E-15</v>
      </c>
      <c r="N57" s="75">
        <v>0</v>
      </c>
      <c r="Q57" s="113">
        <f t="array" ref="Q57">(SUM(pC*Consumption+pG*G+pI*I)+B)/GDP-1</f>
        <v>0</v>
      </c>
      <c r="R57" s="113">
        <f t="array" ref="R57">SUM(w*Labour,pK*K,T)/GDP-1</f>
        <v>2.6645352591003757E-15</v>
      </c>
      <c r="T57" s="107" t="s">
        <v>126</v>
      </c>
      <c r="U57" s="113">
        <f>B/GDP/Calibration!B*Calibration!GDP-1</f>
        <v>6.4392935428259079E-15</v>
      </c>
      <c r="W57" s="113">
        <f>B/GDP/Calibration!B*Calibration!GDP-1</f>
        <v>6.4392935428259079E-15</v>
      </c>
      <c r="Y57" s="113">
        <f>B/GDP/Calibration!B*Calibration!GDP-1</f>
        <v>6.4392935428259079E-15</v>
      </c>
      <c r="AA57" s="113">
        <f>B/GDP/Calibration!B*Calibration!GDP-1</f>
        <v>6.4392935428259079E-15</v>
      </c>
      <c r="AC57" s="113">
        <f>B/GDP/Calibration!B*Calibration!GDP-1</f>
        <v>6.4392935428259079E-15</v>
      </c>
      <c r="AE57" s="113">
        <f>B/GDP/Calibration!B*Calibration!GDP-1</f>
        <v>6.4392935428259079E-15</v>
      </c>
      <c r="AG57" s="113">
        <f>B/GDP/Calibration!B*Calibration!GDP-1</f>
        <v>6.4392935428259079E-15</v>
      </c>
      <c r="AI57" s="113">
        <f t="array" ref="AI57">I/SUM(K)/Calibration!I*SUM(K)-1</f>
        <v>0</v>
      </c>
      <c r="AK57" s="113">
        <f>B/GDP/Calibration!B*Calibration!GDP-1</f>
        <v>6.4392935428259079E-15</v>
      </c>
    </row>
    <row r="58" spans="2:38" ht="10.5" x14ac:dyDescent="0.25">
      <c r="B58" t="s">
        <v>54</v>
      </c>
      <c r="C58" s="111">
        <f t="array" ref="C58">GDP-SUM(pG*G,pI*I,B)</f>
        <v>7019665.6909999885</v>
      </c>
      <c r="J58" s="107" t="s">
        <v>123</v>
      </c>
      <c r="K58" s="113">
        <f t="array" ref="K58">omegaI*GDP/SUM(pI*I)-1</f>
        <v>0</v>
      </c>
      <c r="L58" s="113">
        <f>Labour_Q/KL_Q/Calibration!Labour_Q*Calibration!KL_Q-Labour_E/KL_E/Calibration!Labour_E*Calibration!KL_E</f>
        <v>-1.8873791418627661E-15</v>
      </c>
      <c r="N58" s="75">
        <v>-1.2212453270876722E-15</v>
      </c>
      <c r="Q58" s="113">
        <f t="array" ref="Q58">SUM(pC*Consumption)-Revenue</f>
        <v>0</v>
      </c>
      <c r="T58" s="107" t="s">
        <v>127</v>
      </c>
      <c r="U58" s="113">
        <f t="array" ref="U58:V58">bKL*(KL/Labour)^(1/sigmaKL)*pKL/pL-1</f>
        <v>5.773159728050814E-15</v>
      </c>
      <c r="V58" s="113">
        <v>0</v>
      </c>
      <c r="W58" s="113">
        <f t="array" ref="W58:X58">bKL*(KL/Labour)^(1/sigmaKL)*pKL/pL-1</f>
        <v>5.773159728050814E-15</v>
      </c>
      <c r="X58" s="113">
        <v>0</v>
      </c>
      <c r="Y58" s="113">
        <f t="array" ref="Y58">omegaI*GDP/SUM(pI*I)-1</f>
        <v>0</v>
      </c>
      <c r="Z58" s="113">
        <f>Labour_Q/KL_Q/Calibration!Labour_Q*Calibration!KL_Q-Labour_E/KL_E/Calibration!Labour_E*Calibration!KL_E</f>
        <v>-1.8873791418627661E-15</v>
      </c>
      <c r="AA58" s="113">
        <f t="array" ref="AA58:AB58">bKL*(KL/Labour)^(1/sigmaKL)*pKL/pL-1</f>
        <v>5.773159728050814E-15</v>
      </c>
      <c r="AB58" s="113">
        <v>0</v>
      </c>
      <c r="AC58" s="113">
        <f t="array" ref="AC58">omegaI*GDP/SUM(pI*I)-1</f>
        <v>0</v>
      </c>
      <c r="AD58" s="113">
        <f>Labour_Q/KL_Q/Calibration!Labour_Q*Calibration!KL_Q-Labour_E/KL_E/Calibration!Labour_E*Calibration!KL_E</f>
        <v>-1.8873791418627661E-15</v>
      </c>
      <c r="AE58" s="113">
        <f t="array" ref="AE58">omegaI*GDP/SUM(pI*I)-1</f>
        <v>0</v>
      </c>
      <c r="AF58" s="113">
        <f>Labour_Q/KL_Q/Calibration!Labour_Q*Calibration!KL_Q-Labour_E/KL_E/Calibration!Labour_E*Calibration!KL_E</f>
        <v>-1.8873791418627661E-15</v>
      </c>
      <c r="AG58" s="113">
        <f t="array" ref="AG58:AH58">bKL*(KL/Labour)^(1/sigmaKL)*pKL/pL-1</f>
        <v>5.773159728050814E-15</v>
      </c>
      <c r="AH58" s="113">
        <v>0</v>
      </c>
      <c r="AI58" s="113">
        <f t="array" ref="AI58:AJ58">bKL*(KL/Labour)^(1/sigmaKL)*pKL/pL-1</f>
        <v>5.773159728050814E-15</v>
      </c>
      <c r="AJ58" s="113">
        <v>0</v>
      </c>
      <c r="AK58" s="113">
        <f t="array" ref="AK58">(pI*I)/(Calibration!pI*Calibration!I)-1</f>
        <v>0</v>
      </c>
      <c r="AL58" s="113">
        <f>Labour_Q/KL_Q/Calibration!Labour_Q*Calibration!KL_Q-Labour_E/KL_E/Calibration!Labour_E*Calibration!KL_E</f>
        <v>-1.8873791418627661E-15</v>
      </c>
    </row>
    <row r="59" spans="2:38" ht="10.5" x14ac:dyDescent="0.25">
      <c r="B59" t="s">
        <v>75</v>
      </c>
      <c r="C59" s="111">
        <f t="array" ref="C59">SUM(pX*X - pW*M)</f>
        <v>1136879.4410000162</v>
      </c>
      <c r="J59" s="107" t="s">
        <v>70</v>
      </c>
      <c r="K59" s="113">
        <f t="array" ref="K59">(sL*(SUM(w*Labour))+sG*(T-SUM(pG*G))+sK*SUM(pK*K)-B)/SUM(pI*I)-1</f>
        <v>2.6645352591003757E-15</v>
      </c>
      <c r="N59" s="76">
        <v>6.4392935428259079E-15</v>
      </c>
      <c r="T59" s="107" t="s">
        <v>128</v>
      </c>
      <c r="U59" s="113">
        <f t="array" ref="U59">(sL*(SUM(w*Labour))+sG*(T-SUM(pG*G))+sK*SUM(pK*K)-B)/SUM(pI*I)-1</f>
        <v>2.6645352591003757E-15</v>
      </c>
      <c r="W59" s="113">
        <f t="array" ref="W59">omegaI*GDP/SUM(pI*I)-1</f>
        <v>0</v>
      </c>
      <c r="Y59" s="113">
        <f t="array" ref="Y59">(sL*(SUM(w*Labour))+sG*(T-SUM(pG*G))+sK*SUM(pK*K)-B)/SUM(pI*I)-1</f>
        <v>2.6645352591003757E-15</v>
      </c>
      <c r="AA59" s="113">
        <f t="array" ref="AA59">(sL*(SUM(w*Labour))+sG*(T-SUM(pG*G))+sK*SUM(pK*K)-B)/SUM(pI*I)-1</f>
        <v>2.6645352591003757E-15</v>
      </c>
      <c r="AC59" s="113">
        <f t="array" ref="AC59">(sL*(SUM(w*Labour))+sG*(T-SUM(pG*G))+sK*SUM(pK*K)-B)/SUM(pI*I)-1</f>
        <v>2.6645352591003757E-15</v>
      </c>
      <c r="AE59" s="113">
        <f t="array" ref="AE59">(sL*(SUM(w*Labour))+sG*(T-SUM(pG*G))+sK*SUM(pK*K)-B)/SUM(pI*I)-1</f>
        <v>2.6645352591003757E-15</v>
      </c>
      <c r="AG59" s="113">
        <f t="array" ref="AG59">(sL*(SUM(w*Labour))+sG*(T-SUM(pG*G))+sK*SUM(pK*K)-B)/SUM(pI*I)-1</f>
        <v>2.6645352591003757E-15</v>
      </c>
      <c r="AI59" s="113">
        <f t="array" ref="AI59">(sL*(SUM(w*Labour))+sG*(T-SUM(pG*G))+sK*SUM(pK*K)-B)/SUM(pI*I)-1</f>
        <v>2.6645352591003757E-15</v>
      </c>
      <c r="AK59" s="113">
        <f t="array" ref="AK59">(sL*(SUM(w*Labour))+sG*(T-SUM(pG*G))+sK*SUM(pK*K)-B)/SUM(pI*I)-1</f>
        <v>2.6645352591003757E-15</v>
      </c>
    </row>
    <row r="60" spans="2:38" ht="10.5" x14ac:dyDescent="0.25">
      <c r="B60" t="s">
        <v>145</v>
      </c>
      <c r="C60" s="191">
        <f t="array" ref="C60">SQRT(SUM(pC*Calibration!Consumption)*SUM(pC*Consumption)/SUM(Calibration!pC*Calibration!Consumption)/SUM(Calibration!pC*Consumption))</f>
        <v>1</v>
      </c>
      <c r="J60" s="107" t="s">
        <v>91</v>
      </c>
      <c r="K60" s="166">
        <v>0.40559806644645535</v>
      </c>
      <c r="N60" s="125"/>
      <c r="T60" s="107" t="s">
        <v>91</v>
      </c>
      <c r="U60" s="166">
        <v>0.40559806644645535</v>
      </c>
      <c r="W60" s="166">
        <v>0.40559806644645535</v>
      </c>
      <c r="Y60" s="166">
        <v>0</v>
      </c>
      <c r="AA60" s="166">
        <v>0.40559806644645535</v>
      </c>
      <c r="AC60" s="166">
        <v>0.40559806644645535</v>
      </c>
      <c r="AE60" s="166">
        <v>0</v>
      </c>
      <c r="AG60" s="166">
        <v>0.40559806644645535</v>
      </c>
      <c r="AI60" s="166">
        <v>0.40559806644645535</v>
      </c>
      <c r="AK60" s="166">
        <v>0.40559806644645535</v>
      </c>
    </row>
    <row r="61" spans="2:38" ht="10.5" x14ac:dyDescent="0.25">
      <c r="C61" s="27"/>
      <c r="O61" s="92"/>
      <c r="P61" s="92"/>
      <c r="Q61" s="92"/>
      <c r="R61" s="92"/>
    </row>
    <row r="62" spans="2:38" x14ac:dyDescent="0.2">
      <c r="B62" t="s">
        <v>98</v>
      </c>
      <c r="C62" s="182">
        <f>Calibration!omegaG</f>
        <v>0.22604620456442484</v>
      </c>
      <c r="D62" t="s">
        <v>81</v>
      </c>
    </row>
    <row r="63" spans="2:38" x14ac:dyDescent="0.2">
      <c r="B63" t="s">
        <v>99</v>
      </c>
      <c r="C63" s="182">
        <f>Calibration!omegaI</f>
        <v>0.22038438833194082</v>
      </c>
      <c r="D63" t="s">
        <v>82</v>
      </c>
    </row>
    <row r="64" spans="2:38" x14ac:dyDescent="0.2">
      <c r="B64" t="s">
        <v>92</v>
      </c>
      <c r="C64" s="153">
        <f t="array" ref="C64">(SUM(pI*I)+B)/GDP</f>
        <v>0.29754226190682465</v>
      </c>
      <c r="D64" t="s">
        <v>100</v>
      </c>
    </row>
    <row r="65" spans="2:15" x14ac:dyDescent="0.2">
      <c r="B65" t="s">
        <v>84</v>
      </c>
      <c r="C65" s="182">
        <f>Calibration!sK</f>
        <v>0.40559806644645541</v>
      </c>
      <c r="D65" t="s">
        <v>101</v>
      </c>
    </row>
    <row r="66" spans="2:15" x14ac:dyDescent="0.2">
      <c r="B66" t="s">
        <v>85</v>
      </c>
      <c r="C66" s="182">
        <f>Calibration!sL</f>
        <v>0.40559806644645535</v>
      </c>
      <c r="D66" t="s">
        <v>102</v>
      </c>
    </row>
    <row r="67" spans="2:15" x14ac:dyDescent="0.2">
      <c r="B67" t="s">
        <v>110</v>
      </c>
      <c r="C67" s="182">
        <f>Calibration!sG</f>
        <v>1</v>
      </c>
      <c r="D67" t="s">
        <v>137</v>
      </c>
    </row>
    <row r="69" spans="2:15" x14ac:dyDescent="0.2">
      <c r="C69" s="128"/>
    </row>
    <row r="70" spans="2:15" x14ac:dyDescent="0.2">
      <c r="B70" t="s">
        <v>21</v>
      </c>
      <c r="C70" s="35">
        <f t="array" ref="C70:D70">(bY/pMY)^sigmaY*(aY^sigmaY*pKLE^(1-sigmaY)+bY^sigmaY*pMY^(1-sigmaY))^(-1/rhoY)</f>
        <v>0.47195767671988198</v>
      </c>
      <c r="D70" s="36">
        <v>0.31738834428178964</v>
      </c>
      <c r="E70" t="s">
        <v>24</v>
      </c>
      <c r="N70" s="68">
        <f t="array" ref="N70:O73">FACTORS/Calibration!FACTORS-1</f>
        <v>0</v>
      </c>
      <c r="O70" s="69">
        <v>0</v>
      </c>
    </row>
    <row r="71" spans="2:15" x14ac:dyDescent="0.2">
      <c r="C71" s="37">
        <f t="array" ref="C71:D71">(bKLE/pEY)^sigmaKLE*(aKLE^sigmaKLE*pKL^(1-sigmaKLE)+bKLE^sigmaKLE*pEY^(1-sigmaKLE))^(-1/rhoKLE)*KLE/Y</f>
        <v>2.1403217525954466E-2</v>
      </c>
      <c r="D71" s="38">
        <v>0.3496246130199252</v>
      </c>
      <c r="E71" t="s">
        <v>25</v>
      </c>
      <c r="N71" s="70">
        <v>0</v>
      </c>
      <c r="O71" s="71">
        <v>0</v>
      </c>
    </row>
    <row r="72" spans="2:15" x14ac:dyDescent="0.2">
      <c r="B72" t="s">
        <v>22</v>
      </c>
      <c r="C72" s="35">
        <f t="array" ref="C72:D72">Labour/Y</f>
        <v>0.18079094942242827</v>
      </c>
      <c r="D72" s="36">
        <v>6.0565413429233668E-2</v>
      </c>
      <c r="N72" s="70">
        <v>0</v>
      </c>
      <c r="O72" s="71">
        <v>0</v>
      </c>
    </row>
    <row r="73" spans="2:15" x14ac:dyDescent="0.2">
      <c r="B73" t="s">
        <v>23</v>
      </c>
      <c r="C73" s="37">
        <f t="array" ref="C73:D73">K/Y</f>
        <v>0.23064923795098771</v>
      </c>
      <c r="D73" s="38">
        <v>0.22092201281804777</v>
      </c>
      <c r="N73" s="72">
        <v>6.2172489379008766E-15</v>
      </c>
      <c r="O73" s="73">
        <v>0</v>
      </c>
    </row>
    <row r="79" spans="2:15" ht="10.5" x14ac:dyDescent="0.25">
      <c r="B79" s="92" t="s">
        <v>93</v>
      </c>
    </row>
    <row r="80" spans="2:15" x14ac:dyDescent="0.2">
      <c r="B80" t="s">
        <v>12</v>
      </c>
      <c r="C80" s="81">
        <v>1000</v>
      </c>
      <c r="D80" s="82">
        <v>1000</v>
      </c>
    </row>
    <row r="81" spans="2:5" x14ac:dyDescent="0.2">
      <c r="B81" t="s">
        <v>115</v>
      </c>
      <c r="C81" s="93">
        <v>1000</v>
      </c>
      <c r="D81" s="94">
        <v>1000</v>
      </c>
    </row>
    <row r="82" spans="2:5" x14ac:dyDescent="0.2">
      <c r="B82" t="s">
        <v>17</v>
      </c>
      <c r="C82" s="93">
        <v>1000</v>
      </c>
      <c r="D82" s="94">
        <v>1000</v>
      </c>
    </row>
    <row r="83" spans="2:5" x14ac:dyDescent="0.2">
      <c r="B83" t="s">
        <v>18</v>
      </c>
      <c r="C83" s="146">
        <v>1000</v>
      </c>
      <c r="D83" s="147">
        <v>1000</v>
      </c>
    </row>
    <row r="84" spans="2:5" x14ac:dyDescent="0.2">
      <c r="B84" t="s">
        <v>61</v>
      </c>
      <c r="C84" s="146">
        <v>1000</v>
      </c>
      <c r="D84" s="147">
        <v>1000</v>
      </c>
    </row>
    <row r="85" spans="2:5" x14ac:dyDescent="0.2">
      <c r="B85" t="s">
        <v>114</v>
      </c>
      <c r="C85" s="79">
        <v>26548.356269999993</v>
      </c>
      <c r="D85" s="80">
        <v>1408.5418709999938</v>
      </c>
    </row>
    <row r="86" spans="2:5" x14ac:dyDescent="0.2">
      <c r="B86" t="s">
        <v>8</v>
      </c>
      <c r="C86" s="93">
        <v>3196.3846373657216</v>
      </c>
      <c r="D86" s="186">
        <v>5.7716594496607888E-3</v>
      </c>
      <c r="E86" t="s">
        <v>148</v>
      </c>
    </row>
    <row r="87" spans="2:5" x14ac:dyDescent="0.2">
      <c r="B87" t="s">
        <v>64</v>
      </c>
      <c r="C87" s="149">
        <v>14734457.915000005</v>
      </c>
      <c r="D87" s="150">
        <v>0</v>
      </c>
    </row>
    <row r="88" spans="2:5" x14ac:dyDescent="0.2">
      <c r="B88" t="s">
        <v>27</v>
      </c>
      <c r="C88" s="149">
        <v>5036.2953101960647</v>
      </c>
      <c r="D88" s="157">
        <v>74.905331803938267</v>
      </c>
    </row>
    <row r="89" spans="2:5" x14ac:dyDescent="0.2">
      <c r="B89" t="s">
        <v>19</v>
      </c>
      <c r="C89" s="148">
        <v>27857.010133999996</v>
      </c>
      <c r="D89" s="151">
        <v>1236.7674480000003</v>
      </c>
    </row>
  </sheetData>
  <conditionalFormatting sqref="K21:L21">
    <cfRule type="cellIs" dxfId="89" priority="1702" stopIfTrue="1" operator="notEqual">
      <formula>0</formula>
    </cfRule>
  </conditionalFormatting>
  <conditionalFormatting sqref="Q48:R48">
    <cfRule type="cellIs" dxfId="88" priority="1691" stopIfTrue="1" operator="notEqual">
      <formula>0</formula>
    </cfRule>
  </conditionalFormatting>
  <conditionalFormatting sqref="K39:L39">
    <cfRule type="cellIs" dxfId="87" priority="1699" stopIfTrue="1" operator="notEqual">
      <formula>0</formula>
    </cfRule>
  </conditionalFormatting>
  <conditionalFormatting sqref="K41">
    <cfRule type="cellIs" dxfId="86" priority="1698" stopIfTrue="1" operator="notEqual">
      <formula>0</formula>
    </cfRule>
  </conditionalFormatting>
  <conditionalFormatting sqref="Q47:R47">
    <cfRule type="cellIs" dxfId="85" priority="1696" stopIfTrue="1" operator="notEqual">
      <formula>0</formula>
    </cfRule>
  </conditionalFormatting>
  <conditionalFormatting sqref="Q37:R37">
    <cfRule type="cellIs" dxfId="84" priority="1693" stopIfTrue="1" operator="notEqual">
      <formula>0</formula>
    </cfRule>
  </conditionalFormatting>
  <conditionalFormatting sqref="R57">
    <cfRule type="cellIs" dxfId="83" priority="1687" stopIfTrue="1" operator="notEqual">
      <formula>0</formula>
    </cfRule>
  </conditionalFormatting>
  <conditionalFormatting sqref="Q57:Q58">
    <cfRule type="cellIs" dxfId="82" priority="1689" stopIfTrue="1" operator="notEqual">
      <formula>0</formula>
    </cfRule>
  </conditionalFormatting>
  <conditionalFormatting sqref="W59">
    <cfRule type="cellIs" dxfId="81" priority="1634" stopIfTrue="1" operator="notEqual">
      <formula>0</formula>
    </cfRule>
  </conditionalFormatting>
  <conditionalFormatting sqref="K37:L37">
    <cfRule type="cellIs" dxfId="80" priority="1268" stopIfTrue="1" operator="notEqual">
      <formula>0</formula>
    </cfRule>
  </conditionalFormatting>
  <conditionalFormatting sqref="Q21:R21">
    <cfRule type="cellIs" dxfId="79" priority="1251" stopIfTrue="1" operator="notEqual">
      <formula>0</formula>
    </cfRule>
  </conditionalFormatting>
  <conditionalFormatting sqref="Q23:R23">
    <cfRule type="cellIs" dxfId="78" priority="1255" stopIfTrue="1" operator="notEqual">
      <formula>0</formula>
    </cfRule>
  </conditionalFormatting>
  <conditionalFormatting sqref="Q38:R38">
    <cfRule type="cellIs" dxfId="77" priority="1254" stopIfTrue="1" operator="notEqual">
      <formula>0</formula>
    </cfRule>
  </conditionalFormatting>
  <conditionalFormatting sqref="Q34:R34">
    <cfRule type="cellIs" dxfId="76" priority="1253" stopIfTrue="1" operator="notEqual">
      <formula>0</formula>
    </cfRule>
  </conditionalFormatting>
  <conditionalFormatting sqref="Q35:R35">
    <cfRule type="cellIs" dxfId="75" priority="1252" stopIfTrue="1" operator="notEqual">
      <formula>0</formula>
    </cfRule>
  </conditionalFormatting>
  <conditionalFormatting sqref="K23:L23">
    <cfRule type="cellIs" dxfId="74" priority="1250" stopIfTrue="1" operator="notEqual">
      <formula>0</formula>
    </cfRule>
  </conditionalFormatting>
  <conditionalFormatting sqref="K34:L34">
    <cfRule type="cellIs" dxfId="73" priority="1021" stopIfTrue="1" operator="notEqual">
      <formula>0</formula>
    </cfRule>
  </conditionalFormatting>
  <conditionalFormatting sqref="Q33:R33">
    <cfRule type="cellIs" dxfId="72" priority="1015" stopIfTrue="1" operator="notEqual">
      <formula>0</formula>
    </cfRule>
  </conditionalFormatting>
  <conditionalFormatting sqref="Q46:R46">
    <cfRule type="cellIs" dxfId="71" priority="1019" stopIfTrue="1" operator="notEqual">
      <formula>0</formula>
    </cfRule>
  </conditionalFormatting>
  <conditionalFormatting sqref="Q45:R45">
    <cfRule type="cellIs" dxfId="70" priority="1020" stopIfTrue="1" operator="notEqual">
      <formula>0</formula>
    </cfRule>
  </conditionalFormatting>
  <conditionalFormatting sqref="W58">
    <cfRule type="cellIs" dxfId="69" priority="1006" stopIfTrue="1" operator="notEqual">
      <formula>0</formula>
    </cfRule>
  </conditionalFormatting>
  <conditionalFormatting sqref="Q32:R32">
    <cfRule type="cellIs" dxfId="68" priority="1016" stopIfTrue="1" operator="notEqual">
      <formula>0</formula>
    </cfRule>
  </conditionalFormatting>
  <conditionalFormatting sqref="X58">
    <cfRule type="cellIs" dxfId="67" priority="1005" stopIfTrue="1" operator="notEqual">
      <formula>0</formula>
    </cfRule>
  </conditionalFormatting>
  <conditionalFormatting sqref="W55">
    <cfRule type="cellIs" dxfId="66" priority="964" stopIfTrue="1" operator="notEqual">
      <formula>0</formula>
    </cfRule>
  </conditionalFormatting>
  <conditionalFormatting sqref="W56">
    <cfRule type="cellIs" dxfId="65" priority="963" stopIfTrue="1" operator="notEqual">
      <formula>0</formula>
    </cfRule>
  </conditionalFormatting>
  <conditionalFormatting sqref="Y55">
    <cfRule type="cellIs" dxfId="64" priority="961" stopIfTrue="1" operator="notEqual">
      <formula>0</formula>
    </cfRule>
  </conditionalFormatting>
  <conditionalFormatting sqref="Y56">
    <cfRule type="cellIs" dxfId="63" priority="960" stopIfTrue="1" operator="notEqual">
      <formula>0</formula>
    </cfRule>
  </conditionalFormatting>
  <conditionalFormatting sqref="AA59">
    <cfRule type="cellIs" dxfId="62" priority="957" stopIfTrue="1" operator="notEqual">
      <formula>0</formula>
    </cfRule>
  </conditionalFormatting>
  <conditionalFormatting sqref="AA55">
    <cfRule type="cellIs" dxfId="61" priority="955" stopIfTrue="1" operator="notEqual">
      <formula>0</formula>
    </cfRule>
  </conditionalFormatting>
  <conditionalFormatting sqref="AA58">
    <cfRule type="cellIs" dxfId="60" priority="951" stopIfTrue="1" operator="notEqual">
      <formula>0</formula>
    </cfRule>
  </conditionalFormatting>
  <conditionalFormatting sqref="AB58">
    <cfRule type="cellIs" dxfId="59" priority="950" stopIfTrue="1" operator="notEqual">
      <formula>0</formula>
    </cfRule>
  </conditionalFormatting>
  <conditionalFormatting sqref="U58">
    <cfRule type="cellIs" dxfId="58" priority="928" stopIfTrue="1" operator="notEqual">
      <formula>0</formula>
    </cfRule>
  </conditionalFormatting>
  <conditionalFormatting sqref="V58">
    <cfRule type="cellIs" dxfId="57" priority="927" stopIfTrue="1" operator="notEqual">
      <formula>0</formula>
    </cfRule>
  </conditionalFormatting>
  <conditionalFormatting sqref="U57">
    <cfRule type="cellIs" dxfId="56" priority="925" stopIfTrue="1" operator="notEqual">
      <formula>0</formula>
    </cfRule>
  </conditionalFormatting>
  <conditionalFormatting sqref="U55">
    <cfRule type="cellIs" dxfId="55" priority="929" stopIfTrue="1" operator="notEqual">
      <formula>0</formula>
    </cfRule>
  </conditionalFormatting>
  <conditionalFormatting sqref="U56">
    <cfRule type="cellIs" dxfId="54" priority="926" stopIfTrue="1" operator="notEqual">
      <formula>0</formula>
    </cfRule>
  </conditionalFormatting>
  <conditionalFormatting sqref="U59">
    <cfRule type="cellIs" dxfId="53" priority="924" stopIfTrue="1" operator="notEqual">
      <formula>0</formula>
    </cfRule>
  </conditionalFormatting>
  <conditionalFormatting sqref="Z58">
    <cfRule type="cellIs" dxfId="52" priority="902" stopIfTrue="1" operator="notEqual">
      <formula>0</formula>
    </cfRule>
  </conditionalFormatting>
  <conditionalFormatting sqref="AC59">
    <cfRule type="cellIs" dxfId="51" priority="895" stopIfTrue="1" operator="notEqual">
      <formula>0</formula>
    </cfRule>
  </conditionalFormatting>
  <conditionalFormatting sqref="AC55">
    <cfRule type="cellIs" dxfId="50" priority="894" stopIfTrue="1" operator="notEqual">
      <formula>0</formula>
    </cfRule>
  </conditionalFormatting>
  <conditionalFormatting sqref="AC56">
    <cfRule type="cellIs" dxfId="49" priority="890" stopIfTrue="1" operator="notEqual">
      <formula>0</formula>
    </cfRule>
  </conditionalFormatting>
  <conditionalFormatting sqref="AD58">
    <cfRule type="cellIs" dxfId="48" priority="888" stopIfTrue="1" operator="notEqual">
      <formula>0</formula>
    </cfRule>
  </conditionalFormatting>
  <conditionalFormatting sqref="AE59">
    <cfRule type="cellIs" dxfId="47" priority="881" stopIfTrue="1" operator="notEqual">
      <formula>0</formula>
    </cfRule>
  </conditionalFormatting>
  <conditionalFormatting sqref="AE55">
    <cfRule type="cellIs" dxfId="46" priority="880" stopIfTrue="1" operator="notEqual">
      <formula>0</formula>
    </cfRule>
  </conditionalFormatting>
  <conditionalFormatting sqref="AE56">
    <cfRule type="cellIs" dxfId="45" priority="878" stopIfTrue="1" operator="notEqual">
      <formula>0</formula>
    </cfRule>
  </conditionalFormatting>
  <conditionalFormatting sqref="AF58">
    <cfRule type="cellIs" dxfId="44" priority="876" stopIfTrue="1" operator="notEqual">
      <formula>0</formula>
    </cfRule>
  </conditionalFormatting>
  <conditionalFormatting sqref="AI59">
    <cfRule type="cellIs" dxfId="43" priority="869" stopIfTrue="1" operator="notEqual">
      <formula>0</formula>
    </cfRule>
  </conditionalFormatting>
  <conditionalFormatting sqref="AI57">
    <cfRule type="cellIs" dxfId="42" priority="867" stopIfTrue="1" operator="notEqual">
      <formula>0</formula>
    </cfRule>
  </conditionalFormatting>
  <conditionalFormatting sqref="AI55">
    <cfRule type="cellIs" dxfId="41" priority="868" stopIfTrue="1" operator="notEqual">
      <formula>0</formula>
    </cfRule>
  </conditionalFormatting>
  <conditionalFormatting sqref="AI58">
    <cfRule type="cellIs" dxfId="40" priority="863" stopIfTrue="1" operator="notEqual">
      <formula>0</formula>
    </cfRule>
  </conditionalFormatting>
  <conditionalFormatting sqref="AJ58">
    <cfRule type="cellIs" dxfId="39" priority="862" stopIfTrue="1" operator="notEqual">
      <formula>0</formula>
    </cfRule>
  </conditionalFormatting>
  <conditionalFormatting sqref="W57">
    <cfRule type="cellIs" dxfId="38" priority="764" stopIfTrue="1" operator="notEqual">
      <formula>0</formula>
    </cfRule>
  </conditionalFormatting>
  <conditionalFormatting sqref="Y57">
    <cfRule type="cellIs" dxfId="37" priority="763" stopIfTrue="1" operator="notEqual">
      <formula>0</formula>
    </cfRule>
  </conditionalFormatting>
  <conditionalFormatting sqref="AA57">
    <cfRule type="cellIs" dxfId="36" priority="762" stopIfTrue="1" operator="notEqual">
      <formula>0</formula>
    </cfRule>
  </conditionalFormatting>
  <conditionalFormatting sqref="AC57">
    <cfRule type="cellIs" dxfId="35" priority="761" stopIfTrue="1" operator="notEqual">
      <formula>0</formula>
    </cfRule>
  </conditionalFormatting>
  <conditionalFormatting sqref="AE57">
    <cfRule type="cellIs" dxfId="34" priority="760" stopIfTrue="1" operator="notEqual">
      <formula>0</formula>
    </cfRule>
  </conditionalFormatting>
  <conditionalFormatting sqref="AK57">
    <cfRule type="cellIs" dxfId="33" priority="660" stopIfTrue="1" operator="notEqual">
      <formula>0</formula>
    </cfRule>
  </conditionalFormatting>
  <conditionalFormatting sqref="AK58">
    <cfRule type="cellIs" dxfId="32" priority="659" stopIfTrue="1" operator="notEqual">
      <formula>0</formula>
    </cfRule>
  </conditionalFormatting>
  <conditionalFormatting sqref="Y58">
    <cfRule type="cellIs" dxfId="31" priority="698" stopIfTrue="1" operator="notEqual">
      <formula>0</formula>
    </cfRule>
  </conditionalFormatting>
  <conditionalFormatting sqref="AA56">
    <cfRule type="cellIs" dxfId="30" priority="691" stopIfTrue="1" operator="notEqual">
      <formula>0</formula>
    </cfRule>
  </conditionalFormatting>
  <conditionalFormatting sqref="AC58">
    <cfRule type="cellIs" dxfId="29" priority="684" stopIfTrue="1" operator="notEqual">
      <formula>0</formula>
    </cfRule>
  </conditionalFormatting>
  <conditionalFormatting sqref="AE58">
    <cfRule type="cellIs" dxfId="28" priority="677" stopIfTrue="1" operator="notEqual">
      <formula>0</formula>
    </cfRule>
  </conditionalFormatting>
  <conditionalFormatting sqref="AK59">
    <cfRule type="cellIs" dxfId="27" priority="664" stopIfTrue="1" operator="notEqual">
      <formula>0</formula>
    </cfRule>
  </conditionalFormatting>
  <conditionalFormatting sqref="AK56">
    <cfRule type="cellIs" dxfId="26" priority="662" stopIfTrue="1" operator="notEqual">
      <formula>0</formula>
    </cfRule>
  </conditionalFormatting>
  <conditionalFormatting sqref="AK55">
    <cfRule type="cellIs" dxfId="25" priority="663" stopIfTrue="1" operator="notEqual">
      <formula>0</formula>
    </cfRule>
  </conditionalFormatting>
  <conditionalFormatting sqref="AL58">
    <cfRule type="cellIs" dxfId="24" priority="661" stopIfTrue="1" operator="notEqual">
      <formula>0</formula>
    </cfRule>
  </conditionalFormatting>
  <conditionalFormatting sqref="T21:U21">
    <cfRule type="cellIs" dxfId="23" priority="621" stopIfTrue="1" operator="notEqual">
      <formula>0</formula>
    </cfRule>
  </conditionalFormatting>
  <conditionalFormatting sqref="AG58">
    <cfRule type="cellIs" dxfId="22" priority="598" stopIfTrue="1" operator="notEqual">
      <formula>0</formula>
    </cfRule>
  </conditionalFormatting>
  <conditionalFormatting sqref="AH58">
    <cfRule type="cellIs" dxfId="21" priority="597" stopIfTrue="1" operator="notEqual">
      <formula>0</formula>
    </cfRule>
  </conditionalFormatting>
  <conditionalFormatting sqref="AG57">
    <cfRule type="cellIs" dxfId="20" priority="594" stopIfTrue="1" operator="notEqual">
      <formula>0</formula>
    </cfRule>
  </conditionalFormatting>
  <conditionalFormatting sqref="AG59">
    <cfRule type="cellIs" dxfId="19" priority="601" stopIfTrue="1" operator="notEqual">
      <formula>0</formula>
    </cfRule>
  </conditionalFormatting>
  <conditionalFormatting sqref="AG56">
    <cfRule type="cellIs" dxfId="18" priority="473" stopIfTrue="1" operator="notEqual">
      <formula>0</formula>
    </cfRule>
  </conditionalFormatting>
  <conditionalFormatting sqref="AG55">
    <cfRule type="cellIs" dxfId="17" priority="472" stopIfTrue="1" operator="notEqual">
      <formula>0</formula>
    </cfRule>
  </conditionalFormatting>
  <conditionalFormatting sqref="Y59">
    <cfRule type="cellIs" dxfId="16" priority="350" stopIfTrue="1" operator="notEqual">
      <formula>0</formula>
    </cfRule>
  </conditionalFormatting>
  <conditionalFormatting sqref="AI56">
    <cfRule type="cellIs" dxfId="15" priority="67" stopIfTrue="1" operator="notEqual">
      <formula>0</formula>
    </cfRule>
  </conditionalFormatting>
  <conditionalFormatting sqref="K59">
    <cfRule type="cellIs" dxfId="14" priority="6" stopIfTrue="1" operator="notEqual">
      <formula>0</formula>
    </cfRule>
  </conditionalFormatting>
  <conditionalFormatting sqref="K55">
    <cfRule type="cellIs" dxfId="13" priority="5" stopIfTrue="1" operator="notEqual">
      <formula>0</formula>
    </cfRule>
  </conditionalFormatting>
  <conditionalFormatting sqref="K56">
    <cfRule type="cellIs" dxfId="12" priority="4" stopIfTrue="1" operator="notEqual">
      <formula>0</formula>
    </cfRule>
  </conditionalFormatting>
  <conditionalFormatting sqref="L58">
    <cfRule type="cellIs" dxfId="11" priority="3" stopIfTrue="1" operator="notEqual">
      <formula>0</formula>
    </cfRule>
  </conditionalFormatting>
  <conditionalFormatting sqref="K57">
    <cfRule type="cellIs" dxfId="10" priority="2" stopIfTrue="1" operator="notEqual">
      <formula>0</formula>
    </cfRule>
  </conditionalFormatting>
  <conditionalFormatting sqref="K58">
    <cfRule type="cellIs" dxfId="9" priority="1" stopIfTrue="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Resolution">
                <anchor moveWithCells="1" sizeWithCells="1">
                  <from>
                    <xdr:col>7</xdr:col>
                    <xdr:colOff>393700</xdr:colOff>
                    <xdr:row>50</xdr:row>
                    <xdr:rowOff>88900</xdr:rowOff>
                  </from>
                  <to>
                    <xdr:col>8</xdr:col>
                    <xdr:colOff>628650</xdr:colOff>
                    <xdr:row>53</xdr:row>
                    <xdr:rowOff>88900</xdr:rowOff>
                  </to>
                </anchor>
              </controlPr>
            </control>
          </mc:Choice>
        </mc:AlternateContent>
        <mc:AlternateContent xmlns:mc="http://schemas.openxmlformats.org/markup-compatibility/2006">
          <mc:Choice Requires="x14">
            <control shapeId="2052" r:id="rId5" name="Button 4">
              <controlPr defaultSize="0" print="0" autoFill="0" autoPict="0" macro="[0]!Reference">
                <anchor moveWithCells="1" sizeWithCells="1">
                  <from>
                    <xdr:col>11</xdr:col>
                    <xdr:colOff>368300</xdr:colOff>
                    <xdr:row>58</xdr:row>
                    <xdr:rowOff>101600</xdr:rowOff>
                  </from>
                  <to>
                    <xdr:col>12</xdr:col>
                    <xdr:colOff>584200</xdr:colOff>
                    <xdr:row>61</xdr:row>
                    <xdr:rowOff>95250</xdr:rowOff>
                  </to>
                </anchor>
              </controlPr>
            </control>
          </mc:Choice>
        </mc:AlternateContent>
        <mc:AlternateContent xmlns:mc="http://schemas.openxmlformats.org/markup-compatibility/2006">
          <mc:Choice Requires="x14">
            <control shapeId="2056" r:id="rId6" name="Button 8">
              <controlPr defaultSize="0" print="0" autoFill="0" autoPict="0" macro="[0]!Profile">
                <anchor moveWithCells="1" sizeWithCells="1">
                  <from>
                    <xdr:col>11</xdr:col>
                    <xdr:colOff>355600</xdr:colOff>
                    <xdr:row>50</xdr:row>
                    <xdr:rowOff>76200</xdr:rowOff>
                  </from>
                  <to>
                    <xdr:col>12</xdr:col>
                    <xdr:colOff>584200</xdr:colOff>
                    <xdr:row>53</xdr:row>
                    <xdr:rowOff>88900</xdr:rowOff>
                  </to>
                </anchor>
              </controlPr>
            </control>
          </mc:Choice>
        </mc:AlternateContent>
        <mc:AlternateContent xmlns:mc="http://schemas.openxmlformats.org/markup-compatibility/2006">
          <mc:Choice Requires="x14">
            <control shapeId="2065" r:id="rId7" name="Button 17">
              <controlPr defaultSize="0" print="0" autoFill="0" autoPict="0" macro="[0]!_xludf.Save">
                <anchor moveWithCells="1" sizeWithCells="1">
                  <from>
                    <xdr:col>7</xdr:col>
                    <xdr:colOff>393700</xdr:colOff>
                    <xdr:row>54</xdr:row>
                    <xdr:rowOff>57150</xdr:rowOff>
                  </from>
                  <to>
                    <xdr:col>8</xdr:col>
                    <xdr:colOff>628650</xdr:colOff>
                    <xdr:row>57</xdr:row>
                    <xdr:rowOff>50800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XFD83"/>
  <sheetViews>
    <sheetView showGridLines="0" workbookViewId="0">
      <pane xSplit="1" ySplit="1" topLeftCell="B2" activePane="bottomRight" state="frozen"/>
      <selection pane="topRight" activeCell="B1" sqref="B1"/>
      <selection pane="bottomLeft" activeCell="A2" sqref="A2"/>
      <selection pane="bottomRight" activeCell="E44" sqref="E44"/>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4.6616560900795224E-2</v>
      </c>
      <c r="E2" s="189"/>
      <c r="F2" s="188">
        <v>9.0570189780028496E-2</v>
      </c>
      <c r="G2" s="189"/>
      <c r="H2" s="188">
        <v>0.13795858296821159</v>
      </c>
      <c r="I2" s="189"/>
      <c r="J2" s="188">
        <v>0.18914053993188792</v>
      </c>
      <c r="K2" s="189"/>
      <c r="L2" s="188">
        <v>0.24450906318125445</v>
      </c>
      <c r="M2" s="189"/>
      <c r="N2" s="188">
        <v>0.30448463319685992</v>
      </c>
      <c r="O2" s="189"/>
      <c r="P2" s="188">
        <v>0.36950799849981214</v>
      </c>
      <c r="Q2" s="189"/>
      <c r="R2" s="188">
        <v>0.44002601008515024</v>
      </c>
      <c r="S2" s="189"/>
      <c r="T2" s="188">
        <v>0.51648305564793218</v>
      </c>
      <c r="U2" s="189"/>
      <c r="V2" s="188">
        <v>0.59934479071597546</v>
      </c>
      <c r="W2" s="189"/>
      <c r="X2" s="188">
        <v>0.68924795464333877</v>
      </c>
      <c r="Y2" s="189"/>
      <c r="Z2" s="188">
        <v>0.78752593116657377</v>
      </c>
      <c r="AA2" s="189"/>
      <c r="AB2" s="188">
        <v>0.8977580899117632</v>
      </c>
      <c r="AC2" s="189"/>
      <c r="AD2" s="188">
        <v>1.0299650993547727</v>
      </c>
      <c r="AE2" s="189"/>
      <c r="AF2" s="188">
        <v>1.2117233761951891</v>
      </c>
      <c r="AG2" s="189"/>
      <c r="AH2" s="188">
        <v>1.5197381628728401</v>
      </c>
      <c r="AI2" s="189"/>
      <c r="AJ2" s="188">
        <v>2.1913791855995992</v>
      </c>
      <c r="AK2" s="189"/>
      <c r="AL2" s="188">
        <v>4.1595695026330812</v>
      </c>
      <c r="AM2" s="189"/>
      <c r="AN2" s="188">
        <v>13.169923289859858</v>
      </c>
      <c r="AO2" s="189"/>
      <c r="AP2" s="188">
        <v>18.647168398919394</v>
      </c>
      <c r="AQ2" s="189"/>
      <c r="AR2" s="188">
        <v>28.630274528412649</v>
      </c>
      <c r="AS2" s="189"/>
      <c r="AT2" s="188">
        <v>50.647409509597196</v>
      </c>
      <c r="AU2" s="189"/>
      <c r="AV2" s="188">
        <v>124.31276869687984</v>
      </c>
      <c r="AW2" s="189"/>
    </row>
    <row r="3" spans="1:49" x14ac:dyDescent="0.2">
      <c r="A3" t="s">
        <v>12</v>
      </c>
      <c r="B3" s="81">
        <v>1000</v>
      </c>
      <c r="C3" s="82">
        <v>1000</v>
      </c>
      <c r="D3" s="81">
        <v>998.0231366575581</v>
      </c>
      <c r="E3" s="82">
        <v>1018.7536863657314</v>
      </c>
      <c r="F3" s="81">
        <v>996.27041354048822</v>
      </c>
      <c r="G3" s="82">
        <v>1039.5369656767632</v>
      </c>
      <c r="H3" s="81">
        <v>994.80335697317207</v>
      </c>
      <c r="I3" s="82">
        <v>1062.6345419112179</v>
      </c>
      <c r="J3" s="81">
        <v>993.70677325007773</v>
      </c>
      <c r="K3" s="82">
        <v>1088.3803547747705</v>
      </c>
      <c r="L3" s="81">
        <v>993.09807406346499</v>
      </c>
      <c r="M3" s="82">
        <v>1117.1677094659387</v>
      </c>
      <c r="N3" s="81">
        <v>993.14383683585322</v>
      </c>
      <c r="O3" s="82">
        <v>1149.4614837945182</v>
      </c>
      <c r="P3" s="81">
        <v>994.08345640001005</v>
      </c>
      <c r="Q3" s="82">
        <v>1185.8154081978046</v>
      </c>
      <c r="R3" s="81">
        <v>996.26765930644842</v>
      </c>
      <c r="S3" s="82">
        <v>1226.897905855684</v>
      </c>
      <c r="T3" s="81">
        <v>1000.2202094156316</v>
      </c>
      <c r="U3" s="82">
        <v>1273.5403379602726</v>
      </c>
      <c r="V3" s="81">
        <v>1006.7385455778999</v>
      </c>
      <c r="W3" s="82">
        <v>1326.8358700263695</v>
      </c>
      <c r="X3" s="81">
        <v>1017.0625727851963</v>
      </c>
      <c r="Y3" s="82">
        <v>1388.3663139590806</v>
      </c>
      <c r="Z3" s="81">
        <v>1033.1638805434009</v>
      </c>
      <c r="AA3" s="82">
        <v>1460.7376914122872</v>
      </c>
      <c r="AB3" s="81">
        <v>1058.2549053922287</v>
      </c>
      <c r="AC3" s="82">
        <v>1548.8510066272031</v>
      </c>
      <c r="AD3" s="81">
        <v>1097.7185184589159</v>
      </c>
      <c r="AE3" s="82">
        <v>1662.9051538719016</v>
      </c>
      <c r="AF3" s="81">
        <v>1160.9307378771382</v>
      </c>
      <c r="AG3" s="82">
        <v>1825.6216301351783</v>
      </c>
      <c r="AH3" s="81">
        <v>1265.5390373027572</v>
      </c>
      <c r="AI3" s="82">
        <v>2091.4068381987777</v>
      </c>
      <c r="AJ3" s="81">
        <v>1450.6313610101197</v>
      </c>
      <c r="AK3" s="82">
        <v>2610.2998363855845</v>
      </c>
      <c r="AL3" s="81">
        <v>1823.986719236625</v>
      </c>
      <c r="AM3" s="82">
        <v>3912.6146178496037</v>
      </c>
      <c r="AN3" s="81">
        <v>2791.2344217981204</v>
      </c>
      <c r="AO3" s="82">
        <v>8944.1377997708787</v>
      </c>
      <c r="AP3" s="81">
        <v>3196.9191649491499</v>
      </c>
      <c r="AQ3" s="82">
        <v>11774.647514884171</v>
      </c>
      <c r="AR3" s="81">
        <v>3796.7265448214694</v>
      </c>
      <c r="AS3" s="82">
        <v>16752.896813996278</v>
      </c>
      <c r="AT3" s="81">
        <v>4806.583680132012</v>
      </c>
      <c r="AU3" s="82">
        <v>27309.709250794524</v>
      </c>
      <c r="AV3" s="81">
        <v>7063.9339802346603</v>
      </c>
      <c r="AW3" s="82">
        <v>61016.451273092418</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997.92482905930069</v>
      </c>
      <c r="E5" s="40">
        <v>1016.3181517200885</v>
      </c>
      <c r="F5" s="39">
        <v>996.08349636477783</v>
      </c>
      <c r="G5" s="40">
        <v>1034.0575974793835</v>
      </c>
      <c r="H5" s="39">
        <v>994.54121864494391</v>
      </c>
      <c r="I5" s="40">
        <v>1053.3511411382585</v>
      </c>
      <c r="J5" s="39">
        <v>993.38778082578801</v>
      </c>
      <c r="K5" s="40">
        <v>1074.3390525247028</v>
      </c>
      <c r="L5" s="39">
        <v>992.74728904817357</v>
      </c>
      <c r="M5" s="40">
        <v>1097.1668960086265</v>
      </c>
      <c r="N5" s="39">
        <v>992.79544770940549</v>
      </c>
      <c r="O5" s="40">
        <v>1121.9810210582889</v>
      </c>
      <c r="P5" s="39">
        <v>993.78405399849089</v>
      </c>
      <c r="Q5" s="40">
        <v>1148.9234915118691</v>
      </c>
      <c r="R5" s="39">
        <v>996.080600656721</v>
      </c>
      <c r="S5" s="40">
        <v>1178.1271871587392</v>
      </c>
      <c r="T5" s="39">
        <v>1000.2310534395598</v>
      </c>
      <c r="U5" s="40">
        <v>1209.7157816190024</v>
      </c>
      <c r="V5" s="39">
        <v>1007.0607852451111</v>
      </c>
      <c r="W5" s="40">
        <v>1243.8215690760685</v>
      </c>
      <c r="X5" s="39">
        <v>1017.8407056425966</v>
      </c>
      <c r="Y5" s="40">
        <v>1280.6456419954163</v>
      </c>
      <c r="Z5" s="39">
        <v>1034.564806508874</v>
      </c>
      <c r="AA5" s="40">
        <v>1320.6097277578897</v>
      </c>
      <c r="AB5" s="39">
        <v>1060.4228214977397</v>
      </c>
      <c r="AC5" s="40">
        <v>1364.6663009094298</v>
      </c>
      <c r="AD5" s="39">
        <v>1100.6277448381766</v>
      </c>
      <c r="AE5" s="40">
        <v>1414.803922508235</v>
      </c>
      <c r="AF5" s="39">
        <v>1163.9649470369377</v>
      </c>
      <c r="AG5" s="40">
        <v>1474.5061408213314</v>
      </c>
      <c r="AH5" s="39">
        <v>1266.3112727776463</v>
      </c>
      <c r="AI5" s="40">
        <v>1547.9369497181856</v>
      </c>
      <c r="AJ5" s="39">
        <v>1441.2449735825053</v>
      </c>
      <c r="AK5" s="40">
        <v>1634.2448457854468</v>
      </c>
      <c r="AL5" s="39">
        <v>1775.5611140893261</v>
      </c>
      <c r="AM5" s="40">
        <v>1712.3665402144991</v>
      </c>
      <c r="AN5" s="39">
        <v>2556.3485530220864</v>
      </c>
      <c r="AO5" s="40">
        <v>1746.7881090124599</v>
      </c>
      <c r="AP5" s="39">
        <v>2853.9289562947579</v>
      </c>
      <c r="AQ5" s="40">
        <v>1748.6281750704086</v>
      </c>
      <c r="AR5" s="39">
        <v>3266.3416546375629</v>
      </c>
      <c r="AS5" s="40">
        <v>1749.56838790611</v>
      </c>
      <c r="AT5" s="39">
        <v>3895.7002714114424</v>
      </c>
      <c r="AU5" s="40">
        <v>1749.953575123754</v>
      </c>
      <c r="AV5" s="39">
        <v>5067.3730536797775</v>
      </c>
      <c r="AW5" s="40">
        <v>1750.0588719894643</v>
      </c>
    </row>
    <row r="6" spans="1:49" x14ac:dyDescent="0.2">
      <c r="A6" t="s">
        <v>77</v>
      </c>
      <c r="B6" s="39">
        <v>999.99999999999943</v>
      </c>
      <c r="C6" s="40">
        <v>999.99999999999909</v>
      </c>
      <c r="D6" s="39">
        <v>997.76645312523374</v>
      </c>
      <c r="E6" s="40">
        <v>1020.2140308499082</v>
      </c>
      <c r="F6" s="39">
        <v>995.78518458898941</v>
      </c>
      <c r="G6" s="40">
        <v>1042.5508929612829</v>
      </c>
      <c r="H6" s="39">
        <v>994.12612889082709</v>
      </c>
      <c r="I6" s="40">
        <v>1067.3018692139533</v>
      </c>
      <c r="J6" s="39">
        <v>992.88560994520537</v>
      </c>
      <c r="K6" s="40">
        <v>1094.8081302127689</v>
      </c>
      <c r="L6" s="39">
        <v>992.19685790145729</v>
      </c>
      <c r="M6" s="40">
        <v>1125.4710198034495</v>
      </c>
      <c r="N6" s="39">
        <v>992.24864303802201</v>
      </c>
      <c r="O6" s="40">
        <v>1159.7644564670165</v>
      </c>
      <c r="P6" s="39">
        <v>993.31177648828987</v>
      </c>
      <c r="Q6" s="40">
        <v>1198.2526092087564</v>
      </c>
      <c r="R6" s="39">
        <v>995.78207050004289</v>
      </c>
      <c r="S6" s="40">
        <v>1241.616461700555</v>
      </c>
      <c r="T6" s="39">
        <v>1000.2487312584248</v>
      </c>
      <c r="U6" s="40">
        <v>1290.7036981636143</v>
      </c>
      <c r="V6" s="39">
        <v>1007.604972602863</v>
      </c>
      <c r="W6" s="40">
        <v>1346.6311101559743</v>
      </c>
      <c r="X6" s="39">
        <v>1019.231585622417</v>
      </c>
      <c r="Y6" s="40">
        <v>1411.0195209896808</v>
      </c>
      <c r="Z6" s="39">
        <v>1037.3073044463904</v>
      </c>
      <c r="AA6" s="40">
        <v>1486.5475045575115</v>
      </c>
      <c r="AB6" s="39">
        <v>1065.3465802241813</v>
      </c>
      <c r="AC6" s="40">
        <v>1578.2623409989208</v>
      </c>
      <c r="AD6" s="39">
        <v>1109.1650076789476</v>
      </c>
      <c r="AE6" s="40">
        <v>1696.6703682075988</v>
      </c>
      <c r="AF6" s="39">
        <v>1178.7484335966274</v>
      </c>
      <c r="AG6" s="40">
        <v>1865.1541252001493</v>
      </c>
      <c r="AH6" s="39">
        <v>1292.6425990556111</v>
      </c>
      <c r="AI6" s="40">
        <v>2139.610470001161</v>
      </c>
      <c r="AJ6" s="39">
        <v>1491.5872858379219</v>
      </c>
      <c r="AK6" s="40">
        <v>2673.964526360598</v>
      </c>
      <c r="AL6" s="39">
        <v>1887.5347265554019</v>
      </c>
      <c r="AM6" s="40">
        <v>4011.9412409870051</v>
      </c>
      <c r="AN6" s="39">
        <v>2901.7928124069786</v>
      </c>
      <c r="AO6" s="40">
        <v>9174.640395491424</v>
      </c>
      <c r="AP6" s="39">
        <v>3325.5096451045724</v>
      </c>
      <c r="AQ6" s="40">
        <v>12078.328799140882</v>
      </c>
      <c r="AR6" s="39">
        <v>3951.3113276388153</v>
      </c>
      <c r="AS6" s="40">
        <v>17185.141272980203</v>
      </c>
      <c r="AT6" s="39">
        <v>5004.060297336393</v>
      </c>
      <c r="AU6" s="40">
        <v>28014.444312513446</v>
      </c>
      <c r="AV6" s="39">
        <v>7355.8885738167592</v>
      </c>
      <c r="AW6" s="40">
        <v>62591.067325490978</v>
      </c>
    </row>
    <row r="7" spans="1:49" x14ac:dyDescent="0.2">
      <c r="A7" t="s">
        <v>13</v>
      </c>
      <c r="B7" s="31">
        <v>1015.9116825427475</v>
      </c>
      <c r="C7" s="32">
        <v>1015.9116825427475</v>
      </c>
      <c r="D7" s="31">
        <v>1013.8034921408178</v>
      </c>
      <c r="E7" s="32">
        <v>1013.8034921408178</v>
      </c>
      <c r="F7" s="31">
        <v>1011.9328607450041</v>
      </c>
      <c r="G7" s="32">
        <v>1011.9328607450041</v>
      </c>
      <c r="H7" s="31">
        <v>1010.3660427916994</v>
      </c>
      <c r="I7" s="32">
        <v>1010.3660427916994</v>
      </c>
      <c r="J7" s="31">
        <v>1009.1942518361324</v>
      </c>
      <c r="K7" s="32">
        <v>1009.1942518361324</v>
      </c>
      <c r="L7" s="31">
        <v>1008.5435687566812</v>
      </c>
      <c r="M7" s="32">
        <v>1008.5435687566812</v>
      </c>
      <c r="N7" s="31">
        <v>1008.5924937032423</v>
      </c>
      <c r="O7" s="32">
        <v>1008.5924937032423</v>
      </c>
      <c r="P7" s="31">
        <v>1009.5968303817594</v>
      </c>
      <c r="Q7" s="32">
        <v>1009.5968303817594</v>
      </c>
      <c r="R7" s="31">
        <v>1011.9299189613599</v>
      </c>
      <c r="S7" s="32">
        <v>1011.9299189613599</v>
      </c>
      <c r="T7" s="31">
        <v>1016.1464124312879</v>
      </c>
      <c r="U7" s="32">
        <v>1016.1464124312879</v>
      </c>
      <c r="V7" s="31">
        <v>1023.0848167611813</v>
      </c>
      <c r="W7" s="32">
        <v>1023.0848167611813</v>
      </c>
      <c r="X7" s="31">
        <v>1034.0362638298677</v>
      </c>
      <c r="Y7" s="32">
        <v>1034.0362638298677</v>
      </c>
      <c r="Z7" s="31">
        <v>1051.0264732799421</v>
      </c>
      <c r="AA7" s="32">
        <v>1051.0264732799421</v>
      </c>
      <c r="AB7" s="31">
        <v>1077.2959327944964</v>
      </c>
      <c r="AC7" s="32">
        <v>1077.2959327944964</v>
      </c>
      <c r="AD7" s="31">
        <v>1118.1405841117817</v>
      </c>
      <c r="AE7" s="32">
        <v>1118.1405841117817</v>
      </c>
      <c r="AF7" s="31">
        <v>1182.4855877650753</v>
      </c>
      <c r="AG7" s="32">
        <v>1182.4855877650753</v>
      </c>
      <c r="AH7" s="31">
        <v>1286.4604157503866</v>
      </c>
      <c r="AI7" s="32">
        <v>1286.4604157503866</v>
      </c>
      <c r="AJ7" s="31">
        <v>1464.1776060684806</v>
      </c>
      <c r="AK7" s="32">
        <v>1464.1776060684806</v>
      </c>
      <c r="AL7" s="31">
        <v>1803.8132788719624</v>
      </c>
      <c r="AM7" s="32">
        <v>1803.8132788719624</v>
      </c>
      <c r="AN7" s="31">
        <v>2597.0243596663859</v>
      </c>
      <c r="AO7" s="32">
        <v>2597.0243596663859</v>
      </c>
      <c r="AP7" s="31">
        <v>2899.3397678468746</v>
      </c>
      <c r="AQ7" s="32">
        <v>2899.3397678468746</v>
      </c>
      <c r="AR7" s="31">
        <v>3318.3146461223082</v>
      </c>
      <c r="AS7" s="32">
        <v>3318.3146461223082</v>
      </c>
      <c r="AT7" s="31">
        <v>3957.6874174118361</v>
      </c>
      <c r="AU7" s="32">
        <v>3957.6874174118361</v>
      </c>
      <c r="AV7" s="31">
        <v>5148.0034850356033</v>
      </c>
      <c r="AW7" s="32">
        <v>5148.0034850356033</v>
      </c>
    </row>
    <row r="8" spans="1:49" x14ac:dyDescent="0.2">
      <c r="B8" s="33">
        <v>1005.7716594496609</v>
      </c>
      <c r="C8" s="34">
        <v>1005.7716594496609</v>
      </c>
      <c r="D8" s="33">
        <v>1063.6954087343315</v>
      </c>
      <c r="E8" s="34">
        <v>1063.6954087343315</v>
      </c>
      <c r="F8" s="33">
        <v>1127.7123903265715</v>
      </c>
      <c r="G8" s="34">
        <v>1127.7123903265715</v>
      </c>
      <c r="H8" s="33">
        <v>1198.6699719376413</v>
      </c>
      <c r="I8" s="34">
        <v>1198.6699719376413</v>
      </c>
      <c r="J8" s="33">
        <v>1277.5401209891379</v>
      </c>
      <c r="K8" s="34">
        <v>1277.5401209891379</v>
      </c>
      <c r="L8" s="33">
        <v>1365.4341459051807</v>
      </c>
      <c r="M8" s="34">
        <v>1365.4341459051807</v>
      </c>
      <c r="N8" s="33">
        <v>1463.6070007090602</v>
      </c>
      <c r="O8" s="34">
        <v>1463.6070007090602</v>
      </c>
      <c r="P8" s="33">
        <v>1573.4599112898359</v>
      </c>
      <c r="Q8" s="34">
        <v>1573.4599112898359</v>
      </c>
      <c r="R8" s="33">
        <v>1696.5337926970403</v>
      </c>
      <c r="S8" s="34">
        <v>1696.5337926970403</v>
      </c>
      <c r="T8" s="33">
        <v>1834.5134849751114</v>
      </c>
      <c r="U8" s="34">
        <v>1834.5134849751114</v>
      </c>
      <c r="V8" s="33">
        <v>1989.299547081981</v>
      </c>
      <c r="W8" s="34">
        <v>1989.299547081981</v>
      </c>
      <c r="X8" s="33">
        <v>2163.3280313636624</v>
      </c>
      <c r="Y8" s="34">
        <v>2163.3280313636624</v>
      </c>
      <c r="Z8" s="33">
        <v>2360.6241333180569</v>
      </c>
      <c r="AA8" s="34">
        <v>2360.6241333180569</v>
      </c>
      <c r="AB8" s="33">
        <v>2589.8065125808307</v>
      </c>
      <c r="AC8" s="34">
        <v>2589.8065125808307</v>
      </c>
      <c r="AD8" s="33">
        <v>2872.0025851219511</v>
      </c>
      <c r="AE8" s="34">
        <v>2872.0025851219511</v>
      </c>
      <c r="AF8" s="33">
        <v>3261.1996999978937</v>
      </c>
      <c r="AG8" s="34">
        <v>3261.1996999978937</v>
      </c>
      <c r="AH8" s="33">
        <v>3900.3958059258885</v>
      </c>
      <c r="AI8" s="34">
        <v>3900.3958059258885</v>
      </c>
      <c r="AJ8" s="33">
        <v>5215.4949850131015</v>
      </c>
      <c r="AK8" s="34">
        <v>5215.4949850131015</v>
      </c>
      <c r="AL8" s="33">
        <v>8835.074178220053</v>
      </c>
      <c r="AM8" s="34">
        <v>8835.074178220053</v>
      </c>
      <c r="AN8" s="33">
        <v>24751.853508345917</v>
      </c>
      <c r="AO8" s="34">
        <v>24751.853508345917</v>
      </c>
      <c r="AP8" s="33">
        <v>34355.592222703424</v>
      </c>
      <c r="AQ8" s="34">
        <v>34355.592222703424</v>
      </c>
      <c r="AR8" s="33">
        <v>51840.191639890392</v>
      </c>
      <c r="AS8" s="34">
        <v>51840.191639890392</v>
      </c>
      <c r="AT8" s="33">
        <v>90380.568917200188</v>
      </c>
      <c r="AU8" s="34">
        <v>90380.568917200188</v>
      </c>
      <c r="AV8" s="33">
        <v>219304.72263153817</v>
      </c>
      <c r="AW8" s="34">
        <v>219304.72263153817</v>
      </c>
    </row>
    <row r="9" spans="1:49" x14ac:dyDescent="0.2">
      <c r="A9" t="s">
        <v>14</v>
      </c>
      <c r="B9" s="39">
        <v>1015.9116825427475</v>
      </c>
      <c r="C9" s="40">
        <v>1005.7716594496609</v>
      </c>
      <c r="D9" s="39">
        <v>1013.8034921408178</v>
      </c>
      <c r="E9" s="40">
        <v>1063.6954087343315</v>
      </c>
      <c r="F9" s="39">
        <v>1011.9328607450041</v>
      </c>
      <c r="G9" s="40">
        <v>1127.7123903265715</v>
      </c>
      <c r="H9" s="39">
        <v>1010.3660427916994</v>
      </c>
      <c r="I9" s="40">
        <v>1198.6699719376413</v>
      </c>
      <c r="J9" s="39">
        <v>1009.1942518361324</v>
      </c>
      <c r="K9" s="40">
        <v>1277.5401209891379</v>
      </c>
      <c r="L9" s="39">
        <v>1008.5435687566812</v>
      </c>
      <c r="M9" s="40">
        <v>1365.4341459051807</v>
      </c>
      <c r="N9" s="39">
        <v>1008.5924937032423</v>
      </c>
      <c r="O9" s="40">
        <v>1463.6070007090602</v>
      </c>
      <c r="P9" s="39">
        <v>1009.5968303817594</v>
      </c>
      <c r="Q9" s="40">
        <v>1573.4599112898359</v>
      </c>
      <c r="R9" s="39">
        <v>1011.9299189613599</v>
      </c>
      <c r="S9" s="40">
        <v>1696.5337926970403</v>
      </c>
      <c r="T9" s="39">
        <v>1016.1464124312879</v>
      </c>
      <c r="U9" s="40">
        <v>1834.5134849751114</v>
      </c>
      <c r="V9" s="39">
        <v>1023.0848167611813</v>
      </c>
      <c r="W9" s="40">
        <v>1989.299547081981</v>
      </c>
      <c r="X9" s="39">
        <v>1034.0362638298677</v>
      </c>
      <c r="Y9" s="40">
        <v>2163.3280313636624</v>
      </c>
      <c r="Z9" s="39">
        <v>1051.0264732799421</v>
      </c>
      <c r="AA9" s="40">
        <v>2360.6241333180569</v>
      </c>
      <c r="AB9" s="39">
        <v>1077.2959327944964</v>
      </c>
      <c r="AC9" s="40">
        <v>2589.8065125808307</v>
      </c>
      <c r="AD9" s="39">
        <v>1118.1405841117817</v>
      </c>
      <c r="AE9" s="40">
        <v>2872.0025851219511</v>
      </c>
      <c r="AF9" s="39">
        <v>1182.4855877650753</v>
      </c>
      <c r="AG9" s="40">
        <v>3261.1996999978937</v>
      </c>
      <c r="AH9" s="39">
        <v>1286.4604157503866</v>
      </c>
      <c r="AI9" s="40">
        <v>3900.3958059258885</v>
      </c>
      <c r="AJ9" s="39">
        <v>1464.1776060684806</v>
      </c>
      <c r="AK9" s="40">
        <v>5215.4949850131015</v>
      </c>
      <c r="AL9" s="39">
        <v>1803.8132788719624</v>
      </c>
      <c r="AM9" s="40">
        <v>8835.074178220053</v>
      </c>
      <c r="AN9" s="39">
        <v>2597.0243596663859</v>
      </c>
      <c r="AO9" s="40">
        <v>24751.853508345917</v>
      </c>
      <c r="AP9" s="39">
        <v>2899.3397678468746</v>
      </c>
      <c r="AQ9" s="40">
        <v>34355.592222703424</v>
      </c>
      <c r="AR9" s="39">
        <v>3318.3146461223082</v>
      </c>
      <c r="AS9" s="40">
        <v>51840.191639890392</v>
      </c>
      <c r="AT9" s="39">
        <v>3957.6874174118361</v>
      </c>
      <c r="AU9" s="40">
        <v>90380.568917200188</v>
      </c>
      <c r="AV9" s="39">
        <v>5148.0034850356033</v>
      </c>
      <c r="AW9" s="40">
        <v>219304.72263153817</v>
      </c>
    </row>
    <row r="10" spans="1:49" x14ac:dyDescent="0.2">
      <c r="A10" t="s">
        <v>15</v>
      </c>
      <c r="B10" s="39">
        <v>1015.9116825427475</v>
      </c>
      <c r="C10" s="40">
        <v>1005.7716594496609</v>
      </c>
      <c r="D10" s="39">
        <v>1013.8034921408178</v>
      </c>
      <c r="E10" s="40">
        <v>1063.6954087343315</v>
      </c>
      <c r="F10" s="39">
        <v>1011.9328607450041</v>
      </c>
      <c r="G10" s="40">
        <v>1127.7123903265715</v>
      </c>
      <c r="H10" s="39">
        <v>1010.3660427916994</v>
      </c>
      <c r="I10" s="40">
        <v>1198.6699719376413</v>
      </c>
      <c r="J10" s="39">
        <v>1009.1942518361324</v>
      </c>
      <c r="K10" s="40">
        <v>1277.5401209891379</v>
      </c>
      <c r="L10" s="39">
        <v>1008.5435687566812</v>
      </c>
      <c r="M10" s="40">
        <v>1365.4341459051807</v>
      </c>
      <c r="N10" s="39">
        <v>1008.5924937032423</v>
      </c>
      <c r="O10" s="40">
        <v>1463.6070007090602</v>
      </c>
      <c r="P10" s="39">
        <v>1009.5968303817594</v>
      </c>
      <c r="Q10" s="40">
        <v>1573.4599112898359</v>
      </c>
      <c r="R10" s="39">
        <v>1011.9299189613599</v>
      </c>
      <c r="S10" s="40">
        <v>1696.5337926970403</v>
      </c>
      <c r="T10" s="39">
        <v>1016.1464124312879</v>
      </c>
      <c r="U10" s="40">
        <v>1834.5134849751114</v>
      </c>
      <c r="V10" s="39">
        <v>1023.0848167611813</v>
      </c>
      <c r="W10" s="40">
        <v>1989.299547081981</v>
      </c>
      <c r="X10" s="39">
        <v>1034.0362638298677</v>
      </c>
      <c r="Y10" s="40">
        <v>2163.3280313636624</v>
      </c>
      <c r="Z10" s="39">
        <v>1051.0264732799421</v>
      </c>
      <c r="AA10" s="40">
        <v>2360.6241333180569</v>
      </c>
      <c r="AB10" s="39">
        <v>1077.2959327944964</v>
      </c>
      <c r="AC10" s="40">
        <v>2589.8065125808307</v>
      </c>
      <c r="AD10" s="39">
        <v>1118.1405841117817</v>
      </c>
      <c r="AE10" s="40">
        <v>2872.0025851219511</v>
      </c>
      <c r="AF10" s="39">
        <v>1182.4855877650753</v>
      </c>
      <c r="AG10" s="40">
        <v>3261.1996999978937</v>
      </c>
      <c r="AH10" s="39">
        <v>1286.4604157503866</v>
      </c>
      <c r="AI10" s="40">
        <v>3900.3958059258885</v>
      </c>
      <c r="AJ10" s="39">
        <v>1464.1776060684806</v>
      </c>
      <c r="AK10" s="40">
        <v>5215.4949850131015</v>
      </c>
      <c r="AL10" s="39">
        <v>1803.8132788719624</v>
      </c>
      <c r="AM10" s="40">
        <v>8835.074178220053</v>
      </c>
      <c r="AN10" s="39">
        <v>2597.0243596663859</v>
      </c>
      <c r="AO10" s="40">
        <v>24751.853508345917</v>
      </c>
      <c r="AP10" s="39">
        <v>2899.3397678468746</v>
      </c>
      <c r="AQ10" s="40">
        <v>34355.592222703424</v>
      </c>
      <c r="AR10" s="39">
        <v>3318.3146461223082</v>
      </c>
      <c r="AS10" s="40">
        <v>51840.191639890392</v>
      </c>
      <c r="AT10" s="39">
        <v>3957.6874174118361</v>
      </c>
      <c r="AU10" s="40">
        <v>90380.568917200188</v>
      </c>
      <c r="AV10" s="39">
        <v>5148.0034850356033</v>
      </c>
      <c r="AW10" s="40">
        <v>219304.72263153817</v>
      </c>
    </row>
    <row r="11" spans="1:49" x14ac:dyDescent="0.2">
      <c r="A11" t="s">
        <v>29</v>
      </c>
      <c r="B11" s="39">
        <v>1015.9116825427475</v>
      </c>
      <c r="C11" s="40">
        <v>1005.7716594496609</v>
      </c>
      <c r="D11" s="39">
        <v>1013.8034921408178</v>
      </c>
      <c r="E11" s="40">
        <v>1063.6954087343315</v>
      </c>
      <c r="F11" s="39">
        <v>1011.9328607450041</v>
      </c>
      <c r="G11" s="40">
        <v>1127.7123903265715</v>
      </c>
      <c r="H11" s="39">
        <v>1010.3660427916994</v>
      </c>
      <c r="I11" s="40">
        <v>1198.6699719376413</v>
      </c>
      <c r="J11" s="39">
        <v>1009.1942518361324</v>
      </c>
      <c r="K11" s="40">
        <v>1277.5401209891379</v>
      </c>
      <c r="L11" s="39">
        <v>1008.5435687566812</v>
      </c>
      <c r="M11" s="40">
        <v>1365.4341459051807</v>
      </c>
      <c r="N11" s="39">
        <v>1008.5924937032423</v>
      </c>
      <c r="O11" s="40">
        <v>1463.6070007090602</v>
      </c>
      <c r="P11" s="39">
        <v>1009.5968303817594</v>
      </c>
      <c r="Q11" s="40">
        <v>1573.4599112898359</v>
      </c>
      <c r="R11" s="39">
        <v>1011.9299189613599</v>
      </c>
      <c r="S11" s="40">
        <v>1696.5337926970403</v>
      </c>
      <c r="T11" s="39">
        <v>1016.1464124312879</v>
      </c>
      <c r="U11" s="40">
        <v>1834.5134849751114</v>
      </c>
      <c r="V11" s="39">
        <v>1023.0848167611813</v>
      </c>
      <c r="W11" s="40">
        <v>1989.299547081981</v>
      </c>
      <c r="X11" s="39">
        <v>1034.0362638298677</v>
      </c>
      <c r="Y11" s="40">
        <v>2163.3280313636624</v>
      </c>
      <c r="Z11" s="39">
        <v>1051.0264732799421</v>
      </c>
      <c r="AA11" s="40">
        <v>2360.6241333180569</v>
      </c>
      <c r="AB11" s="39">
        <v>1077.2959327944964</v>
      </c>
      <c r="AC11" s="40">
        <v>2589.8065125808307</v>
      </c>
      <c r="AD11" s="39">
        <v>1118.1405841117817</v>
      </c>
      <c r="AE11" s="40">
        <v>2872.0025851219511</v>
      </c>
      <c r="AF11" s="39">
        <v>1182.4855877650753</v>
      </c>
      <c r="AG11" s="40">
        <v>3261.1996999978937</v>
      </c>
      <c r="AH11" s="39">
        <v>1286.4604157503866</v>
      </c>
      <c r="AI11" s="40">
        <v>3900.3958059258885</v>
      </c>
      <c r="AJ11" s="39">
        <v>1464.1776060684806</v>
      </c>
      <c r="AK11" s="40">
        <v>5215.4949850131015</v>
      </c>
      <c r="AL11" s="39">
        <v>1803.8132788719624</v>
      </c>
      <c r="AM11" s="40">
        <v>8835.074178220053</v>
      </c>
      <c r="AN11" s="39">
        <v>2597.0243596663859</v>
      </c>
      <c r="AO11" s="40">
        <v>24751.853508345917</v>
      </c>
      <c r="AP11" s="39">
        <v>2899.3397678468746</v>
      </c>
      <c r="AQ11" s="40">
        <v>34355.592222703424</v>
      </c>
      <c r="AR11" s="39">
        <v>3318.3146461223082</v>
      </c>
      <c r="AS11" s="40">
        <v>51840.191639890392</v>
      </c>
      <c r="AT11" s="39">
        <v>3957.6874174118361</v>
      </c>
      <c r="AU11" s="40">
        <v>90380.568917200188</v>
      </c>
      <c r="AV11" s="39">
        <v>5148.0034850356033</v>
      </c>
      <c r="AW11" s="40">
        <v>219304.72263153817</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993.49488361028875</v>
      </c>
      <c r="E13" s="94">
        <v>993.49488361028875</v>
      </c>
      <c r="F13" s="93">
        <v>986.88131103831768</v>
      </c>
      <c r="G13" s="94">
        <v>986.88131103831768</v>
      </c>
      <c r="H13" s="93">
        <v>980.18272208827273</v>
      </c>
      <c r="I13" s="94">
        <v>980.18272208827273</v>
      </c>
      <c r="J13" s="93">
        <v>973.44089170062227</v>
      </c>
      <c r="K13" s="94">
        <v>973.44089170062227</v>
      </c>
      <c r="L13" s="93">
        <v>966.72447621026424</v>
      </c>
      <c r="M13" s="94">
        <v>966.72447621026424</v>
      </c>
      <c r="N13" s="93">
        <v>960.1450120353644</v>
      </c>
      <c r="O13" s="94">
        <v>960.1450120353644</v>
      </c>
      <c r="P13" s="93">
        <v>953.87969164877723</v>
      </c>
      <c r="Q13" s="94">
        <v>953.87969164877723</v>
      </c>
      <c r="R13" s="93">
        <v>948.20887932325036</v>
      </c>
      <c r="S13" s="94">
        <v>948.20887932325036</v>
      </c>
      <c r="T13" s="93">
        <v>943.57599236199235</v>
      </c>
      <c r="U13" s="94">
        <v>943.57599236199235</v>
      </c>
      <c r="V13" s="93">
        <v>940.68423905908878</v>
      </c>
      <c r="W13" s="94">
        <v>940.68423905908878</v>
      </c>
      <c r="X13" s="93">
        <v>940.65635713462905</v>
      </c>
      <c r="Y13" s="94">
        <v>940.65635713462905</v>
      </c>
      <c r="Z13" s="93">
        <v>945.30319946562793</v>
      </c>
      <c r="AA13" s="94">
        <v>945.30319946562793</v>
      </c>
      <c r="AB13" s="93">
        <v>957.58920088839636</v>
      </c>
      <c r="AC13" s="94">
        <v>957.58920088839636</v>
      </c>
      <c r="AD13" s="93">
        <v>982.47686514082829</v>
      </c>
      <c r="AE13" s="94">
        <v>982.47686514082829</v>
      </c>
      <c r="AF13" s="93">
        <v>1028.5925657272983</v>
      </c>
      <c r="AG13" s="94">
        <v>1028.5925657272983</v>
      </c>
      <c r="AH13" s="93">
        <v>1112.2008754122858</v>
      </c>
      <c r="AI13" s="94">
        <v>1112.2008754122858</v>
      </c>
      <c r="AJ13" s="93">
        <v>1269.7851716510449</v>
      </c>
      <c r="AK13" s="94">
        <v>1269.7851716510449</v>
      </c>
      <c r="AL13" s="93">
        <v>1605.8680618027158</v>
      </c>
      <c r="AM13" s="94">
        <v>1605.8680618027158</v>
      </c>
      <c r="AN13" s="93">
        <v>2552.6440853020649</v>
      </c>
      <c r="AO13" s="94">
        <v>2552.6440853020649</v>
      </c>
      <c r="AP13" s="93">
        <v>2979.8529387496992</v>
      </c>
      <c r="AQ13" s="94">
        <v>2979.8529387496992</v>
      </c>
      <c r="AR13" s="93">
        <v>3642.8944291452435</v>
      </c>
      <c r="AS13" s="94">
        <v>3642.8944291452435</v>
      </c>
      <c r="AT13" s="93">
        <v>4839.8864080847425</v>
      </c>
      <c r="AU13" s="94">
        <v>4839.8864080847425</v>
      </c>
      <c r="AV13" s="93">
        <v>7841.8214638411346</v>
      </c>
      <c r="AW13" s="94">
        <v>7841.8214638411346</v>
      </c>
    </row>
    <row r="14" spans="1:49" x14ac:dyDescent="0.2">
      <c r="A14" t="s">
        <v>36</v>
      </c>
      <c r="B14" s="39">
        <v>1457.0034251455234</v>
      </c>
      <c r="C14" s="40">
        <v>1457.0034251455236</v>
      </c>
      <c r="D14" s="39">
        <v>1447.5254482847438</v>
      </c>
      <c r="E14" s="40">
        <v>1447.525448284744</v>
      </c>
      <c r="F14" s="39">
        <v>1437.8894503949334</v>
      </c>
      <c r="G14" s="40">
        <v>1437.8894503949336</v>
      </c>
      <c r="H14" s="39">
        <v>1428.129583351076</v>
      </c>
      <c r="I14" s="40">
        <v>1428.1295833510762</v>
      </c>
      <c r="J14" s="39">
        <v>1418.3067133845191</v>
      </c>
      <c r="K14" s="40">
        <v>1418.3067133845193</v>
      </c>
      <c r="L14" s="39">
        <v>1408.520873010367</v>
      </c>
      <c r="M14" s="40">
        <v>1408.520873010367</v>
      </c>
      <c r="N14" s="39">
        <v>1398.9345711719156</v>
      </c>
      <c r="O14" s="40">
        <v>1398.9345711719159</v>
      </c>
      <c r="P14" s="39">
        <v>1389.805977909024</v>
      </c>
      <c r="Q14" s="40">
        <v>1389.8059779090243</v>
      </c>
      <c r="R14" s="39">
        <v>1381.543584927374</v>
      </c>
      <c r="S14" s="40">
        <v>1381.5435849273742</v>
      </c>
      <c r="T14" s="39">
        <v>1374.7934527565089</v>
      </c>
      <c r="U14" s="40">
        <v>1374.7934527565092</v>
      </c>
      <c r="V14" s="39">
        <v>1370.5801582895026</v>
      </c>
      <c r="W14" s="40">
        <v>1370.5801582895028</v>
      </c>
      <c r="X14" s="39">
        <v>1370.5395342300651</v>
      </c>
      <c r="Y14" s="40">
        <v>1370.5395342300653</v>
      </c>
      <c r="Z14" s="39">
        <v>1377.3099994224417</v>
      </c>
      <c r="AA14" s="40">
        <v>1377.3099994224419</v>
      </c>
      <c r="AB14" s="39">
        <v>1395.210745576758</v>
      </c>
      <c r="AC14" s="40">
        <v>1395.2107455767582</v>
      </c>
      <c r="AD14" s="39">
        <v>1431.4721576364232</v>
      </c>
      <c r="AE14" s="40">
        <v>1431.4721576364234</v>
      </c>
      <c r="AF14" s="39">
        <v>1498.6628913438954</v>
      </c>
      <c r="AG14" s="40">
        <v>1498.6628913438956</v>
      </c>
      <c r="AH14" s="39">
        <v>1620.4804849255497</v>
      </c>
      <c r="AI14" s="40">
        <v>1620.4804849255499</v>
      </c>
      <c r="AJ14" s="39">
        <v>1850.0813442945687</v>
      </c>
      <c r="AK14" s="40">
        <v>1850.0813442945689</v>
      </c>
      <c r="AL14" s="39">
        <v>2339.7552663783599</v>
      </c>
      <c r="AM14" s="40">
        <v>2339.7552663783604</v>
      </c>
      <c r="AN14" s="39">
        <v>3719.2111754625698</v>
      </c>
      <c r="AO14" s="40">
        <v>3719.2111754625703</v>
      </c>
      <c r="AP14" s="39">
        <v>4341.6559381882653</v>
      </c>
      <c r="AQ14" s="40">
        <v>4341.6559381882653</v>
      </c>
      <c r="AR14" s="39">
        <v>5307.7096607081658</v>
      </c>
      <c r="AS14" s="40">
        <v>5307.7096607081667</v>
      </c>
      <c r="AT14" s="39">
        <v>7051.7310738947335</v>
      </c>
      <c r="AU14" s="40">
        <v>7051.7310738947344</v>
      </c>
      <c r="AV14" s="39">
        <v>11425.560732196214</v>
      </c>
      <c r="AW14" s="40">
        <v>11425.560732196216</v>
      </c>
    </row>
    <row r="15" spans="1:49" x14ac:dyDescent="0.2">
      <c r="A15" t="s">
        <v>18</v>
      </c>
      <c r="B15" s="144">
        <v>1000</v>
      </c>
      <c r="C15" s="145">
        <v>1000</v>
      </c>
      <c r="D15" s="144">
        <v>997.92482905930069</v>
      </c>
      <c r="E15" s="145">
        <v>997.92482905930069</v>
      </c>
      <c r="F15" s="144">
        <v>996.08349636477783</v>
      </c>
      <c r="G15" s="145">
        <v>996.08349636477783</v>
      </c>
      <c r="H15" s="144">
        <v>994.54121864494391</v>
      </c>
      <c r="I15" s="145">
        <v>994.54121864494391</v>
      </c>
      <c r="J15" s="144">
        <v>993.38778082578801</v>
      </c>
      <c r="K15" s="145">
        <v>993.38778082578801</v>
      </c>
      <c r="L15" s="144">
        <v>992.74728904817357</v>
      </c>
      <c r="M15" s="145">
        <v>992.74728904817357</v>
      </c>
      <c r="N15" s="144">
        <v>992.79544770940549</v>
      </c>
      <c r="O15" s="145">
        <v>992.79544770940549</v>
      </c>
      <c r="P15" s="144">
        <v>993.78405399849089</v>
      </c>
      <c r="Q15" s="145">
        <v>993.78405399849089</v>
      </c>
      <c r="R15" s="144">
        <v>996.080600656721</v>
      </c>
      <c r="S15" s="145">
        <v>996.080600656721</v>
      </c>
      <c r="T15" s="144">
        <v>1000.2310534395598</v>
      </c>
      <c r="U15" s="145">
        <v>1000.2310534395598</v>
      </c>
      <c r="V15" s="144">
        <v>1007.0607852451111</v>
      </c>
      <c r="W15" s="145">
        <v>1007.0607852451111</v>
      </c>
      <c r="X15" s="144">
        <v>1017.8407056425966</v>
      </c>
      <c r="Y15" s="145">
        <v>1017.8407056425966</v>
      </c>
      <c r="Z15" s="144">
        <v>1034.564806508874</v>
      </c>
      <c r="AA15" s="145">
        <v>1034.564806508874</v>
      </c>
      <c r="AB15" s="144">
        <v>1060.4228214977397</v>
      </c>
      <c r="AC15" s="145">
        <v>1060.4228214977397</v>
      </c>
      <c r="AD15" s="144">
        <v>1100.6277448381766</v>
      </c>
      <c r="AE15" s="145">
        <v>1100.6277448381766</v>
      </c>
      <c r="AF15" s="144">
        <v>1163.9649470369377</v>
      </c>
      <c r="AG15" s="145">
        <v>1163.9649470369377</v>
      </c>
      <c r="AH15" s="144">
        <v>1266.3112727776463</v>
      </c>
      <c r="AI15" s="145">
        <v>1266.3112727776463</v>
      </c>
      <c r="AJ15" s="144">
        <v>1441.2449735825053</v>
      </c>
      <c r="AK15" s="145">
        <v>1441.2449735825053</v>
      </c>
      <c r="AL15" s="144">
        <v>1775.5611140893261</v>
      </c>
      <c r="AM15" s="145">
        <v>1775.5611140893261</v>
      </c>
      <c r="AN15" s="144">
        <v>2556.3485530220864</v>
      </c>
      <c r="AO15" s="145">
        <v>2556.3485530220864</v>
      </c>
      <c r="AP15" s="144">
        <v>2853.9289562947579</v>
      </c>
      <c r="AQ15" s="145">
        <v>2853.9289562947579</v>
      </c>
      <c r="AR15" s="144">
        <v>3266.3416546375629</v>
      </c>
      <c r="AS15" s="145">
        <v>3266.3416546375629</v>
      </c>
      <c r="AT15" s="144">
        <v>3895.7002714114424</v>
      </c>
      <c r="AU15" s="145">
        <v>3895.7002714114424</v>
      </c>
      <c r="AV15" s="144">
        <v>5067.3730536797775</v>
      </c>
      <c r="AW15" s="145">
        <v>5067.3730536797775</v>
      </c>
    </row>
    <row r="16" spans="1:49" s="27" customFormat="1" x14ac:dyDescent="0.2">
      <c r="A16" t="s">
        <v>61</v>
      </c>
      <c r="B16" s="39">
        <v>1000</v>
      </c>
      <c r="C16" s="40">
        <v>1000</v>
      </c>
      <c r="D16" s="39">
        <v>995.56223434782282</v>
      </c>
      <c r="E16" s="40">
        <v>996.66010615071082</v>
      </c>
      <c r="F16" s="39">
        <v>991.17409294514619</v>
      </c>
      <c r="G16" s="40">
        <v>993.45564780102711</v>
      </c>
      <c r="H16" s="39">
        <v>986.87808136358956</v>
      </c>
      <c r="I16" s="40">
        <v>990.4397389970128</v>
      </c>
      <c r="J16" s="39">
        <v>982.73783917254264</v>
      </c>
      <c r="K16" s="40">
        <v>987.68823779004902</v>
      </c>
      <c r="L16" s="39">
        <v>978.8472199573954</v>
      </c>
      <c r="M16" s="40">
        <v>985.3091429129264</v>
      </c>
      <c r="N16" s="39">
        <v>975.34685246771016</v>
      </c>
      <c r="O16" s="40">
        <v>983.45949206889213</v>
      </c>
      <c r="P16" s="39">
        <v>972.44767635403684</v>
      </c>
      <c r="Q16" s="40">
        <v>982.36934899162452</v>
      </c>
      <c r="R16" s="39">
        <v>970.46938696998632</v>
      </c>
      <c r="S16" s="40">
        <v>982.38079183472485</v>
      </c>
      <c r="T16" s="39">
        <v>969.90162163747004</v>
      </c>
      <c r="U16" s="40">
        <v>984.00984641216303</v>
      </c>
      <c r="V16" s="39">
        <v>971.50262699227494</v>
      </c>
      <c r="W16" s="40">
        <v>988.0462099978439</v>
      </c>
      <c r="X16" s="39">
        <v>976.46199346005903</v>
      </c>
      <c r="Y16" s="40">
        <v>995.71756285659717</v>
      </c>
      <c r="Z16" s="39">
        <v>986.6735505571246</v>
      </c>
      <c r="AA16" s="40">
        <v>1008.9646082151559</v>
      </c>
      <c r="AB16" s="39">
        <v>1005.2046070179651</v>
      </c>
      <c r="AC16" s="40">
        <v>1030.9118469748053</v>
      </c>
      <c r="AD16" s="39">
        <v>1037.1337020108056</v>
      </c>
      <c r="AE16" s="40">
        <v>1066.7004181133964</v>
      </c>
      <c r="AF16" s="39">
        <v>1091.1651541288013</v>
      </c>
      <c r="AG16" s="40">
        <v>1125.0718185203384</v>
      </c>
      <c r="AH16" s="39">
        <v>1183.3994110273891</v>
      </c>
      <c r="AI16" s="40">
        <v>1222.0203835715483</v>
      </c>
      <c r="AJ16" s="39">
        <v>1349.0189701676925</v>
      </c>
      <c r="AK16" s="40">
        <v>1391.9759498460774</v>
      </c>
      <c r="AL16" s="39">
        <v>1684.451455205588</v>
      </c>
      <c r="AM16" s="40">
        <v>1726.8669459994026</v>
      </c>
      <c r="AN16" s="39">
        <v>2554.3732874932816</v>
      </c>
      <c r="AO16" s="40">
        <v>2555.2911195447464</v>
      </c>
      <c r="AP16" s="39">
        <v>2920.8633346880133</v>
      </c>
      <c r="AQ16" s="40">
        <v>2889.7875865777887</v>
      </c>
      <c r="AR16" s="39">
        <v>3465.5709288026451</v>
      </c>
      <c r="AS16" s="40">
        <v>3373.1879146055539</v>
      </c>
      <c r="AT16" s="39">
        <v>4391.4669927010191</v>
      </c>
      <c r="AU16" s="40">
        <v>4162.0314415778148</v>
      </c>
      <c r="AV16" s="39">
        <v>6501.6760253413204</v>
      </c>
      <c r="AW16" s="40">
        <v>5840.442850268626</v>
      </c>
    </row>
    <row r="17" spans="1:49" x14ac:dyDescent="0.2">
      <c r="A17" t="s">
        <v>62</v>
      </c>
      <c r="B17" s="33">
        <v>1000.0000000000002</v>
      </c>
      <c r="C17" s="34">
        <v>999.99999999999977</v>
      </c>
      <c r="D17" s="33">
        <v>998.11456264886181</v>
      </c>
      <c r="E17" s="34">
        <v>1028.9715719850831</v>
      </c>
      <c r="F17" s="33">
        <v>996.44425662280401</v>
      </c>
      <c r="G17" s="34">
        <v>1060.9746157439058</v>
      </c>
      <c r="H17" s="33">
        <v>995.04717311352408</v>
      </c>
      <c r="I17" s="34">
        <v>1096.4295755451678</v>
      </c>
      <c r="J17" s="33">
        <v>994.00348092154377</v>
      </c>
      <c r="K17" s="34">
        <v>1135.8238196514635</v>
      </c>
      <c r="L17" s="33">
        <v>993.42436033070157</v>
      </c>
      <c r="M17" s="34">
        <v>1179.7228565855805</v>
      </c>
      <c r="N17" s="33">
        <v>993.46789344694469</v>
      </c>
      <c r="O17" s="34">
        <v>1228.7802476236927</v>
      </c>
      <c r="P17" s="33">
        <v>994.36193939871441</v>
      </c>
      <c r="Q17" s="34">
        <v>1283.7511025568397</v>
      </c>
      <c r="R17" s="33">
        <v>996.44163415445348</v>
      </c>
      <c r="S17" s="34">
        <v>1345.5099029185935</v>
      </c>
      <c r="T17" s="33">
        <v>1000.2101250739876</v>
      </c>
      <c r="U17" s="34">
        <v>1415.0877241045876</v>
      </c>
      <c r="V17" s="33">
        <v>1006.4389464245562</v>
      </c>
      <c r="W17" s="34">
        <v>1493.7654781667241</v>
      </c>
      <c r="X17" s="33">
        <v>1016.3393287404089</v>
      </c>
      <c r="Y17" s="34">
        <v>1583.3259593820342</v>
      </c>
      <c r="Z17" s="33">
        <v>1031.8622940585633</v>
      </c>
      <c r="AA17" s="34">
        <v>1686.7236953370293</v>
      </c>
      <c r="AB17" s="33">
        <v>1056.2416572067311</v>
      </c>
      <c r="AC17" s="34">
        <v>1809.7992839286112</v>
      </c>
      <c r="AD17" s="33">
        <v>1095.0179439860935</v>
      </c>
      <c r="AE17" s="34">
        <v>1965.5336033853955</v>
      </c>
      <c r="AF17" s="33">
        <v>1158.1140747295713</v>
      </c>
      <c r="AG17" s="34">
        <v>2184.6093587175033</v>
      </c>
      <c r="AH17" s="33">
        <v>1264.8211997185722</v>
      </c>
      <c r="AI17" s="34">
        <v>2543.9638782147385</v>
      </c>
      <c r="AJ17" s="33">
        <v>1459.3984689155609</v>
      </c>
      <c r="AK17" s="34">
        <v>3263.6952366585965</v>
      </c>
      <c r="AL17" s="33">
        <v>1869.8423751860473</v>
      </c>
      <c r="AM17" s="34">
        <v>5152.7691720499288</v>
      </c>
      <c r="AN17" s="33">
        <v>3022.8503618570821</v>
      </c>
      <c r="AO17" s="34">
        <v>12946.797947633762</v>
      </c>
      <c r="AP17" s="33">
        <v>3540.8568285914953</v>
      </c>
      <c r="AQ17" s="34">
        <v>17498.986450063818</v>
      </c>
      <c r="AR17" s="33">
        <v>4341.5080961325311</v>
      </c>
      <c r="AS17" s="34">
        <v>25660.067576752928</v>
      </c>
      <c r="AT17" s="33">
        <v>5778.6221185538116</v>
      </c>
      <c r="AU17" s="34">
        <v>43350.811283985444</v>
      </c>
      <c r="AV17" s="33">
        <v>9362.9936289599482</v>
      </c>
      <c r="AW17" s="34">
        <v>101394.22078704322</v>
      </c>
    </row>
    <row r="18" spans="1:49" x14ac:dyDescent="0.2">
      <c r="A18" t="s">
        <v>19</v>
      </c>
      <c r="B18" s="31">
        <v>27857.010133999996</v>
      </c>
      <c r="C18" s="32">
        <v>1236.7674480000003</v>
      </c>
      <c r="D18" s="31">
        <v>27685.978066941771</v>
      </c>
      <c r="E18" s="32">
        <v>1153.7750714345309</v>
      </c>
      <c r="F18" s="31">
        <v>27487.284394072532</v>
      </c>
      <c r="G18" s="32">
        <v>1071.0407602057237</v>
      </c>
      <c r="H18" s="31">
        <v>27255.030241800396</v>
      </c>
      <c r="I18" s="32">
        <v>988.65297019332968</v>
      </c>
      <c r="J18" s="31">
        <v>26981.671709156955</v>
      </c>
      <c r="K18" s="32">
        <v>906.72777875140309</v>
      </c>
      <c r="L18" s="31">
        <v>26657.587334689295</v>
      </c>
      <c r="M18" s="32">
        <v>825.41223940333521</v>
      </c>
      <c r="N18" s="31">
        <v>26270.371171193532</v>
      </c>
      <c r="O18" s="32">
        <v>744.90029626909234</v>
      </c>
      <c r="P18" s="31">
        <v>25804.09088392694</v>
      </c>
      <c r="Q18" s="32">
        <v>665.44141426292629</v>
      </c>
      <c r="R18" s="31">
        <v>25238.400148873792</v>
      </c>
      <c r="S18" s="32">
        <v>587.35417062020849</v>
      </c>
      <c r="T18" s="31">
        <v>24547.770688203735</v>
      </c>
      <c r="U18" s="32">
        <v>511.03449208475519</v>
      </c>
      <c r="V18" s="31">
        <v>23701.329898277396</v>
      </c>
      <c r="W18" s="32">
        <v>436.95123951668808</v>
      </c>
      <c r="X18" s="31">
        <v>22664.249735111265</v>
      </c>
      <c r="Y18" s="32">
        <v>365.61705840312277</v>
      </c>
      <c r="Z18" s="31">
        <v>21402.339328311686</v>
      </c>
      <c r="AA18" s="32">
        <v>297.52105567263288</v>
      </c>
      <c r="AB18" s="31">
        <v>19891.818454690452</v>
      </c>
      <c r="AC18" s="32">
        <v>233.02693654006652</v>
      </c>
      <c r="AD18" s="31">
        <v>18134.741039693647</v>
      </c>
      <c r="AE18" s="32">
        <v>172.32347599806803</v>
      </c>
      <c r="AF18" s="31">
        <v>16174.03985862714</v>
      </c>
      <c r="AG18" s="32">
        <v>115.70378650289975</v>
      </c>
      <c r="AH18" s="31">
        <v>14088.095345093257</v>
      </c>
      <c r="AI18" s="32">
        <v>64.74405099996423</v>
      </c>
      <c r="AJ18" s="31">
        <v>11935.701397513849</v>
      </c>
      <c r="AK18" s="32">
        <v>24.665772366263816</v>
      </c>
      <c r="AL18" s="31">
        <v>9647.5239404104177</v>
      </c>
      <c r="AM18" s="32">
        <v>3.903746539431582</v>
      </c>
      <c r="AN18" s="31">
        <v>6814.8396750030288</v>
      </c>
      <c r="AO18" s="32">
        <v>7.7225635886203306E-2</v>
      </c>
      <c r="AP18" s="31">
        <v>6075.0353192687207</v>
      </c>
      <c r="AQ18" s="32">
        <v>2.0653467068369964E-2</v>
      </c>
      <c r="AR18" s="31">
        <v>5215.8443703196162</v>
      </c>
      <c r="AS18" s="32">
        <v>3.7878638615702997E-3</v>
      </c>
      <c r="AT18" s="31">
        <v>4169.5825241494776</v>
      </c>
      <c r="AU18" s="32">
        <v>3.5790381493875045E-4</v>
      </c>
      <c r="AV18" s="31">
        <v>2777.9606525969421</v>
      </c>
      <c r="AW18" s="32">
        <v>7.1832084529096607E-6</v>
      </c>
    </row>
    <row r="19" spans="1:49" x14ac:dyDescent="0.2">
      <c r="A19" t="s">
        <v>3</v>
      </c>
      <c r="B19" s="39">
        <v>1886.3937399999918</v>
      </c>
      <c r="C19" s="40">
        <v>262.78711299999759</v>
      </c>
      <c r="D19" s="39">
        <v>1865.4864055961311</v>
      </c>
      <c r="E19" s="40">
        <v>266.34616266627802</v>
      </c>
      <c r="F19" s="39">
        <v>1843.9020885936943</v>
      </c>
      <c r="G19" s="40">
        <v>270.41175186179362</v>
      </c>
      <c r="H19" s="39">
        <v>1821.5285509751811</v>
      </c>
      <c r="I19" s="40">
        <v>274.9892278885028</v>
      </c>
      <c r="J19" s="39">
        <v>1798.2375544595886</v>
      </c>
      <c r="K19" s="40">
        <v>280.06544252889415</v>
      </c>
      <c r="L19" s="39">
        <v>1773.8863620642301</v>
      </c>
      <c r="M19" s="40">
        <v>285.59863929222882</v>
      </c>
      <c r="N19" s="39">
        <v>1748.3235321398838</v>
      </c>
      <c r="O19" s="40">
        <v>291.5037771869919</v>
      </c>
      <c r="P19" s="39">
        <v>1721.4049609324622</v>
      </c>
      <c r="Q19" s="40">
        <v>297.63364335858478</v>
      </c>
      <c r="R19" s="39">
        <v>1693.0306068348618</v>
      </c>
      <c r="S19" s="40">
        <v>303.75543179923318</v>
      </c>
      <c r="T19" s="39">
        <v>1663.2237886984783</v>
      </c>
      <c r="U19" s="40">
        <v>309.52811905225332</v>
      </c>
      <c r="V19" s="39">
        <v>1632.2939578864998</v>
      </c>
      <c r="W19" s="40">
        <v>314.4896218653692</v>
      </c>
      <c r="X19" s="39">
        <v>1601.1622437202479</v>
      </c>
      <c r="Y19" s="40">
        <v>318.0771888625593</v>
      </c>
      <c r="Z19" s="39">
        <v>1571.9922625649417</v>
      </c>
      <c r="AA19" s="40">
        <v>319.71431201957921</v>
      </c>
      <c r="AB19" s="39">
        <v>1549.3709684997823</v>
      </c>
      <c r="AC19" s="40">
        <v>318.99066714062354</v>
      </c>
      <c r="AD19" s="39">
        <v>1542.4527162480167</v>
      </c>
      <c r="AE19" s="40">
        <v>315.87145744445434</v>
      </c>
      <c r="AF19" s="39">
        <v>1568.8746532367618</v>
      </c>
      <c r="AG19" s="40">
        <v>310.54925177458875</v>
      </c>
      <c r="AH19" s="39">
        <v>1663.0790391218648</v>
      </c>
      <c r="AI19" s="40">
        <v>301.74992082888832</v>
      </c>
      <c r="AJ19" s="39">
        <v>1901.1936555675422</v>
      </c>
      <c r="AK19" s="40">
        <v>281.16667618437577</v>
      </c>
      <c r="AL19" s="39">
        <v>2492.5860918860135</v>
      </c>
      <c r="AM19" s="40">
        <v>225.9389046049705</v>
      </c>
      <c r="AN19" s="39">
        <v>4199.7792703911282</v>
      </c>
      <c r="AO19" s="40">
        <v>122.33056380462759</v>
      </c>
      <c r="AP19" s="39">
        <v>4922.845300458428</v>
      </c>
      <c r="AQ19" s="40">
        <v>98.277463790269337</v>
      </c>
      <c r="AR19" s="39">
        <v>5972.6742585157854</v>
      </c>
      <c r="AS19" s="40">
        <v>73.866753227515417</v>
      </c>
      <c r="AT19" s="39">
        <v>7663.1537597517517</v>
      </c>
      <c r="AU19" s="40">
        <v>49.28788344458583</v>
      </c>
      <c r="AV19" s="39">
        <v>11037.51327641585</v>
      </c>
      <c r="AW19" s="40">
        <v>24.649873685391501</v>
      </c>
    </row>
    <row r="20" spans="1:49" x14ac:dyDescent="0.2">
      <c r="A20" t="s">
        <v>114</v>
      </c>
      <c r="B20" s="79">
        <v>26548.356269999993</v>
      </c>
      <c r="C20" s="80">
        <v>1408.5418709999938</v>
      </c>
      <c r="D20" s="79">
        <v>26363.418449810528</v>
      </c>
      <c r="E20" s="80">
        <v>1338.1147774499941</v>
      </c>
      <c r="F20" s="79">
        <v>26154.815364416634</v>
      </c>
      <c r="G20" s="80">
        <v>1267.6876838999945</v>
      </c>
      <c r="H20" s="79">
        <v>25917.654686031783</v>
      </c>
      <c r="I20" s="80">
        <v>1197.2605903499946</v>
      </c>
      <c r="J20" s="79">
        <v>25645.709990772939</v>
      </c>
      <c r="K20" s="80">
        <v>1126.8334967999951</v>
      </c>
      <c r="L20" s="79">
        <v>25331.077629765939</v>
      </c>
      <c r="M20" s="80">
        <v>1056.4064032499953</v>
      </c>
      <c r="N20" s="79">
        <v>24963.618642807847</v>
      </c>
      <c r="O20" s="80">
        <v>985.97930969999561</v>
      </c>
      <c r="P20" s="79">
        <v>24530.380951900264</v>
      </c>
      <c r="Q20" s="80">
        <v>915.55221614999596</v>
      </c>
      <c r="R20" s="79">
        <v>24014.919532739375</v>
      </c>
      <c r="S20" s="80">
        <v>845.12512259999642</v>
      </c>
      <c r="T20" s="79">
        <v>23396.7379638682</v>
      </c>
      <c r="U20" s="80">
        <v>774.69802904999653</v>
      </c>
      <c r="V20" s="79">
        <v>22651.256252354167</v>
      </c>
      <c r="W20" s="80">
        <v>704.27093549999688</v>
      </c>
      <c r="X20" s="79">
        <v>21751.088757655591</v>
      </c>
      <c r="Y20" s="80">
        <v>633.84384194999723</v>
      </c>
      <c r="Z20" s="79">
        <v>20669.991270590988</v>
      </c>
      <c r="AA20" s="80">
        <v>563.41674839999746</v>
      </c>
      <c r="AB20" s="79">
        <v>19391.105630710765</v>
      </c>
      <c r="AC20" s="80">
        <v>492.98965484999781</v>
      </c>
      <c r="AD20" s="79">
        <v>17919.927028458274</v>
      </c>
      <c r="AE20" s="80">
        <v>422.56256129999804</v>
      </c>
      <c r="AF20" s="79">
        <v>16297.227699875701</v>
      </c>
      <c r="AG20" s="80">
        <v>352.13546774999827</v>
      </c>
      <c r="AH20" s="79">
        <v>14596.11357901203</v>
      </c>
      <c r="AI20" s="80">
        <v>281.70837419999856</v>
      </c>
      <c r="AJ20" s="79">
        <v>12881.191459267908</v>
      </c>
      <c r="AK20" s="80">
        <v>211.28128064999879</v>
      </c>
      <c r="AL20" s="79">
        <v>11127.156791065348</v>
      </c>
      <c r="AM20" s="80">
        <v>140.85418709999905</v>
      </c>
      <c r="AN20" s="79">
        <v>9044.6469393706993</v>
      </c>
      <c r="AO20" s="80">
        <v>70.42709354999927</v>
      </c>
      <c r="AP20" s="79">
        <v>8506.1916440377663</v>
      </c>
      <c r="AQ20" s="80">
        <v>56.341674839999335</v>
      </c>
      <c r="AR20" s="79">
        <v>7878.6335554516554</v>
      </c>
      <c r="AS20" s="80">
        <v>42.256256129999379</v>
      </c>
      <c r="AT20" s="79">
        <v>7106.2708937425732</v>
      </c>
      <c r="AU20" s="80">
        <v>28.170837419999433</v>
      </c>
      <c r="AV20" s="79">
        <v>6049.3787183832646</v>
      </c>
      <c r="AW20" s="80">
        <v>14.08541870999948</v>
      </c>
    </row>
    <row r="21" spans="1:49" x14ac:dyDescent="0.2">
      <c r="A21" t="s">
        <v>76</v>
      </c>
      <c r="B21" s="79">
        <v>24661.962529999968</v>
      </c>
      <c r="C21" s="80">
        <v>1145.7547579999991</v>
      </c>
      <c r="D21" s="79">
        <v>24497.94072810674</v>
      </c>
      <c r="E21" s="80">
        <v>1071.9360621640953</v>
      </c>
      <c r="F21" s="79">
        <v>24310.943962767597</v>
      </c>
      <c r="G21" s="80">
        <v>997.98521892285964</v>
      </c>
      <c r="H21" s="79">
        <v>24096.185208437473</v>
      </c>
      <c r="I21" s="80">
        <v>923.96220622251656</v>
      </c>
      <c r="J21" s="79">
        <v>23847.558202079439</v>
      </c>
      <c r="K21" s="80">
        <v>849.95331948141961</v>
      </c>
      <c r="L21" s="79">
        <v>23557.293187634325</v>
      </c>
      <c r="M21" s="80">
        <v>776.0799667918983</v>
      </c>
      <c r="N21" s="79">
        <v>23215.39422266954</v>
      </c>
      <c r="O21" s="80">
        <v>702.51016618987899</v>
      </c>
      <c r="P21" s="79">
        <v>22809.048488535176</v>
      </c>
      <c r="Q21" s="80">
        <v>629.47153070112711</v>
      </c>
      <c r="R21" s="79">
        <v>22321.917143813862</v>
      </c>
      <c r="S21" s="80">
        <v>557.26505566754179</v>
      </c>
      <c r="T21" s="79">
        <v>21733.514270709744</v>
      </c>
      <c r="U21" s="80">
        <v>486.27450073668928</v>
      </c>
      <c r="V21" s="79">
        <v>21019.0486724535</v>
      </c>
      <c r="W21" s="80">
        <v>416.96475853958475</v>
      </c>
      <c r="X21" s="79">
        <v>20150.456067352778</v>
      </c>
      <c r="Y21" s="80">
        <v>349.85496505786614</v>
      </c>
      <c r="Z21" s="79">
        <v>19099.887926746702</v>
      </c>
      <c r="AA21" s="80">
        <v>285.45293633085743</v>
      </c>
      <c r="AB21" s="79">
        <v>17847.149797453276</v>
      </c>
      <c r="AC21" s="80">
        <v>224.15519418193418</v>
      </c>
      <c r="AD21" s="79">
        <v>16391.353895767304</v>
      </c>
      <c r="AE21" s="80">
        <v>166.19122520134448</v>
      </c>
      <c r="AF21" s="79">
        <v>14761.866599825446</v>
      </c>
      <c r="AG21" s="80">
        <v>111.88173495426425</v>
      </c>
      <c r="AH21" s="79">
        <v>13012.215552034073</v>
      </c>
      <c r="AI21" s="80">
        <v>62.776328593962909</v>
      </c>
      <c r="AJ21" s="79">
        <v>11171.829466453504</v>
      </c>
      <c r="AK21" s="80">
        <v>23.978879578314388</v>
      </c>
      <c r="AL21" s="79">
        <v>9146.512948621852</v>
      </c>
      <c r="AM21" s="80">
        <v>3.8024224878276311</v>
      </c>
      <c r="AN21" s="79">
        <v>6520.6208952221623</v>
      </c>
      <c r="AO21" s="80">
        <v>7.5277706611292891E-2</v>
      </c>
      <c r="AP21" s="79">
        <v>5819.6256832182844</v>
      </c>
      <c r="AQ21" s="80">
        <v>2.0133262425759364E-2</v>
      </c>
      <c r="AR21" s="79">
        <v>5001.2851599930864</v>
      </c>
      <c r="AS21" s="80">
        <v>3.6925313335320338E-3</v>
      </c>
      <c r="AT21" s="79">
        <v>4000.9005692220267</v>
      </c>
      <c r="AU21" s="80">
        <v>3.4889900034713287E-4</v>
      </c>
      <c r="AV21" s="79">
        <v>2666.835588359806</v>
      </c>
      <c r="AW21" s="80">
        <v>7.0024960799416882E-6</v>
      </c>
    </row>
    <row r="22" spans="1:49" x14ac:dyDescent="0.2">
      <c r="A22" t="s">
        <v>28</v>
      </c>
      <c r="B22" s="39">
        <v>6533.6044688320662</v>
      </c>
      <c r="C22" s="40">
        <v>379.90788307663382</v>
      </c>
      <c r="D22" s="39">
        <v>6468.6684918858009</v>
      </c>
      <c r="E22" s="40">
        <v>363.25225836973618</v>
      </c>
      <c r="F22" s="39">
        <v>6396.6932453418194</v>
      </c>
      <c r="G22" s="40">
        <v>346.44880046398242</v>
      </c>
      <c r="H22" s="39">
        <v>6316.3300991886335</v>
      </c>
      <c r="I22" s="40">
        <v>329.49119802732963</v>
      </c>
      <c r="J22" s="39">
        <v>6225.8813184789333</v>
      </c>
      <c r="K22" s="40">
        <v>312.37228828339784</v>
      </c>
      <c r="L22" s="39">
        <v>6123.2149814966106</v>
      </c>
      <c r="M22" s="40">
        <v>295.08380832345227</v>
      </c>
      <c r="N22" s="39">
        <v>6005.6257710786085</v>
      </c>
      <c r="O22" s="40">
        <v>277.61603542399399</v>
      </c>
      <c r="P22" s="39">
        <v>5869.6954478843854</v>
      </c>
      <c r="Q22" s="40">
        <v>259.95757385878306</v>
      </c>
      <c r="R22" s="39">
        <v>5711.1317267679251</v>
      </c>
      <c r="S22" s="40">
        <v>242.09535655271537</v>
      </c>
      <c r="T22" s="39">
        <v>5524.6473578641026</v>
      </c>
      <c r="U22" s="40">
        <v>224.01511318095763</v>
      </c>
      <c r="V22" s="39">
        <v>5303.98148137728</v>
      </c>
      <c r="W22" s="40">
        <v>205.70289401290103</v>
      </c>
      <c r="X22" s="39">
        <v>5042.2640621854116</v>
      </c>
      <c r="Y22" s="40">
        <v>187.14798279236535</v>
      </c>
      <c r="Z22" s="39">
        <v>4733.0575601150658</v>
      </c>
      <c r="AA22" s="40">
        <v>168.34700825427203</v>
      </c>
      <c r="AB22" s="39">
        <v>4372.4610427305961</v>
      </c>
      <c r="AC22" s="40">
        <v>149.30628820957662</v>
      </c>
      <c r="AD22" s="39">
        <v>3962.3259265857096</v>
      </c>
      <c r="AE22" s="40">
        <v>130.03153103047495</v>
      </c>
      <c r="AF22" s="39">
        <v>3513.2774895411653</v>
      </c>
      <c r="AG22" s="40">
        <v>110.4778108126597</v>
      </c>
      <c r="AH22" s="39">
        <v>3043.3785672763779</v>
      </c>
      <c r="AI22" s="40">
        <v>90.414930985667468</v>
      </c>
      <c r="AJ22" s="39">
        <v>2566.660834385244</v>
      </c>
      <c r="AK22" s="40">
        <v>69.224360071833516</v>
      </c>
      <c r="AL22" s="39">
        <v>2071.1690391293864</v>
      </c>
      <c r="AM22" s="40">
        <v>46.144070518414146</v>
      </c>
      <c r="AN22" s="39">
        <v>1476.3981906961542</v>
      </c>
      <c r="AO22" s="40">
        <v>22.061549495240726</v>
      </c>
      <c r="AP22" s="39">
        <v>1324.1244853436792</v>
      </c>
      <c r="AQ22" s="40">
        <v>17.362863444347884</v>
      </c>
      <c r="AR22" s="39">
        <v>1148.4951142285761</v>
      </c>
      <c r="AS22" s="40">
        <v>12.758254484122867</v>
      </c>
      <c r="AT22" s="39">
        <v>935.77346948219895</v>
      </c>
      <c r="AU22" s="40">
        <v>8.2775556473953884</v>
      </c>
      <c r="AV22" s="39">
        <v>652.42817222049064</v>
      </c>
      <c r="AW22" s="40">
        <v>3.9700752992675068</v>
      </c>
    </row>
    <row r="23" spans="1:49" x14ac:dyDescent="0.2">
      <c r="A23" t="s">
        <v>7</v>
      </c>
      <c r="B23" s="110">
        <v>3278.5018080150408</v>
      </c>
      <c r="C23" s="8">
        <v>0</v>
      </c>
      <c r="D23" s="110">
        <v>3262.0024329186949</v>
      </c>
      <c r="E23" s="8">
        <v>0</v>
      </c>
      <c r="F23" s="110">
        <v>3242.1442761110143</v>
      </c>
      <c r="G23" s="8">
        <v>0</v>
      </c>
      <c r="H23" s="110">
        <v>3218.200897385399</v>
      </c>
      <c r="I23" s="8">
        <v>0</v>
      </c>
      <c r="J23" s="110">
        <v>3189.2425652026736</v>
      </c>
      <c r="K23" s="8">
        <v>0</v>
      </c>
      <c r="L23" s="110">
        <v>3154.0836512968203</v>
      </c>
      <c r="M23" s="8">
        <v>0</v>
      </c>
      <c r="N23" s="110">
        <v>3111.1958863760087</v>
      </c>
      <c r="O23" s="8">
        <v>0</v>
      </c>
      <c r="P23" s="110">
        <v>3058.6189664789481</v>
      </c>
      <c r="Q23" s="8">
        <v>0</v>
      </c>
      <c r="R23" s="110">
        <v>2993.8545636373269</v>
      </c>
      <c r="S23" s="8">
        <v>0</v>
      </c>
      <c r="T23" s="110">
        <v>2913.7786450802118</v>
      </c>
      <c r="U23" s="8">
        <v>0</v>
      </c>
      <c r="V23" s="110">
        <v>2814.6355157427611</v>
      </c>
      <c r="W23" s="8">
        <v>0</v>
      </c>
      <c r="X23" s="110">
        <v>2692.2365284716916</v>
      </c>
      <c r="Y23" s="8">
        <v>0</v>
      </c>
      <c r="Z23" s="110">
        <v>2542.5796351112895</v>
      </c>
      <c r="AA23" s="8">
        <v>0</v>
      </c>
      <c r="AB23" s="110">
        <v>2363.1560075688817</v>
      </c>
      <c r="AC23" s="8">
        <v>0</v>
      </c>
      <c r="AD23" s="110">
        <v>2155.0362612572208</v>
      </c>
      <c r="AE23" s="8">
        <v>0</v>
      </c>
      <c r="AF23" s="110">
        <v>1925.049322002651</v>
      </c>
      <c r="AG23" s="8">
        <v>0</v>
      </c>
      <c r="AH23" s="110">
        <v>1685.7104761071796</v>
      </c>
      <c r="AI23" s="8">
        <v>0</v>
      </c>
      <c r="AJ23" s="110">
        <v>1449.7066314825734</v>
      </c>
      <c r="AK23" s="8">
        <v>0</v>
      </c>
      <c r="AL23" s="110">
        <v>1218.170586088416</v>
      </c>
      <c r="AM23" s="8">
        <v>0</v>
      </c>
      <c r="AN23" s="110">
        <v>951.38539524129033</v>
      </c>
      <c r="AO23" s="8">
        <v>0</v>
      </c>
      <c r="AP23" s="110">
        <v>881.4423415301319</v>
      </c>
      <c r="AQ23" s="8">
        <v>0</v>
      </c>
      <c r="AR23" s="110">
        <v>798.66511225627551</v>
      </c>
      <c r="AS23" s="8">
        <v>0</v>
      </c>
      <c r="AT23" s="110">
        <v>694.44610725878613</v>
      </c>
      <c r="AU23" s="8">
        <v>0</v>
      </c>
      <c r="AV23" s="110">
        <v>546.26779779988294</v>
      </c>
      <c r="AW23" s="8">
        <v>0</v>
      </c>
    </row>
    <row r="24" spans="1:49" x14ac:dyDescent="0.2">
      <c r="A24" t="s">
        <v>8</v>
      </c>
      <c r="B24" s="93">
        <v>3196.3846373657216</v>
      </c>
      <c r="C24" s="8">
        <v>0</v>
      </c>
      <c r="D24" s="93">
        <v>3196.3846373657216</v>
      </c>
      <c r="E24" s="8">
        <v>0</v>
      </c>
      <c r="F24" s="93">
        <v>3196.3846373657216</v>
      </c>
      <c r="G24" s="8">
        <v>0</v>
      </c>
      <c r="H24" s="93">
        <v>3196.3846373657216</v>
      </c>
      <c r="I24" s="8">
        <v>0</v>
      </c>
      <c r="J24" s="93">
        <v>3196.3846373657216</v>
      </c>
      <c r="K24" s="8">
        <v>0</v>
      </c>
      <c r="L24" s="93">
        <v>3196.3846373657216</v>
      </c>
      <c r="M24" s="8">
        <v>0</v>
      </c>
      <c r="N24" s="93">
        <v>3196.3846373657216</v>
      </c>
      <c r="O24" s="8">
        <v>0</v>
      </c>
      <c r="P24" s="93">
        <v>3196.3846373657216</v>
      </c>
      <c r="Q24" s="8">
        <v>0</v>
      </c>
      <c r="R24" s="93">
        <v>3196.3846373657216</v>
      </c>
      <c r="S24" s="8">
        <v>0</v>
      </c>
      <c r="T24" s="93">
        <v>3196.3846373657216</v>
      </c>
      <c r="U24" s="8">
        <v>0</v>
      </c>
      <c r="V24" s="93">
        <v>3196.3846373657216</v>
      </c>
      <c r="W24" s="8">
        <v>0</v>
      </c>
      <c r="X24" s="93">
        <v>3196.3846373657216</v>
      </c>
      <c r="Y24" s="8">
        <v>0</v>
      </c>
      <c r="Z24" s="93">
        <v>3196.3846373657216</v>
      </c>
      <c r="AA24" s="8">
        <v>0</v>
      </c>
      <c r="AB24" s="93">
        <v>3196.3846373657216</v>
      </c>
      <c r="AC24" s="8">
        <v>0</v>
      </c>
      <c r="AD24" s="93">
        <v>3196.3846373657216</v>
      </c>
      <c r="AE24" s="8">
        <v>0</v>
      </c>
      <c r="AF24" s="93">
        <v>3196.3846373657216</v>
      </c>
      <c r="AG24" s="8">
        <v>0</v>
      </c>
      <c r="AH24" s="93">
        <v>3196.3846373657216</v>
      </c>
      <c r="AI24" s="8">
        <v>0</v>
      </c>
      <c r="AJ24" s="93">
        <v>3196.3846373657216</v>
      </c>
      <c r="AK24" s="8">
        <v>0</v>
      </c>
      <c r="AL24" s="93">
        <v>3196.3846373657216</v>
      </c>
      <c r="AM24" s="8">
        <v>0</v>
      </c>
      <c r="AN24" s="93">
        <v>3196.3846373657216</v>
      </c>
      <c r="AO24" s="8">
        <v>0</v>
      </c>
      <c r="AP24" s="93">
        <v>3196.3846373657216</v>
      </c>
      <c r="AQ24" s="8">
        <v>0</v>
      </c>
      <c r="AR24" s="93">
        <v>3196.3846373657216</v>
      </c>
      <c r="AS24" s="8">
        <v>0</v>
      </c>
      <c r="AT24" s="93">
        <v>3196.3846373657216</v>
      </c>
      <c r="AU24" s="8">
        <v>0</v>
      </c>
      <c r="AV24" s="93">
        <v>3196.3846373657216</v>
      </c>
      <c r="AW24" s="8">
        <v>0</v>
      </c>
    </row>
    <row r="25" spans="1:49" x14ac:dyDescent="0.2">
      <c r="A25" t="s">
        <v>0</v>
      </c>
      <c r="B25" s="39">
        <v>3195.0476040000012</v>
      </c>
      <c r="C25" s="40">
        <v>91.012690000004397</v>
      </c>
      <c r="D25" s="39">
        <v>3188.0232697232855</v>
      </c>
      <c r="E25" s="40">
        <v>81.80816843077811</v>
      </c>
      <c r="F25" s="39">
        <v>3176.2903894704759</v>
      </c>
      <c r="G25" s="40">
        <v>72.935678755106196</v>
      </c>
      <c r="H25" s="39">
        <v>3158.7482552044589</v>
      </c>
      <c r="I25" s="40">
        <v>64.430265692689758</v>
      </c>
      <c r="J25" s="39">
        <v>3133.9725252879043</v>
      </c>
      <c r="K25" s="40">
        <v>56.328662269438993</v>
      </c>
      <c r="L25" s="39">
        <v>3100.126335473894</v>
      </c>
      <c r="M25" s="40">
        <v>48.668511112402264</v>
      </c>
      <c r="N25" s="39">
        <v>3054.8137469328344</v>
      </c>
      <c r="O25" s="40">
        <v>41.48806737779281</v>
      </c>
      <c r="P25" s="39">
        <v>2994.9232772700966</v>
      </c>
      <c r="Q25" s="40">
        <v>34.824873890438028</v>
      </c>
      <c r="R25" s="39">
        <v>2916.4369214375633</v>
      </c>
      <c r="S25" s="40">
        <v>28.714225800920008</v>
      </c>
      <c r="T25" s="39">
        <v>2814.2562439636754</v>
      </c>
      <c r="U25" s="40">
        <v>23.186687443187388</v>
      </c>
      <c r="V25" s="39">
        <v>2682.1443802586637</v>
      </c>
      <c r="W25" s="40">
        <v>18.264697032334539</v>
      </c>
      <c r="X25" s="39">
        <v>2512.9788433800345</v>
      </c>
      <c r="Y25" s="40">
        <v>13.958290071153911</v>
      </c>
      <c r="Z25" s="39">
        <v>2299.6706729825887</v>
      </c>
      <c r="AA25" s="40">
        <v>10.260939808648123</v>
      </c>
      <c r="AB25" s="39">
        <v>2037.2144006658643</v>
      </c>
      <c r="AC25" s="40">
        <v>7.1482666715105552</v>
      </c>
      <c r="AD25" s="39">
        <v>1726.1248615371014</v>
      </c>
      <c r="AE25" s="40">
        <v>4.5858874566006058</v>
      </c>
      <c r="AF25" s="39">
        <v>1376.4128542451936</v>
      </c>
      <c r="AG25" s="40">
        <v>2.5547001365498634</v>
      </c>
      <c r="AH25" s="39">
        <v>1008.8904730117769</v>
      </c>
      <c r="AI25" s="40">
        <v>1.0892729698908197</v>
      </c>
      <c r="AJ25" s="39">
        <v>650.54396441276572</v>
      </c>
      <c r="AK25" s="40">
        <v>0.26639608102088097</v>
      </c>
      <c r="AL25" s="39">
        <v>332.59472145572164</v>
      </c>
      <c r="AM25" s="40">
        <v>1.8765553152692922E-2</v>
      </c>
      <c r="AN25" s="39">
        <v>100.32423336116806</v>
      </c>
      <c r="AO25" s="40">
        <v>7.1039260915869146E-5</v>
      </c>
      <c r="AP25" s="39">
        <v>68.175499404393221</v>
      </c>
      <c r="AQ25" s="40">
        <v>1.0962536219471375E-5</v>
      </c>
      <c r="AR25" s="39">
        <v>41.500068943930643</v>
      </c>
      <c r="AS25" s="40">
        <v>9.9318108382215195E-7</v>
      </c>
      <c r="AT25" s="39">
        <v>20.699620805448472</v>
      </c>
      <c r="AU25" s="40">
        <v>3.5313932235673828E-8</v>
      </c>
      <c r="AV25" s="39">
        <v>6.385216949044727</v>
      </c>
      <c r="AW25" s="40">
        <v>1.4198369807356695E-10</v>
      </c>
    </row>
    <row r="26" spans="1:49" x14ac:dyDescent="0.2">
      <c r="A26" t="s">
        <v>27</v>
      </c>
      <c r="B26" s="31">
        <v>5036.2953101960647</v>
      </c>
      <c r="C26" s="32">
        <v>74.905331803938267</v>
      </c>
      <c r="D26" s="31">
        <v>5014.5911388889399</v>
      </c>
      <c r="E26" s="32">
        <v>70.226355790461781</v>
      </c>
      <c r="F26" s="31">
        <v>4988.5291368795433</v>
      </c>
      <c r="G26" s="32">
        <v>65.538955984606858</v>
      </c>
      <c r="H26" s="31">
        <v>4957.0793981728248</v>
      </c>
      <c r="I26" s="32">
        <v>60.845156277526407</v>
      </c>
      <c r="J26" s="31">
        <v>4918.9036896875159</v>
      </c>
      <c r="K26" s="32">
        <v>56.148129310636854</v>
      </c>
      <c r="L26" s="31">
        <v>4872.2690807614563</v>
      </c>
      <c r="M26" s="32">
        <v>51.452488877886886</v>
      </c>
      <c r="N26" s="31">
        <v>4814.9054726352451</v>
      </c>
      <c r="O26" s="32">
        <v>46.765149308208457</v>
      </c>
      <c r="P26" s="31">
        <v>4743.8506786032276</v>
      </c>
      <c r="Q26" s="32">
        <v>42.096007367034424</v>
      </c>
      <c r="R26" s="31">
        <v>4655.2582966645077</v>
      </c>
      <c r="S26" s="32">
        <v>37.458935690081518</v>
      </c>
      <c r="T26" s="31">
        <v>4544.2145672772212</v>
      </c>
      <c r="U26" s="32">
        <v>32.872635169856075</v>
      </c>
      <c r="V26" s="31">
        <v>4404.65244664069</v>
      </c>
      <c r="W26" s="32">
        <v>28.360970773177261</v>
      </c>
      <c r="X26" s="31">
        <v>4229.5414907720515</v>
      </c>
      <c r="Y26" s="32">
        <v>23.952027534857486</v>
      </c>
      <c r="Z26" s="31">
        <v>4011.6773526354609</v>
      </c>
      <c r="AA26" s="32">
        <v>19.675013622771456</v>
      </c>
      <c r="AB26" s="31">
        <v>3745.4762838421857</v>
      </c>
      <c r="AC26" s="32">
        <v>15.555074628656266</v>
      </c>
      <c r="AD26" s="31">
        <v>3429.9188166004624</v>
      </c>
      <c r="AE26" s="32">
        <v>11.611066484841363</v>
      </c>
      <c r="AF26" s="31">
        <v>3071.554540719173</v>
      </c>
      <c r="AG26" s="32">
        <v>7.8736142826735556</v>
      </c>
      <c r="AH26" s="31">
        <v>2683.7050482302252</v>
      </c>
      <c r="AI26" s="32">
        <v>4.4605829494460876</v>
      </c>
      <c r="AJ26" s="31">
        <v>2275.9206184606523</v>
      </c>
      <c r="AK26" s="32">
        <v>1.7332746284492919</v>
      </c>
      <c r="AL26" s="31">
        <v>1832.0699990997846</v>
      </c>
      <c r="AM26" s="32">
        <v>0.28528791305757711</v>
      </c>
      <c r="AN26" s="31">
        <v>1267.8050137942657</v>
      </c>
      <c r="AO26" s="32">
        <v>6.1661750168413489E-3</v>
      </c>
      <c r="AP26" s="31">
        <v>1119.0649179750424</v>
      </c>
      <c r="AQ26" s="32">
        <v>1.7003263050911594E-3</v>
      </c>
      <c r="AR26" s="31">
        <v>946.60931969863634</v>
      </c>
      <c r="AS26" s="32">
        <v>3.2441704963555393E-4</v>
      </c>
      <c r="AT26" s="31">
        <v>738.27384055741129</v>
      </c>
      <c r="AU26" s="32">
        <v>3.2385189826467603E-5</v>
      </c>
      <c r="AV26" s="31">
        <v>467.7591826477514</v>
      </c>
      <c r="AW26" s="32">
        <v>7.1128088902359717E-7</v>
      </c>
    </row>
    <row r="27" spans="1:49" x14ac:dyDescent="0.2">
      <c r="A27" t="s">
        <v>2</v>
      </c>
      <c r="B27" s="33">
        <v>6425.1981590000414</v>
      </c>
      <c r="C27" s="34">
        <v>273.22915400000028</v>
      </c>
      <c r="D27" s="33">
        <v>6388.975367535405</v>
      </c>
      <c r="E27" s="34">
        <v>255.99097321560126</v>
      </c>
      <c r="F27" s="33">
        <v>6346.5632676743935</v>
      </c>
      <c r="G27" s="34">
        <v>238.73125376125859</v>
      </c>
      <c r="H27" s="33">
        <v>6296.6056018231156</v>
      </c>
      <c r="I27" s="34">
        <v>221.45879889991554</v>
      </c>
      <c r="J27" s="33">
        <v>6237.3612045179543</v>
      </c>
      <c r="K27" s="34">
        <v>204.1870814101477</v>
      </c>
      <c r="L27" s="33">
        <v>6166.6004046998733</v>
      </c>
      <c r="M27" s="34">
        <v>186.93484458385655</v>
      </c>
      <c r="N27" s="33">
        <v>6081.4371513157885</v>
      </c>
      <c r="O27" s="34">
        <v>169.72981454557601</v>
      </c>
      <c r="P27" s="33">
        <v>5978.1502727862635</v>
      </c>
      <c r="Q27" s="34">
        <v>152.6108528876577</v>
      </c>
      <c r="R27" s="33">
        <v>5851.9685486797907</v>
      </c>
      <c r="S27" s="34">
        <v>135.63168002688673</v>
      </c>
      <c r="T27" s="33">
        <v>5696.8808059857838</v>
      </c>
      <c r="U27" s="34">
        <v>118.86399617392355</v>
      </c>
      <c r="V27" s="33">
        <v>5505.5845799631879</v>
      </c>
      <c r="W27" s="34">
        <v>102.39852146547757</v>
      </c>
      <c r="X27" s="33">
        <v>5269.798172547441</v>
      </c>
      <c r="Y27" s="34">
        <v>86.34142945662326</v>
      </c>
      <c r="Z27" s="33">
        <v>4981.33057903596</v>
      </c>
      <c r="AA27" s="34">
        <v>70.802945888899501</v>
      </c>
      <c r="AB27" s="33">
        <v>4634.3885424495811</v>
      </c>
      <c r="AC27" s="34">
        <v>55.878075544696109</v>
      </c>
      <c r="AD27" s="33">
        <v>4229.2537451299659</v>
      </c>
      <c r="AE27" s="34">
        <v>41.637887816120653</v>
      </c>
      <c r="AF27" s="33">
        <v>3775.9359092392733</v>
      </c>
      <c r="AG27" s="34">
        <v>28.192522630748734</v>
      </c>
      <c r="AH27" s="33">
        <v>3293.085067526752</v>
      </c>
      <c r="AI27" s="34">
        <v>15.957039942848199</v>
      </c>
      <c r="AJ27" s="33">
        <v>2795.311315158061</v>
      </c>
      <c r="AK27" s="34">
        <v>6.2034108165347188</v>
      </c>
      <c r="AL27" s="33">
        <v>2267.9301378414089</v>
      </c>
      <c r="AM27" s="34">
        <v>1.0250705730349878</v>
      </c>
      <c r="AN27" s="33">
        <v>1616.7350829420134</v>
      </c>
      <c r="AO27" s="34">
        <v>2.2487214427162585E-2</v>
      </c>
      <c r="AP27" s="33">
        <v>1446.2924588015583</v>
      </c>
      <c r="AQ27" s="34">
        <v>6.2425120696486328E-3</v>
      </c>
      <c r="AR27" s="33">
        <v>1247.8477704987358</v>
      </c>
      <c r="AS27" s="34">
        <v>1.2028895719542745E-3</v>
      </c>
      <c r="AT27" s="33">
        <v>1005.2352487002967</v>
      </c>
      <c r="AU27" s="34">
        <v>1.2203887948406221E-4</v>
      </c>
      <c r="AV27" s="33">
        <v>680.28028091591716</v>
      </c>
      <c r="AW27" s="34">
        <v>2.7701326471366623E-6</v>
      </c>
    </row>
    <row r="28" spans="1:49" x14ac:dyDescent="0.2">
      <c r="A28" t="s">
        <v>35</v>
      </c>
      <c r="B28" s="39">
        <v>13763.097676000029</v>
      </c>
      <c r="C28" s="40">
        <v>382.36647899999997</v>
      </c>
      <c r="D28" s="39">
        <v>13695.241711443141</v>
      </c>
      <c r="E28" s="40">
        <v>358.3109057268702</v>
      </c>
      <c r="F28" s="39">
        <v>13614.823516301727</v>
      </c>
      <c r="G28" s="40">
        <v>334.2212972266185</v>
      </c>
      <c r="H28" s="39">
        <v>13518.980506457125</v>
      </c>
      <c r="I28" s="40">
        <v>310.1093982083425</v>
      </c>
      <c r="J28" s="39">
        <v>13404.014790615771</v>
      </c>
      <c r="K28" s="40">
        <v>285.99330195449022</v>
      </c>
      <c r="L28" s="39">
        <v>13265.163622149319</v>
      </c>
      <c r="M28" s="40">
        <v>261.89847785355016</v>
      </c>
      <c r="N28" s="39">
        <v>13096.223984353735</v>
      </c>
      <c r="O28" s="40">
        <v>237.86274188652649</v>
      </c>
      <c r="P28" s="39">
        <v>12889.148432469514</v>
      </c>
      <c r="Q28" s="40">
        <v>213.93940576564333</v>
      </c>
      <c r="R28" s="39">
        <v>12633.551091600633</v>
      </c>
      <c r="S28" s="40">
        <v>190.20245424624014</v>
      </c>
      <c r="T28" s="39">
        <v>12316.252760683614</v>
      </c>
      <c r="U28" s="40">
        <v>166.75091648191471</v>
      </c>
      <c r="V28" s="39">
        <v>11921.107834896497</v>
      </c>
      <c r="W28" s="40">
        <v>143.71040322990061</v>
      </c>
      <c r="X28" s="39">
        <v>11429.598888609349</v>
      </c>
      <c r="Y28" s="40">
        <v>121.22817418137923</v>
      </c>
      <c r="Z28" s="39">
        <v>10823.065676353042</v>
      </c>
      <c r="AA28" s="40">
        <v>99.457233878985733</v>
      </c>
      <c r="AB28" s="39">
        <v>10087.63794155693</v>
      </c>
      <c r="AC28" s="40">
        <v>78.529501855513644</v>
      </c>
      <c r="AD28" s="39">
        <v>9222.2124131538149</v>
      </c>
      <c r="AE28" s="40">
        <v>58.543834707500537</v>
      </c>
      <c r="AF28" s="39">
        <v>8246.48937465989</v>
      </c>
      <c r="AG28" s="40">
        <v>39.655247711749439</v>
      </c>
      <c r="AH28" s="39">
        <v>7198.7211771429738</v>
      </c>
      <c r="AI28" s="40">
        <v>22.450416989434096</v>
      </c>
      <c r="AJ28" s="39">
        <v>6107.6729401738985</v>
      </c>
      <c r="AK28" s="40">
        <v>8.7266836143107529</v>
      </c>
      <c r="AL28" s="39">
        <v>4935.401352943084</v>
      </c>
      <c r="AM28" s="40">
        <v>1.4405159305712323</v>
      </c>
      <c r="AN28" s="39">
        <v>3463.9310584792538</v>
      </c>
      <c r="AO28" s="40">
        <v>3.1471351534029718E-2</v>
      </c>
      <c r="AP28" s="39">
        <v>3076.5598195107218</v>
      </c>
      <c r="AQ28" s="40">
        <v>8.7196435724209691E-3</v>
      </c>
      <c r="AR28" s="39">
        <v>2625.8947715856939</v>
      </c>
      <c r="AS28" s="40">
        <v>1.6752579359092764E-3</v>
      </c>
      <c r="AT28" s="39">
        <v>2077.2566044056111</v>
      </c>
      <c r="AU28" s="40">
        <v>1.6909976660384811E-4</v>
      </c>
      <c r="AV28" s="39">
        <v>1352.2120880183395</v>
      </c>
      <c r="AW28" s="40">
        <v>3.7949311541312567E-6</v>
      </c>
    </row>
    <row r="29" spans="1:49" x14ac:dyDescent="0.2">
      <c r="A29" t="s">
        <v>53</v>
      </c>
      <c r="B29" s="33">
        <v>14362.768558000025</v>
      </c>
      <c r="C29" s="34">
        <v>817.26650999999993</v>
      </c>
      <c r="D29" s="33">
        <v>14273.671014323541</v>
      </c>
      <c r="E29" s="34">
        <v>759.76597817016182</v>
      </c>
      <c r="F29" s="33">
        <v>14170.411211878349</v>
      </c>
      <c r="G29" s="34">
        <v>702.71444955031086</v>
      </c>
      <c r="H29" s="33">
        <v>14049.983966483227</v>
      </c>
      <c r="I29" s="34">
        <v>646.19061743102441</v>
      </c>
      <c r="J29" s="33">
        <v>13908.546768157899</v>
      </c>
      <c r="K29" s="34">
        <v>590.29211252289758</v>
      </c>
      <c r="L29" s="33">
        <v>13741.199175923553</v>
      </c>
      <c r="M29" s="34">
        <v>535.13701881906013</v>
      </c>
      <c r="N29" s="33">
        <v>13541.622091472989</v>
      </c>
      <c r="O29" s="34">
        <v>480.87353399827759</v>
      </c>
      <c r="P29" s="33">
        <v>13301.697601550624</v>
      </c>
      <c r="Q29" s="34">
        <v>427.6841637239919</v>
      </c>
      <c r="R29" s="33">
        <v>13011.051586929958</v>
      </c>
      <c r="S29" s="34">
        <v>375.79262113392031</v>
      </c>
      <c r="T29" s="33">
        <v>12656.650358586045</v>
      </c>
      <c r="U29" s="34">
        <v>325.46638528017115</v>
      </c>
      <c r="V29" s="33">
        <v>12222.69174884134</v>
      </c>
      <c r="W29" s="34">
        <v>277.01023030195495</v>
      </c>
      <c r="X29" s="33">
        <v>11691.258577342369</v>
      </c>
      <c r="Y29" s="34">
        <v>230.74320143601238</v>
      </c>
      <c r="Z29" s="33">
        <v>11044.5528016845</v>
      </c>
      <c r="AA29" s="34">
        <v>186.95120290538711</v>
      </c>
      <c r="AB29" s="33">
        <v>10269.68318568882</v>
      </c>
      <c r="AC29" s="34">
        <v>145.8191334334455</v>
      </c>
      <c r="AD29" s="33">
        <v>9366.2090488347512</v>
      </c>
      <c r="AE29" s="34">
        <v>107.40031493576429</v>
      </c>
      <c r="AF29" s="33">
        <v>8353.3494222089212</v>
      </c>
      <c r="AG29" s="34">
        <v>71.801938938326842</v>
      </c>
      <c r="AH29" s="33">
        <v>7266.5527273441194</v>
      </c>
      <c r="AI29" s="34">
        <v>39.948472703182659</v>
      </c>
      <c r="AJ29" s="33">
        <v>6128.0151243682612</v>
      </c>
      <c r="AK29" s="34">
        <v>15.073484381648667</v>
      </c>
      <c r="AL29" s="33">
        <v>4888.4502183611467</v>
      </c>
      <c r="AM29" s="34">
        <v>2.342645119351658</v>
      </c>
      <c r="AN29" s="33">
        <v>3322.9596475255462</v>
      </c>
      <c r="AO29" s="34">
        <v>4.4835166689411177E-2</v>
      </c>
      <c r="AP29" s="33">
        <v>2916.0083896861011</v>
      </c>
      <c r="AQ29" s="34">
        <v>1.1880805341291902E-2</v>
      </c>
      <c r="AR29" s="33">
        <v>2448.3098341640748</v>
      </c>
      <c r="AS29" s="34">
        <v>2.1560620715878821E-3</v>
      </c>
      <c r="AT29" s="33">
        <v>1889.7518636690561</v>
      </c>
      <c r="AU29" s="34">
        <v>2.0118886048425938E-4</v>
      </c>
      <c r="AV29" s="33">
        <v>1175.9045824853365</v>
      </c>
      <c r="AW29" s="34">
        <v>3.9737078705621543E-6</v>
      </c>
    </row>
    <row r="30" spans="1:49" x14ac:dyDescent="0.2">
      <c r="A30" t="s">
        <v>48</v>
      </c>
      <c r="B30" s="112">
        <v>2924829.9599999995</v>
      </c>
      <c r="D30" s="112">
        <v>2946965.7533587352</v>
      </c>
      <c r="F30" s="112">
        <v>2966721.5958412662</v>
      </c>
      <c r="H30" s="112">
        <v>2983530.0939425072</v>
      </c>
      <c r="J30" s="112">
        <v>2996654.1557487878</v>
      </c>
      <c r="L30" s="112">
        <v>3005143.2783574797</v>
      </c>
      <c r="N30" s="112">
        <v>3007763.7348801102</v>
      </c>
      <c r="P30" s="112">
        <v>3002930.1864870419</v>
      </c>
      <c r="R30" s="112">
        <v>2988632.7849881779</v>
      </c>
      <c r="T30" s="112">
        <v>2962402.7538452134</v>
      </c>
      <c r="V30" s="112">
        <v>2921390.9494769471</v>
      </c>
      <c r="X30" s="112">
        <v>2862719.2497330564</v>
      </c>
      <c r="Z30" s="112">
        <v>2784391.3772491189</v>
      </c>
      <c r="AB30" s="112">
        <v>2687191.7489161594</v>
      </c>
      <c r="AD30" s="112">
        <v>2578030.4962287294</v>
      </c>
      <c r="AF30" s="112">
        <v>2474906.6614773469</v>
      </c>
      <c r="AH30" s="112">
        <v>2413555.4936039988</v>
      </c>
      <c r="AJ30" s="112">
        <v>2460439.2883389653</v>
      </c>
      <c r="AL30" s="112">
        <v>2749620.850919914</v>
      </c>
      <c r="AN30" s="112">
        <v>3561114.0066478718</v>
      </c>
      <c r="AP30" s="112">
        <v>3843369.2134419344</v>
      </c>
      <c r="AR30" s="112">
        <v>4199949.5913047269</v>
      </c>
      <c r="AT30" s="112">
        <v>4669321.5487171914</v>
      </c>
      <c r="AV30" s="112">
        <v>5325450.63064312</v>
      </c>
    </row>
    <row r="31" spans="1:49" x14ac:dyDescent="0.2">
      <c r="A31" t="s">
        <v>47</v>
      </c>
      <c r="B31" s="77">
        <v>1</v>
      </c>
      <c r="D31" s="77">
        <v>0.98816454279996269</v>
      </c>
      <c r="F31" s="77">
        <v>0.97518218535637691</v>
      </c>
      <c r="H31" s="77">
        <v>0.96085075658470442</v>
      </c>
      <c r="J31" s="77">
        <v>0.94491872878262417</v>
      </c>
      <c r="L31" s="77">
        <v>0.9270738865736311</v>
      </c>
      <c r="N31" s="77">
        <v>0.90692468648557722</v>
      </c>
      <c r="P31" s="77">
        <v>0.88398222509350821</v>
      </c>
      <c r="R31" s="77">
        <v>0.85763994181165737</v>
      </c>
      <c r="T31" s="77">
        <v>0.82715993194648152</v>
      </c>
      <c r="V31" s="77">
        <v>0.79168007783096828</v>
      </c>
      <c r="X31" s="77">
        <v>0.75026915129722682</v>
      </c>
      <c r="Z31" s="77">
        <v>0.70207394029696268</v>
      </c>
      <c r="AB31" s="77">
        <v>0.64660662134622093</v>
      </c>
      <c r="AD31" s="77">
        <v>0.58417015680156736</v>
      </c>
      <c r="AF31" s="77">
        <v>0.51622805013680273</v>
      </c>
      <c r="AH31" s="77">
        <v>0.44512398216414961</v>
      </c>
      <c r="AJ31" s="77">
        <v>0.37232232305958662</v>
      </c>
      <c r="AL31" s="77">
        <v>0.29515775345489081</v>
      </c>
      <c r="AN31" s="77">
        <v>0.20126797982258654</v>
      </c>
      <c r="AP31" s="77">
        <v>0.17748065399921875</v>
      </c>
      <c r="AR31" s="77">
        <v>0.15037940349418308</v>
      </c>
      <c r="AT31" s="77">
        <v>0.11820047279475669</v>
      </c>
      <c r="AV31" s="77">
        <v>7.6857603044381342E-2</v>
      </c>
    </row>
    <row r="32" spans="1:49" x14ac:dyDescent="0.2">
      <c r="A32" t="s">
        <v>64</v>
      </c>
      <c r="B32" s="83">
        <v>14734457.915000005</v>
      </c>
      <c r="D32" s="83">
        <v>14629882.701358467</v>
      </c>
      <c r="F32" s="83">
        <v>14513989.91013803</v>
      </c>
      <c r="H32" s="83">
        <v>14384496.797305273</v>
      </c>
      <c r="J32" s="83">
        <v>14238528.227959452</v>
      </c>
      <c r="L32" s="83">
        <v>14072480.39384524</v>
      </c>
      <c r="N32" s="83">
        <v>13881802.720314709</v>
      </c>
      <c r="P32" s="83">
        <v>13660800.099930827</v>
      </c>
      <c r="R32" s="83">
        <v>13402441.380519476</v>
      </c>
      <c r="T32" s="83">
        <v>13098320.861093242</v>
      </c>
      <c r="V32" s="83">
        <v>12739036.545302778</v>
      </c>
      <c r="X32" s="83">
        <v>12315491.899594083</v>
      </c>
      <c r="Z32" s="83">
        <v>11822001.223483449</v>
      </c>
      <c r="AB32" s="83">
        <v>11262380.451901192</v>
      </c>
      <c r="AD32" s="83">
        <v>10659915.783976173</v>
      </c>
      <c r="AF32" s="83">
        <v>10070255.695694681</v>
      </c>
      <c r="AH32" s="83">
        <v>9593612.9699959531</v>
      </c>
      <c r="AJ32" s="83">
        <v>9390239.4392151386</v>
      </c>
      <c r="AL32" s="83">
        <v>9720810.324383324</v>
      </c>
      <c r="AN32" s="83">
        <v>10930380.590257933</v>
      </c>
      <c r="AP32" s="83">
        <v>11305656.906679064</v>
      </c>
      <c r="AR32" s="83">
        <v>11724249.67034376</v>
      </c>
      <c r="AT32" s="83">
        <v>12158578.933296859</v>
      </c>
      <c r="AV32" s="83">
        <v>12440768.613016138</v>
      </c>
    </row>
    <row r="33" spans="1:49 16319:16384" x14ac:dyDescent="0.2">
      <c r="A33" t="s">
        <v>54</v>
      </c>
      <c r="B33" s="111">
        <v>7019665.6909999885</v>
      </c>
      <c r="D33" s="111">
        <v>6944348.4660153668</v>
      </c>
      <c r="F33" s="111">
        <v>6863718.6999639999</v>
      </c>
      <c r="H33" s="111">
        <v>6776756.6523764413</v>
      </c>
      <c r="J33" s="111">
        <v>6682191.7701901253</v>
      </c>
      <c r="L33" s="111">
        <v>6578446.5974915475</v>
      </c>
      <c r="N33" s="111">
        <v>6463549.8456562832</v>
      </c>
      <c r="P33" s="111">
        <v>6335058.7405932778</v>
      </c>
      <c r="R33" s="111">
        <v>6189988.0188926384</v>
      </c>
      <c r="T33" s="111">
        <v>6024809.3386102933</v>
      </c>
      <c r="V33" s="111">
        <v>5835627.5958728893</v>
      </c>
      <c r="X33" s="111">
        <v>5618746.3692937037</v>
      </c>
      <c r="Z33" s="111">
        <v>5371972.8056956315</v>
      </c>
      <c r="AB33" s="111">
        <v>5097108.8952104831</v>
      </c>
      <c r="AD33" s="111">
        <v>4803888.3192606894</v>
      </c>
      <c r="AF33" s="111">
        <v>4514690.2006805614</v>
      </c>
      <c r="AH33" s="111">
        <v>4267840.0745537598</v>
      </c>
      <c r="AJ33" s="111">
        <v>4119086.6188753042</v>
      </c>
      <c r="AL33" s="111">
        <v>4143688.501485277</v>
      </c>
      <c r="AN33" s="111">
        <v>4380306.3070786102</v>
      </c>
      <c r="AP33" s="111">
        <v>4435598.2342492053</v>
      </c>
      <c r="AR33" s="111">
        <v>4472458.5159920165</v>
      </c>
      <c r="AT33" s="111">
        <v>4451629.0743728951</v>
      </c>
      <c r="AV33" s="111">
        <v>4229358.7666586749</v>
      </c>
    </row>
    <row r="34" spans="1:49 16319:16384" x14ac:dyDescent="0.2">
      <c r="A34" t="s">
        <v>75</v>
      </c>
      <c r="B34" s="111">
        <v>1136879.4410000162</v>
      </c>
      <c r="D34" s="111">
        <v>1137998.8698916542</v>
      </c>
      <c r="F34" s="111">
        <v>1134912.2277700938</v>
      </c>
      <c r="H34" s="111">
        <v>1126660.7420334644</v>
      </c>
      <c r="J34" s="111">
        <v>1111998.1905688606</v>
      </c>
      <c r="L34" s="111">
        <v>1089309.8452298376</v>
      </c>
      <c r="N34" s="111">
        <v>1056474.5049837516</v>
      </c>
      <c r="P34" s="111">
        <v>1010709.5468694879</v>
      </c>
      <c r="R34" s="111">
        <v>948365.10860438831</v>
      </c>
      <c r="T34" s="111">
        <v>864691.02365613123</v>
      </c>
      <c r="V34" s="111">
        <v>753625.49753912911</v>
      </c>
      <c r="X34" s="111">
        <v>607697.70086838119</v>
      </c>
      <c r="Z34" s="111">
        <v>418225.03820671601</v>
      </c>
      <c r="AB34" s="111">
        <v>176001.03169696906</v>
      </c>
      <c r="AD34" s="111">
        <v>-127613.42469876906</v>
      </c>
      <c r="AF34" s="111">
        <v>-500456.35062960704</v>
      </c>
      <c r="AH34" s="111">
        <v>-954849.2139690856</v>
      </c>
      <c r="AJ34" s="111">
        <v>-1531549.9712581316</v>
      </c>
      <c r="AL34" s="111">
        <v>-2385911.5094821095</v>
      </c>
      <c r="AN34" s="111">
        <v>-4221785.5297953272</v>
      </c>
      <c r="AP34" s="111">
        <v>-4952947.2538817683</v>
      </c>
      <c r="AR34" s="111">
        <v>-6005040.9418061888</v>
      </c>
      <c r="AT34" s="111">
        <v>-7691742.0223555751</v>
      </c>
      <c r="AV34" s="111">
        <v>-11055777.933152055</v>
      </c>
    </row>
    <row r="35" spans="1:49 16319:16384" x14ac:dyDescent="0.2">
      <c r="A35" t="s">
        <v>78</v>
      </c>
      <c r="B35" s="192">
        <v>1</v>
      </c>
      <c r="D35" s="192">
        <v>1.0011199694790875</v>
      </c>
      <c r="F35" s="192">
        <v>1.002674521361578</v>
      </c>
      <c r="H35" s="192">
        <v>1.0047528220599151</v>
      </c>
      <c r="J35" s="192">
        <v>1.0074712229287346</v>
      </c>
      <c r="L35" s="192">
        <v>1.010983126949154</v>
      </c>
      <c r="N35" s="192">
        <v>1.0154956914862736</v>
      </c>
      <c r="P35" s="192">
        <v>1.021293669495547</v>
      </c>
      <c r="R35" s="192">
        <v>1.0287777638413984</v>
      </c>
      <c r="T35" s="192">
        <v>1.0385263550808246</v>
      </c>
      <c r="V35" s="192">
        <v>1.0513975223831382</v>
      </c>
      <c r="X35" s="192">
        <v>1.0687045371958068</v>
      </c>
      <c r="Z35" s="192">
        <v>1.0925274744922577</v>
      </c>
      <c r="AB35" s="192">
        <v>1.1262854205953352</v>
      </c>
      <c r="AD35" s="192">
        <v>1.1758277196604945</v>
      </c>
      <c r="AF35" s="192">
        <v>1.2516586944821739</v>
      </c>
      <c r="AH35" s="192">
        <v>1.3742882049776781</v>
      </c>
      <c r="AJ35" s="192">
        <v>1.5909514320567624</v>
      </c>
      <c r="AL35" s="192">
        <v>2.0386960599339057</v>
      </c>
      <c r="AN35" s="192">
        <v>3.2880744132119379</v>
      </c>
      <c r="AP35" s="192">
        <v>3.8518237414182934</v>
      </c>
      <c r="AR35" s="192">
        <v>4.7273370688348653</v>
      </c>
      <c r="AT35" s="192">
        <v>6.3091678986146391</v>
      </c>
      <c r="AV35" s="192">
        <v>10.279730352116294</v>
      </c>
    </row>
    <row r="36" spans="1:49 16319:16384" x14ac:dyDescent="0.2">
      <c r="A36" t="s">
        <v>21</v>
      </c>
      <c r="B36" s="35">
        <v>0.47195767671988198</v>
      </c>
      <c r="C36" s="36">
        <v>0.31738834428178964</v>
      </c>
      <c r="D36" s="35">
        <v>0.47199022163460325</v>
      </c>
      <c r="E36" s="36">
        <v>0.31969139724625167</v>
      </c>
      <c r="F36" s="35">
        <v>0.47201966952417307</v>
      </c>
      <c r="G36" s="36">
        <v>0.32216728631917796</v>
      </c>
      <c r="H36" s="35">
        <v>0.47204475128449513</v>
      </c>
      <c r="I36" s="36">
        <v>0.32483092854885809</v>
      </c>
      <c r="J36" s="35">
        <v>0.47206375859596245</v>
      </c>
      <c r="K36" s="36">
        <v>0.32769712532255962</v>
      </c>
      <c r="L36" s="35">
        <v>0.47207440600196016</v>
      </c>
      <c r="M36" s="36">
        <v>0.33077970603698709</v>
      </c>
      <c r="N36" s="35">
        <v>0.47207360305332546</v>
      </c>
      <c r="O36" s="36">
        <v>0.33408971103826546</v>
      </c>
      <c r="P36" s="35">
        <v>0.47205720455984418</v>
      </c>
      <c r="Q36" s="36">
        <v>0.33763288715162398</v>
      </c>
      <c r="R36" s="35">
        <v>0.47201971665365167</v>
      </c>
      <c r="S36" s="36">
        <v>0.34140576798909655</v>
      </c>
      <c r="T36" s="35">
        <v>0.47195409497785573</v>
      </c>
      <c r="U36" s="36">
        <v>0.34539043339360082</v>
      </c>
      <c r="V36" s="35">
        <v>0.47185195960186543</v>
      </c>
      <c r="W36" s="36">
        <v>0.34954855118963479</v>
      </c>
      <c r="X36" s="35">
        <v>0.47170508162153268</v>
      </c>
      <c r="Y36" s="36">
        <v>0.35381762398386857</v>
      </c>
      <c r="Z36" s="35">
        <v>0.47151022428464262</v>
      </c>
      <c r="AA36" s="36">
        <v>0.35811792582901719</v>
      </c>
      <c r="AB36" s="35">
        <v>0.47128206404165029</v>
      </c>
      <c r="AC36" s="36">
        <v>0.36239039255073091</v>
      </c>
      <c r="AD36" s="35">
        <v>0.47108408094069376</v>
      </c>
      <c r="AE36" s="36">
        <v>0.36670803955976233</v>
      </c>
      <c r="AF36" s="35">
        <v>0.47109613420741775</v>
      </c>
      <c r="AG36" s="36">
        <v>0.37154017225082447</v>
      </c>
      <c r="AH36" s="35">
        <v>0.47175618827886012</v>
      </c>
      <c r="AI36" s="36">
        <v>0.37831650710392084</v>
      </c>
      <c r="AJ36" s="35">
        <v>0.47410718184508321</v>
      </c>
      <c r="AK36" s="36">
        <v>0.39072786137754367</v>
      </c>
      <c r="AL36" s="35">
        <v>0.48093157070641052</v>
      </c>
      <c r="AM36" s="36">
        <v>0.41849182648861427</v>
      </c>
      <c r="AN36" s="35">
        <v>0.50191066620261149</v>
      </c>
      <c r="AO36" s="36">
        <v>0.4919969588179578</v>
      </c>
      <c r="AP36" s="35">
        <v>0.51098129505243817</v>
      </c>
      <c r="AQ36" s="36">
        <v>0.52121587973110217</v>
      </c>
      <c r="AR36" s="35">
        <v>0.52438040073106595</v>
      </c>
      <c r="AS36" s="36">
        <v>0.56247196399343113</v>
      </c>
      <c r="AT36" s="35">
        <v>0.5467373393267615</v>
      </c>
      <c r="AU36" s="36">
        <v>0.62747584643019605</v>
      </c>
      <c r="AV36" s="35">
        <v>0.59550811276234117</v>
      </c>
      <c r="AW36" s="36">
        <v>0.75826916793852239</v>
      </c>
    </row>
    <row r="37" spans="1:49 16319:16384" x14ac:dyDescent="0.2">
      <c r="B37" s="37">
        <v>2.1403217525954466E-2</v>
      </c>
      <c r="C37" s="38">
        <v>0.3496246130199252</v>
      </c>
      <c r="D37" s="37">
        <v>2.079133940805698E-2</v>
      </c>
      <c r="E37" s="38">
        <v>0.34602414504749796</v>
      </c>
      <c r="F37" s="37">
        <v>2.0174512431424468E-2</v>
      </c>
      <c r="G37" s="38">
        <v>0.34237396753730681</v>
      </c>
      <c r="H37" s="37">
        <v>1.9553580099451053E-2</v>
      </c>
      <c r="I37" s="38">
        <v>0.33867897898349153</v>
      </c>
      <c r="J37" s="37">
        <v>1.8929741447619622E-2</v>
      </c>
      <c r="K37" s="38">
        <v>0.33494643180255951</v>
      </c>
      <c r="L37" s="37">
        <v>1.8304628505458755E-2</v>
      </c>
      <c r="M37" s="38">
        <v>0.33118647257746509</v>
      </c>
      <c r="N37" s="37">
        <v>1.7680488578956478E-2</v>
      </c>
      <c r="O37" s="38">
        <v>0.32741332826592606</v>
      </c>
      <c r="P37" s="37">
        <v>1.7060353075817224E-2</v>
      </c>
      <c r="Q37" s="38">
        <v>0.32364642988067333</v>
      </c>
      <c r="R37" s="37">
        <v>1.6448274857207675E-2</v>
      </c>
      <c r="S37" s="38">
        <v>0.31991196085887519</v>
      </c>
      <c r="T37" s="37">
        <v>1.5849552194781871E-2</v>
      </c>
      <c r="U37" s="38">
        <v>0.3162443178733062</v>
      </c>
      <c r="V37" s="37">
        <v>1.5270838051611271E-2</v>
      </c>
      <c r="W37" s="38">
        <v>0.31268682432503242</v>
      </c>
      <c r="X37" s="37">
        <v>1.4719843685601933E-2</v>
      </c>
      <c r="Y37" s="38">
        <v>0.30928983211183758</v>
      </c>
      <c r="Z37" s="37">
        <v>1.4203960068509804E-2</v>
      </c>
      <c r="AA37" s="38">
        <v>0.30610189894535161</v>
      </c>
      <c r="AB37" s="37">
        <v>1.3726368309778088E-2</v>
      </c>
      <c r="AC37" s="38">
        <v>0.3031449591574365</v>
      </c>
      <c r="AD37" s="37">
        <v>1.3276872828012732E-2</v>
      </c>
      <c r="AE37" s="38">
        <v>0.30035592989091514</v>
      </c>
      <c r="AF37" s="37">
        <v>1.2813099969082174E-2</v>
      </c>
      <c r="AG37" s="38">
        <v>0.29746706585928628</v>
      </c>
      <c r="AH37" s="37">
        <v>1.2228170257835616E-2</v>
      </c>
      <c r="AI37" s="38">
        <v>0.29380018575079636</v>
      </c>
      <c r="AJ37" s="37">
        <v>1.130670763579111E-2</v>
      </c>
      <c r="AK37" s="38">
        <v>0.2879875034005781</v>
      </c>
      <c r="AL37" s="37">
        <v>9.704604321809111E-3</v>
      </c>
      <c r="AM37" s="38">
        <v>0.2778649087374106</v>
      </c>
      <c r="AN37" s="37">
        <v>7.0941274744527015E-3</v>
      </c>
      <c r="AO37" s="38">
        <v>0.26160566675602437</v>
      </c>
      <c r="AP37" s="37">
        <v>6.4153525540089889E-3</v>
      </c>
      <c r="AQ37" s="38">
        <v>0.25748857758493654</v>
      </c>
      <c r="AR37" s="37">
        <v>5.6552767564468035E-3</v>
      </c>
      <c r="AS37" s="38">
        <v>0.25296817508500902</v>
      </c>
      <c r="AT37" s="37">
        <v>4.7710275364102996E-3</v>
      </c>
      <c r="AU37" s="38">
        <v>0.24786735551386749</v>
      </c>
      <c r="AV37" s="37">
        <v>3.6412832791395166E-3</v>
      </c>
      <c r="AW37" s="38">
        <v>0.24169627760123849</v>
      </c>
    </row>
    <row r="38" spans="1:49 16319:16384" x14ac:dyDescent="0.2">
      <c r="A38" t="s">
        <v>22</v>
      </c>
      <c r="B38" s="35">
        <v>0.18079094942242827</v>
      </c>
      <c r="C38" s="36">
        <v>6.0565413429233668E-2</v>
      </c>
      <c r="D38" s="35">
        <v>0.18112385723791979</v>
      </c>
      <c r="E38" s="36">
        <v>6.0866591356620987E-2</v>
      </c>
      <c r="F38" s="35">
        <v>0.18148497557493493</v>
      </c>
      <c r="G38" s="36">
        <v>6.1191841076168048E-2</v>
      </c>
      <c r="H38" s="35">
        <v>0.18187759669296824</v>
      </c>
      <c r="I38" s="36">
        <v>6.1543492116984407E-2</v>
      </c>
      <c r="J38" s="35">
        <v>0.18230537168748345</v>
      </c>
      <c r="K38" s="36">
        <v>6.1923909939050129E-2</v>
      </c>
      <c r="L38" s="35">
        <v>0.18277231992488732</v>
      </c>
      <c r="M38" s="36">
        <v>6.2335505122967753E-2</v>
      </c>
      <c r="N38" s="35">
        <v>0.18328273480638801</v>
      </c>
      <c r="O38" s="36">
        <v>6.2780414429201306E-2</v>
      </c>
      <c r="P38" s="35">
        <v>0.18384103125129339</v>
      </c>
      <c r="Q38" s="36">
        <v>6.3260275757952206E-2</v>
      </c>
      <c r="R38" s="35">
        <v>0.18445140219683212</v>
      </c>
      <c r="S38" s="36">
        <v>6.3775720959855065E-2</v>
      </c>
      <c r="T38" s="35">
        <v>0.18511719964293591</v>
      </c>
      <c r="U38" s="36">
        <v>6.432566818680438E-2</v>
      </c>
      <c r="V38" s="35">
        <v>0.18583988601250678</v>
      </c>
      <c r="W38" s="36">
        <v>6.4906488890035738E-2</v>
      </c>
      <c r="X38" s="35">
        <v>0.18661731759069355</v>
      </c>
      <c r="Y38" s="36">
        <v>6.5511241842683421E-2</v>
      </c>
      <c r="Z38" s="35">
        <v>0.18744106852509754</v>
      </c>
      <c r="AA38" s="36">
        <v>6.6129819209905544E-2</v>
      </c>
      <c r="AB38" s="35">
        <v>0.18829230180104573</v>
      </c>
      <c r="AC38" s="36">
        <v>6.675225988726731E-2</v>
      </c>
      <c r="AD38" s="35">
        <v>0.18913525200569417</v>
      </c>
      <c r="AE38" s="36">
        <v>6.7379481626586607E-2</v>
      </c>
      <c r="AF38" s="35">
        <v>0.18990645303008966</v>
      </c>
      <c r="AG38" s="36">
        <v>6.8049754642007576E-2</v>
      </c>
      <c r="AH38" s="35">
        <v>0.19049452622883709</v>
      </c>
      <c r="AI38" s="36">
        <v>6.8895641847442513E-2</v>
      </c>
      <c r="AJ38" s="35">
        <v>0.1906817657933966</v>
      </c>
      <c r="AK38" s="36">
        <v>7.0270438026905177E-2</v>
      </c>
      <c r="AL38" s="35">
        <v>0.18990053929027575</v>
      </c>
      <c r="AM38" s="36">
        <v>7.3080542032095505E-2</v>
      </c>
      <c r="AN38" s="35">
        <v>0.18603592663296253</v>
      </c>
      <c r="AO38" s="36">
        <v>7.9846218759889329E-2</v>
      </c>
      <c r="AP38" s="35">
        <v>0.18420714599396754</v>
      </c>
      <c r="AQ38" s="36">
        <v>8.2326434562415313E-2</v>
      </c>
      <c r="AR38" s="35">
        <v>0.18148726313331892</v>
      </c>
      <c r="AS38" s="36">
        <v>8.5646438597469385E-2</v>
      </c>
      <c r="AT38" s="35">
        <v>0.17706181285091757</v>
      </c>
      <c r="AU38" s="36">
        <v>9.0485735202375017E-2</v>
      </c>
      <c r="AV38" s="35">
        <v>0.16838222032067751</v>
      </c>
      <c r="AW38" s="36">
        <v>9.9019942646309075E-2</v>
      </c>
    </row>
    <row r="39" spans="1:49 16319:16384" x14ac:dyDescent="0.2">
      <c r="A39" t="s">
        <v>23</v>
      </c>
      <c r="B39" s="37">
        <v>0.23064923795098771</v>
      </c>
      <c r="C39" s="38">
        <v>0.22092201281804777</v>
      </c>
      <c r="D39" s="37">
        <v>0.23076574546463691</v>
      </c>
      <c r="E39" s="38">
        <v>0.22187251185564122</v>
      </c>
      <c r="F39" s="37">
        <v>0.23089087945853945</v>
      </c>
      <c r="G39" s="38">
        <v>0.22289651582952219</v>
      </c>
      <c r="H39" s="37">
        <v>0.2310254490991597</v>
      </c>
      <c r="I39" s="38">
        <v>0.22400053970060857</v>
      </c>
      <c r="J39" s="37">
        <v>0.23117030226118784</v>
      </c>
      <c r="K39" s="38">
        <v>0.22519116122296451</v>
      </c>
      <c r="L39" s="37">
        <v>0.23132627597829636</v>
      </c>
      <c r="M39" s="38">
        <v>0.22647452467991741</v>
      </c>
      <c r="N39" s="37">
        <v>0.2314941464544025</v>
      </c>
      <c r="O39" s="38">
        <v>0.22785574847490969</v>
      </c>
      <c r="P39" s="37">
        <v>0.23167451624928131</v>
      </c>
      <c r="Q39" s="38">
        <v>0.22933777432036831</v>
      </c>
      <c r="R39" s="37">
        <v>0.23186765064983414</v>
      </c>
      <c r="S39" s="38">
        <v>0.23091975304043272</v>
      </c>
      <c r="T39" s="37">
        <v>0.23207324519791858</v>
      </c>
      <c r="U39" s="38">
        <v>0.23259486006320279</v>
      </c>
      <c r="V39" s="37">
        <v>0.2322901121410631</v>
      </c>
      <c r="W39" s="38">
        <v>0.23434770794732293</v>
      </c>
      <c r="X39" s="37">
        <v>0.23251588886189839</v>
      </c>
      <c r="Y39" s="38">
        <v>0.23615262874694637</v>
      </c>
      <c r="Z39" s="37">
        <v>0.23274701436242065</v>
      </c>
      <c r="AA39" s="38">
        <v>0.2379762525674993</v>
      </c>
      <c r="AB39" s="37">
        <v>0.23297963195299529</v>
      </c>
      <c r="AC39" s="38">
        <v>0.23979234492956769</v>
      </c>
      <c r="AD39" s="37">
        <v>0.23321280055077154</v>
      </c>
      <c r="AE39" s="38">
        <v>0.24162632267577672</v>
      </c>
      <c r="AF39" s="37">
        <v>0.23345657252261628</v>
      </c>
      <c r="AG39" s="38">
        <v>0.24366119279978946</v>
      </c>
      <c r="AH39" s="37">
        <v>0.23374948755395106</v>
      </c>
      <c r="AI39" s="38">
        <v>0.24646341550140283</v>
      </c>
      <c r="AJ39" s="37">
        <v>0.23419749054214034</v>
      </c>
      <c r="AK39" s="38">
        <v>0.25149874589045207</v>
      </c>
      <c r="AL39" s="37">
        <v>0.23507898522456824</v>
      </c>
      <c r="AM39" s="38">
        <v>0.26258635459059454</v>
      </c>
      <c r="AN39" s="37">
        <v>0.23723743478107501</v>
      </c>
      <c r="AO39" s="38">
        <v>0.29118846570974011</v>
      </c>
      <c r="AP39" s="37">
        <v>0.23807144860775148</v>
      </c>
      <c r="AQ39" s="38">
        <v>0.30225007980421909</v>
      </c>
      <c r="AR39" s="37">
        <v>0.23924175682839063</v>
      </c>
      <c r="AS39" s="38">
        <v>0.31756409837168847</v>
      </c>
      <c r="AT39" s="37">
        <v>0.24108774508674516</v>
      </c>
      <c r="AU39" s="38">
        <v>0.34098233768462965</v>
      </c>
      <c r="AV39" s="37">
        <v>0.24488477915623663</v>
      </c>
      <c r="AW39" s="38">
        <v>0.38564001940032533</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6.584695809639575E-2</v>
      </c>
      <c r="E42" s="126"/>
      <c r="F42" s="167">
        <f>6.1%+(1-6.1%)*(1-SUM(F26:G26)/SUM($B$26:$C$26))</f>
        <v>7.1496059027253075E-2</v>
      </c>
      <c r="G42" s="126"/>
      <c r="H42" s="167">
        <f>6.1%+(1-6.1%)*(1-SUM(H26:I26)/SUM($B$26:$C$26))</f>
        <v>7.813613930343602E-2</v>
      </c>
      <c r="I42" s="126"/>
      <c r="J42" s="167">
        <f>6.1%+(1-6.1%)*(1-SUM(J26:K26)/SUM($B$26:$C$26))</f>
        <v>8.6012468449822438E-2</v>
      </c>
      <c r="K42" s="126"/>
      <c r="L42" s="167">
        <f>6.1%+(1-6.1%)*(1-SUM(L26:M26)/SUM($B$26:$C$26))</f>
        <v>9.5442562770882505E-2</v>
      </c>
      <c r="M42" s="126"/>
      <c r="N42" s="167">
        <f>6.1%+(1-6.1%)*(1-SUM(N26:O26)/SUM($B$26:$C$26))</f>
        <v>0.10684220132305658</v>
      </c>
      <c r="O42" s="126"/>
      <c r="P42" s="167">
        <f>6.1%+(1-6.1%)*(1-SUM(P26:Q26)/SUM($B$26:$C$26))</f>
        <v>0.12075376161175685</v>
      </c>
      <c r="Q42" s="126"/>
      <c r="R42" s="167">
        <f>6.1%+(1-6.1%)*(1-SUM(R26:S26)/SUM($B$26:$C$26))</f>
        <v>0.13788133360056881</v>
      </c>
      <c r="S42" s="126"/>
      <c r="T42" s="167">
        <f>6.1%+(1-6.1%)*(1-SUM(T26:U26)/SUM($B$26:$C$26))</f>
        <v>0.15912420894202048</v>
      </c>
      <c r="U42" s="126"/>
      <c r="V42" s="167">
        <f>6.1%+(1-6.1%)*(1-SUM(V26:W26)/SUM($B$26:$C$26))</f>
        <v>0.18559260523906884</v>
      </c>
      <c r="W42" s="126"/>
      <c r="X42" s="167">
        <f>6.1%+(1-6.1%)*(1-SUM(X26:Y26)/SUM($B$26:$C$26))</f>
        <v>0.21857295507629873</v>
      </c>
      <c r="Y42" s="152"/>
      <c r="Z42" s="167">
        <f>6.1%+(1-6.1%)*(1-SUM(Z26:AA26)/SUM($B$26:$C$26))</f>
        <v>0.25938343315842827</v>
      </c>
      <c r="AA42" s="126"/>
      <c r="AB42" s="167">
        <f>6.1%+(1-6.1%)*(1-SUM(AB26:AC26)/SUM($B$26:$C$26))</f>
        <v>0.30904523360244984</v>
      </c>
      <c r="AC42" s="126"/>
      <c r="AD42" s="167">
        <f>6.1%+(1-6.1%)*(1-SUM(AD26:AE26)/SUM($B$26:$C$26))</f>
        <v>0.36774218298881295</v>
      </c>
      <c r="AE42" s="126"/>
      <c r="AF42" s="167">
        <f>6.1%+(1-6.1%)*(1-SUM(AF26:AG26)/SUM($B$26:$C$26))</f>
        <v>0.43426540257764895</v>
      </c>
      <c r="AG42" s="126"/>
      <c r="AH42" s="167">
        <f>6.1%+(1-6.1%)*(1-SUM(AH26:AI26)/SUM($B$26:$C$26))</f>
        <v>0.50614587364545305</v>
      </c>
      <c r="AI42" s="126"/>
      <c r="AJ42" s="167">
        <f>6.1%+(1-6.1%)*(1-SUM(AJ26:AK26)/SUM($B$26:$C$26))</f>
        <v>0.58156269819730855</v>
      </c>
      <c r="AK42" s="126"/>
      <c r="AL42" s="167">
        <f>6.1%+(1-6.1%)*(1-SUM(AL26:AM26)/SUM($B$26:$C$26))</f>
        <v>0.66337036343934286</v>
      </c>
      <c r="AM42" s="126"/>
      <c r="AN42" s="167">
        <f>6.1%+(1-6.1%)*(1-SUM(AN26:AO26)/SUM($B$26:$C$26))</f>
        <v>0.7670851172993034</v>
      </c>
      <c r="AO42" s="126"/>
      <c r="AP42" s="167">
        <f>6.1%+(1-6.1%)*(1-SUM(AP26:AQ26)/SUM($B$26:$C$26))</f>
        <v>0.79441160146399814</v>
      </c>
      <c r="AQ42" s="126"/>
      <c r="AR42" s="167">
        <f>6.1%+(1-6.1%)*(1-SUM(AR26:AS26)/SUM($B$26:$C$26))</f>
        <v>0.82609439188894429</v>
      </c>
      <c r="AS42" s="126"/>
      <c r="AT42" s="167">
        <f>6.1%+(1-6.1%)*(1-SUM(AT26:AU26)/SUM($B$26:$C$26))</f>
        <v>0.86436862583781515</v>
      </c>
      <c r="AU42" s="126"/>
      <c r="AV42" s="167">
        <f>6.1%+(1-6.1%)*(1-SUM(AV26:AW26)/SUM($B$26:$C$26))</f>
        <v>0.91406600837288532</v>
      </c>
      <c r="XFD42" s="167"/>
    </row>
    <row r="43" spans="1:49 16319:16384" x14ac:dyDescent="0.2">
      <c r="A43" t="s">
        <v>95</v>
      </c>
      <c r="B43" s="152">
        <f>SUM(B15:C15*B27:C27)/SUM(B15:C15*B27:C27,B13:C13*B26:C26)</f>
        <v>0.56058995943839207</v>
      </c>
      <c r="C43" s="126"/>
      <c r="D43" s="152">
        <f t="array" ref="D43">SUM(D15:E15*D27:E27)/SUM(D15:E15*D27:E27,D13:E13*D26:E26)</f>
        <v>0.56759599190374921</v>
      </c>
      <c r="E43" s="126"/>
      <c r="F43" s="152">
        <f t="array" ref="F43">SUM(F15:G15*F27:G27)/SUM(F15:G15*F27:G27,F13:G13*F26:G26)</f>
        <v>0.56805669413920445</v>
      </c>
      <c r="G43" s="126"/>
      <c r="H43" s="152">
        <f t="array" ref="H43">SUM(H15:I15*H27:I27)/SUM(H15:I15*H27:I27,H13:I13*H26:I26)</f>
        <v>0.56859070856655081</v>
      </c>
      <c r="I43" s="126"/>
      <c r="J43" s="152">
        <f t="array" ref="J43">SUM(J15:K15*J27:K27)/SUM(J15:K15*J27:K27,J13:K13*J26:K26)</f>
        <v>0.56920716444883723</v>
      </c>
      <c r="K43" s="126"/>
      <c r="L43" s="152">
        <f t="array" ref="L43">SUM(L15:M15*L27:M27)/SUM(L15:M15*L27:M27,L13:M13*L26:M26)</f>
        <v>0.56991621978214779</v>
      </c>
      <c r="M43" s="126"/>
      <c r="N43" s="152">
        <f t="array" ref="N43">SUM(N15:O15*N27:O27)/SUM(N15:O15*N27:O27,N13:O13*N26:O26)</f>
        <v>0.57072906958879777</v>
      </c>
      <c r="O43" s="126"/>
      <c r="P43" s="152">
        <f t="array" ref="P43">SUM(P15:Q15*P27:Q27)/SUM(P15:Q15*P27:Q27,P13:Q13*P26:Q26)</f>
        <v>0.57165762470725734</v>
      </c>
      <c r="Q43" s="126"/>
      <c r="R43" s="152">
        <f t="array" ref="R43">SUM(R15:S15*R27:S27)/SUM(R15:S15*R27:S27,R13:S13*R26:S26)</f>
        <v>0.57271385261074514</v>
      </c>
      <c r="S43" s="126"/>
      <c r="T43" s="152">
        <f t="array" ref="T43">SUM(T15:U15*T27:U27)/SUM(T15:U15*T27:U27,T13:U13*T26:U26)</f>
        <v>0.57390839827101592</v>
      </c>
      <c r="U43" s="126"/>
      <c r="V43" s="152">
        <f t="array" ref="V43">SUM(V15:W15*V27:W27)/SUM(V15:W15*V27:W27,V13:W13*V26:W26)</f>
        <v>0.57524787788981868</v>
      </c>
      <c r="W43" s="126"/>
      <c r="X43" s="152">
        <f t="array" ref="X43">SUM(X15:Y15*X27:Y27)/SUM(X15:Y15*X27:Y27,X13:Y13*X26:Y26)</f>
        <v>0.57672993156453423</v>
      </c>
      <c r="Y43" s="126"/>
      <c r="Z43" s="152">
        <f t="array" ref="Z43">SUM(Z15:AA15*Z27:AA27)/SUM(Z15:AA15*Z27:AA27,Z13:AA13*Z26:AA26)</f>
        <v>0.57833427636782775</v>
      </c>
      <c r="AA43" s="126"/>
      <c r="AB43" s="152">
        <f t="array" ref="AB43">SUM(AB15:AC15*AB27:AC27)/SUM(AB15:AC15*AB27:AC27,AB13:AC13*AB26:AC26)</f>
        <v>0.58000656217408852</v>
      </c>
      <c r="AC43" s="126"/>
      <c r="AD43" s="152">
        <f t="array" ref="AD43">SUM(AD15:AE15*AD27:AE27)/SUM(AD15:AE15*AD27:AE27,AD13:AE13*AD26:AE26)</f>
        <v>0.58162936516687547</v>
      </c>
      <c r="AE43" s="126"/>
      <c r="AF43" s="152">
        <f t="array" ref="AF43">SUM(AF15:AG15*AF27:AG27)/SUM(AF15:AG15*AF27:AG27,AF13:AG13*AF26:AG26)</f>
        <v>0.58297151536831404</v>
      </c>
      <c r="AG43" s="126"/>
      <c r="AH43" s="152">
        <f t="array" ref="AH43">SUM(AH15:AI15*AH27:AI27)/SUM(AH15:AI15*AH27:AI27,AH13:AI13*AH26:AI26)</f>
        <v>0.583599411009744</v>
      </c>
      <c r="AI43" s="126"/>
      <c r="AJ43" s="152">
        <f t="array" ref="AJ43">SUM(AJ15:AK15*AJ27:AK27)/SUM(AJ15:AK15*AJ27:AK27,AJ13:AK13*AJ26:AK26)</f>
        <v>0.58265302401989538</v>
      </c>
      <c r="AK43" s="126"/>
      <c r="AL43" s="152">
        <f t="array" ref="AL43">SUM(AL15:AM15*AL27:AM27)/SUM(AL15:AM15*AL27:AM27,AL13:AM13*AL26:AM26)</f>
        <v>0.57790261682790134</v>
      </c>
      <c r="AM43" s="126"/>
      <c r="AN43" s="152">
        <f t="array" ref="AN43">SUM(AN15:AO15*AN27:AO27)/SUM(AN15:AO15*AN27:AO27,AN13:AO13*AN26:AO26)</f>
        <v>0.56084222594604727</v>
      </c>
      <c r="AO43" s="126"/>
      <c r="AP43" s="152">
        <f t="array" ref="AP43">SUM(AP15:AQ15*AP27:AQ27)/SUM(AP15:AQ15*AP27:AQ27,AP13:AQ13*AP26:AQ26)</f>
        <v>0.55313248593529651</v>
      </c>
      <c r="AQ43" s="126"/>
      <c r="AR43" s="152">
        <f t="array" ref="AR43">SUM(AR15:AS15*AR27:AS27)/SUM(AR15:AS15*AR27:AS27,AR13:AS13*AR26:AS26)</f>
        <v>0.54169836893215617</v>
      </c>
      <c r="AS43" s="126"/>
      <c r="AT43" s="152">
        <f t="array" ref="AT43">SUM(AT15:AU15*AT27:AU27)/SUM(AT15:AU15*AT27:AU27,AT13:AU13*AT26:AU26)</f>
        <v>0.52289506193182367</v>
      </c>
      <c r="AU43" s="126"/>
      <c r="AV43" s="152">
        <f t="array" ref="AV43">SUM(AV15:AW15*AV27:AW27)/SUM(AV15:AW15*AV27:AW27,AV13:AW13*AV26:AW26)</f>
        <v>0.48448066368802345</v>
      </c>
    </row>
    <row r="44" spans="1:49 16319:16384" x14ac:dyDescent="0.2">
      <c r="A44" t="s">
        <v>129</v>
      </c>
      <c r="B44" s="183">
        <f>(SUM(B11:C11*B24:C24)+B34)/B32</f>
        <v>0.29754226190682465</v>
      </c>
      <c r="D44" s="183">
        <f>(SUM(D11:E11*D24:E24)+D34)/D32</f>
        <v>0.29928502277545366</v>
      </c>
      <c r="F44" s="183">
        <f>(SUM(F11:G11*F24:G24)+F34)/F32</f>
        <v>0.30105015264265245</v>
      </c>
      <c r="H44" s="183">
        <f>(SUM(H11:I11*H24:I24)+H34)/H32</f>
        <v>0.3028384865117365</v>
      </c>
      <c r="J44" s="183">
        <f>(SUM(J11:K11*J24:K24)+J34)/J32</f>
        <v>0.30465025063038553</v>
      </c>
      <c r="L44" s="183">
        <f>(SUM(L11:M11*L24:M24)+L34)/L32</f>
        <v>0.30648491906260067</v>
      </c>
      <c r="N44" s="183">
        <f>(SUM(N11:O11*N24:O24)+N34)/N32</f>
        <v>0.30834064879450618</v>
      </c>
      <c r="P44" s="183">
        <f>(SUM(P11:Q11*P24:Q24)+P34)/P32</f>
        <v>0.31021384651227918</v>
      </c>
      <c r="R44" s="183">
        <f>(SUM(R11:S11*R24:S24)+R34)/R32</f>
        <v>0.31209853763979617</v>
      </c>
      <c r="T44" s="183">
        <f>(SUM(T11:U11*T24:U24)+T34)/T32</f>
        <v>0.31398572758146115</v>
      </c>
      <c r="V44" s="183">
        <f>(SUM(V11:W11*V24:W24)+V34)/V32</f>
        <v>0.31586361136866153</v>
      </c>
      <c r="X44" s="183">
        <f>(SUM(X11:Y11*X24:Y24)+X34)/X32</f>
        <v>0.31771977611240898</v>
      </c>
      <c r="Z44" s="183">
        <f>(SUM(Z11:AA11*Z24:AA24)+Z34)/Z32</f>
        <v>0.31954910504993705</v>
      </c>
      <c r="AB44" s="183">
        <f>(SUM(AB11:AC11*AB24:AC24)+AB34)/AB32</f>
        <v>0.32137550464004044</v>
      </c>
      <c r="AD44" s="183">
        <f>(SUM(AD11:AE11*AD24:AE24)+AD34)/AD32</f>
        <v>0.32330405142147861</v>
      </c>
      <c r="AF44" s="183">
        <f>(SUM(AF11:AG11*AF24:AG24)+AF34)/AF32</f>
        <v>0.32563447394995293</v>
      </c>
      <c r="AH44" s="183">
        <f>(SUM(AH11:AI11*AH24:AI24)+AH34)/AH32</f>
        <v>0.32909114693167585</v>
      </c>
      <c r="AJ44" s="183">
        <f>(SUM(AJ11:AK11*AJ24:AK24)+AJ34)/AJ32</f>
        <v>0.33529760934586361</v>
      </c>
      <c r="AL44" s="183">
        <f>(SUM(AL11:AM11*AL24:AM24)+AL34)/AL32</f>
        <v>0.34768393076272985</v>
      </c>
      <c r="AN44" s="183">
        <f>(SUM(AN11:AO11*AN24:AO24)+AN34)/AN32</f>
        <v>0.37320779479011684</v>
      </c>
      <c r="AP44" s="183">
        <f>(SUM(AP11:AQ11*AP24:AQ24)+AP34)/AP32</f>
        <v>0.38161938524939842</v>
      </c>
      <c r="AR44" s="183">
        <f>(SUM(AR11:AS11*AR24:AS24)+AR34)/AR32</f>
        <v>0.39248302828661169</v>
      </c>
      <c r="AT44" s="183">
        <f>(SUM(AT11:AU11*AT24:AU24)+AT34)/AT32</f>
        <v>0.40782309062254046</v>
      </c>
      <c r="AV44" s="183">
        <f>(SUM(AV11:AW11*AV24:AW24)+AV34)/AV32</f>
        <v>0.43399419179551452</v>
      </c>
    </row>
    <row r="45" spans="1:49 16319:16384" x14ac:dyDescent="0.2">
      <c r="A45" t="s">
        <v>82</v>
      </c>
      <c r="B45" s="183">
        <f>SUM(B11:C11*B24:C24)/B32</f>
        <v>0.22038438833194082</v>
      </c>
      <c r="D45" s="183">
        <f>SUM(D11:E11*D24:E24)/D32</f>
        <v>0.22149910383667878</v>
      </c>
      <c r="F45" s="183">
        <f>SUM(F11:G11*F24:G24)/F32</f>
        <v>0.22285578742696788</v>
      </c>
      <c r="H45" s="183">
        <f>SUM(H11:I11*H24:I24)/H32</f>
        <v>0.2245138319958741</v>
      </c>
      <c r="J45" s="183">
        <f>SUM(J11:K11*J24:K24)/J32</f>
        <v>0.22655241827259401</v>
      </c>
      <c r="L45" s="183">
        <f>SUM(L11:M11*L24:M24)/L32</f>
        <v>0.2290778227481329</v>
      </c>
      <c r="N45" s="183">
        <f>SUM(N11:O11*N24:O24)/N32</f>
        <v>0.23223565535314999</v>
      </c>
      <c r="P45" s="183">
        <f>SUM(P11:Q11*P24:Q24)/P32</f>
        <v>0.23622773007136844</v>
      </c>
      <c r="R45" s="183">
        <f>SUM(R11:S11*R24:S24)/R32</f>
        <v>0.24133791413258632</v>
      </c>
      <c r="T45" s="183">
        <f>SUM(T11:U11*T24:U24)/T32</f>
        <v>0.24797031745171111</v>
      </c>
      <c r="V45" s="183">
        <f>SUM(V11:W11*V24:W24)/V32</f>
        <v>0.25670485985247948</v>
      </c>
      <c r="X45" s="183">
        <f>SUM(X11:Y11*X24:Y24)/X32</f>
        <v>0.268375608147148</v>
      </c>
      <c r="Z45" s="183">
        <f>SUM(Z11:AA11*Z24:AA24)/Z32</f>
        <v>0.28417226568910653</v>
      </c>
      <c r="AB45" s="183">
        <f>SUM(AB11:AC11*AB24:AC24)/AB32</f>
        <v>0.30574816613477279</v>
      </c>
      <c r="AD45" s="183">
        <f>SUM(AD11:AE11*AD24:AE24)/AD32</f>
        <v>0.33527538658817813</v>
      </c>
      <c r="AF45" s="183">
        <f>SUM(AF11:AG11*AF24:AG24)/AF32</f>
        <v>0.37533096287262913</v>
      </c>
      <c r="AH45" s="183">
        <f>SUM(AH11:AI11*AH24:AI24)/AH32</f>
        <v>0.42862082537038071</v>
      </c>
      <c r="AJ45" s="183">
        <f>SUM(AJ11:AK11*AJ24:AK24)/AJ32</f>
        <v>0.49839781367740971</v>
      </c>
      <c r="AL45" s="183">
        <f>SUM(AL11:AM11*AL24:AM24)/AL32</f>
        <v>0.59312761599721864</v>
      </c>
      <c r="AN45" s="183">
        <f>SUM(AN11:AO11*AN24:AO24)/AN32</f>
        <v>0.75945102712167301</v>
      </c>
      <c r="AP45" s="183">
        <f>SUM(AP11:AQ11*AP24:AQ24)/AP32</f>
        <v>0.81971398645348292</v>
      </c>
      <c r="AR45" s="183">
        <f>SUM(AR11:AS11*AR24:AS24)/AR32</f>
        <v>0.90467281532226407</v>
      </c>
      <c r="AT45" s="183">
        <f>SUM(AT11:AU11*AT24:AU24)/AT32</f>
        <v>1.0404415951824251</v>
      </c>
      <c r="AV45" s="183">
        <f>SUM(AV11:AW11*AV24:AW24)/AV32</f>
        <v>1.3226674142509955</v>
      </c>
      <c r="XCQ45" s="183"/>
    </row>
    <row r="46" spans="1:49 16319:16384" x14ac:dyDescent="0.2">
      <c r="A46" t="s">
        <v>126</v>
      </c>
      <c r="B46" s="183">
        <f>B34/B32</f>
        <v>7.7157873574883795E-2</v>
      </c>
      <c r="D46" s="183">
        <f>D34/D32</f>
        <v>7.7785918938774859E-2</v>
      </c>
      <c r="F46" s="183">
        <f>F34/F32</f>
        <v>7.8194365215684555E-2</v>
      </c>
      <c r="H46" s="183">
        <f>H34/H32</f>
        <v>7.8324654515862374E-2</v>
      </c>
      <c r="J46" s="183">
        <f>J34/J32</f>
        <v>7.8097832357791594E-2</v>
      </c>
      <c r="L46" s="183">
        <f>L34/L32</f>
        <v>7.7407096314467752E-2</v>
      </c>
      <c r="N46" s="183">
        <f>N34/N32</f>
        <v>7.6104993441356197E-2</v>
      </c>
      <c r="P46" s="183">
        <f>P34/P32</f>
        <v>7.3986116440910785E-2</v>
      </c>
      <c r="R46" s="183">
        <f>R34/R32</f>
        <v>7.0760623507209838E-2</v>
      </c>
      <c r="T46" s="183">
        <f>T34/T32</f>
        <v>6.6015410129750055E-2</v>
      </c>
      <c r="V46" s="183">
        <f>V34/V32</f>
        <v>5.9158751516182037E-2</v>
      </c>
      <c r="X46" s="183">
        <f>X34/X32</f>
        <v>4.9344167965260956E-2</v>
      </c>
      <c r="Z46" s="183">
        <f>Z34/Z32</f>
        <v>3.5376839360830532E-2</v>
      </c>
      <c r="AB46" s="183">
        <f>AB34/AB32</f>
        <v>1.5627338505267641E-2</v>
      </c>
      <c r="AD46" s="183">
        <f>AD34/AD32</f>
        <v>-1.1971335166699503E-2</v>
      </c>
      <c r="AF46" s="183">
        <f>AF34/AF32</f>
        <v>-4.9696488922676141E-2</v>
      </c>
      <c r="AH46" s="183">
        <f>AH34/AH32</f>
        <v>-9.9529678438704874E-2</v>
      </c>
      <c r="AJ46" s="183">
        <f>AJ34/AJ32</f>
        <v>-0.16310020433154607</v>
      </c>
      <c r="AL46" s="183">
        <f>AL34/AL32</f>
        <v>-0.24544368523448878</v>
      </c>
      <c r="AN46" s="183">
        <f>AN34/AN32</f>
        <v>-0.38624323233155616</v>
      </c>
      <c r="AP46" s="183">
        <f>AP34/AP32</f>
        <v>-0.4380946012040845</v>
      </c>
      <c r="AR46" s="183">
        <f>AR34/AR32</f>
        <v>-0.51218978703565243</v>
      </c>
      <c r="AT46" s="183">
        <f>AT34/AT32</f>
        <v>-0.63261850455988455</v>
      </c>
      <c r="AV46" s="183">
        <f>AV34/AV32</f>
        <v>-0.88867322245548097</v>
      </c>
      <c r="XCS46" s="183"/>
    </row>
    <row r="48" spans="1:49 16319:16384" x14ac:dyDescent="0.2">
      <c r="A48" t="s">
        <v>143</v>
      </c>
      <c r="B48" s="181">
        <f>B24/$B$24</f>
        <v>1</v>
      </c>
      <c r="C48" s="181"/>
      <c r="D48" s="181">
        <f>D24/$B$24</f>
        <v>1</v>
      </c>
      <c r="E48" s="181"/>
      <c r="F48" s="181">
        <f>F24/$B$24</f>
        <v>1</v>
      </c>
      <c r="G48" s="181"/>
      <c r="H48" s="181">
        <f>H24/$B$24</f>
        <v>1</v>
      </c>
      <c r="I48" s="181"/>
      <c r="J48" s="181">
        <f>J24/$B$24</f>
        <v>1</v>
      </c>
      <c r="K48" s="181"/>
      <c r="L48" s="181">
        <f>L24/$B$24</f>
        <v>1</v>
      </c>
      <c r="M48" s="181"/>
      <c r="N48" s="181">
        <f>N24/$B$24</f>
        <v>1</v>
      </c>
      <c r="O48" s="181"/>
      <c r="P48" s="181">
        <f>P24/$B$24</f>
        <v>1</v>
      </c>
      <c r="Q48" s="181"/>
      <c r="R48" s="181">
        <f>R24/$B$24</f>
        <v>1</v>
      </c>
      <c r="S48" s="181"/>
      <c r="T48" s="181">
        <f>T24/$B$24</f>
        <v>1</v>
      </c>
      <c r="U48" s="181"/>
      <c r="V48" s="181">
        <f>V24/$B$24</f>
        <v>1</v>
      </c>
      <c r="W48" s="181"/>
      <c r="X48" s="181">
        <f>X24/$B$24</f>
        <v>1</v>
      </c>
      <c r="Y48" s="181"/>
      <c r="Z48" s="181">
        <f>Z24/$B$24</f>
        <v>1</v>
      </c>
      <c r="AA48" s="181"/>
      <c r="AB48" s="181">
        <f>AB24/$B$24</f>
        <v>1</v>
      </c>
      <c r="AC48" s="181"/>
      <c r="AD48" s="181">
        <f>AD24/$B$24</f>
        <v>1</v>
      </c>
      <c r="AE48" s="181"/>
      <c r="AF48" s="181">
        <f>AF24/$B$24</f>
        <v>1</v>
      </c>
      <c r="AG48" s="181"/>
      <c r="AH48" s="181">
        <f>AH24/$B$24</f>
        <v>1</v>
      </c>
      <c r="AI48" s="181"/>
      <c r="AJ48" s="181">
        <f>AJ24/$B$24</f>
        <v>1</v>
      </c>
      <c r="AK48" s="181"/>
      <c r="AL48" s="181">
        <f>AL24/$B$24</f>
        <v>1</v>
      </c>
      <c r="AM48" s="181"/>
      <c r="AN48" s="181">
        <f>AN24/$B$24</f>
        <v>1</v>
      </c>
      <c r="AO48" s="181"/>
      <c r="AP48" s="181">
        <f>AP24/$B$24</f>
        <v>1</v>
      </c>
      <c r="AQ48" s="181"/>
      <c r="AR48" s="181">
        <f>AR24/$B$24</f>
        <v>1</v>
      </c>
      <c r="AS48" s="181"/>
      <c r="AT48" s="181">
        <f>AT24/$B$24</f>
        <v>1</v>
      </c>
      <c r="AU48" s="181"/>
      <c r="AV48" s="181">
        <f>AV24/$B$24</f>
        <v>1</v>
      </c>
    </row>
    <row r="49" spans="1:48 16321:16384" x14ac:dyDescent="0.2">
      <c r="A49" t="s">
        <v>144</v>
      </c>
      <c r="B49" s="181">
        <f>B13/B35/$B$13*$B$35</f>
        <v>1</v>
      </c>
      <c r="C49" s="181"/>
      <c r="D49" s="181">
        <f>D13/D35/$B$13*$B$35</f>
        <v>0.99238344444096316</v>
      </c>
      <c r="E49" s="181"/>
      <c r="F49" s="181">
        <f>F13/F35/$B$13*$B$35</f>
        <v>0.98424891628659916</v>
      </c>
      <c r="G49" s="181"/>
      <c r="H49" s="181">
        <f>H13/H35/$B$13*$B$35</f>
        <v>0.97554612494516857</v>
      </c>
      <c r="I49" s="181"/>
      <c r="J49" s="181">
        <f>J13/J35/$B$13*$B$35</f>
        <v>0.96622203150459662</v>
      </c>
      <c r="K49" s="181"/>
      <c r="L49" s="181">
        <f>L13/L35/$B$13*$B$35</f>
        <v>0.95622216676113159</v>
      </c>
      <c r="M49" s="181"/>
      <c r="N49" s="181">
        <f>N13/N35/$B$13*$B$35</f>
        <v>0.94549392979708435</v>
      </c>
      <c r="O49" s="181"/>
      <c r="P49" s="181">
        <f>P13/P35/$B$13*$B$35</f>
        <v>0.93399158355689416</v>
      </c>
      <c r="Q49" s="181"/>
      <c r="R49" s="181">
        <f>R13/R35/$B$13*$B$35</f>
        <v>0.92168485036330072</v>
      </c>
      <c r="S49" s="181"/>
      <c r="T49" s="181">
        <f>T13/T35/$B$13*$B$35</f>
        <v>0.90857202395076186</v>
      </c>
      <c r="U49" s="181"/>
      <c r="V49" s="181">
        <f>V13/V35/$B$13*$B$35</f>
        <v>0.89469893074019957</v>
      </c>
      <c r="W49" s="181"/>
      <c r="X49" s="181">
        <f>X13/X35/$B$13*$B$35</f>
        <v>0.8801837405901114</v>
      </c>
      <c r="Y49" s="181"/>
      <c r="Z49" s="181">
        <f>Z13/Z35/$B$13*$B$35</f>
        <v>0.86524432706367316</v>
      </c>
      <c r="AA49" s="181"/>
      <c r="AB49" s="181">
        <f>AB13/AB35/$B$13*$B$35</f>
        <v>0.85021894395315101</v>
      </c>
      <c r="AC49" s="181"/>
      <c r="AD49" s="181">
        <f>AD13/AD35/$B$13*$B$35</f>
        <v>0.83556191839439387</v>
      </c>
      <c r="AE49" s="181"/>
      <c r="AF49" s="181">
        <f>AF13/AF35/$B$13*$B$35</f>
        <v>0.82178358226708059</v>
      </c>
      <c r="AG49" s="181"/>
      <c r="AH49" s="181">
        <f>AH13/AH35/$B$13*$B$35</f>
        <v>0.80929230956351739</v>
      </c>
      <c r="AI49" s="181"/>
      <c r="AJ49" s="181">
        <f>AJ13/AJ35/$B$13*$B$35</f>
        <v>0.7981294375589344</v>
      </c>
      <c r="AK49" s="181"/>
      <c r="AL49" s="181">
        <f>AL13/AL35/$B$13*$B$35</f>
        <v>0.78769370940697159</v>
      </c>
      <c r="AM49" s="181"/>
      <c r="AN49" s="181">
        <f>AN13/AN35/$B$13*$B$35</f>
        <v>0.7763340376498743</v>
      </c>
      <c r="AO49" s="181"/>
      <c r="AP49" s="181">
        <f>AP13/AP35/$B$13*$B$35</f>
        <v>0.77362131260255362</v>
      </c>
      <c r="AQ49" s="181"/>
      <c r="AR49" s="181">
        <f>AR13/AR35/$B$13*$B$35</f>
        <v>0.77060179464695933</v>
      </c>
      <c r="AS49" s="181"/>
      <c r="AT49" s="181">
        <f>AT13/AT35/$B$13*$B$35</f>
        <v>0.76711960845858607</v>
      </c>
      <c r="AU49" s="181"/>
      <c r="AV49" s="181">
        <f>AV13/AV35/$B$13*$B$35</f>
        <v>0.7628431092287099</v>
      </c>
    </row>
    <row r="51" spans="1:48 16321:16384" x14ac:dyDescent="0.2">
      <c r="A51" t="s">
        <v>150</v>
      </c>
      <c r="B51" s="27">
        <f>B30-B10*B23</f>
        <v>-405838.32800000021</v>
      </c>
      <c r="D51" s="27">
        <f>D30-D10*D23</f>
        <v>-360063.70450608106</v>
      </c>
      <c r="F51" s="27">
        <f>F30-F10*F23</f>
        <v>-314110.73643179284</v>
      </c>
      <c r="H51" s="27">
        <f>H30-H10*H23</f>
        <v>-268030.81165747438</v>
      </c>
      <c r="J51" s="27">
        <f>J30-J10*J23</f>
        <v>-221911.10876487195</v>
      </c>
      <c r="L51" s="27">
        <f>L30-L10*L23</f>
        <v>-175887.50347851915</v>
      </c>
      <c r="N51" s="27">
        <f>N30-N10*N23</f>
        <v>-130165.08255913761</v>
      </c>
      <c r="P51" s="27">
        <f>P30-P10*P23</f>
        <v>-85041.827415637206</v>
      </c>
      <c r="R51" s="27">
        <f>R30-R10*R23</f>
        <v>-40938.220975439996</v>
      </c>
      <c r="T51" s="27">
        <f>T30-T10*T23</f>
        <v>1577.0370280570351</v>
      </c>
      <c r="V51" s="27">
        <f>V30-V10*V23</f>
        <v>41780.088603751268</v>
      </c>
      <c r="X51" s="27">
        <f>X30-X10*X23</f>
        <v>78849.048485895153</v>
      </c>
      <c r="Z51" s="27">
        <f>Z30-Z10*Z23</f>
        <v>112072.87032469828</v>
      </c>
      <c r="AB51" s="27">
        <f>AB30-AB10*AB23</f>
        <v>141373.3934033229</v>
      </c>
      <c r="AD51" s="27">
        <f>AD30-AD10*AD23</f>
        <v>168396.99228451028</v>
      </c>
      <c r="AF51" s="27">
        <f>AF30-AF10*AF23</f>
        <v>198563.58247228246</v>
      </c>
      <c r="AH51" s="27">
        <f>AH30-AH10*AH23</f>
        <v>244955.69367637439</v>
      </c>
      <c r="AJ51" s="27">
        <f>AJ30-AJ10*AJ23</f>
        <v>337811.30315320985</v>
      </c>
      <c r="AL51" s="27">
        <f>AL30-AL10*AL23</f>
        <v>552268.57180238795</v>
      </c>
      <c r="AN51" s="27">
        <f>AN30-AN10*AN23</f>
        <v>1090342.9597754083</v>
      </c>
      <c r="AP51" s="27">
        <f>AP30-AP10*AP23</f>
        <v>1287768.3795795562</v>
      </c>
      <c r="AQ51" s="27"/>
      <c r="AR51" s="27">
        <f>AR30-AR10*AR23</f>
        <v>1549727.4519578107</v>
      </c>
      <c r="AT51" s="27">
        <f>AT30-AT10*AT23</f>
        <v>1920920.9279484632</v>
      </c>
      <c r="AV51" s="27">
        <f>AV30-AV10*AV23</f>
        <v>2513262.1038065986</v>
      </c>
      <c r="XFD51" s="27"/>
    </row>
    <row r="52" spans="1:48 16321:16384" x14ac:dyDescent="0.2">
      <c r="A52" t="s">
        <v>151</v>
      </c>
      <c r="B52" s="27">
        <f t="array" ref="B52">Calibration!sL*SUM(B13:C13*B26:C26)</f>
        <v>2073093.0976150823</v>
      </c>
      <c r="D52" s="27">
        <f t="array" ref="D52">Calibration!sL*SUM(D13:E13*D26:E26)</f>
        <v>2048976.04313664</v>
      </c>
      <c r="F52" s="27">
        <f t="array" ref="F52">Calibration!sL*SUM(F13:G13*F26:G26)</f>
        <v>2023027.9800488681</v>
      </c>
      <c r="H52" s="27">
        <f t="array" ref="H52">Calibration!sL*SUM(H13:I13*H26:I26)</f>
        <v>1994927.1739702336</v>
      </c>
      <c r="J52" s="27">
        <f t="array" ref="J52">Calibration!sL*SUM(J13:K13*J26:K26)</f>
        <v>1964278.5332560583</v>
      </c>
      <c r="L52" s="27">
        <f t="array" ref="L52">Calibration!sL*SUM(L13:M13*L26:M26)</f>
        <v>1930598.9987492186</v>
      </c>
      <c r="N52" s="27">
        <f t="array" ref="N52">Calibration!sL*SUM(N13:O13*N26:O26)</f>
        <v>1893294.7827433278</v>
      </c>
      <c r="P52" s="27">
        <f t="array" ref="P52">Calibration!sL*SUM(P13:Q13*P26:Q26)</f>
        <v>1851643.3296868734</v>
      </c>
      <c r="R52" s="27">
        <f t="array" ref="R52">Calibration!sL*SUM(R13:S13*R26:S26)</f>
        <v>1804780.0418897341</v>
      </c>
      <c r="T52" s="27">
        <f t="array" ref="T52">Calibration!sL*SUM(T13:U13*T26:U26)</f>
        <v>1751708.9347376579</v>
      </c>
      <c r="V52" s="27">
        <f t="array" ref="V52">Calibration!sL*SUM(V13:W13*V26:W26)</f>
        <v>1691370.6470523383</v>
      </c>
      <c r="X52" s="27">
        <f t="array" ref="X52">Calibration!sL*SUM(X13:Y13*X26:Y26)</f>
        <v>1622828.5749373438</v>
      </c>
      <c r="Z52" s="27">
        <f t="array" ref="Z52">Calibration!sL*SUM(Z13:AA13*Z26:AA26)</f>
        <v>1545673.509139793</v>
      </c>
      <c r="AB52" s="27">
        <f t="array" ref="AB52">Calibration!sL*SUM(AB13:AC13*AB26:AC26)</f>
        <v>1460770.7703653453</v>
      </c>
      <c r="AD52" s="27">
        <f t="array" ref="AD52">Calibration!sL*SUM(AD13:AE13*AD26:AE26)</f>
        <v>1371417.7101007903</v>
      </c>
      <c r="AF52" s="27">
        <f t="array" ref="AF52">Calibration!sL*SUM(AF13:AG13*AF26:AG26)</f>
        <v>1284722.508963078</v>
      </c>
      <c r="AH52" s="27">
        <f t="array" ref="AH52">Calibration!sL*SUM(AH13:AI13*AH26:AI26)</f>
        <v>1212649.0553426652</v>
      </c>
      <c r="AJ52" s="27">
        <f t="array" ref="AJ52">Calibration!sL*SUM(AJ13:AK13*AJ26:AK26)</f>
        <v>1173042.7981304575</v>
      </c>
      <c r="AL52" s="27">
        <f t="array" ref="AL52">Calibration!sL*SUM(AL13:AM13*AL26:AM26)</f>
        <v>1193480.7604605411</v>
      </c>
      <c r="AN52" s="27">
        <f t="array" ref="AN52">Calibration!sL*SUM(AN13:AO13*AN26:AO26)</f>
        <v>1312625.142403705</v>
      </c>
      <c r="AP52" s="27">
        <f t="array" ref="AP52">Calibration!sL*SUM(AP13:AQ13*AP26:AQ26)</f>
        <v>1352529.1948755467</v>
      </c>
      <c r="AQ52" s="27"/>
      <c r="AR52" s="27">
        <f t="array" ref="AR52">Calibration!sL*SUM(AR13:AS13*AR26:AS26)</f>
        <v>1398663.9663806651</v>
      </c>
      <c r="AT52" s="27">
        <f t="array" ref="AT52">Calibration!sL*SUM(AT13:AU13*AT26:AU26)</f>
        <v>1449267.4697655074</v>
      </c>
      <c r="AV52" s="27">
        <f t="array" ref="AV52">Calibration!sL*SUM(AV13:AW13*AV26:AW26)</f>
        <v>1487767.7795748888</v>
      </c>
    </row>
    <row r="53" spans="1:48 16321:16384" x14ac:dyDescent="0.2">
      <c r="A53" t="s">
        <v>152</v>
      </c>
      <c r="B53" s="27">
        <f t="array" ref="B53">Calibration!sK*SUM(B15:C15*B27:C27)</f>
        <v>2716869.1663849424</v>
      </c>
      <c r="D53" s="27">
        <f t="array" ref="D53">Calibration!sK*SUM(D15:E15*D27:E27)</f>
        <v>2689592.5287822159</v>
      </c>
      <c r="F53" s="27">
        <f t="array" ref="F53">Calibration!sK*SUM(F15:G15*F27:G27)</f>
        <v>2660521.8113231491</v>
      </c>
      <c r="H53" s="27">
        <f t="array" ref="H53">Calibration!sK*SUM(H15:I15*H27:I27)</f>
        <v>2629282.8594800513</v>
      </c>
      <c r="J53" s="27">
        <f t="array" ref="J53">Calibration!sK*SUM(J15:K15*J27:K27)</f>
        <v>2595403.9200116042</v>
      </c>
      <c r="L53" s="27">
        <f t="array" ref="L53">Calibration!sK*SUM(L15:M15*L27:M27)</f>
        <v>2558291.5094473558</v>
      </c>
      <c r="N53" s="27">
        <f t="array" ref="N53">Calibration!sK*SUM(N15:O15*N27:O27)</f>
        <v>2517194.3713434059</v>
      </c>
      <c r="P53" s="27">
        <f t="array" ref="P53">Calibration!sK*SUM(P15:Q15*P27:Q27)</f>
        <v>2471168.1325724977</v>
      </c>
      <c r="R53" s="27">
        <f t="array" ref="R53">Calibration!sK*SUM(R15:S15*R27:S27)</f>
        <v>2419040.582572476</v>
      </c>
      <c r="T53" s="27">
        <f t="array" ref="T53">Calibration!sK*SUM(T15:U15*T27:U27)</f>
        <v>2359399.8682277533</v>
      </c>
      <c r="V53" s="27">
        <f t="array" ref="V53">Calibration!sK*SUM(V15:W15*V27:W27)</f>
        <v>2290647.4736566483</v>
      </c>
      <c r="X53" s="27">
        <f t="array" ref="X53">Calibration!sK*SUM(X15:Y15*X27:Y27)</f>
        <v>2211197.7263690759</v>
      </c>
      <c r="Z53" s="27">
        <f t="array" ref="Z53">Calibration!sK*SUM(Z15:AA15*Z27:AA27)</f>
        <v>2119963.5642878693</v>
      </c>
      <c r="AB53" s="27">
        <f t="array" ref="AB53">Calibration!sK*SUM(AB15:AC15*AB27:AC27)</f>
        <v>2017309.215662529</v>
      </c>
      <c r="AD53" s="27">
        <f t="array" ref="AD53">Calibration!sK*SUM(AD15:AE15*AD27:AE27)</f>
        <v>1906579.347813678</v>
      </c>
      <c r="AF53" s="27">
        <f t="array" ref="AF53">Calibration!sK*SUM(AF15:AG15*AF27:AG27)</f>
        <v>1795936.3819942819</v>
      </c>
      <c r="AH53" s="27">
        <f t="array" ref="AH53">Calibration!sK*SUM(AH15:AI15*AH27:AI27)</f>
        <v>1699568.3799958855</v>
      </c>
      <c r="AJ53" s="27">
        <f t="array" ref="AJ53">Calibration!sK*SUM(AJ15:AK15*AJ27:AK27)</f>
        <v>1637670.7463385405</v>
      </c>
      <c r="AL53" s="27">
        <f t="array" ref="AL53">Calibration!sK*SUM(AL15:AM15*AL27:AM27)</f>
        <v>1634020.2097928857</v>
      </c>
      <c r="AN53" s="27">
        <f t="array" ref="AN53">Calibration!sK*SUM(AN15:AO15*AN27:AO27)</f>
        <v>1676335.1355542634</v>
      </c>
      <c r="AP53" s="27">
        <f t="array" ref="AP53">Calibration!sK*SUM(AP15:AQ15*AP27:AQ27)</f>
        <v>1674160.2652128623</v>
      </c>
      <c r="AQ53" s="27"/>
      <c r="AR53" s="27">
        <f t="array" ref="AR53">Calibration!sK*SUM(AR15:AS15*AR27:AS27)</f>
        <v>1653177.597267658</v>
      </c>
      <c r="AT53" s="27">
        <f t="array" ref="AT53">Calibration!sK*SUM(AT15:AU15*AT27:AU27)</f>
        <v>1588360.8466247392</v>
      </c>
      <c r="AV53" s="27">
        <f t="array" ref="AV53">Calibration!sK*SUM(AV15:AW15*AV27:AW27)</f>
        <v>1398191.4362682533</v>
      </c>
      <c r="XFD53" s="27"/>
    </row>
    <row r="55" spans="1:48 16321:16384" x14ac:dyDescent="0.2">
      <c r="A55" t="s">
        <v>153</v>
      </c>
      <c r="B55" s="183">
        <f>B30/B32</f>
        <v>0.19850271905982084</v>
      </c>
      <c r="D55" s="183">
        <f>D30/D32</f>
        <v>0.20143468088675057</v>
      </c>
      <c r="F55" s="183">
        <f>F30/F32</f>
        <v>0.20440427575115025</v>
      </c>
      <c r="H55" s="183">
        <f>H30/H32</f>
        <v>0.20741289292103901</v>
      </c>
      <c r="J55" s="183">
        <f>J30/J32</f>
        <v>0.21046094847530766</v>
      </c>
      <c r="L55" s="183">
        <f>L30/L32</f>
        <v>0.21354751928962101</v>
      </c>
      <c r="N55" s="183">
        <f>N30/N32</f>
        <v>0.21666953460435881</v>
      </c>
      <c r="P55" s="183">
        <f>P30/P32</f>
        <v>0.21982095957192491</v>
      </c>
      <c r="R55" s="183">
        <f>R30/R32</f>
        <v>0.22299166996038294</v>
      </c>
      <c r="T55" s="183">
        <f>T30/T32</f>
        <v>0.22616660450307205</v>
      </c>
      <c r="V55" s="183">
        <f>V30/V32</f>
        <v>0.22932589439459153</v>
      </c>
      <c r="X55" s="183">
        <f>X30/X32</f>
        <v>0.23244863242753716</v>
      </c>
      <c r="Z55" s="183">
        <f>Z30/Z32</f>
        <v>0.23552622983308028</v>
      </c>
      <c r="AB55" s="183">
        <f>AB30/AB32</f>
        <v>0.23859891435851263</v>
      </c>
      <c r="AD55" s="183">
        <f>AD30/AD32</f>
        <v>0.24184342057410871</v>
      </c>
      <c r="AF55" s="183">
        <f>AF30/AF32</f>
        <v>0.2457640338303862</v>
      </c>
      <c r="AH55" s="183">
        <f>AH30/AH32</f>
        <v>0.25157941029645442</v>
      </c>
      <c r="AJ55" s="183">
        <f>AJ30/AJ32</f>
        <v>0.26202093186929593</v>
      </c>
      <c r="AL55" s="183">
        <f>AL30/AL32</f>
        <v>0.28285922255090873</v>
      </c>
      <c r="AN55" s="183">
        <f>AN30/AN32</f>
        <v>0.32579963499366466</v>
      </c>
      <c r="AP55" s="183">
        <f>AP30/AP32</f>
        <v>0.33995098605649177</v>
      </c>
      <c r="AR55" s="183">
        <f>AR30/AR32</f>
        <v>0.35822758039078695</v>
      </c>
      <c r="AT55" s="183">
        <f>AT30/AT32</f>
        <v>0.38403513883765045</v>
      </c>
      <c r="AV55" s="183">
        <f>AV30/AV32</f>
        <v>0.42806443848424081</v>
      </c>
      <c r="XCS55" s="183"/>
      <c r="XFD55" s="183"/>
    </row>
    <row r="56" spans="1:48 16321:16384" x14ac:dyDescent="0.2">
      <c r="A56" t="s">
        <v>154</v>
      </c>
      <c r="B56" s="183">
        <f>(Model!$C$52*B5*B20+B2*C5*C20)/B32</f>
        <v>2.9221206744340551E-2</v>
      </c>
      <c r="D56" s="183">
        <f>(Model!$C$52*D5*D20+D2*E5*E20)/D32</f>
        <v>3.2947088968980069E-2</v>
      </c>
      <c r="F56" s="183">
        <f>(Model!$C$52*F5*F20+F2*G5*G20)/F32</f>
        <v>3.6741256521494695E-2</v>
      </c>
      <c r="H56" s="183">
        <f>(Model!$C$52*H5*H20+H2*I5*I20)/H32</f>
        <v>4.0608082791193392E-2</v>
      </c>
      <c r="J56" s="183">
        <f>(Model!$C$52*J5*J20+J2*K5*K20)/J32</f>
        <v>4.4551089261775124E-2</v>
      </c>
      <c r="L56" s="183">
        <f>(Model!$C$52*L5*L20+L2*M5*M20)/L32</f>
        <v>4.8572533697019367E-2</v>
      </c>
      <c r="N56" s="183">
        <f>(Model!$C$52*N5*N20+N2*O5*O20)/N32</f>
        <v>5.2672379387344925E-2</v>
      </c>
      <c r="P56" s="183">
        <f>(Model!$C$52*P5*P20+P2*Q5*Q20)/P32</f>
        <v>5.6847233168782388E-2</v>
      </c>
      <c r="R56" s="183">
        <f>(Model!$C$52*R5*R20+R2*S5*S20)/R32</f>
        <v>6.1088761856994536E-2</v>
      </c>
      <c r="T56" s="183">
        <f>(Model!$C$52*T5*T20+T2*U5*U20)/T32</f>
        <v>6.5382199929084769E-2</v>
      </c>
      <c r="V56" s="183">
        <f>(Model!$C$52*V5*V20+V2*W5*W20)/V32</f>
        <v>6.9705657399860357E-2</v>
      </c>
      <c r="X56" s="183">
        <f>(Model!$C$52*X5*X20+X2*Y5*Y20)/X32</f>
        <v>7.4033081905557768E-2</v>
      </c>
      <c r="Z56" s="183">
        <f>(Model!$C$52*Z5*Z20+Z2*AA5*AA20)/Z32</f>
        <v>7.8347483274435303E-2</v>
      </c>
      <c r="AB56" s="183">
        <f>(Model!$C$52*AB5*AB20+AB2*AC5*AC20)/AB32</f>
        <v>8.2679655295403789E-2</v>
      </c>
      <c r="AD56" s="183">
        <f>(Model!$C$52*AD5*AD20+AD2*AE5*AE20)/AD32</f>
        <v>8.7203916042042931E-2</v>
      </c>
      <c r="AF56" s="183">
        <f>(Model!$C$52*AF5*AF20+AF2*AG5*AG20)/AF32</f>
        <v>9.2449814524434099E-2</v>
      </c>
      <c r="AH56" s="183">
        <f>(Model!$C$52*AH5*AH20+AH2*AI5*AI20)/AH32</f>
        <v>9.9733702213852762E-2</v>
      </c>
      <c r="AJ56" s="183">
        <f>(Model!$C$52*AJ5*AJ20+AJ2*AK5*AK20)/AJ32</f>
        <v>0.11203662614473374</v>
      </c>
      <c r="AL56" s="183">
        <f>(Model!$C$52*AL5*AL20+AL2*AM5*AM20)/AL32</f>
        <v>0.13554728644591937</v>
      </c>
      <c r="AN56" s="183">
        <f>(Model!$C$52*AN5*AN20+AN2*AO5*AO20)/AN32</f>
        <v>0.1818855424710871</v>
      </c>
      <c r="AP56" s="183">
        <f>(Model!$C$52*AP5*AP20+AP2*AQ5*AQ20)/AP32</f>
        <v>0.19666296704540481</v>
      </c>
      <c r="AR56" s="183">
        <f>(Model!$C$52*AR5*AR20+AR2*AS5*AS20)/AR32</f>
        <v>0.21546098313871903</v>
      </c>
      <c r="AT56" s="183">
        <f>(Model!$C$52*AT5*AT20+AT2*AU5*AU20)/AT32</f>
        <v>0.24158218840862947</v>
      </c>
      <c r="AV56" s="183">
        <f>(Model!$C$52*AV5*AV20+AV2*AW5*AW20)/AV32</f>
        <v>0.28552195265073854</v>
      </c>
      <c r="XFD56" s="183"/>
    </row>
    <row r="57" spans="1:48 16321:16384" x14ac:dyDescent="0.2">
      <c r="A57" t="s">
        <v>155</v>
      </c>
      <c r="B57" s="183">
        <f t="array" ref="B57">SUM(Model!tauL*B13:C13*B26:C26)/B32</f>
        <v>0.15852881819439493</v>
      </c>
      <c r="D57" s="183">
        <f t="array" ref="D57">SUM(Model!tauL*D13:E13*D26:E26)/D32</f>
        <v>0.15780458432257041</v>
      </c>
      <c r="F57" s="183">
        <f t="array" ref="F57">SUM(Model!tauL*F13:G13*F26:G26)/F32</f>
        <v>0.15705025708693099</v>
      </c>
      <c r="H57" s="183">
        <f t="array" ref="H57">SUM(Model!tauL*H13:I13*H26:I26)/H32</f>
        <v>0.1562629256965507</v>
      </c>
      <c r="J57" s="183">
        <f t="array" ref="J57">SUM(Model!tauL*J13:K13*J26:K26)/J32</f>
        <v>0.15543955666938761</v>
      </c>
      <c r="L57" s="183">
        <f t="array" ref="L57">SUM(Model!tauL*L13:M13*L26:M26)/L32</f>
        <v>0.15457704593889454</v>
      </c>
      <c r="N57" s="183">
        <f t="array" ref="N57">SUM(Model!tauL*N13:O13*N26:O26)/N32</f>
        <v>0.15367242654643698</v>
      </c>
      <c r="P57" s="183">
        <f t="array" ref="P57">SUM(Model!tauL*P13:Q13*P26:Q26)/P32</f>
        <v>0.15272311649338288</v>
      </c>
      <c r="R57" s="183">
        <f t="array" ref="R57">SUM(Model!tauL*R13:S13*R26:S26)/R32</f>
        <v>0.15172737433655203</v>
      </c>
      <c r="T57" s="183">
        <f t="array" ref="T57">SUM(Model!tauL*T13:U13*T26:U26)/T32</f>
        <v>0.15068495728380993</v>
      </c>
      <c r="V57" s="183">
        <f t="array" ref="V57">SUM(Model!tauL*V13:W13*V26:W26)/V32</f>
        <v>0.14959799913146396</v>
      </c>
      <c r="X57" s="183">
        <f t="array" ref="X57">SUM(Model!tauL*X13:Y13*X26:Y26)/X32</f>
        <v>0.14847196704054394</v>
      </c>
      <c r="Y57" s="183"/>
      <c r="Z57" s="183">
        <f t="array" ref="Z57">SUM(Model!tauL*Z13:AA13*Z26:AA26)/Z32</f>
        <v>0.14731614405402504</v>
      </c>
      <c r="AB57" s="183">
        <f t="array" ref="AB57">SUM(Model!tauL*AB13:AC13*AB26:AC26)/AB32</f>
        <v>0.14614213751210414</v>
      </c>
      <c r="AD57" s="183">
        <f t="array" ref="AD57">SUM(Model!tauL*AD13:AE13*AD26:AE26)/AD32</f>
        <v>0.1449571223452801</v>
      </c>
      <c r="AF57" s="183">
        <f t="array" ref="AF57">SUM(Model!tauL*AF13:AG13*AF26:AG26)/AF32</f>
        <v>0.14374488982970934</v>
      </c>
      <c r="AH57" s="183">
        <f t="array" ref="AH57">SUM(Model!tauL*AH13:AI13*AH26:AI26)/AH32</f>
        <v>0.14242181559712813</v>
      </c>
      <c r="AJ57" s="183">
        <f t="array" ref="AJ57">SUM(Model!tauL*AJ13:AK13*AJ26:AK26)/AJ32</f>
        <v>0.14075400795921555</v>
      </c>
      <c r="AL57" s="183">
        <f t="array" ref="AL57">SUM(Model!tauL*AL13:AM13*AL26:AM26)/AL32</f>
        <v>0.13833641995895701</v>
      </c>
      <c r="AN57" s="183">
        <f t="array" ref="AN57">SUM(Model!tauL*AN13:AO13*AN26:AO26)/AN32</f>
        <v>0.135309725665721</v>
      </c>
      <c r="AP57" s="183">
        <f t="array" ref="AP57">SUM(Model!tauL*AP13:AQ13*AP26:AQ26)/AP32</f>
        <v>0.13479519942570006</v>
      </c>
      <c r="AR57" s="183">
        <f t="array" ref="AR57">SUM(Model!tauL*AR13:AS13*AR26:AS26)/AR32</f>
        <v>0.13441629086545578</v>
      </c>
      <c r="AT57" s="183">
        <f t="array" ref="AT57">SUM(Model!tauL*AT13:AU13*AT26:AU26)/AT32</f>
        <v>0.13430411043375065</v>
      </c>
      <c r="AV57" s="183">
        <f t="array" ref="AV57">SUM(Model!tauL*AV13:AW13*AV26:AW26)/AV32</f>
        <v>0.13474464526119498</v>
      </c>
      <c r="XFD57" s="183"/>
    </row>
    <row r="58" spans="1:48 16321:16384" x14ac:dyDescent="0.2">
      <c r="A58" t="s">
        <v>156</v>
      </c>
      <c r="B58" s="183">
        <f t="array" ref="B58">SUM(Model!tauY/(1+Model!tauY)*B3:C3*B18:C18)/B32</f>
        <v>1.075269412108535E-2</v>
      </c>
      <c r="D58" s="183">
        <f t="array" ref="D58">SUM(Model!tauY/(1+Model!tauY)*D3:E3*D18:E18)/D32</f>
        <v>1.0683007595200062E-2</v>
      </c>
      <c r="F58" s="183">
        <f t="array" ref="F58">SUM(Model!tauY/(1+Model!tauY)*F3:G3*F18:G18)/F32</f>
        <v>1.0612762142724615E-2</v>
      </c>
      <c r="H58" s="183">
        <f t="array" ref="H58">SUM(Model!tauY/(1+Model!tauY)*H3:I3*H18:I18)/H32</f>
        <v>1.0541884433294957E-2</v>
      </c>
      <c r="J58" s="183">
        <f t="array" ref="J58">SUM(Model!tauY/(1+Model!tauY)*J3:K3*J18:K18)/J32</f>
        <v>1.0470302544144883E-2</v>
      </c>
      <c r="L58" s="183">
        <f t="array" ref="L58">SUM(Model!tauY/(1+Model!tauY)*L3:M3*L18:M18)/L32</f>
        <v>1.0397939653707108E-2</v>
      </c>
      <c r="N58" s="183">
        <f t="array" ref="N58">SUM(Model!tauY/(1+Model!tauY)*N3:O3*N18:O18)/N32</f>
        <v>1.0324728670576917E-2</v>
      </c>
      <c r="P58" s="183">
        <f t="array" ref="P58">SUM(Model!tauY/(1+Model!tauY)*P3:Q3*P18:Q18)/P32</f>
        <v>1.0250609909759626E-2</v>
      </c>
      <c r="R58" s="183">
        <f t="array" ref="R58">SUM(Model!tauY/(1+Model!tauY)*R3:S3*R18:S18)/R32</f>
        <v>1.0175533766836371E-2</v>
      </c>
      <c r="T58" s="183">
        <f t="array" ref="T58">SUM(Model!tauY/(1+Model!tauY)*T3:U3*T18:U18)/T32</f>
        <v>1.0099447290177357E-2</v>
      </c>
      <c r="V58" s="183">
        <f t="array" ref="V58">SUM(Model!tauY/(1+Model!tauY)*V3:W3*V18:W18)/V32</f>
        <v>1.0022237863267195E-2</v>
      </c>
      <c r="X58" s="183">
        <f t="array" ref="X58">SUM(Model!tauY/(1+Model!tauY)*X3:Y3*X18:Y18)/X32</f>
        <v>9.9435834814354546E-3</v>
      </c>
      <c r="Y58" s="183"/>
      <c r="Z58" s="183">
        <f t="array" ref="Z58">SUM(Model!tauY/(1+Model!tauY)*Z3:AA3*Z18:AA18)/Z32</f>
        <v>9.8626025046199221E-3</v>
      </c>
      <c r="AB58" s="183">
        <f t="array" ref="AB58">SUM(Model!tauY/(1+Model!tauY)*AB3:AC3*AB18:AC18)/AB32</f>
        <v>9.7771215510046895E-3</v>
      </c>
      <c r="AD58" s="183">
        <f t="array" ref="AD58">SUM(Model!tauY/(1+Model!tauY)*AD3:AE3*AD18:AE18)/AD32</f>
        <v>9.6823821867856805E-3</v>
      </c>
      <c r="AF58" s="183">
        <f t="array" ref="AF58">SUM(Model!tauY/(1+Model!tauY)*AF3:AG3*AF18:AG18)/AF32</f>
        <v>9.5693294762427498E-3</v>
      </c>
      <c r="AH58" s="183">
        <f t="array" ref="AH58">SUM(Model!tauY/(1+Model!tauY)*AH3:AI3*AH18:AI18)/AH32</f>
        <v>9.4238924854735447E-3</v>
      </c>
      <c r="AJ58" s="183">
        <f t="array" ref="AJ58">SUM(Model!tauY/(1+Model!tauY)*AJ3:AK3*AJ18:AK18)/AJ32</f>
        <v>9.2302977653465988E-3</v>
      </c>
      <c r="AL58" s="183">
        <f t="array" ref="AL58">SUM(Model!tauY/(1+Model!tauY)*AL3:AM3*AL18:AM18)/AL32</f>
        <v>8.9755161460323384E-3</v>
      </c>
      <c r="AN58" s="183">
        <f t="array" ref="AN58">SUM(Model!tauY/(1+Model!tauY)*AN3:AO3*AN18:AO18)/AN32</f>
        <v>8.6043668568565723E-3</v>
      </c>
      <c r="AP58" s="183">
        <f t="array" ref="AP58">SUM(Model!tauY/(1+Model!tauY)*AP3:AQ3*AP18:AQ18)/AP32</f>
        <v>8.4928195853869008E-3</v>
      </c>
      <c r="AR58" s="183">
        <f t="array" ref="AR58">SUM(Model!tauY/(1+Model!tauY)*AR3:AS3*AR18:AS18)/AR32</f>
        <v>8.3503063866121573E-3</v>
      </c>
      <c r="AT58" s="183">
        <f t="array" ref="AT58">SUM(Model!tauY/(1+Model!tauY)*AT3:AU3*AT18:AU18)/AT32</f>
        <v>8.1488399952703502E-3</v>
      </c>
      <c r="AV58" s="183">
        <f t="array" ref="AV58">SUM(Model!tauY/(1+Model!tauY)*AV3:AW3*AV18:AW18)/AV32</f>
        <v>7.797840572307287E-3</v>
      </c>
      <c r="XFD58" s="183"/>
    </row>
    <row r="59" spans="1:48 16321:16384" x14ac:dyDescent="0.2">
      <c r="A59" t="s">
        <v>157</v>
      </c>
      <c r="B59" s="183">
        <f>(B2*C5*C20)/B32</f>
        <v>5.5174232040962052E-4</v>
      </c>
      <c r="D59" s="183">
        <f>(D2*E5*E20)/D32</f>
        <v>4.3333367067883901E-3</v>
      </c>
      <c r="F59" s="183">
        <f>(F2*G5*G20)/F32</f>
        <v>8.1800406480685307E-3</v>
      </c>
      <c r="H59" s="183">
        <f>(H2*I5*I20)/H32</f>
        <v>1.2095279494548151E-2</v>
      </c>
      <c r="J59" s="183">
        <f>(J2*K5*K20)/J32</f>
        <v>1.6081280794292413E-2</v>
      </c>
      <c r="L59" s="183">
        <f>(L2*M5*M20)/L32</f>
        <v>2.013854222152154E-2</v>
      </c>
      <c r="N59" s="183">
        <f>(N2*O5*O20)/N32</f>
        <v>2.4264582516989992E-2</v>
      </c>
      <c r="P59" s="183">
        <f>(P2*Q5*Q20)/P32</f>
        <v>2.8452598465742173E-2</v>
      </c>
      <c r="R59" s="183">
        <f>(R2*S5*S20)/R32</f>
        <v>3.2689450647328498E-2</v>
      </c>
      <c r="T59" s="183">
        <f>(T2*U5*U20)/T32</f>
        <v>3.6953557213786473E-2</v>
      </c>
      <c r="V59" s="183">
        <f>(V2*W5*W20)/V32</f>
        <v>4.1213357940986392E-2</v>
      </c>
      <c r="X59" s="183">
        <f>(X2*Y5*Y20)/X32</f>
        <v>4.5429188006466316E-2</v>
      </c>
      <c r="Z59" s="183">
        <f>(Z2*AA5*AA20)/Z32</f>
        <v>4.9565342076424469E-2</v>
      </c>
      <c r="AB59" s="183">
        <f>(AB2*AC5*AC20)/AB32</f>
        <v>5.3628222974191911E-2</v>
      </c>
      <c r="AD59" s="183">
        <f>(AD2*AE5*AE20)/AD32</f>
        <v>5.7763833380614631E-2</v>
      </c>
      <c r="AF59" s="183">
        <f>(AF2*AG5*AG20)/AF32</f>
        <v>6.2476881540905763E-2</v>
      </c>
      <c r="AH59" s="183">
        <f>(AH2*AI5*AI20)/AH32</f>
        <v>6.9077975297448316E-2</v>
      </c>
      <c r="AJ59" s="183">
        <f>(AJ2*AK5*AK20)/AJ32</f>
        <v>8.0578468807100873E-2</v>
      </c>
      <c r="AL59" s="183">
        <f>(AL2*AM5*AM20)/AL32</f>
        <v>0.1032077739224762</v>
      </c>
      <c r="AN59" s="183">
        <f>(AN2*AO5*AO20)/AN32</f>
        <v>0.14822721675828454</v>
      </c>
      <c r="AP59" s="183">
        <f>(AP2*AQ5*AQ20)/AP32</f>
        <v>0.16249661395667886</v>
      </c>
      <c r="AR59" s="183">
        <f>(AR2*AS5*AS20)/AR32</f>
        <v>0.18053540869239176</v>
      </c>
      <c r="AT59" s="183">
        <f>(AT2*AU5*AU20)/AT32</f>
        <v>0.20535283514083527</v>
      </c>
      <c r="AV59" s="183">
        <f>(AV2*AW5*AW20)/AV32</f>
        <v>0.24631504906861806</v>
      </c>
      <c r="XFD59" s="183"/>
    </row>
    <row r="60" spans="1:48 16321:16384" x14ac:dyDescent="0.2">
      <c r="A60" t="s">
        <v>158</v>
      </c>
      <c r="B60" s="183">
        <f>Model!$C$52*B5*B20/B32</f>
        <v>2.8669464423930927E-2</v>
      </c>
      <c r="D60" s="183">
        <f>Model!$C$52*D5*D20/D32</f>
        <v>2.8613752262191681E-2</v>
      </c>
      <c r="F60" s="183">
        <f>Model!$C$52*F5*F20/F32</f>
        <v>2.8561215873426159E-2</v>
      </c>
      <c r="H60" s="183">
        <f>Model!$C$52*H5*H20/H32</f>
        <v>2.8512803296645239E-2</v>
      </c>
      <c r="J60" s="183">
        <f>Model!$C$52*J5*J20/J32</f>
        <v>2.8469808467482708E-2</v>
      </c>
      <c r="L60" s="183">
        <f>Model!$C$52*L5*L20/L32</f>
        <v>2.8433991475497831E-2</v>
      </c>
      <c r="N60" s="183">
        <f>Model!$C$52*N5*N20/N32</f>
        <v>2.8407796870354933E-2</v>
      </c>
      <c r="P60" s="183">
        <f>Model!$C$52*P5*P20/P32</f>
        <v>2.8394634703040218E-2</v>
      </c>
      <c r="R60" s="183">
        <f>Model!$C$52*R5*R20/R32</f>
        <v>2.8399311209666038E-2</v>
      </c>
      <c r="T60" s="183">
        <f>Model!$C$52*T5*T20/T32</f>
        <v>2.842864271529829E-2</v>
      </c>
      <c r="V60" s="183">
        <f>Model!$C$52*V5*V20/V32</f>
        <v>2.8492299458873962E-2</v>
      </c>
      <c r="X60" s="183">
        <f>Model!$C$52*X5*X20/X32</f>
        <v>2.8603893899091459E-2</v>
      </c>
      <c r="Z60" s="183">
        <f>Model!$C$52*Z5*Z20/Z32</f>
        <v>2.8782141198010831E-2</v>
      </c>
      <c r="AB60" s="183">
        <f>Model!$C$52*AB5*AB20/AB32</f>
        <v>2.9051432321211868E-2</v>
      </c>
      <c r="AD60" s="183">
        <f>Model!$C$52*AD5*AD20/AD32</f>
        <v>2.9440082661428304E-2</v>
      </c>
      <c r="AF60" s="183">
        <f>Model!$C$52*AF5*AF20/AF32</f>
        <v>2.9972932983528339E-2</v>
      </c>
      <c r="AH60" s="183">
        <f>Model!$C$52*AH5*AH20/AH32</f>
        <v>3.0655726916404436E-2</v>
      </c>
      <c r="AJ60" s="183">
        <f>Model!$C$52*AJ5*AJ20/AJ32</f>
        <v>3.1458157337632867E-2</v>
      </c>
      <c r="AL60" s="183">
        <f>Model!$C$52*AL5*AL20/AL32</f>
        <v>3.2339512523443185E-2</v>
      </c>
      <c r="AN60" s="183">
        <f>Model!$C$52*AN5*AN20/AN32</f>
        <v>3.3658325712802563E-2</v>
      </c>
      <c r="AP60" s="183">
        <f>Model!$C$52*AP5*AP20/AP32</f>
        <v>3.4166353088725981E-2</v>
      </c>
      <c r="AR60" s="183">
        <f>Model!$C$52*AR5*AR20/AR32</f>
        <v>3.4925574446327282E-2</v>
      </c>
      <c r="AT60" s="183">
        <f>Model!$C$52*AT5*AT20/AT32</f>
        <v>3.6229353267794202E-2</v>
      </c>
      <c r="AV60" s="183">
        <f>Model!$C$52*AV5*AV20/AV32</f>
        <v>3.9206903582120457E-2</v>
      </c>
      <c r="XFD60" s="183"/>
    </row>
    <row r="62" spans="1:48 16321:16384" x14ac:dyDescent="0.2">
      <c r="A62" t="s">
        <v>159</v>
      </c>
      <c r="B62">
        <f>B13/B15</f>
        <v>1</v>
      </c>
      <c r="D62">
        <f>D13/D15</f>
        <v>0.99556084254042676</v>
      </c>
      <c r="F62">
        <f>F13/F15</f>
        <v>0.99076163257393213</v>
      </c>
      <c r="H62">
        <f>H13/H15</f>
        <v>0.98556269334293201</v>
      </c>
      <c r="J62">
        <f>J13/J15</f>
        <v>0.97992033976038617</v>
      </c>
      <c r="L62">
        <f>L13/L15</f>
        <v>0.97378707237482409</v>
      </c>
      <c r="N62">
        <f>N13/N15</f>
        <v>0.96711262551679433</v>
      </c>
      <c r="P62">
        <f>P13/P15</f>
        <v>0.95984604282071295</v>
      </c>
      <c r="R62">
        <f>R13/R15</f>
        <v>0.95193991198914163</v>
      </c>
      <c r="T62">
        <f>T13/T15</f>
        <v>0.94335802624529208</v>
      </c>
      <c r="V62">
        <f>V13/V15</f>
        <v>0.93408883837149237</v>
      </c>
      <c r="X62">
        <f>X13/X15</f>
        <v>0.92416853827904388</v>
      </c>
      <c r="Z62">
        <f>Z13/Z15</f>
        <v>0.9137206229308551</v>
      </c>
      <c r="AB62">
        <f>AB13/AB15</f>
        <v>0.90302583222030119</v>
      </c>
      <c r="AD62">
        <f>AD13/AD15</f>
        <v>0.89265137077321288</v>
      </c>
      <c r="AF62">
        <f>AF13/AF15</f>
        <v>0.88369720097306037</v>
      </c>
      <c r="AH62">
        <f>AH13/AH15</f>
        <v>0.87829975087616463</v>
      </c>
      <c r="AJ62">
        <f>AJ13/AJ15</f>
        <v>0.88103354733285733</v>
      </c>
      <c r="AL62">
        <f>AL13/AL15</f>
        <v>0.90442849252550528</v>
      </c>
      <c r="AN62">
        <f>AN13/AN15</f>
        <v>0.99855087534301923</v>
      </c>
      <c r="AP62">
        <f>AP13/AP15</f>
        <v>1.0441230263203285</v>
      </c>
      <c r="AR62">
        <f>AR13/AR15</f>
        <v>1.1152827273818859</v>
      </c>
      <c r="AT62">
        <f>AT13/AT15</f>
        <v>1.2423662168268439</v>
      </c>
      <c r="AV62">
        <f>AV13/AV15</f>
        <v>1.5475121686860285</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0.99811324796627798</v>
      </c>
      <c r="E65" s="181"/>
      <c r="F65" s="181">
        <f t="array" ref="F65">SQRT((F9:G9*$B$22:$C$22+F10:G10*$B$23:$C$23+F11:G11*$B$24:$C$24+F4:G4*($B$25:$C$25-$B$19:$C$19))/($B$9:$C$9*$B$22:$C$22+$B$10:$C$10*$B$23:$C$23+$B$11:$C$11*$B$24:$C$24+$B$4:$C$4*($B$25:$C$25-$B$19:$C$19))*(F9:G9*F22:G22+F10:G10*F23:G23+F11:G11*F24:G24+F4:G4*(F25:G25-F19:G19))/($B$9:$C$9*F22:G22+$B$10:$C$10*F23:G23+$B$11:$C$11*F24:G24+$B$4:$C$4*(F25:G25-F19:G19)))</f>
        <v>0.99644148494641482</v>
      </c>
      <c r="G65" s="181"/>
      <c r="H65" s="181">
        <f t="array" ref="H65">SQRT((H9:I9*$B$22:$C$22+H10:I10*$B$23:$C$23+H11:I11*$B$24:$C$24+H4:I4*($B$25:$C$25-$B$19:$C$19))/($B$9:$C$9*$B$22:$C$22+$B$10:$C$10*$B$23:$C$23+$B$11:$C$11*$B$24:$C$24+$B$4:$C$4*($B$25:$C$25-$B$19:$C$19))*(H9:I9*H22:I22+H10:I10*H23:I23+H11:I11*H24:I24+H4:I4*(H25:I25-H19:I19))/($B$9:$C$9*H22:I22+$B$10:$C$10*H23:I23+$B$11:$C$11*H24:I24+$B$4:$C$4*(H25:I25-H19:I19)))</f>
        <v>0.99504289660424616</v>
      </c>
      <c r="I65" s="181"/>
      <c r="J65" s="181">
        <f t="array" ref="J65">SQRT((J9:K9*$B$22:$C$22+J10:K10*$B$23:$C$23+J11:K11*$B$24:$C$24+J4:K4*($B$25:$C$25-$B$19:$C$19))/($B$9:$C$9*$B$22:$C$22+$B$10:$C$10*$B$23:$C$23+$B$11:$C$11*$B$24:$C$24+$B$4:$C$4*($B$25:$C$25-$B$19:$C$19))*(J9:K9*J22:K22+J10:K10*J23:K23+J11:K11*J24:K24+J4:K4*(J25:K25-J19:K19))/($B$9:$C$9*J22:K22+$B$10:$C$10*J23:K23+$B$11:$C$11*J24:K24+$B$4:$C$4*(J25:K25-J19:K19)))</f>
        <v>0.99399780485016687</v>
      </c>
      <c r="K65" s="181"/>
      <c r="L65" s="181">
        <f t="array" ref="L65">SQRT((L9:M9*$B$22:$C$22+L10:M10*$B$23:$C$23+L11:M11*$B$24:$C$24+L4:M4*($B$25:$C$25-$B$19:$C$19))/($B$9:$C$9*$B$22:$C$22+$B$10:$C$10*$B$23:$C$23+$B$11:$C$11*$B$24:$C$24+$B$4:$C$4*($B$25:$C$25-$B$19:$C$19))*(L9:M9*L22:M22+L10:M10*L23:M23+L11:M11*L24:M24+L4:M4*(L25:M25-L19:M19))/($B$9:$C$9*L22:M22+$B$10:$C$10*L23:M23+$B$11:$C$11*L24:M24+$B$4:$C$4*(L25:M25-L19:M19)))</f>
        <v>0.99341760000254398</v>
      </c>
      <c r="M65" s="181"/>
      <c r="N65" s="181">
        <f t="array" ref="N65">SQRT((N9:O9*$B$22:$C$22+N10:O10*$B$23:$C$23+N11:O11*$B$24:$C$24+N4:O4*($B$25:$C$25-$B$19:$C$19))/($B$9:$C$9*$B$22:$C$22+$B$10:$C$10*$B$23:$C$23+$B$11:$C$11*$B$24:$C$24+$B$4:$C$4*($B$25:$C$25-$B$19:$C$19))*(N9:O9*N22:O22+N10:O10*N23:O23+N11:O11*N24:O24+N4:O4*(N25:O25-N19:O19))/($B$9:$C$9*N22:O22+$B$10:$C$10*N23:O23+$B$11:$C$11*N24:O24+$B$4:$C$4*(N25:O25-N19:O19)))</f>
        <v>0.99346067343524436</v>
      </c>
      <c r="O65" s="181"/>
      <c r="P65" s="181">
        <f t="array" ref="P65">SQRT((P9:Q9*$B$22:$C$22+P10:Q10*$B$23:$C$23+P11:Q11*$B$24:$C$24+P4:Q4*($B$25:$C$25-$B$19:$C$19))/($B$9:$C$9*$B$22:$C$22+$B$10:$C$10*$B$23:$C$23+$B$11:$C$11*$B$24:$C$24+$B$4:$C$4*($B$25:$C$25-$B$19:$C$19))*(P9:Q9*P22:Q22+P10:Q10*P23:Q23+P11:Q11*P24:Q24+P4:Q4*(P25:Q25-P19:Q19))/($B$9:$C$9*P22:Q22+$B$10:$C$10*P23:Q23+$B$11:$C$11*P24:Q24+$B$4:$C$4*(P25:Q25-P19:Q19)))</f>
        <v>0.99435531218536677</v>
      </c>
      <c r="Q65" s="181"/>
      <c r="R65" s="181">
        <f t="array" ref="R65">SQRT((R9:S9*$B$22:$C$22+R10:S10*$B$23:$C$23+R11:S11*$B$24:$C$24+R4:S4*($B$25:$C$25-$B$19:$C$19))/($B$9:$C$9*$B$22:$C$22+$B$10:$C$10*$B$23:$C$23+$B$11:$C$11*$B$24:$C$24+$B$4:$C$4*($B$25:$C$25-$B$19:$C$19))*(R9:S9*R22:S22+R10:S10*R23:S23+R11:S11*R24:S24+R4:S4*(R25:S25-R19:S19))/($B$9:$C$9*R22:S22+$B$10:$C$10*R23:S23+$B$11:$C$11*R24:S24+$B$4:$C$4*(R25:S25-R19:S19)))</f>
        <v>0.99643724586027649</v>
      </c>
      <c r="S65" s="181"/>
      <c r="T65" s="181">
        <f t="array" ref="T65">SQRT((T9:U9*$B$22:$C$22+T10:U10*$B$23:$C$23+T11:U11*$B$24:$C$24+T4:U4*($B$25:$C$25-$B$19:$C$19))/($B$9:$C$9*$B$22:$C$22+$B$10:$C$10*$B$23:$C$23+$B$11:$C$11*$B$24:$C$24+$B$4:$C$4*($B$25:$C$25-$B$19:$C$19))*(T9:U9*T22:U22+T10:U10*T23:U23+T11:U11*T24:U24+T4:U4*(T25:U25-T19:U19))/($B$9:$C$9*T22:U22+$B$10:$C$10*T23:U23+$B$11:$C$11*T24:U24+$B$4:$C$4*(T25:U25-T19:U19)))</f>
        <v>1.0002103925093158</v>
      </c>
      <c r="U65" s="181"/>
      <c r="V65" s="181">
        <f t="array" ref="V65">SQRT((V9:W9*$B$22:$C$22+V10:W10*$B$23:$C$23+V11:W11*$B$24:$C$24+V4:W4*($B$25:$C$25-$B$19:$C$19))/($B$9:$C$9*$B$22:$C$22+$B$10:$C$10*$B$23:$C$23+$B$11:$C$11*$B$24:$C$24+$B$4:$C$4*($B$25:$C$25-$B$19:$C$19))*(V9:W9*V22:W22+V10:W10*V23:W23+V11:W11*V24:W24+V4:W4*(V25:W25-V19:W19))/($B$9:$C$9*V22:W22+$B$10:$C$10*V23:W23+$B$11:$C$11*V24:W24+$B$4:$C$4*(V25:W25-V19:W19)))</f>
        <v>1.0064472397713025</v>
      </c>
      <c r="W65" s="181"/>
      <c r="X65" s="181">
        <f t="array" ref="X65">SQRT((X9:Y9*$B$22:$C$22+X10:Y10*$B$23:$C$23+X11:Y11*$B$24:$C$24+X4:Y4*($B$25:$C$25-$B$19:$C$19))/($B$9:$C$9*$B$22:$C$22+$B$10:$C$10*$B$23:$C$23+$B$11:$C$11*$B$24:$C$24+$B$4:$C$4*($B$25:$C$25-$B$19:$C$19))*(X9:Y9*X22:Y22+X10:Y10*X23:Y23+X11:Y11*X24:Y24+X4:Y4*(X25:Y25-X19:Y19))/($B$9:$C$9*X22:Y22+$B$10:$C$10*X23:Y23+$B$11:$C$11*X24:Y24+$B$4:$C$4*(X25:Y25-X19:Y19)))</f>
        <v>1.0163600833448128</v>
      </c>
      <c r="Y65" s="181"/>
      <c r="Z65" s="181">
        <f t="array" ref="Z65">SQRT((Z9:AA9*$B$22:$C$22+Z10:AA10*$B$23:$C$23+Z11:AA11*$B$24:$C$24+Z4:AA4*($B$25:$C$25-$B$19:$C$19))/($B$9:$C$9*$B$22:$C$22+$B$10:$C$10*$B$23:$C$23+$B$11:$C$11*$B$24:$C$24+$B$4:$C$4*($B$25:$C$25-$B$19:$C$19))*(Z9:AA9*Z22:AA22+Z10:AA10*Z23:AA23+Z11:AA11*Z24:AA24+Z4:AA4*(Z25:AA25-Z19:AA19))/($B$9:$C$9*Z22:AA22+$B$10:$C$10*Z23:AA23+$B$11:$C$11*Z24:AA24+$B$4:$C$4*(Z25:AA25-Z19:AA19)))</f>
        <v>1.0319010995700231</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1.0563065497667596</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1.0951304478146424</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1.1583804823560033</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1.2658660866887836</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1.4653180744987697</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1.9166901295539474</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3.965628931326858</v>
      </c>
      <c r="AO65" s="181"/>
      <c r="AP65" s="181">
        <f t="array" ref="AP65">SQRT((AP9:AQ9*$B$22:$C$22+AP10:AQ10*$B$23:$C$23+AP11:AQ11*$B$24:$C$24+AP4:AQ4*($B$25:$C$25-$B$19:$C$19))/($B$9:$C$9*$B$22:$C$22+$B$10:$C$10*$B$23:$C$23+$B$11:$C$11*$B$24:$C$24+$B$4:$C$4*($B$25:$C$25-$B$19:$C$19))*(AP9:AQ9*AP22:AQ22+AP10:AQ10*AP23:AQ23+AP11:AQ11*AP24:AQ24+AP4:AQ4*(AP25:AQ25-AP19:AQ19))/($B$9:$C$9*AP22:AQ22+$B$10:$C$10*AP23:AQ23+$B$11:$C$11*AP24:AQ24+$B$4:$C$4*(AP25:AQ25-AP19:AQ19)))</f>
        <v>6.7717821446440718</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#NUM!</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#NUM!</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#NUM!</v>
      </c>
    </row>
    <row r="66" spans="1:48 16384:16384" x14ac:dyDescent="0.2">
      <c r="A66" t="s">
        <v>166</v>
      </c>
      <c r="B66" s="181">
        <f t="array" ref="B66">SQRT((B9:C9*$B$22:$C$22)/($B$9:$C$9*$B$22:$C$22)*(B9:C9*B22:C22)/($B$9:$C$9*B22:C22))</f>
        <v>1</v>
      </c>
      <c r="C66" s="181"/>
      <c r="D66" s="181">
        <f t="array" ref="D66">SQRT((D9:E9*$B$22:$C$22)/($B$9:$C$9*$B$22:$C$22)*(D9:E9*D22:E22)/($B$9:$C$9*D22:E22))</f>
        <v>0.99792482905930069</v>
      </c>
      <c r="E66" s="181"/>
      <c r="F66" s="181">
        <f t="array" ref="F66">SQRT((F9:G9*$B$22:$C$22)/($B$9:$C$9*$B$22:$C$22)*(F9:G9*F22:G22)/($B$9:$C$9*F22:G22))</f>
        <v>0.99608349636477778</v>
      </c>
      <c r="G66" s="181"/>
      <c r="H66" s="181">
        <f t="array" ref="H66">SQRT((H9:I9*$B$22:$C$22)/($B$9:$C$9*$B$22:$C$22)*(H9:I9*H22:I22)/($B$9:$C$9*H22:I22))</f>
        <v>0.99454121864494383</v>
      </c>
      <c r="I66" s="181"/>
      <c r="J66" s="181">
        <f t="array" ref="J66">SQRT((J9:K9*$B$22:$C$22)/($B$9:$C$9*$B$22:$C$22)*(J9:K9*J22:K22)/($B$9:$C$9*J22:K22))</f>
        <v>0.99338778082578805</v>
      </c>
      <c r="K66" s="181"/>
      <c r="L66" s="181">
        <f t="array" ref="L66">SQRT((L9:M9*$B$22:$C$22)/($B$9:$C$9*$B$22:$C$22)*(L9:M9*L22:M22)/($B$9:$C$9*L22:M22))</f>
        <v>0.99274728904817344</v>
      </c>
      <c r="M66" s="181"/>
      <c r="N66" s="181">
        <f t="array" ref="N66">SQRT((N9:O9*$B$22:$C$22)/($B$9:$C$9*$B$22:$C$22)*(N9:O9*N22:O22)/($B$9:$C$9*N22:O22))</f>
        <v>0.99279544770940542</v>
      </c>
      <c r="O66" s="181"/>
      <c r="P66" s="181">
        <f t="array" ref="P66">SQRT((P9:Q9*$B$22:$C$22)/($B$9:$C$9*$B$22:$C$22)*(P9:Q9*P22:Q22)/($B$9:$C$9*P22:Q22))</f>
        <v>0.9937840539984909</v>
      </c>
      <c r="Q66" s="181"/>
      <c r="R66" s="181">
        <f t="array" ref="R66">SQRT((R9:S9*$B$22:$C$22)/($B$9:$C$9*$B$22:$C$22)*(R9:S9*R22:S22)/($B$9:$C$9*R22:S22))</f>
        <v>0.99608060065672088</v>
      </c>
      <c r="S66" s="181"/>
      <c r="T66" s="181">
        <f t="array" ref="T66">SQRT((T9:U9*$B$22:$C$22)/($B$9:$C$9*$B$22:$C$22)*(T9:U9*T22:U22)/($B$9:$C$9*T22:U22))</f>
        <v>1.0002310534395598</v>
      </c>
      <c r="U66" s="181"/>
      <c r="V66" s="181">
        <f t="array" ref="V66">SQRT((V9:W9*$B$22:$C$22)/($B$9:$C$9*$B$22:$C$22)*(V9:W9*V22:W22)/($B$9:$C$9*V22:W22))</f>
        <v>1.007060785245111</v>
      </c>
      <c r="W66" s="181"/>
      <c r="X66" s="181">
        <f t="array" ref="X66">SQRT((X9:Y9*$B$22:$C$22)/($B$9:$C$9*$B$22:$C$22)*(X9:Y9*X22:Y22)/($B$9:$C$9*X22:Y22))</f>
        <v>1.0178407056425967</v>
      </c>
      <c r="Y66" s="181"/>
      <c r="Z66" s="181">
        <f t="array" ref="Z66">SQRT((Z9:AA9*$B$22:$C$22)/($B$9:$C$9*$B$22:$C$22)*(Z9:AA9*Z22:AA22)/($B$9:$C$9*Z22:AA22))</f>
        <v>1.0345648065088739</v>
      </c>
      <c r="AA66" s="181"/>
      <c r="AB66" s="181">
        <f t="array" ref="AB66">SQRT((AB9:AC9*$B$22:$C$22)/($B$9:$C$9*$B$22:$C$22)*(AB9:AC9*AB22:AC22)/($B$9:$C$9*AB22:AC22))</f>
        <v>1.0604228214977398</v>
      </c>
      <c r="AC66" s="181"/>
      <c r="AD66" s="181">
        <f t="array" ref="AD66">SQRT((AD9:AE9*$B$22:$C$22)/($B$9:$C$9*$B$22:$C$22)*(AD9:AE9*AD22:AE22)/($B$9:$C$9*AD22:AE22))</f>
        <v>1.1006277448381765</v>
      </c>
      <c r="AE66" s="181"/>
      <c r="AF66" s="181">
        <f t="array" ref="AF66">SQRT((AF9:AG9*$B$22:$C$22)/($B$9:$C$9*$B$22:$C$22)*(AF9:AG9*AF22:AG22)/($B$9:$C$9*AF22:AG22))</f>
        <v>1.1639649470369375</v>
      </c>
      <c r="AG66" s="181"/>
      <c r="AH66" s="181">
        <f t="array" ref="AH66">SQRT((AH9:AI9*$B$22:$C$22)/($B$9:$C$9*$B$22:$C$22)*(AH9:AI9*AH22:AI22)/($B$9:$C$9*AH22:AI22))</f>
        <v>1.2663112727776462</v>
      </c>
      <c r="AI66" s="181"/>
      <c r="AJ66" s="181">
        <f t="array" ref="AJ66">SQRT((AJ9:AK9*$B$22:$C$22)/($B$9:$C$9*$B$22:$C$22)*(AJ9:AK9*AJ22:AK22)/($B$9:$C$9*AJ22:AK22))</f>
        <v>1.4412449735825053</v>
      </c>
      <c r="AK66" s="181"/>
      <c r="AL66" s="181">
        <f t="array" ref="AL66">SQRT((AL9:AM9*$B$22:$C$22)/($B$9:$C$9*$B$22:$C$22)*(AL9:AM9*AL22:AM22)/($B$9:$C$9*AL22:AM22))</f>
        <v>1.7755611140893262</v>
      </c>
      <c r="AM66" s="181"/>
      <c r="AN66" s="181">
        <f t="array" ref="AN66">SQRT((AN9:AO9*$B$22:$C$22)/($B$9:$C$9*$B$22:$C$22)*(AN9:AO9*AN22:AO22)/($B$9:$C$9*AN22:AO22))</f>
        <v>2.5563485530220866</v>
      </c>
      <c r="AO66" s="181"/>
      <c r="AP66" s="181">
        <f t="array" ref="AP66">SQRT((AP9:AQ9*$B$22:$C$22)/($B$9:$C$9*$B$22:$C$22)*(AP9:AQ9*AP22:AQ22)/($B$9:$C$9*AP22:AQ22))</f>
        <v>2.8539289562947574</v>
      </c>
      <c r="AQ66" s="181"/>
      <c r="AR66" s="181">
        <f t="array" ref="AR66">SQRT((AR9:AS9*$B$22:$C$22)/($B$9:$C$9*$B$22:$C$22)*(AR9:AS9*AR22:AS22)/($B$9:$C$9*AR22:AS22))</f>
        <v>3.266341654637563</v>
      </c>
      <c r="AS66" s="181"/>
      <c r="AT66" s="181">
        <f t="array" ref="AT66">SQRT((AT9:AU9*$B$22:$C$22)/($B$9:$C$9*$B$22:$C$22)*(AT9:AU9*AT22:AU22)/($B$9:$C$9*AT22:AU22))</f>
        <v>3.8957002714114424</v>
      </c>
      <c r="AU66" s="181"/>
      <c r="AV66" s="181">
        <f t="array" ref="AV66">SQRT((AV9:AW9*$B$22:$C$22)/($B$9:$C$9*$B$22:$C$22)*(AV9:AW9*AV22:AW22)/($B$9:$C$9*AV22:AW22))</f>
        <v>5.067373053679777</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0.99792482905930069</v>
      </c>
      <c r="E68" s="181"/>
      <c r="F68" s="181">
        <f>F66/F67</f>
        <v>0.99608349636477778</v>
      </c>
      <c r="G68" s="181"/>
      <c r="H68" s="181">
        <f>H66/H67</f>
        <v>0.99454121864494383</v>
      </c>
      <c r="I68" s="181"/>
      <c r="J68" s="181">
        <f>J66/J67</f>
        <v>0.99338778082578805</v>
      </c>
      <c r="K68" s="181"/>
      <c r="L68" s="181">
        <f>L66/L67</f>
        <v>0.99274728904817344</v>
      </c>
      <c r="M68" s="181"/>
      <c r="N68" s="181">
        <f>N66/N67</f>
        <v>0.99279544770940542</v>
      </c>
      <c r="O68" s="181"/>
      <c r="P68" s="181">
        <f>P66/P67</f>
        <v>0.9937840539984909</v>
      </c>
      <c r="Q68" s="181"/>
      <c r="R68" s="181">
        <f>R66/R67</f>
        <v>0.99608060065672088</v>
      </c>
      <c r="S68" s="181"/>
      <c r="T68" s="181">
        <f>T66/T67</f>
        <v>1.0002310534395598</v>
      </c>
      <c r="U68" s="181"/>
      <c r="V68" s="181">
        <f>V66/V67</f>
        <v>1.007060785245111</v>
      </c>
      <c r="W68" s="181"/>
      <c r="X68" s="181">
        <f>X66/X67</f>
        <v>1.0178407056425967</v>
      </c>
      <c r="Y68" s="181"/>
      <c r="Z68" s="181">
        <f>Z66/Z67</f>
        <v>1.0345648065088739</v>
      </c>
      <c r="AA68" s="181"/>
      <c r="AB68" s="181">
        <f>AB66/AB67</f>
        <v>1.0604228214977398</v>
      </c>
      <c r="AC68" s="181"/>
      <c r="AD68" s="181">
        <f>AD66/AD67</f>
        <v>1.1006277448381765</v>
      </c>
      <c r="AE68" s="181"/>
      <c r="AF68" s="181">
        <f>AF66/AF67</f>
        <v>1.1639649470369375</v>
      </c>
      <c r="AG68" s="181"/>
      <c r="AH68" s="181">
        <f>AH66/AH67</f>
        <v>1.2663112727776462</v>
      </c>
      <c r="AI68" s="181"/>
      <c r="AJ68" s="181">
        <f>AJ66/AJ67</f>
        <v>1.4412449735825053</v>
      </c>
      <c r="AK68" s="181"/>
      <c r="AL68" s="181">
        <f>AL66/AL67</f>
        <v>1.7755611140893262</v>
      </c>
      <c r="AM68" s="181"/>
      <c r="AN68" s="181">
        <f>AN66/AN67</f>
        <v>2.5563485530220866</v>
      </c>
      <c r="AO68" s="181"/>
      <c r="AP68" s="181">
        <f>AP66/AP67</f>
        <v>2.8539289562947574</v>
      </c>
      <c r="AQ68" s="181"/>
      <c r="AR68" s="181">
        <f>AR66/AR67</f>
        <v>3.266341654637563</v>
      </c>
      <c r="AS68" s="181"/>
      <c r="AT68" s="181">
        <f>AT66/AT67</f>
        <v>3.8957002714114424</v>
      </c>
      <c r="AU68" s="181"/>
      <c r="AV68" s="181">
        <f>AV66/AV67</f>
        <v>5.067373053679777</v>
      </c>
      <c r="XFD68" s="181"/>
    </row>
    <row r="69" spans="1:48 16384:16384" x14ac:dyDescent="0.2">
      <c r="A69" t="s">
        <v>161</v>
      </c>
      <c r="B69" s="181">
        <f>B32/B65/($B$32)</f>
        <v>1</v>
      </c>
      <c r="C69" s="181"/>
      <c r="D69" s="181">
        <f>D32/D65/($B$32)</f>
        <v>0.99477957894650781</v>
      </c>
      <c r="E69" s="181"/>
      <c r="F69" s="181">
        <f>F32/F65/($B$32)</f>
        <v>0.98855503834533676</v>
      </c>
      <c r="G69" s="181"/>
      <c r="H69" s="181">
        <f>H32/H65/($B$32)</f>
        <v>0.9811122708386657</v>
      </c>
      <c r="I69" s="181"/>
      <c r="J69" s="181">
        <f>J32/J65/($B$32)</f>
        <v>0.97217738143534627</v>
      </c>
      <c r="K69" s="181"/>
      <c r="L69" s="181">
        <f>L32/L65/($B$32)</f>
        <v>0.96140115522771397</v>
      </c>
      <c r="M69" s="181"/>
      <c r="N69" s="181">
        <f>N32/N65/($B$32)</f>
        <v>0.94833335398678575</v>
      </c>
      <c r="O69" s="181"/>
      <c r="P69" s="181">
        <f>P32/P65/($B$32)</f>
        <v>0.93239594352179267</v>
      </c>
      <c r="Q69" s="181"/>
      <c r="R69" s="181">
        <f>R32/R65/($B$32)</f>
        <v>0.91285080116169803</v>
      </c>
      <c r="S69" s="181"/>
      <c r="T69" s="181">
        <f>T32/T65/($B$32)</f>
        <v>0.88877145855791506</v>
      </c>
      <c r="U69" s="181"/>
      <c r="V69" s="181">
        <f>V32/V65/($B$32)</f>
        <v>0.85903608571398871</v>
      </c>
      <c r="W69" s="181"/>
      <c r="X69" s="181">
        <f>X32/X65/($B$32)</f>
        <v>0.82237519062132192</v>
      </c>
      <c r="Y69" s="181"/>
      <c r="Z69" s="181">
        <f>Z32/Z65/($B$32)</f>
        <v>0.77753287769542245</v>
      </c>
      <c r="AA69" s="181"/>
      <c r="AB69" s="181">
        <f>AB32/AB65/($B$32)</f>
        <v>0.72361249708780095</v>
      </c>
      <c r="AC69" s="181"/>
      <c r="AD69" s="181">
        <f>AD32/AD65/($B$32)</f>
        <v>0.66062310249080525</v>
      </c>
      <c r="AE69" s="181"/>
      <c r="AF69" s="181">
        <f>AF32/AF65/($B$32)</f>
        <v>0.59000420083244598</v>
      </c>
      <c r="AG69" s="181"/>
      <c r="AH69" s="181">
        <f>AH32/AH65/($B$32)</f>
        <v>0.51435180271641634</v>
      </c>
      <c r="AI69" s="181"/>
      <c r="AJ69" s="181">
        <f>AJ32/AJ65/($B$32)</f>
        <v>0.43492121949778212</v>
      </c>
      <c r="AK69" s="181"/>
      <c r="AL69" s="181">
        <f>AL32/AL65/($B$32)</f>
        <v>0.34420438608617226</v>
      </c>
      <c r="AM69" s="181"/>
      <c r="AN69" s="181">
        <f>AN32/AN65/($B$32)</f>
        <v>0.18706349626119781</v>
      </c>
      <c r="AO69" s="181"/>
      <c r="AP69" s="181">
        <f>AP32/AP65/($B$32)</f>
        <v>0.11330750096906944</v>
      </c>
      <c r="AQ69" s="181"/>
      <c r="AR69" s="181" t="e">
        <f>AR32/AR65/($B$32)</f>
        <v>#NUM!</v>
      </c>
      <c r="AS69" s="181"/>
      <c r="AT69" s="181" t="e">
        <f>AT32/AT65/($B$32)</f>
        <v>#NUM!</v>
      </c>
      <c r="AU69" s="181"/>
      <c r="AV69" s="181" t="e">
        <f>AV32/AV65/($B$32)</f>
        <v>#NUM!</v>
      </c>
    </row>
    <row r="70" spans="1:48 16384:16384" x14ac:dyDescent="0.2">
      <c r="A70" t="s">
        <v>162</v>
      </c>
      <c r="B70" s="129">
        <f>B18/$B$18</f>
        <v>1</v>
      </c>
      <c r="C70" s="129"/>
      <c r="D70" s="129">
        <f>D18/$B$18</f>
        <v>0.99386035808453554</v>
      </c>
      <c r="E70" s="129"/>
      <c r="F70" s="129">
        <f>F18/$B$18</f>
        <v>0.98672773071664976</v>
      </c>
      <c r="G70" s="129"/>
      <c r="H70" s="129">
        <f>H18/$B$18</f>
        <v>0.97839036245081901</v>
      </c>
      <c r="I70" s="129"/>
      <c r="J70" s="129">
        <f>J18/$B$18</f>
        <v>0.96857744529537027</v>
      </c>
      <c r="K70" s="129"/>
      <c r="L70" s="129">
        <f>L18/$B$18</f>
        <v>0.95694359180898658</v>
      </c>
      <c r="M70" s="129"/>
      <c r="N70" s="129">
        <f>N18/$B$18</f>
        <v>0.9430434581753645</v>
      </c>
      <c r="O70" s="129"/>
      <c r="P70" s="129">
        <f>P18/$B$18</f>
        <v>0.92630511170445273</v>
      </c>
      <c r="Q70" s="129"/>
      <c r="R70" s="129">
        <f>R18/$B$18</f>
        <v>0.90599816805429012</v>
      </c>
      <c r="S70" s="129"/>
      <c r="T70" s="129">
        <f>T18/$B$18</f>
        <v>0.88120622314175512</v>
      </c>
      <c r="U70" s="129"/>
      <c r="V70" s="129">
        <f>V18/$B$18</f>
        <v>0.85082102437653506</v>
      </c>
      <c r="W70" s="129"/>
      <c r="X70" s="129">
        <f>X18/$B$18</f>
        <v>0.81359232832561346</v>
      </c>
      <c r="Y70" s="129"/>
      <c r="Z70" s="129">
        <f>Z18/$B$18</f>
        <v>0.7682927645630474</v>
      </c>
      <c r="AA70" s="129"/>
      <c r="AB70" s="129">
        <f>AB18/$B$18</f>
        <v>0.71406867998414947</v>
      </c>
      <c r="AC70" s="129"/>
      <c r="AD70" s="129">
        <f>AD18/$B$18</f>
        <v>0.65099380559724385</v>
      </c>
      <c r="AE70" s="129"/>
      <c r="AF70" s="129">
        <f>AF18/$B$18</f>
        <v>0.58060932529462039</v>
      </c>
      <c r="AG70" s="129"/>
      <c r="AH70" s="129">
        <f>AH18/$B$18</f>
        <v>0.50572890907263868</v>
      </c>
      <c r="AI70" s="129"/>
      <c r="AJ70" s="129">
        <f>AJ18/$B$18</f>
        <v>0.42846311718665403</v>
      </c>
      <c r="AK70" s="129"/>
      <c r="AL70" s="129">
        <f>AL18/$B$18</f>
        <v>0.34632302224837247</v>
      </c>
      <c r="AM70" s="129"/>
      <c r="AN70" s="129">
        <f>AN18/$B$18</f>
        <v>0.24463643593557768</v>
      </c>
      <c r="AO70" s="129"/>
      <c r="AP70" s="129">
        <f>AP18/$B$18</f>
        <v>0.21807922996926463</v>
      </c>
      <c r="AQ70" s="129"/>
      <c r="AR70" s="129">
        <f>AR18/$B$18</f>
        <v>0.18723633100716655</v>
      </c>
      <c r="AS70" s="129"/>
      <c r="AT70" s="129">
        <f>AT18/$B$18</f>
        <v>0.14967803450882278</v>
      </c>
      <c r="AU70" s="129"/>
      <c r="AV70" s="129">
        <f>AV18/$B$18</f>
        <v>9.972213957040528E-2</v>
      </c>
    </row>
    <row r="71" spans="1:48 16384:16384" x14ac:dyDescent="0.2">
      <c r="A71" t="s">
        <v>163</v>
      </c>
      <c r="B71" s="129">
        <f>C18/$C$18</f>
        <v>1</v>
      </c>
      <c r="D71" s="129">
        <f>E18/$C$18</f>
        <v>0.93289573015551319</v>
      </c>
      <c r="E71" s="129"/>
      <c r="F71" s="129">
        <f>G18/$C$18</f>
        <v>0.86600012147613015</v>
      </c>
      <c r="G71" s="129"/>
      <c r="H71" s="129">
        <f>I18/$C$18</f>
        <v>0.7993846957987929</v>
      </c>
      <c r="I71" s="129"/>
      <c r="J71" s="129">
        <f>K18/$C$18</f>
        <v>0.73314330856434606</v>
      </c>
      <c r="K71" s="129"/>
      <c r="L71" s="129">
        <f>M18/$C$18</f>
        <v>0.66739486128788783</v>
      </c>
      <c r="M71" s="129"/>
      <c r="N71" s="129">
        <f>O18/$C$18</f>
        <v>0.60229616931920749</v>
      </c>
      <c r="O71" s="129"/>
      <c r="P71" s="129">
        <f>Q18/$C$18</f>
        <v>0.5380489398706475</v>
      </c>
      <c r="Q71" s="129"/>
      <c r="R71" s="129">
        <f>S18/$C$18</f>
        <v>0.47491076157448181</v>
      </c>
      <c r="S71" s="129"/>
      <c r="T71" s="129">
        <f>U18/$C$18</f>
        <v>0.41320176473851944</v>
      </c>
      <c r="U71" s="129"/>
      <c r="V71" s="129">
        <f>W18/$C$18</f>
        <v>0.35330105123909111</v>
      </c>
      <c r="W71" s="129"/>
      <c r="X71" s="129">
        <f>Y18/$C$18</f>
        <v>0.29562312542618174</v>
      </c>
      <c r="Y71" s="129"/>
      <c r="Z71" s="129">
        <f>AA18/$C$18</f>
        <v>0.2405634593259709</v>
      </c>
      <c r="AA71" s="129"/>
      <c r="AB71" s="129">
        <f>AC18/$C$18</f>
        <v>0.18841613022472312</v>
      </c>
      <c r="AC71" s="129"/>
      <c r="AD71" s="129">
        <f>AE18/$C$18</f>
        <v>0.13933377392551488</v>
      </c>
      <c r="AE71" s="129"/>
      <c r="AF71" s="129">
        <f>AG18/$C$18</f>
        <v>9.355338927298458E-2</v>
      </c>
      <c r="AG71" s="129"/>
      <c r="AH71" s="129">
        <f>AI18/$C$18</f>
        <v>5.2349413872966211E-2</v>
      </c>
      <c r="AI71" s="129"/>
      <c r="AJ71" s="129">
        <f>AK18/$C$18</f>
        <v>1.9943743188059564E-2</v>
      </c>
      <c r="AK71" s="129"/>
      <c r="AL71" s="129">
        <f>AM18/$C$18</f>
        <v>3.1564111310856406E-3</v>
      </c>
      <c r="AM71" s="129"/>
      <c r="AN71" s="129">
        <f>AO18/$C$18</f>
        <v>6.2441517207690353E-5</v>
      </c>
      <c r="AO71" s="129"/>
      <c r="AP71" s="129">
        <f>AQ18/$C$18</f>
        <v>1.6699555847600187E-5</v>
      </c>
      <c r="AQ71" s="129"/>
      <c r="AR71" s="129">
        <f>AS18/$C$18</f>
        <v>3.0627130975154021E-6</v>
      </c>
      <c r="AS71" s="129"/>
      <c r="AT71" s="129">
        <f>AU18/$C$18</f>
        <v>2.8938650957989185E-7</v>
      </c>
      <c r="AU71" s="129"/>
      <c r="AV71" s="129">
        <f>AW18/$C$18</f>
        <v>5.8080510321691933E-9</v>
      </c>
      <c r="XFD71" s="129"/>
    </row>
    <row r="72" spans="1:48 16384:16384" x14ac:dyDescent="0.2">
      <c r="A72" t="s">
        <v>164</v>
      </c>
      <c r="B72" s="129">
        <f>C19/$C$19</f>
        <v>1</v>
      </c>
      <c r="D72" s="129">
        <f>E19/$C$19</f>
        <v>1.0135434710844458</v>
      </c>
      <c r="E72" s="129"/>
      <c r="F72" s="129">
        <f>G19/$C$19</f>
        <v>1.0290145082639426</v>
      </c>
      <c r="G72" s="129"/>
      <c r="H72" s="129">
        <f>I19/$C$19</f>
        <v>1.0464334599562548</v>
      </c>
      <c r="I72" s="129"/>
      <c r="J72" s="129">
        <f>K19/$C$19</f>
        <v>1.0657502924387952</v>
      </c>
      <c r="K72" s="129"/>
      <c r="L72" s="129">
        <f>M19/$C$19</f>
        <v>1.0868061071633732</v>
      </c>
      <c r="M72" s="129"/>
      <c r="N72" s="129">
        <f>O19/$C$19</f>
        <v>1.1092772924028225</v>
      </c>
      <c r="O72" s="129"/>
      <c r="P72" s="129">
        <f>Q19/$C$19</f>
        <v>1.132603650006945</v>
      </c>
      <c r="Q72" s="129"/>
      <c r="R72" s="129">
        <f>S19/$C$19</f>
        <v>1.1558992689235714</v>
      </c>
      <c r="S72" s="129"/>
      <c r="T72" s="129">
        <f>U19/$C$19</f>
        <v>1.1778664315713845</v>
      </c>
      <c r="U72" s="129"/>
      <c r="V72" s="129">
        <f>W19/$C$19</f>
        <v>1.1967467440664492</v>
      </c>
      <c r="W72" s="129"/>
      <c r="X72" s="129">
        <f>Y19/$C$19</f>
        <v>1.2103987339080902</v>
      </c>
      <c r="Y72" s="129"/>
      <c r="Z72" s="129">
        <f>AA19/$C$19</f>
        <v>1.2166285795741518</v>
      </c>
      <c r="AA72" s="129"/>
      <c r="AB72" s="129">
        <f>AC19/$C$19</f>
        <v>1.2138748491088545</v>
      </c>
      <c r="AC72" s="129"/>
      <c r="AD72" s="129">
        <f>AE19/$C$19</f>
        <v>1.2020051281755861</v>
      </c>
      <c r="AE72" s="129"/>
      <c r="AF72" s="129">
        <f>AG19/$C$19</f>
        <v>1.181752210865042</v>
      </c>
      <c r="AG72" s="129"/>
      <c r="AH72" s="129">
        <f>AI19/$C$19</f>
        <v>1.1482675744030533</v>
      </c>
      <c r="AI72" s="129"/>
      <c r="AJ72" s="129">
        <f>AK19/$C$19</f>
        <v>1.0699408847509899</v>
      </c>
      <c r="AK72" s="129"/>
      <c r="AL72" s="129">
        <f>AM19/$C$19</f>
        <v>0.85977924117219773</v>
      </c>
      <c r="AM72" s="129"/>
      <c r="AN72" s="129">
        <f>AO19/$C$19</f>
        <v>0.46551203522917317</v>
      </c>
      <c r="AO72" s="129"/>
      <c r="AP72" s="129">
        <f>AQ19/$C$19</f>
        <v>0.37398129104706224</v>
      </c>
      <c r="AQ72" s="129"/>
      <c r="AR72" s="129">
        <f>AS19/$C$19</f>
        <v>0.28108970940106981</v>
      </c>
      <c r="AS72" s="129"/>
      <c r="AT72" s="129">
        <f>AU19/$C$19</f>
        <v>0.18755822110875842</v>
      </c>
      <c r="AU72" s="129"/>
      <c r="AV72" s="129">
        <f>AW19/$C$19</f>
        <v>9.3801683819220341E-2</v>
      </c>
      <c r="XFD72" s="129"/>
    </row>
    <row r="73" spans="1:48 16384:16384" x14ac:dyDescent="0.2">
      <c r="A73" t="s">
        <v>168</v>
      </c>
      <c r="B73" s="183">
        <f t="array" ref="B73">SUM(B9:C9*B22:C22)/B32</f>
        <v>0.47641153352875076</v>
      </c>
      <c r="D73" s="183">
        <f t="array" ref="D73">SUM(D9:E9*D22:E22)/D32</f>
        <v>0.47466877266012159</v>
      </c>
      <c r="E73" s="129"/>
      <c r="F73" s="183">
        <f t="array" ref="F73">SUM(F9:G9*F22:G22)/F32</f>
        <v>0.47290364279292296</v>
      </c>
      <c r="G73" s="129"/>
      <c r="H73" s="183">
        <f t="array" ref="H73">SUM(H9:I9*H22:I22)/H32</f>
        <v>0.47111530892383863</v>
      </c>
      <c r="I73" s="129"/>
      <c r="J73" s="183">
        <f t="array" ref="J73">SUM(J9:K9*J22:K22)/J32</f>
        <v>0.46930354480518965</v>
      </c>
      <c r="K73" s="129"/>
      <c r="L73" s="183">
        <f t="array" ref="L73">SUM(L9:M9*L22:M22)/L32</f>
        <v>0.46746887637297452</v>
      </c>
      <c r="M73" s="129"/>
      <c r="N73" s="183">
        <f t="array" ref="N73">SUM(N9:O9*N22:O22)/N32</f>
        <v>0.46561314664106901</v>
      </c>
      <c r="O73" s="129"/>
      <c r="P73" s="183">
        <f t="array" ref="P73">SUM(P9:Q9*P22:Q22)/P32</f>
        <v>0.46373994892329612</v>
      </c>
      <c r="Q73" s="129"/>
      <c r="R73" s="183">
        <f t="array" ref="R73">SUM(R9:S9*R22:S22)/R32</f>
        <v>0.46185525779577896</v>
      </c>
      <c r="S73" s="129"/>
      <c r="T73" s="183">
        <f t="array" ref="T73">SUM(T9:U9*T22:U22)/T32</f>
        <v>0.45996806785411409</v>
      </c>
      <c r="U73" s="129"/>
      <c r="V73" s="183">
        <f t="array" ref="V73">SUM(V9:W9*V22:W22)/V32</f>
        <v>0.45809018406691371</v>
      </c>
      <c r="W73" s="129"/>
      <c r="X73" s="183">
        <f t="array" ref="X73">SUM(X9:Y9*X22:Y22)/X32</f>
        <v>0.45623401932316621</v>
      </c>
      <c r="Y73" s="129"/>
      <c r="Z73" s="183">
        <f t="array" ref="Z73">SUM(Z9:AA9*Z22:AA22)/Z32</f>
        <v>0.45440469038563835</v>
      </c>
      <c r="AA73" s="129"/>
      <c r="AB73" s="183">
        <f t="array" ref="AB73">SUM(AB9:AC9*AB22:AC22)/AB32</f>
        <v>0.45257829079553497</v>
      </c>
      <c r="AC73" s="129"/>
      <c r="AD73" s="183">
        <f t="array" ref="AD73">SUM(AD9:AE9*AD22:AE22)/AD32</f>
        <v>0.45064974401409669</v>
      </c>
      <c r="AE73" s="129"/>
      <c r="AF73" s="183">
        <f t="array" ref="AF73">SUM(AF9:AG9*AF22:AG22)/AF32</f>
        <v>0.44831932148562231</v>
      </c>
      <c r="AG73" s="129"/>
      <c r="AH73" s="183">
        <f t="array" ref="AH73">SUM(AH9:AI9*AH22:AI22)/AH32</f>
        <v>0.44486264850389945</v>
      </c>
      <c r="AI73" s="129"/>
      <c r="AJ73" s="183">
        <f t="array" ref="AJ73">SUM(AJ9:AK9*AJ22:AK22)/AJ32</f>
        <v>0.43865618608971152</v>
      </c>
      <c r="AK73" s="129"/>
      <c r="AL73" s="183">
        <f t="array" ref="AL73">SUM(AL9:AM9*AL22:AM22)/AL32</f>
        <v>0.42626986467284528</v>
      </c>
      <c r="AM73" s="129"/>
      <c r="AN73" s="183">
        <f t="array" ref="AN73">SUM(AN9:AO9*AN22:AO22)/AN32</f>
        <v>0.40074600064545834</v>
      </c>
      <c r="AO73" s="129"/>
      <c r="AP73" s="183">
        <f t="array" ref="AP73">SUM(AP9:AQ9*AP22:AQ22)/AP32</f>
        <v>0.39233441018617671</v>
      </c>
      <c r="AQ73" s="129"/>
      <c r="AR73" s="183">
        <f t="array" ref="AR73">SUM(AR9:AS9*AR22:AS22)/AR32</f>
        <v>0.38147076714896355</v>
      </c>
      <c r="AS73" s="129"/>
      <c r="AT73" s="183">
        <f t="array" ref="AT73">SUM(AT9:AU9*AT22:AU22)/AT32</f>
        <v>0.36613070481303478</v>
      </c>
      <c r="AU73" s="129"/>
      <c r="AV73" s="183">
        <f t="array" ref="AV73">SUM(AV9:AW9*AV22:AW22)/AV32</f>
        <v>0.33995960364006084</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0.22604620456442481</v>
      </c>
      <c r="O74" s="129"/>
      <c r="P74" s="183">
        <f t="array" ref="P74">SUM(P10:Q10*P23:Q23)/P32</f>
        <v>0.22604620456442484</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0.22604620456442487</v>
      </c>
      <c r="AA74" s="129"/>
      <c r="AB74" s="183">
        <f t="array" ref="AB74">SUM(AB10:AC10*AB23:AC23)/AB32</f>
        <v>0.22604620456442487</v>
      </c>
      <c r="AC74" s="129"/>
      <c r="AD74" s="183">
        <f t="array" ref="AD74">SUM(AD10:AE10*AD23:AE23)/AD32</f>
        <v>0.22604620456442484</v>
      </c>
      <c r="AE74" s="129"/>
      <c r="AF74" s="183">
        <f t="array" ref="AF74">SUM(AF10:AG10*AF23:AG23)/AF32</f>
        <v>0.22604620456442484</v>
      </c>
      <c r="AG74" s="129"/>
      <c r="AH74" s="183">
        <f t="array" ref="AH74">SUM(AH10:AI10*AH23:AI23)/AH32</f>
        <v>0.22604620456442481</v>
      </c>
      <c r="AI74" s="129"/>
      <c r="AJ74" s="183">
        <f t="array" ref="AJ74">SUM(AJ10:AK10*AJ23:AK23)/AJ32</f>
        <v>0.22604620456442487</v>
      </c>
      <c r="AK74" s="129"/>
      <c r="AL74" s="183">
        <f t="array" ref="AL74">SUM(AL10:AM10*AL23:AM23)/AL32</f>
        <v>0.22604620456442487</v>
      </c>
      <c r="AM74" s="129"/>
      <c r="AN74" s="183">
        <f t="array" ref="AN74">SUM(AN10:AO10*AN23:AO23)/AN32</f>
        <v>0.22604620456442484</v>
      </c>
      <c r="AO74" s="129"/>
      <c r="AP74" s="183">
        <f t="array" ref="AP74">SUM(AP10:AQ10*AP23:AQ23)/AP32</f>
        <v>0.22604620456442484</v>
      </c>
      <c r="AQ74" s="129"/>
      <c r="AR74" s="183">
        <f t="array" ref="AR74">SUM(AR10:AS10*AR23:AS23)/AR32</f>
        <v>0.22604620456442484</v>
      </c>
      <c r="AS74" s="129"/>
      <c r="AT74" s="183">
        <f t="array" ref="AT74">SUM(AT10:AU10*AT23:AU23)/AT32</f>
        <v>0.22604620456442484</v>
      </c>
      <c r="AU74" s="129"/>
      <c r="AV74" s="183">
        <f t="array" ref="AV74">SUM(AV10:AW10*AV23:AW23)/AV32</f>
        <v>0.22604620456442481</v>
      </c>
      <c r="XFD74" s="183"/>
    </row>
    <row r="75" spans="1:48 16384:16384" x14ac:dyDescent="0.2">
      <c r="A75" t="s">
        <v>170</v>
      </c>
      <c r="B75" s="183">
        <f t="array" ref="B75">SUM(B11:C11*B24:C24)/B32</f>
        <v>0.22038438833194082</v>
      </c>
      <c r="D75" s="183">
        <f t="array" ref="D75">SUM(D11:E11*D24:E24)/D32</f>
        <v>0.22149910383667878</v>
      </c>
      <c r="E75" s="129"/>
      <c r="F75" s="183">
        <f t="array" ref="F75">SUM(F11:G11*F24:G24)/F32</f>
        <v>0.22285578742696788</v>
      </c>
      <c r="G75" s="129"/>
      <c r="H75" s="183">
        <f t="array" ref="H75">SUM(H11:I11*H24:I24)/H32</f>
        <v>0.2245138319958741</v>
      </c>
      <c r="I75" s="129"/>
      <c r="J75" s="183">
        <f t="array" ref="J75">SUM(J11:K11*J24:K24)/J32</f>
        <v>0.22655241827259401</v>
      </c>
      <c r="K75" s="129"/>
      <c r="L75" s="183">
        <f t="array" ref="L75">SUM(L11:M11*L24:M24)/L32</f>
        <v>0.2290778227481329</v>
      </c>
      <c r="M75" s="129"/>
      <c r="N75" s="183">
        <f t="array" ref="N75">SUM(N11:O11*N24:O24)/N32</f>
        <v>0.23223565535314999</v>
      </c>
      <c r="O75" s="129"/>
      <c r="P75" s="183">
        <f t="array" ref="P75">SUM(P11:Q11*P24:Q24)/P32</f>
        <v>0.23622773007136844</v>
      </c>
      <c r="Q75" s="129"/>
      <c r="R75" s="183">
        <f t="array" ref="R75">SUM(R11:S11*R24:S24)/R32</f>
        <v>0.24133791413258632</v>
      </c>
      <c r="S75" s="129"/>
      <c r="T75" s="183">
        <f t="array" ref="T75">SUM(T11:U11*T24:U24)/T32</f>
        <v>0.24797031745171111</v>
      </c>
      <c r="U75" s="129"/>
      <c r="V75" s="183">
        <f t="array" ref="V75">SUM(V11:W11*V24:W24)/V32</f>
        <v>0.25670485985247948</v>
      </c>
      <c r="W75" s="129"/>
      <c r="X75" s="183">
        <f t="array" ref="X75">SUM(X11:Y11*X24:Y24)/X32</f>
        <v>0.268375608147148</v>
      </c>
      <c r="Y75" s="129"/>
      <c r="Z75" s="183">
        <f t="array" ref="Z75">SUM(Z11:AA11*Z24:AA24)/Z32</f>
        <v>0.28417226568910653</v>
      </c>
      <c r="AA75" s="129"/>
      <c r="AB75" s="183">
        <f t="array" ref="AB75">SUM(AB11:AC11*AB24:AC24)/AB32</f>
        <v>0.30574816613477279</v>
      </c>
      <c r="AC75" s="129"/>
      <c r="AD75" s="183">
        <f t="array" ref="AD75">SUM(AD11:AE11*AD24:AE24)/AD32</f>
        <v>0.33527538658817813</v>
      </c>
      <c r="AE75" s="129"/>
      <c r="AF75" s="183">
        <f t="array" ref="AF75">SUM(AF11:AG11*AF24:AG24)/AF32</f>
        <v>0.37533096287262913</v>
      </c>
      <c r="AG75" s="129"/>
      <c r="AH75" s="183">
        <f t="array" ref="AH75">SUM(AH11:AI11*AH24:AI24)/AH32</f>
        <v>0.42862082537038071</v>
      </c>
      <c r="AI75" s="129"/>
      <c r="AJ75" s="183">
        <f t="array" ref="AJ75">SUM(AJ11:AK11*AJ24:AK24)/AJ32</f>
        <v>0.49839781367740971</v>
      </c>
      <c r="AK75" s="129"/>
      <c r="AL75" s="183">
        <f t="array" ref="AL75">SUM(AL11:AM11*AL24:AM24)/AL32</f>
        <v>0.59312761599721864</v>
      </c>
      <c r="AM75" s="129"/>
      <c r="AN75" s="183">
        <f t="array" ref="AN75">SUM(AN11:AO11*AN24:AO24)/AN32</f>
        <v>0.75945102712167301</v>
      </c>
      <c r="AO75" s="129"/>
      <c r="AP75" s="183">
        <f t="array" ref="AP75">SUM(AP11:AQ11*AP24:AQ24)/AP32</f>
        <v>0.81971398645348292</v>
      </c>
      <c r="AQ75" s="129"/>
      <c r="AR75" s="183">
        <f t="array" ref="AR75">SUM(AR11:AS11*AR24:AS24)/AR32</f>
        <v>0.90467281532226407</v>
      </c>
      <c r="AS75" s="129"/>
      <c r="AT75" s="183">
        <f t="array" ref="AT75">SUM(AT11:AU11*AT24:AU24)/AT32</f>
        <v>1.0404415951824251</v>
      </c>
      <c r="AU75" s="129"/>
      <c r="AV75" s="183">
        <f t="array" ref="AV75">SUM(AV11:AW11*AV24:AW24)/AV32</f>
        <v>1.3226674142509955</v>
      </c>
      <c r="XFD75" s="183"/>
    </row>
    <row r="76" spans="1:48 16384:16384" x14ac:dyDescent="0.2">
      <c r="A76" t="s">
        <v>171</v>
      </c>
      <c r="B76" s="183">
        <f t="array" ref="B76">SUM(B12:C12*B25:C25)/B32</f>
        <v>0.22301874374724867</v>
      </c>
      <c r="D76" s="183">
        <f t="array" ref="D76">SUM(D12:E12*D25:E25)/D32</f>
        <v>0.22350359909929021</v>
      </c>
      <c r="E76" s="129"/>
      <c r="F76" s="183">
        <f t="array" ref="F76">SUM(F12:G12*F25:G25)/F32</f>
        <v>0.22386856325123913</v>
      </c>
      <c r="G76" s="129"/>
      <c r="H76" s="183">
        <f t="array" ref="H76">SUM(H12:I12*H25:I25)/H32</f>
        <v>0.22407308133997184</v>
      </c>
      <c r="I76" s="129"/>
      <c r="J76" s="183">
        <f t="array" ref="J76">SUM(J12:K12*J25:K25)/J32</f>
        <v>0.22406116253593655</v>
      </c>
      <c r="K76" s="129"/>
      <c r="L76" s="183">
        <f t="array" ref="L76">SUM(L12:M12*L25:M25)/L32</f>
        <v>0.22375549714487133</v>
      </c>
      <c r="M76" s="129"/>
      <c r="N76" s="183">
        <f t="array" ref="N76">SUM(N12:O12*N25:O25)/N32</f>
        <v>0.22304753040320052</v>
      </c>
      <c r="O76" s="129"/>
      <c r="P76" s="183">
        <f t="array" ref="P76">SUM(P12:Q12*P25:Q25)/P32</f>
        <v>0.22178409236629387</v>
      </c>
      <c r="Q76" s="129"/>
      <c r="R76" s="183">
        <f t="array" ref="R76">SUM(R12:S12*R25:S25)/R32</f>
        <v>0.21974736270954909</v>
      </c>
      <c r="S76" s="129"/>
      <c r="T76" s="183">
        <f t="array" ref="T76">SUM(T12:U12*T25:U25)/T32</f>
        <v>0.21662646391837112</v>
      </c>
      <c r="U76" s="129"/>
      <c r="V76" s="183">
        <f t="array" ref="V76">SUM(V12:W12*V25:W25)/V32</f>
        <v>0.21197906668120134</v>
      </c>
      <c r="W76" s="129"/>
      <c r="X76" s="183">
        <f t="array" ref="X76">SUM(X12:Y12*X25:Y25)/X32</f>
        <v>0.20518361378114958</v>
      </c>
      <c r="Y76" s="129"/>
      <c r="Z76" s="183">
        <f t="array" ref="Z76">SUM(Z12:AA12*Z25:AA25)/Z32</f>
        <v>0.19539260478189976</v>
      </c>
      <c r="AA76" s="129"/>
      <c r="AB76" s="183">
        <f t="array" ref="AB76">SUM(AB12:AC12*AB25:AC25)/AB32</f>
        <v>0.18152136451688311</v>
      </c>
      <c r="AC76" s="129"/>
      <c r="AD76" s="183">
        <f t="array" ref="AD76">SUM(AD12:AE12*AD25:AE25)/AD32</f>
        <v>0.16235688762150266</v>
      </c>
      <c r="AE76" s="129"/>
      <c r="AF76" s="183">
        <f t="array" ref="AF76">SUM(AF12:AG12*AF25:AG25)/AF32</f>
        <v>0.13693471109887417</v>
      </c>
      <c r="AG76" s="129"/>
      <c r="AH76" s="183">
        <f t="array" ref="AH76">SUM(AH12:AI12*AH25:AI25)/AH32</f>
        <v>0.1052762654841697</v>
      </c>
      <c r="AI76" s="129"/>
      <c r="AJ76" s="183">
        <f t="array" ref="AJ76">SUM(AJ12:AK12*AJ25:AK25)/AJ32</f>
        <v>6.9307110293258201E-2</v>
      </c>
      <c r="AK76" s="129"/>
      <c r="AL76" s="183">
        <f t="array" ref="AL76">SUM(AL12:AM12*AL25:AM25)/AL32</f>
        <v>3.4216642019499019E-2</v>
      </c>
      <c r="AM76" s="129"/>
      <c r="AN76" s="183">
        <f t="array" ref="AN76">SUM(AN12:AO12*AN25:AO25)/AN32</f>
        <v>9.1784822652787E-3</v>
      </c>
      <c r="AO76" s="129"/>
      <c r="AP76" s="183">
        <f t="array" ref="AP76">SUM(AP12:AQ12*AP25:AQ25)/AP32</f>
        <v>6.0302122140866729E-3</v>
      </c>
      <c r="AQ76" s="129"/>
      <c r="AR76" s="183">
        <f t="array" ref="AR76">SUM(AR12:AS12*AR25:AS25)/AR32</f>
        <v>3.539678111946496E-3</v>
      </c>
      <c r="AS76" s="129"/>
      <c r="AT76" s="183">
        <f t="array" ref="AT76">SUM(AT12:AU12*AT25:AU25)/AT32</f>
        <v>1.7024704082872289E-3</v>
      </c>
      <c r="AU76" s="129"/>
      <c r="AV76" s="183">
        <f t="array" ref="AV76">SUM(AV12:AW12*AV25:AW25)/AV32</f>
        <v>5.1324939381206609E-4</v>
      </c>
      <c r="XFD76" s="183"/>
    </row>
    <row r="77" spans="1:48 16384:16384" x14ac:dyDescent="0.2">
      <c r="A77" t="s">
        <v>172</v>
      </c>
      <c r="B77" s="183">
        <f t="array" ref="B77">SUM(B4:C4*B19:C19)/B32</f>
        <v>0.14586087017236485</v>
      </c>
      <c r="D77" s="183">
        <f t="array" ref="D77">SUM(D4:E4*D19:E19)/D32</f>
        <v>0.14571768016051534</v>
      </c>
      <c r="E77" s="129"/>
      <c r="F77" s="183">
        <f t="array" ref="F77">SUM(F4:G4*F19:G19)/F32</f>
        <v>0.14567419803555454</v>
      </c>
      <c r="G77" s="129"/>
      <c r="H77" s="183">
        <f t="array" ref="H77">SUM(H4:I4*H19:I19)/H32</f>
        <v>0.14574842682410943</v>
      </c>
      <c r="I77" s="129"/>
      <c r="J77" s="183">
        <f t="array" ref="J77">SUM(J4:K4*J19:K19)/J32</f>
        <v>0.14596333017814495</v>
      </c>
      <c r="K77" s="129"/>
      <c r="L77" s="183">
        <f t="array" ref="L77">SUM(L4:M4*L19:M19)/L32</f>
        <v>0.14634840083040357</v>
      </c>
      <c r="M77" s="129"/>
      <c r="N77" s="183">
        <f t="array" ref="N77">SUM(N4:O4*N19:O19)/N32</f>
        <v>0.14694253696184437</v>
      </c>
      <c r="O77" s="129"/>
      <c r="P77" s="183">
        <f t="array" ref="P77">SUM(P4:Q4*P19:Q19)/P32</f>
        <v>0.14779797592538307</v>
      </c>
      <c r="Q77" s="129"/>
      <c r="R77" s="183">
        <f t="array" ref="R77">SUM(R4:S4*R19:S19)/R32</f>
        <v>0.14898673920233926</v>
      </c>
      <c r="S77" s="129"/>
      <c r="T77" s="183">
        <f t="array" ref="T77">SUM(T4:U4*T19:U19)/T32</f>
        <v>0.15061105378862108</v>
      </c>
      <c r="U77" s="129"/>
      <c r="V77" s="183">
        <f t="array" ref="V77">SUM(V4:W4*V19:W19)/V32</f>
        <v>0.15282031516501929</v>
      </c>
      <c r="W77" s="129"/>
      <c r="X77" s="183">
        <f t="array" ref="X77">SUM(X4:Y4*X19:Y19)/X32</f>
        <v>0.1558394458158886</v>
      </c>
      <c r="Y77" s="129"/>
      <c r="Z77" s="183">
        <f t="array" ref="Z77">SUM(Z4:AA4*Z19:AA19)/Z32</f>
        <v>0.16001576542106921</v>
      </c>
      <c r="AA77" s="129"/>
      <c r="AB77" s="183">
        <f t="array" ref="AB77">SUM(AB4:AC4*AB19:AC19)/AB32</f>
        <v>0.16589402601161546</v>
      </c>
      <c r="AC77" s="129"/>
      <c r="AD77" s="183">
        <f t="array" ref="AD77">SUM(AD4:AE4*AD19:AE19)/AD32</f>
        <v>0.17432822278820218</v>
      </c>
      <c r="AE77" s="129"/>
      <c r="AF77" s="183">
        <f t="array" ref="AF77">SUM(AF4:AG4*AF19:AG19)/AF32</f>
        <v>0.18663120002155034</v>
      </c>
      <c r="AG77" s="129"/>
      <c r="AH77" s="183">
        <f t="array" ref="AH77">SUM(AH4:AI4*AH19:AI19)/AH32</f>
        <v>0.20480594392287454</v>
      </c>
      <c r="AI77" s="129"/>
      <c r="AJ77" s="183">
        <f t="array" ref="AJ77">SUM(AJ4:AK4*AJ19:AK19)/AJ32</f>
        <v>0.23240731462480424</v>
      </c>
      <c r="AK77" s="129"/>
      <c r="AL77" s="183">
        <f t="array" ref="AL77">SUM(AL4:AM4*AL19:AM19)/AL32</f>
        <v>0.27966032725398782</v>
      </c>
      <c r="AM77" s="129"/>
      <c r="AN77" s="183">
        <f t="array" ref="AN77">SUM(AN4:AO4*AN19:AO19)/AN32</f>
        <v>0.39542171459683484</v>
      </c>
      <c r="AO77" s="129"/>
      <c r="AP77" s="183">
        <f t="array" ref="AP77">SUM(AP4:AQ4*AP19:AQ19)/AP32</f>
        <v>0.44412481341817123</v>
      </c>
      <c r="AQ77" s="129"/>
      <c r="AR77" s="183">
        <f t="array" ref="AR77">SUM(AR4:AS4*AR19:AS19)/AR32</f>
        <v>0.51572946514759888</v>
      </c>
      <c r="AS77" s="129"/>
      <c r="AT77" s="183">
        <f t="array" ref="AT77">SUM(AT4:AU4*AT19:AU19)/AT32</f>
        <v>0.63432097496817175</v>
      </c>
      <c r="AU77" s="129"/>
      <c r="AV77" s="183">
        <f t="array" ref="AV77">SUM(AV4:AW4*AV19:AW19)/AV32</f>
        <v>0.88918647184929289</v>
      </c>
      <c r="XFD77" s="183"/>
    </row>
    <row r="78" spans="1:48 16384:16384" x14ac:dyDescent="0.2">
      <c r="A78" t="s">
        <v>173</v>
      </c>
      <c r="B78" s="183">
        <f t="array" ref="B78">SUM(B13:C13*B26:C26)/B32</f>
        <v>0.346887593115773</v>
      </c>
      <c r="D78" s="183">
        <f t="array" ref="D78">SUM(D13:E13*D26:E26)/D32</f>
        <v>0.34530284816206963</v>
      </c>
      <c r="E78" s="129"/>
      <c r="F78" s="183">
        <f t="array" ref="F78">SUM(F13:G13*F26:G26)/F32</f>
        <v>0.3436522538904857</v>
      </c>
      <c r="G78" s="129"/>
      <c r="H78" s="183">
        <f t="array" ref="H78">SUM(H13:I13*H26:I26)/H32</f>
        <v>0.34192944100318723</v>
      </c>
      <c r="I78" s="129"/>
      <c r="J78" s="183">
        <f t="array" ref="J78">SUM(J13:K13*J26:K26)/J32</f>
        <v>0.34012777173363878</v>
      </c>
      <c r="K78" s="129"/>
      <c r="L78" s="183">
        <f t="array" ref="L78">SUM(L13:M13*L26:M26)/L32</f>
        <v>0.33824045386459112</v>
      </c>
      <c r="M78" s="129"/>
      <c r="N78" s="183">
        <f t="array" ref="N78">SUM(N13:O13*N26:O26)/N32</f>
        <v>0.33626099519386127</v>
      </c>
      <c r="O78" s="129"/>
      <c r="P78" s="183">
        <f t="array" ref="P78">SUM(P13:Q13*P26:Q26)/P32</f>
        <v>0.33418374587619631</v>
      </c>
      <c r="Q78" s="129"/>
      <c r="R78" s="183">
        <f t="array" ref="R78">SUM(R13:S13*R26:S26)/R32</f>
        <v>0.33200489534238736</v>
      </c>
      <c r="S78" s="129"/>
      <c r="T78" s="183">
        <f t="array" ref="T78">SUM(T13:U13*T26:U26)/T32</f>
        <v>0.3297239123225989</v>
      </c>
      <c r="U78" s="129"/>
      <c r="V78" s="183">
        <f t="array" ref="V78">SUM(V13:W13*V26:W26)/V32</f>
        <v>0.32734546592036495</v>
      </c>
      <c r="W78" s="129"/>
      <c r="X78" s="183">
        <f t="array" ref="X78">SUM(X13:Y13*X26:Y26)/X32</f>
        <v>0.32488151919926223</v>
      </c>
      <c r="Y78" s="129"/>
      <c r="Z78" s="183">
        <f t="array" ref="Z78">SUM(Z13:AA13*Z26:AA26)/Z32</f>
        <v>0.32235238501137109</v>
      </c>
      <c r="AA78" s="129"/>
      <c r="AB78" s="183">
        <f t="array" ref="AB78">SUM(AB13:AC13*AB26:AC26)/AB32</f>
        <v>0.31978346216019754</v>
      </c>
      <c r="AC78" s="129"/>
      <c r="AD78" s="183">
        <f t="array" ref="AD78">SUM(AD13:AE13*AD26:AE26)/AD32</f>
        <v>0.31719045059481005</v>
      </c>
      <c r="AE78" s="129"/>
      <c r="AF78" s="183">
        <f t="array" ref="AF78">SUM(AF13:AG13*AF26:AG26)/AF32</f>
        <v>0.31453788291397766</v>
      </c>
      <c r="AG78" s="129"/>
      <c r="AH78" s="183">
        <f t="array" ref="AH78">SUM(AH13:AI13*AH26:AI26)/AH32</f>
        <v>0.31164277500059623</v>
      </c>
      <c r="AI78" s="129"/>
      <c r="AJ78" s="183">
        <f t="array" ref="AJ78">SUM(AJ13:AK13*AJ26:AK26)/AJ32</f>
        <v>0.3079933326854068</v>
      </c>
      <c r="AK78" s="129"/>
      <c r="AL78" s="183">
        <f t="array" ref="AL78">SUM(AL13:AM13*AL26:AM26)/AL32</f>
        <v>0.30270324541858001</v>
      </c>
      <c r="AM78" s="129"/>
      <c r="AN78" s="183">
        <f t="array" ref="AN78">SUM(AN13:AO13*AN26:AO26)/AN32</f>
        <v>0.2960803316137825</v>
      </c>
      <c r="AO78" s="129"/>
      <c r="AP78" s="183">
        <f t="array" ref="AP78">SUM(AP13:AQ13*AP26:AQ26)/AP32</f>
        <v>0.29495446206508696</v>
      </c>
      <c r="AQ78" s="129"/>
      <c r="AR78" s="183">
        <f t="array" ref="AR78">SUM(AR13:AS13*AR26:AS26)/AR32</f>
        <v>0.29412534670315371</v>
      </c>
      <c r="AS78" s="129"/>
      <c r="AT78" s="183">
        <f t="array" ref="AT78">SUM(AT13:AU13*AT26:AU26)/AT32</f>
        <v>0.29387987713874197</v>
      </c>
      <c r="AU78" s="129"/>
      <c r="AV78" s="183">
        <f t="array" ref="AV78">SUM(AV13:AW13*AV26:AW26)/AV32</f>
        <v>0.29484384109000566</v>
      </c>
      <c r="XFD78" s="183"/>
    </row>
    <row r="79" spans="1:48 16384:16384" x14ac:dyDescent="0.2">
      <c r="A79" t="s">
        <v>174</v>
      </c>
      <c r="B79" s="183">
        <f t="array" ref="B79">SUM(B15:C15*B27:C27)/B32</f>
        <v>0.45460968782440875</v>
      </c>
      <c r="D79" s="183">
        <f t="array" ref="D79">SUM(D15:E15*D27:E27)/D32</f>
        <v>0.45326247893176974</v>
      </c>
      <c r="F79" s="183">
        <f t="array" ref="F79">SUM(F15:G15*F27:G27)/F32</f>
        <v>0.45194348570696086</v>
      </c>
      <c r="H79" s="183">
        <f t="array" ref="H79">SUM(H15:I15*H27:I27)/H32</f>
        <v>0.4506576631527151</v>
      </c>
      <c r="J79" s="183">
        <f t="array" ref="J79">SUM(J15:K15*J27:K27)/J32</f>
        <v>0.44941129127903701</v>
      </c>
      <c r="L79" s="183">
        <f t="array" ref="L79">SUM(L15:M15*L27:M27)/L32</f>
        <v>0.44821202219312178</v>
      </c>
      <c r="N79" s="183">
        <f t="array" ref="N79">SUM(N15:O15*N27:O27)/N32</f>
        <v>0.44706946436405504</v>
      </c>
      <c r="P79" s="183">
        <f t="array" ref="P79">SUM(P15:Q15*P27:Q27)/P32</f>
        <v>0.44599530049483943</v>
      </c>
      <c r="R79" s="183">
        <f t="array" ref="R79">SUM(R15:S15*R27:S27)/R32</f>
        <v>0.44500343355139516</v>
      </c>
      <c r="T79" s="183">
        <f t="array" ref="T79">SUM(T15:U15*T27:U27)/T32</f>
        <v>0.44410948637536496</v>
      </c>
      <c r="V79" s="183">
        <f t="array" ref="V79">SUM(V15:W15*V27:W27)/V32</f>
        <v>0.44332864935916039</v>
      </c>
      <c r="X79" s="183">
        <f t="array" ref="X79">SUM(X15:Y15*X27:Y27)/X32</f>
        <v>0.44266984676460713</v>
      </c>
      <c r="Z79" s="183">
        <f t="array" ref="Z79">SUM(Z15:AA15*Z27:AA27)/Z32</f>
        <v>0.44212138400800938</v>
      </c>
      <c r="AB79" s="183">
        <f t="array" ref="AB79">SUM(AB15:AC15*AB27:AC27)/AB32</f>
        <v>0.44161762976054969</v>
      </c>
      <c r="AD79" s="183">
        <f t="array" ref="AD79">SUM(AD15:AE15*AD27:AE27)/AD32</f>
        <v>0.44096613159774239</v>
      </c>
      <c r="AF79" s="183">
        <f t="array" ref="AF79">SUM(AF15:AG15*AF27:AG27)/AF32</f>
        <v>0.43969808538390331</v>
      </c>
      <c r="AH79" s="183">
        <f t="array" ref="AH79">SUM(AH15:AI15*AH27:AI27)/AH32</f>
        <v>0.43677781622937639</v>
      </c>
      <c r="AJ79" s="183">
        <f t="array" ref="AJ79">SUM(AJ15:AK15*AJ27:AK27)/AJ32</f>
        <v>0.42998573607892315</v>
      </c>
      <c r="AL79" s="183">
        <f t="array" ref="AL79">SUM(AL15:AM15*AL27:AM27)/AL32</f>
        <v>0.41443753177302151</v>
      </c>
      <c r="AN79" s="183">
        <f t="array" ref="AN79">SUM(AN15:AO15*AN27:AO27)/AN32</f>
        <v>0.37812003350922585</v>
      </c>
      <c r="AP79" s="183">
        <f t="array" ref="AP79">SUM(AP15:AQ15*AP27:AQ27)/AP32</f>
        <v>0.3650945519753015</v>
      </c>
      <c r="AR79" s="183">
        <f t="array" ref="AR79">SUM(AR15:AS15*AR27:AS27)/AR32</f>
        <v>0.34764707295383296</v>
      </c>
      <c r="AT79" s="183">
        <f t="array" ref="AT79">SUM(AT15:AU15*AT27:AU27)/AT32</f>
        <v>0.32208498444637901</v>
      </c>
      <c r="AV79" s="183">
        <f t="array" ref="AV79">SUM(AV15:AW15*AV27:AW27)/AV32</f>
        <v>0.27709172043386932</v>
      </c>
      <c r="XFD79" s="183"/>
    </row>
    <row r="80" spans="1:48 16384:16384" x14ac:dyDescent="0.2">
      <c r="A80" t="s">
        <v>153</v>
      </c>
      <c r="B80" s="195">
        <f>B55</f>
        <v>0.19850271905982084</v>
      </c>
      <c r="D80" s="195">
        <f>D55</f>
        <v>0.20143468088675057</v>
      </c>
      <c r="F80" s="195">
        <f>F55</f>
        <v>0.20440427575115025</v>
      </c>
      <c r="H80" s="195">
        <f>H55</f>
        <v>0.20741289292103901</v>
      </c>
      <c r="J80" s="195">
        <f>J55</f>
        <v>0.21046094847530766</v>
      </c>
      <c r="L80" s="195">
        <f>L55</f>
        <v>0.21354751928962101</v>
      </c>
      <c r="N80" s="195">
        <f>N55</f>
        <v>0.21666953460435881</v>
      </c>
      <c r="P80" s="195">
        <f>P55</f>
        <v>0.21982095957192491</v>
      </c>
      <c r="R80" s="195">
        <f>R55</f>
        <v>0.22299166996038294</v>
      </c>
      <c r="T80" s="195">
        <f>T55</f>
        <v>0.22616660450307205</v>
      </c>
      <c r="V80" s="195">
        <f>V55</f>
        <v>0.22932589439459153</v>
      </c>
      <c r="X80" s="195">
        <f>X55</f>
        <v>0.23244863242753716</v>
      </c>
      <c r="Z80" s="195">
        <f>Z55</f>
        <v>0.23552622983308028</v>
      </c>
      <c r="AB80" s="195">
        <f>AB55</f>
        <v>0.23859891435851263</v>
      </c>
      <c r="AD80" s="195">
        <f>AD55</f>
        <v>0.24184342057410871</v>
      </c>
      <c r="AF80" s="195">
        <f>AF55</f>
        <v>0.2457640338303862</v>
      </c>
      <c r="AH80" s="195">
        <f>AH55</f>
        <v>0.25157941029645442</v>
      </c>
      <c r="AJ80" s="195">
        <f>AJ55</f>
        <v>0.26202093186929593</v>
      </c>
      <c r="AL80" s="195">
        <f>AL55</f>
        <v>0.28285922255090873</v>
      </c>
      <c r="AN80" s="195">
        <f>AN55</f>
        <v>0.32579963499366466</v>
      </c>
      <c r="AP80" s="195">
        <f>AP55</f>
        <v>0.33995098605649177</v>
      </c>
      <c r="AR80" s="195">
        <f>AR55</f>
        <v>0.35822758039078695</v>
      </c>
      <c r="AT80" s="195">
        <f>AT55</f>
        <v>0.38403513883765045</v>
      </c>
      <c r="AV80" s="195">
        <f>AV55</f>
        <v>0.42806443848424081</v>
      </c>
      <c r="XFD80" s="195"/>
    </row>
    <row r="81" spans="1:48 16384:16384" x14ac:dyDescent="0.2">
      <c r="A81" t="s">
        <v>175</v>
      </c>
      <c r="B81" s="195">
        <f>B51/B$32</f>
        <v>-2.7543485504603994E-2</v>
      </c>
      <c r="D81" s="195">
        <f>D51/D$32</f>
        <v>-2.4611523677674267E-2</v>
      </c>
      <c r="F81" s="195">
        <f>F51/F$32</f>
        <v>-2.1641928813274588E-2</v>
      </c>
      <c r="H81" s="195">
        <f>H51/H$32</f>
        <v>-1.863331164338582E-2</v>
      </c>
      <c r="J81" s="195">
        <f>J51/J$32</f>
        <v>-1.5585256089117183E-2</v>
      </c>
      <c r="L81" s="195">
        <f>L51/L$32</f>
        <v>-1.2498685274803833E-2</v>
      </c>
      <c r="N81" s="195">
        <f>N51/N$32</f>
        <v>-9.3766699600660135E-3</v>
      </c>
      <c r="P81" s="195">
        <f>P51/P$32</f>
        <v>-6.2252449924999507E-3</v>
      </c>
      <c r="R81" s="195">
        <f>R51/R$32</f>
        <v>-3.0545346040419122E-3</v>
      </c>
      <c r="T81" s="195">
        <f>T51/T$32</f>
        <v>1.2039993864720526E-4</v>
      </c>
      <c r="V81" s="195">
        <f>V51/V$32</f>
        <v>3.2796898301666855E-3</v>
      </c>
      <c r="X81" s="195">
        <f>X51/X$32</f>
        <v>6.402427863112313E-3</v>
      </c>
      <c r="Z81" s="195">
        <f>Z51/Z$32</f>
        <v>9.48002526865541E-3</v>
      </c>
      <c r="AB81" s="195">
        <f>AB51/AB$32</f>
        <v>1.2552709794087786E-2</v>
      </c>
      <c r="AD81" s="195">
        <f>AD51/AD$32</f>
        <v>1.5797216009683878E-2</v>
      </c>
      <c r="AF81" s="195">
        <f>AF51/AF$32</f>
        <v>1.9717829265961339E-2</v>
      </c>
      <c r="AH81" s="195">
        <f>AH51/AH$32</f>
        <v>2.5533205732029621E-2</v>
      </c>
      <c r="AJ81" s="195">
        <f>AJ51/AJ$32</f>
        <v>3.597472730487105E-2</v>
      </c>
      <c r="AL81" s="195">
        <f>AL51/AL$32</f>
        <v>5.6813017986483874E-2</v>
      </c>
      <c r="AN81" s="195">
        <f>AN51/AN$32</f>
        <v>9.9753430429239842E-2</v>
      </c>
      <c r="AP81" s="195">
        <f>AP51/AP$32</f>
        <v>0.11390478149206694</v>
      </c>
      <c r="AR81" s="195">
        <f>AR51/AR$32</f>
        <v>0.13218137582636211</v>
      </c>
      <c r="AT81" s="195">
        <f>AT51/AT$32</f>
        <v>0.15798893427322563</v>
      </c>
      <c r="AV81" s="195">
        <f>AV51/AV$32</f>
        <v>0.20201823391981596</v>
      </c>
      <c r="XFD81" s="195"/>
    </row>
    <row r="82" spans="1:48 16384:16384" x14ac:dyDescent="0.2">
      <c r="A82" t="s">
        <v>176</v>
      </c>
      <c r="B82" s="195">
        <f>B52/B$32</f>
        <v>0.14069693704202227</v>
      </c>
      <c r="D82" s="195">
        <f>D52/D$32</f>
        <v>0.14005416755298941</v>
      </c>
      <c r="F82" s="195">
        <f>F52/F$32</f>
        <v>0.13938468970794737</v>
      </c>
      <c r="H82" s="195">
        <f>H52/H$32</f>
        <v>0.13868592013201006</v>
      </c>
      <c r="J82" s="195">
        <f>J52/J$32</f>
        <v>0.13795516655990522</v>
      </c>
      <c r="L82" s="195">
        <f>L52/L$32</f>
        <v>0.13718967408144966</v>
      </c>
      <c r="N82" s="195">
        <f>N52/N$32</f>
        <v>0.13638680947199094</v>
      </c>
      <c r="P82" s="195">
        <f>P52/P$32</f>
        <v>0.13554428116521883</v>
      </c>
      <c r="R82" s="195">
        <f>R52/R$32</f>
        <v>0.13466054360163007</v>
      </c>
      <c r="T82" s="195">
        <f>T52/T$32</f>
        <v>0.13373538129920667</v>
      </c>
      <c r="V82" s="195">
        <f>V52/V$32</f>
        <v>0.13277068803731407</v>
      </c>
      <c r="X82" s="195">
        <f>X52/X$32</f>
        <v>0.13177131601140771</v>
      </c>
      <c r="Z82" s="195">
        <f>Z52/Z$32</f>
        <v>0.13074550407501545</v>
      </c>
      <c r="AB82" s="195">
        <f>AB52/AB$32</f>
        <v>0.12970355393372934</v>
      </c>
      <c r="AD82" s="195">
        <f>AD52/AD$32</f>
        <v>0.12865183345653489</v>
      </c>
      <c r="AF82" s="195">
        <f>AF52/AF$32</f>
        <v>0.12757595713407091</v>
      </c>
      <c r="AH82" s="195">
        <f>AH52/AH$32</f>
        <v>0.12640170696224956</v>
      </c>
      <c r="AJ82" s="195">
        <f>AJ52/AJ$32</f>
        <v>0.12492150021560085</v>
      </c>
      <c r="AL82" s="195">
        <f>AL52/AL$32</f>
        <v>0.12277585104884289</v>
      </c>
      <c r="AN82" s="195">
        <f>AN52/AN$32</f>
        <v>0.12008961001537549</v>
      </c>
      <c r="AP82" s="195">
        <f>AP52/AP$32</f>
        <v>0.11963295950335363</v>
      </c>
      <c r="AR82" s="195">
        <f>AR52/AR$32</f>
        <v>0.11929667191569246</v>
      </c>
      <c r="AT82" s="195">
        <f>AT52/AT$32</f>
        <v>0.1191971099349956</v>
      </c>
      <c r="AV82" s="195">
        <f>AV52/AV$32</f>
        <v>0.11958809184975225</v>
      </c>
    </row>
    <row r="83" spans="1:48 16384:16384" x14ac:dyDescent="0.2">
      <c r="A83" t="s">
        <v>177</v>
      </c>
      <c r="B83" s="195">
        <f>B53/B$32</f>
        <v>0.18438881036940691</v>
      </c>
      <c r="D83" s="195">
        <f>D53/D$32</f>
        <v>0.18384238504745304</v>
      </c>
      <c r="F83" s="195">
        <f>F53/F$32</f>
        <v>0.1833074039458146</v>
      </c>
      <c r="H83" s="195">
        <f>H53/H$32</f>
        <v>0.18278587680401925</v>
      </c>
      <c r="J83" s="195">
        <f>J53/J$32</f>
        <v>0.18228035078198218</v>
      </c>
      <c r="L83" s="195">
        <f>L53/L$32</f>
        <v>0.18179392955958595</v>
      </c>
      <c r="N83" s="195">
        <f>N53/N$32</f>
        <v>0.18133051031331321</v>
      </c>
      <c r="P83" s="195">
        <f>P53/P$32</f>
        <v>0.18089483152491273</v>
      </c>
      <c r="R83" s="195">
        <f>R53/R$32</f>
        <v>0.18049253221047959</v>
      </c>
      <c r="T83" s="195">
        <f>T53/T$32</f>
        <v>0.18012994896437648</v>
      </c>
      <c r="V83" s="195">
        <f>V53/V$32</f>
        <v>0.17981324298039406</v>
      </c>
      <c r="X83" s="195">
        <f>X53/X$32</f>
        <v>0.17954603392187338</v>
      </c>
      <c r="Z83" s="195">
        <f>Z53/Z$32</f>
        <v>0.1793235784882794</v>
      </c>
      <c r="AB83" s="195">
        <f>AB53/AB$32</f>
        <v>0.1791192567395456</v>
      </c>
      <c r="AD83" s="195">
        <f>AD53/AD$32</f>
        <v>0.1788550103444175</v>
      </c>
      <c r="AF83" s="195">
        <f>AF53/AF$32</f>
        <v>0.17834069325191965</v>
      </c>
      <c r="AH83" s="195">
        <f>AH53/AH$32</f>
        <v>0.1771562377293403</v>
      </c>
      <c r="AJ83" s="195">
        <f>AJ53/AJ$32</f>
        <v>0.17440138315316711</v>
      </c>
      <c r="AL83" s="195">
        <f>AL53/AL$32</f>
        <v>0.16809506154997894</v>
      </c>
      <c r="AN83" s="195">
        <f>AN53/AN$32</f>
        <v>0.15336475447601092</v>
      </c>
      <c r="AP83" s="195">
        <f>AP53/AP$32</f>
        <v>0.14808164435131721</v>
      </c>
      <c r="AR83" s="195">
        <f>AR53/AR$32</f>
        <v>0.14100498059584449</v>
      </c>
      <c r="AT83" s="195">
        <f>AT53/AT$32</f>
        <v>0.13063704692288799</v>
      </c>
      <c r="AV83" s="195">
        <f>AV53/AV$32</f>
        <v>0.11238786603629917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XFD83"/>
  <sheetViews>
    <sheetView showGridLines="0" workbookViewId="0">
      <pane xSplit="1" ySplit="1" topLeftCell="B17" activePane="bottomRight" state="frozen"/>
      <selection pane="topRight" activeCell="B1" sqref="B1"/>
      <selection pane="bottomLeft" activeCell="A2" sqref="A2"/>
      <selection pane="bottomRight" activeCell="B48" sqref="B48"/>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5.3165634102402985E-2</v>
      </c>
      <c r="E2" s="189"/>
      <c r="F2" s="188">
        <v>0.10517172708076596</v>
      </c>
      <c r="G2" s="189"/>
      <c r="H2" s="188">
        <v>0.16254110393084323</v>
      </c>
      <c r="I2" s="189"/>
      <c r="J2" s="188">
        <v>0.22621358250856927</v>
      </c>
      <c r="K2" s="189"/>
      <c r="L2" s="188">
        <v>0.29738932563568649</v>
      </c>
      <c r="M2" s="189"/>
      <c r="N2" s="188">
        <v>0.3776351384841713</v>
      </c>
      <c r="O2" s="189"/>
      <c r="P2" s="188">
        <v>0.46904953635821289</v>
      </c>
      <c r="Q2" s="189"/>
      <c r="R2" s="188">
        <v>0.57453002118101404</v>
      </c>
      <c r="S2" s="189"/>
      <c r="T2" s="188">
        <v>0.69822202809616474</v>
      </c>
      <c r="U2" s="189"/>
      <c r="V2" s="188">
        <v>0.84630845024498202</v>
      </c>
      <c r="W2" s="189"/>
      <c r="X2" s="188">
        <v>1.0284771248821325</v>
      </c>
      <c r="Y2" s="189"/>
      <c r="Z2" s="188">
        <v>1.2608161454896041</v>
      </c>
      <c r="AA2" s="189"/>
      <c r="AB2" s="188">
        <v>1.5719575718219867</v>
      </c>
      <c r="AC2" s="189"/>
      <c r="AD2" s="188">
        <v>2.0171494675707931</v>
      </c>
      <c r="AE2" s="189"/>
      <c r="AF2" s="188">
        <v>2.7132011906473421</v>
      </c>
      <c r="AG2" s="189"/>
      <c r="AH2" s="188">
        <v>3.9318810912339401</v>
      </c>
      <c r="AI2" s="189"/>
      <c r="AJ2" s="188">
        <v>6.3753205661995018</v>
      </c>
      <c r="AK2" s="189"/>
      <c r="AL2" s="188">
        <v>12.238896656659726</v>
      </c>
      <c r="AM2" s="189"/>
      <c r="AN2" s="188">
        <v>32.418350434557162</v>
      </c>
      <c r="AO2" s="189"/>
      <c r="AP2" s="188">
        <v>42.611586079030317</v>
      </c>
      <c r="AQ2" s="189"/>
      <c r="AR2" s="188">
        <v>58.862658915347311</v>
      </c>
      <c r="AS2" s="189"/>
      <c r="AT2" s="188">
        <v>87.658202987240472</v>
      </c>
      <c r="AU2" s="189"/>
      <c r="AV2" s="188">
        <v>148.4184368000065</v>
      </c>
      <c r="AW2" s="189"/>
    </row>
    <row r="3" spans="1:49" x14ac:dyDescent="0.2">
      <c r="A3" t="s">
        <v>12</v>
      </c>
      <c r="B3" s="81">
        <v>1000</v>
      </c>
      <c r="C3" s="82">
        <v>1000</v>
      </c>
      <c r="D3" s="81">
        <v>998.61252559884008</v>
      </c>
      <c r="E3" s="82">
        <v>1021.4072082438514</v>
      </c>
      <c r="F3" s="81">
        <v>997.18381386609371</v>
      </c>
      <c r="G3" s="82">
        <v>1045.3832085168533</v>
      </c>
      <c r="H3" s="81">
        <v>995.70698233124585</v>
      </c>
      <c r="I3" s="82">
        <v>1072.3853632516054</v>
      </c>
      <c r="J3" s="81">
        <v>994.17413842421502</v>
      </c>
      <c r="K3" s="82">
        <v>1102.9863207881567</v>
      </c>
      <c r="L3" s="81">
        <v>992.57645672052888</v>
      </c>
      <c r="M3" s="82">
        <v>1137.9153328042278</v>
      </c>
      <c r="N3" s="81">
        <v>990.90443933436757</v>
      </c>
      <c r="O3" s="82">
        <v>1178.1181040362944</v>
      </c>
      <c r="P3" s="81">
        <v>989.14854513939554</v>
      </c>
      <c r="Q3" s="82">
        <v>1224.8471470545835</v>
      </c>
      <c r="R3" s="81">
        <v>987.3005297743448</v>
      </c>
      <c r="S3" s="82">
        <v>1279.8039569420896</v>
      </c>
      <c r="T3" s="81">
        <v>985.35609599503084</v>
      </c>
      <c r="U3" s="82">
        <v>1345.3719657288648</v>
      </c>
      <c r="V3" s="81">
        <v>983.32001398916032</v>
      </c>
      <c r="W3" s="82">
        <v>1425.0141705374679</v>
      </c>
      <c r="X3" s="81">
        <v>981.21595700656655</v>
      </c>
      <c r="Y3" s="82">
        <v>1523.9912952724235</v>
      </c>
      <c r="Z3" s="81">
        <v>979.1053951149089</v>
      </c>
      <c r="AA3" s="82">
        <v>1650.7372845504913</v>
      </c>
      <c r="AB3" s="81">
        <v>977.1238688227503</v>
      </c>
      <c r="AC3" s="82">
        <v>1819.6840044265946</v>
      </c>
      <c r="AD3" s="81">
        <v>975.54777787790704</v>
      </c>
      <c r="AE3" s="82">
        <v>2057.5145287769192</v>
      </c>
      <c r="AF3" s="81">
        <v>974.89823891324022</v>
      </c>
      <c r="AG3" s="82">
        <v>2418.1343111257447</v>
      </c>
      <c r="AH3" s="81">
        <v>976.00328583599219</v>
      </c>
      <c r="AI3" s="82">
        <v>3021.3921593943228</v>
      </c>
      <c r="AJ3" s="81">
        <v>979.67407242112688</v>
      </c>
      <c r="AK3" s="82">
        <v>4165.651126930783</v>
      </c>
      <c r="AL3" s="81">
        <v>985.80050586591392</v>
      </c>
      <c r="AM3" s="82">
        <v>6766.5639682500023</v>
      </c>
      <c r="AN3" s="81">
        <v>993.36060544660677</v>
      </c>
      <c r="AO3" s="82">
        <v>15332.42462260006</v>
      </c>
      <c r="AP3" s="81">
        <v>995.05575014168369</v>
      </c>
      <c r="AQ3" s="82">
        <v>19588.379998527129</v>
      </c>
      <c r="AR3" s="81">
        <v>996.9251716044181</v>
      </c>
      <c r="AS3" s="82">
        <v>26334.115984308613</v>
      </c>
      <c r="AT3" s="81">
        <v>999.1825537399086</v>
      </c>
      <c r="AU3" s="82">
        <v>38223.397047273713</v>
      </c>
      <c r="AV3" s="81">
        <v>1002.4686006041711</v>
      </c>
      <c r="AW3" s="82">
        <v>63194.135519798947</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998.54370803928282</v>
      </c>
      <c r="E5" s="40">
        <v>1018.6030866727023</v>
      </c>
      <c r="F5" s="39">
        <v>997.0432435913624</v>
      </c>
      <c r="G5" s="40">
        <v>1038.9827819247848</v>
      </c>
      <c r="H5" s="39">
        <v>995.49128915353924</v>
      </c>
      <c r="I5" s="40">
        <v>1061.3638862118842</v>
      </c>
      <c r="J5" s="39">
        <v>993.87944299399271</v>
      </c>
      <c r="K5" s="40">
        <v>1086.0052342474551</v>
      </c>
      <c r="L5" s="39">
        <v>992.19829483484989</v>
      </c>
      <c r="M5" s="40">
        <v>1113.2048801632563</v>
      </c>
      <c r="N5" s="39">
        <v>990.43769403729482</v>
      </c>
      <c r="O5" s="40">
        <v>1143.3057220680655</v>
      </c>
      <c r="P5" s="39">
        <v>988.58740697068538</v>
      </c>
      <c r="Q5" s="40">
        <v>1176.7002153697347</v>
      </c>
      <c r="R5" s="39">
        <v>986.63852650096135</v>
      </c>
      <c r="S5" s="40">
        <v>1213.8328448030011</v>
      </c>
      <c r="T5" s="39">
        <v>984.58627155049714</v>
      </c>
      <c r="U5" s="40">
        <v>1255.1979062735927</v>
      </c>
      <c r="V5" s="39">
        <v>982.43541280100987</v>
      </c>
      <c r="W5" s="40">
        <v>1301.3238185438702</v>
      </c>
      <c r="X5" s="39">
        <v>980.21071951465524</v>
      </c>
      <c r="Y5" s="40">
        <v>1352.7274965678716</v>
      </c>
      <c r="Z5" s="39">
        <v>977.97706296522495</v>
      </c>
      <c r="AA5" s="40">
        <v>1409.8020874714368</v>
      </c>
      <c r="AB5" s="39">
        <v>975.87805320477617</v>
      </c>
      <c r="AC5" s="40">
        <v>1472.5474262100643</v>
      </c>
      <c r="AD5" s="39">
        <v>974.20718419666332</v>
      </c>
      <c r="AE5" s="40">
        <v>1539.9676447360687</v>
      </c>
      <c r="AF5" s="39">
        <v>973.51824002013359</v>
      </c>
      <c r="AG5" s="40">
        <v>1608.8355437739756</v>
      </c>
      <c r="AH5" s="39">
        <v>974.69020582676978</v>
      </c>
      <c r="AI5" s="40">
        <v>1671.9433368172963</v>
      </c>
      <c r="AJ5" s="39">
        <v>978.57911375243953</v>
      </c>
      <c r="AK5" s="40">
        <v>1718.6053169907716</v>
      </c>
      <c r="AL5" s="39">
        <v>985.05547815810451</v>
      </c>
      <c r="AM5" s="40">
        <v>1742.5275300803412</v>
      </c>
      <c r="AN5" s="39">
        <v>993.02355278099492</v>
      </c>
      <c r="AO5" s="40">
        <v>1749.415997405976</v>
      </c>
      <c r="AP5" s="39">
        <v>994.80662117851261</v>
      </c>
      <c r="AQ5" s="40">
        <v>1749.7558593385329</v>
      </c>
      <c r="AR5" s="39">
        <v>996.77151495269425</v>
      </c>
      <c r="AS5" s="40">
        <v>1749.9402394067029</v>
      </c>
      <c r="AT5" s="39">
        <v>999.14211194126824</v>
      </c>
      <c r="AU5" s="40">
        <v>1750.0270536587457</v>
      </c>
      <c r="AV5" s="39">
        <v>1002.5889478208588</v>
      </c>
      <c r="AW5" s="40">
        <v>1750.0599077553677</v>
      </c>
    </row>
    <row r="6" spans="1:49" x14ac:dyDescent="0.2">
      <c r="A6" t="s">
        <v>77</v>
      </c>
      <c r="B6" s="39">
        <v>999.99999999999943</v>
      </c>
      <c r="C6" s="40">
        <v>999.99999999999909</v>
      </c>
      <c r="D6" s="39">
        <v>998.43249088703271</v>
      </c>
      <c r="E6" s="40">
        <v>1023.0695859426197</v>
      </c>
      <c r="F6" s="39">
        <v>996.81780095752094</v>
      </c>
      <c r="G6" s="40">
        <v>1048.8226425663649</v>
      </c>
      <c r="H6" s="39">
        <v>995.14809110079841</v>
      </c>
      <c r="I6" s="40">
        <v>1077.7292167928322</v>
      </c>
      <c r="J6" s="39">
        <v>993.41436467701715</v>
      </c>
      <c r="K6" s="40">
        <v>1110.3773105969872</v>
      </c>
      <c r="L6" s="39">
        <v>991.60655114422514</v>
      </c>
      <c r="M6" s="40">
        <v>1147.5152442954952</v>
      </c>
      <c r="N6" s="39">
        <v>989.71379670756642</v>
      </c>
      <c r="O6" s="40">
        <v>1190.1129958360843</v>
      </c>
      <c r="P6" s="39">
        <v>987.72517294137765</v>
      </c>
      <c r="Q6" s="40">
        <v>1239.454823121755</v>
      </c>
      <c r="R6" s="39">
        <v>985.63119247653549</v>
      </c>
      <c r="S6" s="40">
        <v>1297.2850579238611</v>
      </c>
      <c r="T6" s="39">
        <v>983.42681504943187</v>
      </c>
      <c r="U6" s="40">
        <v>1366.0470365918422</v>
      </c>
      <c r="V6" s="39">
        <v>981.11726661207217</v>
      </c>
      <c r="W6" s="40">
        <v>1449.2909082588783</v>
      </c>
      <c r="X6" s="39">
        <v>978.72923444948322</v>
      </c>
      <c r="Y6" s="40">
        <v>1552.4101513744322</v>
      </c>
      <c r="Z6" s="39">
        <v>976.33239719526034</v>
      </c>
      <c r="AA6" s="40">
        <v>1684.0520021714567</v>
      </c>
      <c r="AB6" s="39">
        <v>974.08078849787637</v>
      </c>
      <c r="AC6" s="40">
        <v>1859.0134142176721</v>
      </c>
      <c r="AD6" s="39">
        <v>972.28896238409015</v>
      </c>
      <c r="AE6" s="40">
        <v>2104.6511077263585</v>
      </c>
      <c r="AF6" s="39">
        <v>971.55027743182575</v>
      </c>
      <c r="AG6" s="40">
        <v>2476.2272201809137</v>
      </c>
      <c r="AH6" s="39">
        <v>972.80690381479792</v>
      </c>
      <c r="AI6" s="40">
        <v>3096.6049377156983</v>
      </c>
      <c r="AJ6" s="39">
        <v>976.97835056633016</v>
      </c>
      <c r="AK6" s="40">
        <v>4271.7015494375364</v>
      </c>
      <c r="AL6" s="39">
        <v>983.9307404223041</v>
      </c>
      <c r="AM6" s="40">
        <v>6940.6358847415304</v>
      </c>
      <c r="AN6" s="39">
        <v>992.49392972237297</v>
      </c>
      <c r="AO6" s="40">
        <v>15727.994242872323</v>
      </c>
      <c r="AP6" s="39">
        <v>994.4115995299569</v>
      </c>
      <c r="AQ6" s="40">
        <v>20093.822513756717</v>
      </c>
      <c r="AR6" s="39">
        <v>996.52542613690423</v>
      </c>
      <c r="AS6" s="40">
        <v>27013.671824128542</v>
      </c>
      <c r="AT6" s="39">
        <v>999.07655267228279</v>
      </c>
      <c r="AU6" s="40">
        <v>39209.793023912534</v>
      </c>
      <c r="AV6" s="39">
        <v>1002.7875284738232</v>
      </c>
      <c r="AW6" s="40">
        <v>64824.950501360312</v>
      </c>
    </row>
    <row r="7" spans="1:49" x14ac:dyDescent="0.2">
      <c r="A7" t="s">
        <v>13</v>
      </c>
      <c r="B7" s="31">
        <v>1015.9116825427475</v>
      </c>
      <c r="C7" s="32">
        <v>1015.9116825427475</v>
      </c>
      <c r="D7" s="31">
        <v>1014.4322185266618</v>
      </c>
      <c r="E7" s="32">
        <v>1014.4322185266618</v>
      </c>
      <c r="F7" s="31">
        <v>1012.9078791647794</v>
      </c>
      <c r="G7" s="32">
        <v>1012.9078791647794</v>
      </c>
      <c r="H7" s="31">
        <v>1011.3312305206208</v>
      </c>
      <c r="I7" s="32">
        <v>1011.3312305206208</v>
      </c>
      <c r="J7" s="31">
        <v>1009.6937371766758</v>
      </c>
      <c r="K7" s="32">
        <v>1009.6937371766758</v>
      </c>
      <c r="L7" s="31">
        <v>1007.9858391217174</v>
      </c>
      <c r="M7" s="32">
        <v>1007.9858391217174</v>
      </c>
      <c r="N7" s="31">
        <v>1006.197224203187</v>
      </c>
      <c r="O7" s="32">
        <v>1006.197224203187</v>
      </c>
      <c r="P7" s="31">
        <v>1004.3174959561608</v>
      </c>
      <c r="Q7" s="32">
        <v>1004.3174959561608</v>
      </c>
      <c r="R7" s="31">
        <v>1002.3376055190887</v>
      </c>
      <c r="S7" s="32">
        <v>1002.3376055190887</v>
      </c>
      <c r="T7" s="31">
        <v>1000.252695739356</v>
      </c>
      <c r="U7" s="32">
        <v>1000.252695739356</v>
      </c>
      <c r="V7" s="31">
        <v>998.06761320825262</v>
      </c>
      <c r="W7" s="32">
        <v>998.06761320825262</v>
      </c>
      <c r="X7" s="31">
        <v>995.80752130857047</v>
      </c>
      <c r="Y7" s="32">
        <v>995.80752130857047</v>
      </c>
      <c r="Z7" s="31">
        <v>993.53832352521613</v>
      </c>
      <c r="AA7" s="32">
        <v>993.53832352521613</v>
      </c>
      <c r="AB7" s="31">
        <v>991.40591498780498</v>
      </c>
      <c r="AC7" s="32">
        <v>991.40591498780498</v>
      </c>
      <c r="AD7" s="31">
        <v>989.7084596424645</v>
      </c>
      <c r="AE7" s="32">
        <v>989.7084596424645</v>
      </c>
      <c r="AF7" s="31">
        <v>989.00855320490814</v>
      </c>
      <c r="AG7" s="32">
        <v>989.00855320490814</v>
      </c>
      <c r="AH7" s="31">
        <v>990.19916695941049</v>
      </c>
      <c r="AI7" s="32">
        <v>990.19916695941049</v>
      </c>
      <c r="AJ7" s="31">
        <v>994.14995395343146</v>
      </c>
      <c r="AK7" s="32">
        <v>994.14995395343146</v>
      </c>
      <c r="AL7" s="31">
        <v>1000.7293682135505</v>
      </c>
      <c r="AM7" s="32">
        <v>1000.7293682135505</v>
      </c>
      <c r="AN7" s="31">
        <v>1008.8242283103173</v>
      </c>
      <c r="AO7" s="32">
        <v>1008.8242283103173</v>
      </c>
      <c r="AP7" s="31">
        <v>1010.6356683261283</v>
      </c>
      <c r="AQ7" s="32">
        <v>1010.6356683261283</v>
      </c>
      <c r="AR7" s="31">
        <v>1012.631826866275</v>
      </c>
      <c r="AS7" s="32">
        <v>1012.631826866275</v>
      </c>
      <c r="AT7" s="31">
        <v>1015.0401440415679</v>
      </c>
      <c r="AU7" s="32">
        <v>1015.0401440415679</v>
      </c>
      <c r="AV7" s="31">
        <v>1018.5418248794515</v>
      </c>
      <c r="AW7" s="32">
        <v>1018.5418248794515</v>
      </c>
    </row>
    <row r="8" spans="1:49" x14ac:dyDescent="0.2">
      <c r="B8" s="33">
        <v>1005.7716594496609</v>
      </c>
      <c r="C8" s="34">
        <v>1005.7716594496609</v>
      </c>
      <c r="D8" s="33">
        <v>1072.7577656743213</v>
      </c>
      <c r="E8" s="34">
        <v>1072.7577656743213</v>
      </c>
      <c r="F8" s="33">
        <v>1148.2543955069932</v>
      </c>
      <c r="G8" s="34">
        <v>1148.2543955069932</v>
      </c>
      <c r="H8" s="33">
        <v>1233.8791439490938</v>
      </c>
      <c r="I8" s="34">
        <v>1233.8791439490938</v>
      </c>
      <c r="J8" s="33">
        <v>1331.6743689096299</v>
      </c>
      <c r="K8" s="34">
        <v>1331.6743689096299</v>
      </c>
      <c r="L8" s="33">
        <v>1444.2601287693624</v>
      </c>
      <c r="M8" s="34">
        <v>1444.2601287693624</v>
      </c>
      <c r="N8" s="33">
        <v>1575.0581367509851</v>
      </c>
      <c r="O8" s="34">
        <v>1575.0581367509851</v>
      </c>
      <c r="P8" s="33">
        <v>1728.6309058215181</v>
      </c>
      <c r="Q8" s="34">
        <v>1728.6309058215181</v>
      </c>
      <c r="R8" s="33">
        <v>1911.2162548378799</v>
      </c>
      <c r="S8" s="34">
        <v>1911.2162548378799</v>
      </c>
      <c r="T8" s="33">
        <v>2131.6047340540003</v>
      </c>
      <c r="U8" s="34">
        <v>2131.6047340540003</v>
      </c>
      <c r="V8" s="33">
        <v>2402.6451626826151</v>
      </c>
      <c r="W8" s="34">
        <v>2402.6451626826151</v>
      </c>
      <c r="X8" s="33">
        <v>2743.9767829870011</v>
      </c>
      <c r="Y8" s="34">
        <v>2743.9767829870011</v>
      </c>
      <c r="Z8" s="33">
        <v>3187.3033213003714</v>
      </c>
      <c r="AA8" s="34">
        <v>3187.3033213003714</v>
      </c>
      <c r="AB8" s="33">
        <v>3787.3295027079525</v>
      </c>
      <c r="AC8" s="34">
        <v>3787.3295027079525</v>
      </c>
      <c r="AD8" s="33">
        <v>4646.3125593916775</v>
      </c>
      <c r="AE8" s="34">
        <v>4646.3125593916775</v>
      </c>
      <c r="AF8" s="33">
        <v>5973.9300566972906</v>
      </c>
      <c r="AG8" s="34">
        <v>5973.9300566972906</v>
      </c>
      <c r="AH8" s="33">
        <v>8245.8257284638021</v>
      </c>
      <c r="AI8" s="34">
        <v>8245.8257284638021</v>
      </c>
      <c r="AJ8" s="33">
        <v>12675.265139581852</v>
      </c>
      <c r="AK8" s="34">
        <v>12675.265139581852</v>
      </c>
      <c r="AL8" s="33">
        <v>23069.141892118161</v>
      </c>
      <c r="AM8" s="34">
        <v>23069.141892118161</v>
      </c>
      <c r="AN8" s="33">
        <v>58462.596857133249</v>
      </c>
      <c r="AO8" s="34">
        <v>58462.596857133249</v>
      </c>
      <c r="AP8" s="33">
        <v>76309.628276830088</v>
      </c>
      <c r="AQ8" s="34">
        <v>76309.628276830088</v>
      </c>
      <c r="AR8" s="33">
        <v>104756.07567384467</v>
      </c>
      <c r="AS8" s="34">
        <v>104756.07567384467</v>
      </c>
      <c r="AT8" s="33">
        <v>155154.25375643946</v>
      </c>
      <c r="AU8" s="34">
        <v>155154.25375643946</v>
      </c>
      <c r="AV8" s="33">
        <v>261491.21572317061</v>
      </c>
      <c r="AW8" s="34">
        <v>261491.21572317061</v>
      </c>
    </row>
    <row r="9" spans="1:49" x14ac:dyDescent="0.2">
      <c r="A9" t="s">
        <v>14</v>
      </c>
      <c r="B9" s="39">
        <v>1015.9116825427475</v>
      </c>
      <c r="C9" s="40">
        <v>1005.7716594496609</v>
      </c>
      <c r="D9" s="39">
        <v>1014.4322185266618</v>
      </c>
      <c r="E9" s="40">
        <v>1072.7577656743213</v>
      </c>
      <c r="F9" s="39">
        <v>1012.9078791647794</v>
      </c>
      <c r="G9" s="40">
        <v>1148.2543955069932</v>
      </c>
      <c r="H9" s="39">
        <v>1011.3312305206208</v>
      </c>
      <c r="I9" s="40">
        <v>1233.8791439490938</v>
      </c>
      <c r="J9" s="39">
        <v>1009.6937371766758</v>
      </c>
      <c r="K9" s="40">
        <v>1331.6743689096299</v>
      </c>
      <c r="L9" s="39">
        <v>1007.9858391217174</v>
      </c>
      <c r="M9" s="40">
        <v>1444.2601287693624</v>
      </c>
      <c r="N9" s="39">
        <v>1006.197224203187</v>
      </c>
      <c r="O9" s="40">
        <v>1575.0581367509851</v>
      </c>
      <c r="P9" s="39">
        <v>1004.3174959561608</v>
      </c>
      <c r="Q9" s="40">
        <v>1728.6309058215181</v>
      </c>
      <c r="R9" s="39">
        <v>1002.3376055190887</v>
      </c>
      <c r="S9" s="40">
        <v>1911.2162548378799</v>
      </c>
      <c r="T9" s="39">
        <v>1000.252695739356</v>
      </c>
      <c r="U9" s="40">
        <v>2131.6047340540003</v>
      </c>
      <c r="V9" s="39">
        <v>998.06761320825262</v>
      </c>
      <c r="W9" s="40">
        <v>2402.6451626826151</v>
      </c>
      <c r="X9" s="39">
        <v>995.80752130857047</v>
      </c>
      <c r="Y9" s="40">
        <v>2743.9767829870011</v>
      </c>
      <c r="Z9" s="39">
        <v>993.53832352521613</v>
      </c>
      <c r="AA9" s="40">
        <v>3187.3033213003714</v>
      </c>
      <c r="AB9" s="39">
        <v>991.40591498780498</v>
      </c>
      <c r="AC9" s="40">
        <v>3787.3295027079525</v>
      </c>
      <c r="AD9" s="39">
        <v>989.7084596424645</v>
      </c>
      <c r="AE9" s="40">
        <v>4646.3125593916775</v>
      </c>
      <c r="AF9" s="39">
        <v>989.00855320490814</v>
      </c>
      <c r="AG9" s="40">
        <v>5973.9300566972906</v>
      </c>
      <c r="AH9" s="39">
        <v>990.19916695941049</v>
      </c>
      <c r="AI9" s="40">
        <v>8245.8257284638021</v>
      </c>
      <c r="AJ9" s="39">
        <v>994.14995395343146</v>
      </c>
      <c r="AK9" s="40">
        <v>12675.265139581852</v>
      </c>
      <c r="AL9" s="39">
        <v>1000.7293682135505</v>
      </c>
      <c r="AM9" s="40">
        <v>23069.141892118161</v>
      </c>
      <c r="AN9" s="39">
        <v>1008.8242283103173</v>
      </c>
      <c r="AO9" s="40">
        <v>58462.596857133249</v>
      </c>
      <c r="AP9" s="39">
        <v>1010.6356683261283</v>
      </c>
      <c r="AQ9" s="40">
        <v>76309.628276830088</v>
      </c>
      <c r="AR9" s="39">
        <v>1012.631826866275</v>
      </c>
      <c r="AS9" s="40">
        <v>104756.07567384467</v>
      </c>
      <c r="AT9" s="39">
        <v>1015.0401440415679</v>
      </c>
      <c r="AU9" s="40">
        <v>155154.25375643946</v>
      </c>
      <c r="AV9" s="39">
        <v>1018.5418248794515</v>
      </c>
      <c r="AW9" s="40">
        <v>261491.21572317061</v>
      </c>
    </row>
    <row r="10" spans="1:49" x14ac:dyDescent="0.2">
      <c r="A10" t="s">
        <v>15</v>
      </c>
      <c r="B10" s="39">
        <v>1015.9116825427475</v>
      </c>
      <c r="C10" s="40">
        <v>1005.7716594496609</v>
      </c>
      <c r="D10" s="39">
        <v>1014.4322185266618</v>
      </c>
      <c r="E10" s="40">
        <v>1072.7577656743213</v>
      </c>
      <c r="F10" s="39">
        <v>1012.9078791647794</v>
      </c>
      <c r="G10" s="40">
        <v>1148.2543955069932</v>
      </c>
      <c r="H10" s="39">
        <v>1011.3312305206208</v>
      </c>
      <c r="I10" s="40">
        <v>1233.8791439490938</v>
      </c>
      <c r="J10" s="39">
        <v>1009.6937371766758</v>
      </c>
      <c r="K10" s="40">
        <v>1331.6743689096299</v>
      </c>
      <c r="L10" s="39">
        <v>1007.9858391217174</v>
      </c>
      <c r="M10" s="40">
        <v>1444.2601287693624</v>
      </c>
      <c r="N10" s="39">
        <v>1006.197224203187</v>
      </c>
      <c r="O10" s="40">
        <v>1575.0581367509851</v>
      </c>
      <c r="P10" s="39">
        <v>1004.3174959561608</v>
      </c>
      <c r="Q10" s="40">
        <v>1728.6309058215181</v>
      </c>
      <c r="R10" s="39">
        <v>1002.3376055190887</v>
      </c>
      <c r="S10" s="40">
        <v>1911.2162548378799</v>
      </c>
      <c r="T10" s="39">
        <v>1000.252695739356</v>
      </c>
      <c r="U10" s="40">
        <v>2131.6047340540003</v>
      </c>
      <c r="V10" s="39">
        <v>998.06761320825262</v>
      </c>
      <c r="W10" s="40">
        <v>2402.6451626826151</v>
      </c>
      <c r="X10" s="39">
        <v>995.80752130857047</v>
      </c>
      <c r="Y10" s="40">
        <v>2743.9767829870011</v>
      </c>
      <c r="Z10" s="39">
        <v>993.53832352521613</v>
      </c>
      <c r="AA10" s="40">
        <v>3187.3033213003714</v>
      </c>
      <c r="AB10" s="39">
        <v>991.40591498780498</v>
      </c>
      <c r="AC10" s="40">
        <v>3787.3295027079525</v>
      </c>
      <c r="AD10" s="39">
        <v>989.7084596424645</v>
      </c>
      <c r="AE10" s="40">
        <v>4646.3125593916775</v>
      </c>
      <c r="AF10" s="39">
        <v>989.00855320490814</v>
      </c>
      <c r="AG10" s="40">
        <v>5973.9300566972906</v>
      </c>
      <c r="AH10" s="39">
        <v>990.19916695941049</v>
      </c>
      <c r="AI10" s="40">
        <v>8245.8257284638021</v>
      </c>
      <c r="AJ10" s="39">
        <v>994.14995395343146</v>
      </c>
      <c r="AK10" s="40">
        <v>12675.265139581852</v>
      </c>
      <c r="AL10" s="39">
        <v>1000.7293682135505</v>
      </c>
      <c r="AM10" s="40">
        <v>23069.141892118161</v>
      </c>
      <c r="AN10" s="39">
        <v>1008.8242283103173</v>
      </c>
      <c r="AO10" s="40">
        <v>58462.596857133249</v>
      </c>
      <c r="AP10" s="39">
        <v>1010.6356683261283</v>
      </c>
      <c r="AQ10" s="40">
        <v>76309.628276830088</v>
      </c>
      <c r="AR10" s="39">
        <v>1012.631826866275</v>
      </c>
      <c r="AS10" s="40">
        <v>104756.07567384467</v>
      </c>
      <c r="AT10" s="39">
        <v>1015.0401440415679</v>
      </c>
      <c r="AU10" s="40">
        <v>155154.25375643946</v>
      </c>
      <c r="AV10" s="39">
        <v>1018.5418248794515</v>
      </c>
      <c r="AW10" s="40">
        <v>261491.21572317061</v>
      </c>
    </row>
    <row r="11" spans="1:49" x14ac:dyDescent="0.2">
      <c r="A11" t="s">
        <v>29</v>
      </c>
      <c r="B11" s="39">
        <v>1015.9116825427475</v>
      </c>
      <c r="C11" s="40">
        <v>1005.7716594496609</v>
      </c>
      <c r="D11" s="39">
        <v>1014.4322185266618</v>
      </c>
      <c r="E11" s="40">
        <v>1072.7577656743213</v>
      </c>
      <c r="F11" s="39">
        <v>1012.9078791647794</v>
      </c>
      <c r="G11" s="40">
        <v>1148.2543955069932</v>
      </c>
      <c r="H11" s="39">
        <v>1011.3312305206208</v>
      </c>
      <c r="I11" s="40">
        <v>1233.8791439490938</v>
      </c>
      <c r="J11" s="39">
        <v>1009.6937371766758</v>
      </c>
      <c r="K11" s="40">
        <v>1331.6743689096299</v>
      </c>
      <c r="L11" s="39">
        <v>1007.9858391217174</v>
      </c>
      <c r="M11" s="40">
        <v>1444.2601287693624</v>
      </c>
      <c r="N11" s="39">
        <v>1006.197224203187</v>
      </c>
      <c r="O11" s="40">
        <v>1575.0581367509851</v>
      </c>
      <c r="P11" s="39">
        <v>1004.3174959561608</v>
      </c>
      <c r="Q11" s="40">
        <v>1728.6309058215181</v>
      </c>
      <c r="R11" s="39">
        <v>1002.3376055190887</v>
      </c>
      <c r="S11" s="40">
        <v>1911.2162548378799</v>
      </c>
      <c r="T11" s="39">
        <v>1000.252695739356</v>
      </c>
      <c r="U11" s="40">
        <v>2131.6047340540003</v>
      </c>
      <c r="V11" s="39">
        <v>998.06761320825262</v>
      </c>
      <c r="W11" s="40">
        <v>2402.6451626826151</v>
      </c>
      <c r="X11" s="39">
        <v>995.80752130857047</v>
      </c>
      <c r="Y11" s="40">
        <v>2743.9767829870011</v>
      </c>
      <c r="Z11" s="39">
        <v>993.53832352521613</v>
      </c>
      <c r="AA11" s="40">
        <v>3187.3033213003714</v>
      </c>
      <c r="AB11" s="39">
        <v>991.40591498780498</v>
      </c>
      <c r="AC11" s="40">
        <v>3787.3295027079525</v>
      </c>
      <c r="AD11" s="39">
        <v>989.7084596424645</v>
      </c>
      <c r="AE11" s="40">
        <v>4646.3125593916775</v>
      </c>
      <c r="AF11" s="39">
        <v>989.00855320490814</v>
      </c>
      <c r="AG11" s="40">
        <v>5973.9300566972906</v>
      </c>
      <c r="AH11" s="39">
        <v>990.19916695941049</v>
      </c>
      <c r="AI11" s="40">
        <v>8245.8257284638021</v>
      </c>
      <c r="AJ11" s="39">
        <v>994.14995395343146</v>
      </c>
      <c r="AK11" s="40">
        <v>12675.265139581852</v>
      </c>
      <c r="AL11" s="39">
        <v>1000.7293682135505</v>
      </c>
      <c r="AM11" s="40">
        <v>23069.141892118161</v>
      </c>
      <c r="AN11" s="39">
        <v>1008.8242283103173</v>
      </c>
      <c r="AO11" s="40">
        <v>58462.596857133249</v>
      </c>
      <c r="AP11" s="39">
        <v>1010.6356683261283</v>
      </c>
      <c r="AQ11" s="40">
        <v>76309.628276830088</v>
      </c>
      <c r="AR11" s="39">
        <v>1012.631826866275</v>
      </c>
      <c r="AS11" s="40">
        <v>104756.07567384467</v>
      </c>
      <c r="AT11" s="39">
        <v>1015.0401440415679</v>
      </c>
      <c r="AU11" s="40">
        <v>155154.25375643946</v>
      </c>
      <c r="AV11" s="39">
        <v>1018.5418248794515</v>
      </c>
      <c r="AW11" s="40">
        <v>261491.21572317061</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998.48802851711537</v>
      </c>
      <c r="E13" s="94">
        <v>998.48802851711537</v>
      </c>
      <c r="F13" s="93">
        <v>996.66923454520816</v>
      </c>
      <c r="G13" s="94">
        <v>996.66923454520816</v>
      </c>
      <c r="H13" s="93">
        <v>994.49888924002278</v>
      </c>
      <c r="I13" s="94">
        <v>994.49888924002278</v>
      </c>
      <c r="J13" s="93">
        <v>991.92295362212769</v>
      </c>
      <c r="K13" s="94">
        <v>991.92295362212769</v>
      </c>
      <c r="L13" s="93">
        <v>988.87532726861821</v>
      </c>
      <c r="M13" s="94">
        <v>988.87532726861821</v>
      </c>
      <c r="N13" s="93">
        <v>985.27405779553783</v>
      </c>
      <c r="O13" s="94">
        <v>985.27405779553783</v>
      </c>
      <c r="P13" s="93">
        <v>981.0161070799046</v>
      </c>
      <c r="Q13" s="94">
        <v>981.0161070799046</v>
      </c>
      <c r="R13" s="93">
        <v>975.96961210682116</v>
      </c>
      <c r="S13" s="94">
        <v>975.96961210682116</v>
      </c>
      <c r="T13" s="93">
        <v>969.96198295692591</v>
      </c>
      <c r="U13" s="94">
        <v>969.96198295692591</v>
      </c>
      <c r="V13" s="93">
        <v>962.7611835126994</v>
      </c>
      <c r="W13" s="94">
        <v>962.7611835126994</v>
      </c>
      <c r="X13" s="93">
        <v>954.04447925782654</v>
      </c>
      <c r="Y13" s="94">
        <v>954.04447925782654</v>
      </c>
      <c r="Z13" s="93">
        <v>943.34331132588829</v>
      </c>
      <c r="AA13" s="94">
        <v>943.34331132588829</v>
      </c>
      <c r="AB13" s="93">
        <v>929.93992474543472</v>
      </c>
      <c r="AC13" s="94">
        <v>929.93992474543472</v>
      </c>
      <c r="AD13" s="93">
        <v>912.65888553251887</v>
      </c>
      <c r="AE13" s="94">
        <v>912.65888553251887</v>
      </c>
      <c r="AF13" s="93">
        <v>889.41718881290024</v>
      </c>
      <c r="AG13" s="94">
        <v>889.41718881290024</v>
      </c>
      <c r="AH13" s="93">
        <v>856.19117896520288</v>
      </c>
      <c r="AI13" s="94">
        <v>856.19117896520288</v>
      </c>
      <c r="AJ13" s="93">
        <v>804.4891784469055</v>
      </c>
      <c r="AK13" s="94">
        <v>804.4891784469055</v>
      </c>
      <c r="AL13" s="93">
        <v>714.05779688549694</v>
      </c>
      <c r="AM13" s="94">
        <v>714.05779688549694</v>
      </c>
      <c r="AN13" s="93">
        <v>522.42332482410359</v>
      </c>
      <c r="AO13" s="94">
        <v>522.42332482410359</v>
      </c>
      <c r="AP13" s="93">
        <v>456.07701974530397</v>
      </c>
      <c r="AQ13" s="94">
        <v>456.07701974530397</v>
      </c>
      <c r="AR13" s="93">
        <v>371.83686870586803</v>
      </c>
      <c r="AS13" s="94">
        <v>371.83686870586803</v>
      </c>
      <c r="AT13" s="93">
        <v>262.58582563274001</v>
      </c>
      <c r="AU13" s="94">
        <v>262.58582563274001</v>
      </c>
      <c r="AV13" s="93">
        <v>122.0554712817318</v>
      </c>
      <c r="AW13" s="94">
        <v>122.0554712817318</v>
      </c>
    </row>
    <row r="14" spans="1:49" x14ac:dyDescent="0.2">
      <c r="A14" t="s">
        <v>36</v>
      </c>
      <c r="B14" s="39">
        <v>1457.0034251455234</v>
      </c>
      <c r="C14" s="40">
        <v>1457.0034251455236</v>
      </c>
      <c r="D14" s="39">
        <v>1454.8004775162381</v>
      </c>
      <c r="E14" s="40">
        <v>1454.8004775162383</v>
      </c>
      <c r="F14" s="39">
        <v>1452.1504884695353</v>
      </c>
      <c r="G14" s="40">
        <v>1452.1504884695355</v>
      </c>
      <c r="H14" s="39">
        <v>1448.9882879261315</v>
      </c>
      <c r="I14" s="40">
        <v>1448.9882879261318</v>
      </c>
      <c r="J14" s="39">
        <v>1445.235140907904</v>
      </c>
      <c r="K14" s="40">
        <v>1445.2351409079042</v>
      </c>
      <c r="L14" s="39">
        <v>1440.7947388722771</v>
      </c>
      <c r="M14" s="40">
        <v>1440.7947388722773</v>
      </c>
      <c r="N14" s="39">
        <v>1435.5476769151269</v>
      </c>
      <c r="O14" s="40">
        <v>1435.5476769151271</v>
      </c>
      <c r="P14" s="39">
        <v>1429.3438281383485</v>
      </c>
      <c r="Q14" s="40">
        <v>1429.3438281383487</v>
      </c>
      <c r="R14" s="39">
        <v>1421.9910676775862</v>
      </c>
      <c r="S14" s="40">
        <v>1421.9910676775864</v>
      </c>
      <c r="T14" s="39">
        <v>1413.2379314291848</v>
      </c>
      <c r="U14" s="40">
        <v>1413.237931429185</v>
      </c>
      <c r="V14" s="39">
        <v>1402.7463419751607</v>
      </c>
      <c r="W14" s="40">
        <v>1402.7463419751609</v>
      </c>
      <c r="X14" s="39">
        <v>1390.0460740198305</v>
      </c>
      <c r="Y14" s="40">
        <v>1390.0460740198307</v>
      </c>
      <c r="Z14" s="39">
        <v>1374.4544356899389</v>
      </c>
      <c r="AA14" s="40">
        <v>1374.4544356899391</v>
      </c>
      <c r="AB14" s="39">
        <v>1354.9256555336685</v>
      </c>
      <c r="AC14" s="40">
        <v>1354.9256555336688</v>
      </c>
      <c r="AD14" s="39">
        <v>1329.7471222103761</v>
      </c>
      <c r="AE14" s="40">
        <v>1329.7471222103763</v>
      </c>
      <c r="AF14" s="39">
        <v>1295.8838904836982</v>
      </c>
      <c r="AG14" s="40">
        <v>1295.8838904836985</v>
      </c>
      <c r="AH14" s="39">
        <v>1247.4734803316842</v>
      </c>
      <c r="AI14" s="40">
        <v>1247.4734803316844</v>
      </c>
      <c r="AJ14" s="39">
        <v>1172.1434884896494</v>
      </c>
      <c r="AK14" s="40">
        <v>1172.1434884896496</v>
      </c>
      <c r="AL14" s="39">
        <v>1040.3846558140353</v>
      </c>
      <c r="AM14" s="40">
        <v>1040.3846558140356</v>
      </c>
      <c r="AN14" s="39">
        <v>761.17257364463126</v>
      </c>
      <c r="AO14" s="40">
        <v>761.17257364463137</v>
      </c>
      <c r="AP14" s="39">
        <v>664.50577989907038</v>
      </c>
      <c r="AQ14" s="40">
        <v>664.50577989907049</v>
      </c>
      <c r="AR14" s="39">
        <v>541.767591299836</v>
      </c>
      <c r="AS14" s="40">
        <v>541.767591299836</v>
      </c>
      <c r="AT14" s="39">
        <v>382.58844734156736</v>
      </c>
      <c r="AU14" s="40">
        <v>382.58844734156742</v>
      </c>
      <c r="AV14" s="39">
        <v>177.83523971523428</v>
      </c>
      <c r="AW14" s="40">
        <v>177.83523971523431</v>
      </c>
    </row>
    <row r="15" spans="1:49" x14ac:dyDescent="0.2">
      <c r="A15" t="s">
        <v>18</v>
      </c>
      <c r="B15" s="144">
        <v>1000</v>
      </c>
      <c r="C15" s="145">
        <v>1000</v>
      </c>
      <c r="D15" s="144">
        <v>992.66382350628294</v>
      </c>
      <c r="E15" s="145">
        <v>992.66382350628294</v>
      </c>
      <c r="F15" s="144">
        <v>985.06494647939337</v>
      </c>
      <c r="G15" s="145">
        <v>985.06494647939337</v>
      </c>
      <c r="H15" s="144">
        <v>977.16266914014159</v>
      </c>
      <c r="I15" s="145">
        <v>977.16266914014159</v>
      </c>
      <c r="J15" s="144">
        <v>968.90827865176527</v>
      </c>
      <c r="K15" s="145">
        <v>968.90827865176527</v>
      </c>
      <c r="L15" s="144">
        <v>960.24311491506887</v>
      </c>
      <c r="M15" s="145">
        <v>960.24311491506887</v>
      </c>
      <c r="N15" s="144">
        <v>951.09597970127777</v>
      </c>
      <c r="O15" s="145">
        <v>951.09597970127777</v>
      </c>
      <c r="P15" s="144">
        <v>941.37942227787312</v>
      </c>
      <c r="Q15" s="145">
        <v>941.37942227787312</v>
      </c>
      <c r="R15" s="144">
        <v>930.98447327785289</v>
      </c>
      <c r="S15" s="145">
        <v>930.98447327785289</v>
      </c>
      <c r="T15" s="144">
        <v>919.77278959050375</v>
      </c>
      <c r="U15" s="145">
        <v>919.77278959050375</v>
      </c>
      <c r="V15" s="144">
        <v>907.56407510232179</v>
      </c>
      <c r="W15" s="145">
        <v>907.56407510232179</v>
      </c>
      <c r="X15" s="144">
        <v>894.11474061462343</v>
      </c>
      <c r="Y15" s="145">
        <v>894.11474061462343</v>
      </c>
      <c r="Z15" s="144">
        <v>879.07887616746689</v>
      </c>
      <c r="AA15" s="145">
        <v>879.07887616746689</v>
      </c>
      <c r="AB15" s="144">
        <v>861.93058817360361</v>
      </c>
      <c r="AC15" s="145">
        <v>861.93058817360361</v>
      </c>
      <c r="AD15" s="144">
        <v>841.79514853859939</v>
      </c>
      <c r="AE15" s="145">
        <v>841.79514853859939</v>
      </c>
      <c r="AF15" s="144">
        <v>817.04857612893306</v>
      </c>
      <c r="AG15" s="145">
        <v>817.04857612893306</v>
      </c>
      <c r="AH15" s="144">
        <v>784.31088052856194</v>
      </c>
      <c r="AI15" s="145">
        <v>784.31088052856194</v>
      </c>
      <c r="AJ15" s="144">
        <v>735.89442063688489</v>
      </c>
      <c r="AK15" s="145">
        <v>735.89442063688489</v>
      </c>
      <c r="AL15" s="144">
        <v>652.89402978953149</v>
      </c>
      <c r="AM15" s="145">
        <v>652.89402978953149</v>
      </c>
      <c r="AN15" s="144">
        <v>477.64794558913769</v>
      </c>
      <c r="AO15" s="145">
        <v>477.64794558913769</v>
      </c>
      <c r="AP15" s="144">
        <v>416.98758705126119</v>
      </c>
      <c r="AQ15" s="145">
        <v>416.98758705126119</v>
      </c>
      <c r="AR15" s="144">
        <v>339.96736838926984</v>
      </c>
      <c r="AS15" s="145">
        <v>339.96736838926984</v>
      </c>
      <c r="AT15" s="144">
        <v>240.08002054775918</v>
      </c>
      <c r="AU15" s="145">
        <v>240.08002054775918</v>
      </c>
      <c r="AV15" s="144">
        <v>111.59429261938061</v>
      </c>
      <c r="AW15" s="145">
        <v>111.59429261938061</v>
      </c>
    </row>
    <row r="16" spans="1:49" s="27" customFormat="1" x14ac:dyDescent="0.2">
      <c r="A16" t="s">
        <v>61</v>
      </c>
      <c r="B16" s="39">
        <v>1000</v>
      </c>
      <c r="C16" s="40">
        <v>1000</v>
      </c>
      <c r="D16" s="39">
        <v>995.76776992823159</v>
      </c>
      <c r="E16" s="40">
        <v>994.32568135850886</v>
      </c>
      <c r="F16" s="39">
        <v>991.24678672576567</v>
      </c>
      <c r="G16" s="40">
        <v>988.3750316364434</v>
      </c>
      <c r="H16" s="39">
        <v>986.39422446441222</v>
      </c>
      <c r="I16" s="40">
        <v>982.10620903065774</v>
      </c>
      <c r="J16" s="39">
        <v>981.15855740737641</v>
      </c>
      <c r="K16" s="40">
        <v>975.46899049069702</v>
      </c>
      <c r="L16" s="39">
        <v>975.47719142569827</v>
      </c>
      <c r="M16" s="40">
        <v>968.4026047501053</v>
      </c>
      <c r="N16" s="39">
        <v>969.27323845207729</v>
      </c>
      <c r="O16" s="40">
        <v>960.83280107485018</v>
      </c>
      <c r="P16" s="39">
        <v>962.4510017445732</v>
      </c>
      <c r="Q16" s="40">
        <v>952.66770522666025</v>
      </c>
      <c r="R16" s="39">
        <v>954.88940636977372</v>
      </c>
      <c r="S16" s="40">
        <v>943.79185368141793</v>
      </c>
      <c r="T16" s="39">
        <v>946.43201179212599</v>
      </c>
      <c r="U16" s="40">
        <v>934.05719393099753</v>
      </c>
      <c r="V16" s="39">
        <v>936.87120207485452</v>
      </c>
      <c r="W16" s="40">
        <v>923.26877036338715</v>
      </c>
      <c r="X16" s="39">
        <v>925.9216321995666</v>
      </c>
      <c r="Y16" s="40">
        <v>911.1605851934886</v>
      </c>
      <c r="Z16" s="39">
        <v>913.17273509450342</v>
      </c>
      <c r="AA16" s="40">
        <v>897.35202104137295</v>
      </c>
      <c r="AB16" s="39">
        <v>897.99753898159122</v>
      </c>
      <c r="AC16" s="40">
        <v>881.26292428587601</v>
      </c>
      <c r="AD16" s="39">
        <v>879.36295860000394</v>
      </c>
      <c r="AE16" s="40">
        <v>861.93354778896889</v>
      </c>
      <c r="AF16" s="39">
        <v>855.40327527882141</v>
      </c>
      <c r="AG16" s="40">
        <v>837.61012887523793</v>
      </c>
      <c r="AH16" s="39">
        <v>822.39921899884985</v>
      </c>
      <c r="AI16" s="40">
        <v>804.73056633654528</v>
      </c>
      <c r="AJ16" s="39">
        <v>772.23813446518659</v>
      </c>
      <c r="AK16" s="40">
        <v>755.37923771915632</v>
      </c>
      <c r="AL16" s="39">
        <v>685.29958874057877</v>
      </c>
      <c r="AM16" s="40">
        <v>670.26761843335976</v>
      </c>
      <c r="AN16" s="39">
        <v>501.37057785190507</v>
      </c>
      <c r="AO16" s="40">
        <v>490.36636901597598</v>
      </c>
      <c r="AP16" s="39">
        <v>437.6977226244349</v>
      </c>
      <c r="AQ16" s="40">
        <v>428.09091970874306</v>
      </c>
      <c r="AR16" s="39">
        <v>356.85228102167741</v>
      </c>
      <c r="AS16" s="40">
        <v>349.01988290508439</v>
      </c>
      <c r="AT16" s="39">
        <v>252.00391474439797</v>
      </c>
      <c r="AU16" s="40">
        <v>246.47278240741431</v>
      </c>
      <c r="AV16" s="39">
        <v>117.13677318816977</v>
      </c>
      <c r="AW16" s="40">
        <v>114.56578480765069</v>
      </c>
    </row>
    <row r="17" spans="1:49" x14ac:dyDescent="0.2">
      <c r="A17" t="s">
        <v>62</v>
      </c>
      <c r="B17" s="33">
        <v>1000.0000000000002</v>
      </c>
      <c r="C17" s="34">
        <v>999.99999999999977</v>
      </c>
      <c r="D17" s="33">
        <v>998.67652955171297</v>
      </c>
      <c r="E17" s="34">
        <v>1032.6288818654864</v>
      </c>
      <c r="F17" s="33">
        <v>997.31454853497269</v>
      </c>
      <c r="G17" s="34">
        <v>1069.2598944649542</v>
      </c>
      <c r="H17" s="33">
        <v>995.90759385332728</v>
      </c>
      <c r="I17" s="34">
        <v>1110.6270402308899</v>
      </c>
      <c r="J17" s="33">
        <v>994.44824366065063</v>
      </c>
      <c r="K17" s="34">
        <v>1157.6535717248591</v>
      </c>
      <c r="L17" s="33">
        <v>992.92821588801394</v>
      </c>
      <c r="M17" s="34">
        <v>1211.5198570675484</v>
      </c>
      <c r="N17" s="33">
        <v>991.33862385722</v>
      </c>
      <c r="O17" s="34">
        <v>1273.7625902803265</v>
      </c>
      <c r="P17" s="33">
        <v>989.67057202436763</v>
      </c>
      <c r="Q17" s="34">
        <v>1346.4248605770788</v>
      </c>
      <c r="R17" s="33">
        <v>987.91643379961249</v>
      </c>
      <c r="S17" s="34">
        <v>1432.2925912372998</v>
      </c>
      <c r="T17" s="33">
        <v>986.07236660954175</v>
      </c>
      <c r="U17" s="34">
        <v>1535.2823646676636</v>
      </c>
      <c r="V17" s="33">
        <v>984.14314227060152</v>
      </c>
      <c r="W17" s="34">
        <v>1661.1058006733224</v>
      </c>
      <c r="X17" s="33">
        <v>982.15141867741522</v>
      </c>
      <c r="Y17" s="34">
        <v>1818.4727979165316</v>
      </c>
      <c r="Z17" s="33">
        <v>980.1554974066064</v>
      </c>
      <c r="AA17" s="34">
        <v>2021.4074176393101</v>
      </c>
      <c r="AB17" s="33">
        <v>978.28340232679682</v>
      </c>
      <c r="AC17" s="34">
        <v>2294.0312551429574</v>
      </c>
      <c r="AD17" s="33">
        <v>976.79560878790335</v>
      </c>
      <c r="AE17" s="34">
        <v>2681.2451798895527</v>
      </c>
      <c r="AF17" s="33">
        <v>976.18278562058538</v>
      </c>
      <c r="AG17" s="34">
        <v>3274.5976143753055</v>
      </c>
      <c r="AH17" s="33">
        <v>977.22548321523061</v>
      </c>
      <c r="AI17" s="34">
        <v>4280.2287322567972</v>
      </c>
      <c r="AJ17" s="33">
        <v>980.69308880541416</v>
      </c>
      <c r="AK17" s="34">
        <v>6219.6116012279917</v>
      </c>
      <c r="AL17" s="33">
        <v>986.49369141391412</v>
      </c>
      <c r="AM17" s="34">
        <v>10718.710368561564</v>
      </c>
      <c r="AN17" s="33">
        <v>993.67411635266149</v>
      </c>
      <c r="AO17" s="34">
        <v>25886.938151478476</v>
      </c>
      <c r="AP17" s="33">
        <v>995.28746454432292</v>
      </c>
      <c r="AQ17" s="34">
        <v>33509.524596117</v>
      </c>
      <c r="AR17" s="33">
        <v>997.06807809505563</v>
      </c>
      <c r="AS17" s="34">
        <v>45648.706817968341</v>
      </c>
      <c r="AT17" s="33">
        <v>999.22016325041761</v>
      </c>
      <c r="AU17" s="34">
        <v>67145.918454169849</v>
      </c>
      <c r="AV17" s="33">
        <v>1002.3566939365829</v>
      </c>
      <c r="AW17" s="34">
        <v>112513.60402872034</v>
      </c>
    </row>
    <row r="18" spans="1:49" x14ac:dyDescent="0.2">
      <c r="A18" t="s">
        <v>19</v>
      </c>
      <c r="B18" s="31">
        <v>27857.010133999996</v>
      </c>
      <c r="C18" s="32">
        <v>1236.7674480000003</v>
      </c>
      <c r="D18" s="31">
        <v>27867.288626619633</v>
      </c>
      <c r="E18" s="32">
        <v>1150.7972056688016</v>
      </c>
      <c r="F18" s="31">
        <v>27873.922902231454</v>
      </c>
      <c r="G18" s="32">
        <v>1064.8849155998255</v>
      </c>
      <c r="H18" s="31">
        <v>27876.365703229047</v>
      </c>
      <c r="I18" s="32">
        <v>979.05710057000726</v>
      </c>
      <c r="J18" s="31">
        <v>27873.944949993307</v>
      </c>
      <c r="K18" s="32">
        <v>893.35191453393031</v>
      </c>
      <c r="L18" s="31">
        <v>27865.819814520291</v>
      </c>
      <c r="M18" s="32">
        <v>807.82789765189341</v>
      </c>
      <c r="N18" s="31">
        <v>27850.917352831559</v>
      </c>
      <c r="O18" s="32">
        <v>722.576939573392</v>
      </c>
      <c r="P18" s="31">
        <v>27827.839865953007</v>
      </c>
      <c r="Q18" s="32">
        <v>637.74116862668905</v>
      </c>
      <c r="R18" s="31">
        <v>27794.721043643425</v>
      </c>
      <c r="S18" s="32">
        <v>553.54043392604979</v>
      </c>
      <c r="T18" s="31">
        <v>27748.995078096959</v>
      </c>
      <c r="U18" s="32">
        <v>470.31683843910776</v>
      </c>
      <c r="V18" s="31">
        <v>27687.017621528896</v>
      </c>
      <c r="W18" s="32">
        <v>388.60166534959643</v>
      </c>
      <c r="X18" s="31">
        <v>27603.412852945206</v>
      </c>
      <c r="Y18" s="32">
        <v>309.22047662925308</v>
      </c>
      <c r="Z18" s="31">
        <v>27489.899243741325</v>
      </c>
      <c r="AA18" s="32">
        <v>233.45526185856346</v>
      </c>
      <c r="AB18" s="31">
        <v>27333.079241944357</v>
      </c>
      <c r="AC18" s="32">
        <v>163.27890004001048</v>
      </c>
      <c r="AD18" s="31">
        <v>27110.090932615545</v>
      </c>
      <c r="AE18" s="32">
        <v>101.63910184716403</v>
      </c>
      <c r="AF18" s="31">
        <v>26779.830588042823</v>
      </c>
      <c r="AG18" s="32">
        <v>52.540307907278383</v>
      </c>
      <c r="AH18" s="31">
        <v>26265.149324150247</v>
      </c>
      <c r="AI18" s="32">
        <v>20.012603985889967</v>
      </c>
      <c r="AJ18" s="31">
        <v>25413.668284557396</v>
      </c>
      <c r="AK18" s="32">
        <v>4.6221533598921898</v>
      </c>
      <c r="AL18" s="31">
        <v>23867.384634567432</v>
      </c>
      <c r="AM18" s="32">
        <v>0.46703279252986968</v>
      </c>
      <c r="AN18" s="31">
        <v>20335.676304883684</v>
      </c>
      <c r="AO18" s="32">
        <v>8.9952236676825725E-3</v>
      </c>
      <c r="AP18" s="31">
        <v>18984.057556253079</v>
      </c>
      <c r="AQ18" s="32">
        <v>2.7032086538933456E-3</v>
      </c>
      <c r="AR18" s="31">
        <v>17125.010039517656</v>
      </c>
      <c r="AS18" s="32">
        <v>6.2092344729756856E-4</v>
      </c>
      <c r="AT18" s="31">
        <v>14374.406820546261</v>
      </c>
      <c r="AU18" s="32">
        <v>9.3279953126251615E-5</v>
      </c>
      <c r="AV18" s="31">
        <v>9783.786903365728</v>
      </c>
      <c r="AW18" s="32">
        <v>6.2430972256369188E-6</v>
      </c>
    </row>
    <row r="19" spans="1:49" x14ac:dyDescent="0.2">
      <c r="A19" t="s">
        <v>3</v>
      </c>
      <c r="B19" s="39">
        <v>1886.3937399999918</v>
      </c>
      <c r="C19" s="40">
        <v>262.78711299999759</v>
      </c>
      <c r="D19" s="39">
        <v>1880.500109800113</v>
      </c>
      <c r="E19" s="40">
        <v>268.74958724069148</v>
      </c>
      <c r="F19" s="39">
        <v>1874.1685143895825</v>
      </c>
      <c r="G19" s="40">
        <v>275.6004986225912</v>
      </c>
      <c r="H19" s="39">
        <v>1867.3329024811144</v>
      </c>
      <c r="I19" s="40">
        <v>283.45247567663841</v>
      </c>
      <c r="J19" s="39">
        <v>1859.91501897944</v>
      </c>
      <c r="K19" s="40">
        <v>292.42988932480534</v>
      </c>
      <c r="L19" s="39">
        <v>1851.8221675897853</v>
      </c>
      <c r="M19" s="40">
        <v>302.66751895725611</v>
      </c>
      <c r="N19" s="39">
        <v>1842.9446769143231</v>
      </c>
      <c r="O19" s="40">
        <v>314.3053657510813</v>
      </c>
      <c r="P19" s="39">
        <v>1833.153345663841</v>
      </c>
      <c r="Q19" s="40">
        <v>327.47709232362985</v>
      </c>
      <c r="R19" s="39">
        <v>1822.2970869985611</v>
      </c>
      <c r="S19" s="40">
        <v>342.28746495383507</v>
      </c>
      <c r="T19" s="39">
        <v>1810.2013014976264</v>
      </c>
      <c r="U19" s="40">
        <v>358.76970032061195</v>
      </c>
      <c r="V19" s="39">
        <v>1796.6684426656188</v>
      </c>
      <c r="W19" s="40">
        <v>376.80421831219672</v>
      </c>
      <c r="X19" s="39">
        <v>1781.4829246748402</v>
      </c>
      <c r="Y19" s="40">
        <v>395.96630639158849</v>
      </c>
      <c r="Z19" s="39">
        <v>1764.4238002453669</v>
      </c>
      <c r="AA19" s="40">
        <v>415.23755898777239</v>
      </c>
      <c r="AB19" s="39">
        <v>1745.2878780112158</v>
      </c>
      <c r="AC19" s="40">
        <v>432.46334367421747</v>
      </c>
      <c r="AD19" s="39">
        <v>1723.9043000954064</v>
      </c>
      <c r="AE19" s="40">
        <v>443.37553992569531</v>
      </c>
      <c r="AF19" s="39">
        <v>1699.9972483459433</v>
      </c>
      <c r="AG19" s="40">
        <v>440.1397730640445</v>
      </c>
      <c r="AH19" s="39">
        <v>1672.1750346888584</v>
      </c>
      <c r="AI19" s="40">
        <v>410.69583684005369</v>
      </c>
      <c r="AJ19" s="39">
        <v>1633.5849840351686</v>
      </c>
      <c r="AK19" s="40">
        <v>343.87445690895913</v>
      </c>
      <c r="AL19" s="39">
        <v>1558.7724446122465</v>
      </c>
      <c r="AM19" s="40">
        <v>242.28284187121434</v>
      </c>
      <c r="AN19" s="39">
        <v>1354.1102825398714</v>
      </c>
      <c r="AO19" s="40">
        <v>123.06836832307766</v>
      </c>
      <c r="AP19" s="39">
        <v>1269.5703909308197</v>
      </c>
      <c r="AQ19" s="40">
        <v>98.531224718164012</v>
      </c>
      <c r="AR19" s="39">
        <v>1150.6866965001384</v>
      </c>
      <c r="AS19" s="40">
        <v>73.929571566197694</v>
      </c>
      <c r="AT19" s="39">
        <v>971.3889481584539</v>
      </c>
      <c r="AU19" s="40">
        <v>49.296162137096516</v>
      </c>
      <c r="AV19" s="39">
        <v>666.65166565241714</v>
      </c>
      <c r="AW19" s="40">
        <v>24.649932041300158</v>
      </c>
    </row>
    <row r="20" spans="1:49" x14ac:dyDescent="0.2">
      <c r="A20" t="s">
        <v>114</v>
      </c>
      <c r="B20" s="79">
        <v>26548.356269999993</v>
      </c>
      <c r="C20" s="80">
        <v>1408.5418709999938</v>
      </c>
      <c r="D20" s="79">
        <v>26542.663100569778</v>
      </c>
      <c r="E20" s="80">
        <v>1338.1147774499941</v>
      </c>
      <c r="F20" s="79">
        <v>26532.97442265744</v>
      </c>
      <c r="G20" s="80">
        <v>1267.6876838999945</v>
      </c>
      <c r="H20" s="79">
        <v>26518.692764237625</v>
      </c>
      <c r="I20" s="80">
        <v>1197.2605903499946</v>
      </c>
      <c r="J20" s="79">
        <v>26499.090972412687</v>
      </c>
      <c r="K20" s="80">
        <v>1126.8334967999949</v>
      </c>
      <c r="L20" s="79">
        <v>26473.271673537489</v>
      </c>
      <c r="M20" s="80">
        <v>1056.4064032499953</v>
      </c>
      <c r="N20" s="79">
        <v>26440.110645691449</v>
      </c>
      <c r="O20" s="80">
        <v>985.97930969999561</v>
      </c>
      <c r="P20" s="79">
        <v>26398.177118732012</v>
      </c>
      <c r="Q20" s="80">
        <v>915.55221614999596</v>
      </c>
      <c r="R20" s="79">
        <v>26345.614435457483</v>
      </c>
      <c r="S20" s="80">
        <v>845.12512259999642</v>
      </c>
      <c r="T20" s="79">
        <v>26279.954650022999</v>
      </c>
      <c r="U20" s="80">
        <v>774.69802904999653</v>
      </c>
      <c r="V20" s="79">
        <v>26197.82357049132</v>
      </c>
      <c r="W20" s="80">
        <v>704.27093549999688</v>
      </c>
      <c r="X20" s="79">
        <v>26094.44470136848</v>
      </c>
      <c r="Y20" s="80">
        <v>633.84384194999734</v>
      </c>
      <c r="Z20" s="79">
        <v>25962.760049465407</v>
      </c>
      <c r="AA20" s="80">
        <v>563.41674839999757</v>
      </c>
      <c r="AB20" s="79">
        <v>25791.776726115553</v>
      </c>
      <c r="AC20" s="80">
        <v>492.98965484999775</v>
      </c>
      <c r="AD20" s="79">
        <v>25563.233541842299</v>
      </c>
      <c r="AE20" s="80">
        <v>422.56256129999798</v>
      </c>
      <c r="AF20" s="79">
        <v>25244.415698002249</v>
      </c>
      <c r="AG20" s="80">
        <v>352.13546774999827</v>
      </c>
      <c r="AH20" s="79">
        <v>24771.586480299095</v>
      </c>
      <c r="AI20" s="80">
        <v>281.70837419999856</v>
      </c>
      <c r="AJ20" s="79">
        <v>24007.953369720795</v>
      </c>
      <c r="AK20" s="80">
        <v>211.28128064999876</v>
      </c>
      <c r="AL20" s="79">
        <v>22608.2334648346</v>
      </c>
      <c r="AM20" s="80">
        <v>140.85418709999905</v>
      </c>
      <c r="AN20" s="79">
        <v>19325.922243495068</v>
      </c>
      <c r="AO20" s="80">
        <v>70.427093549999285</v>
      </c>
      <c r="AP20" s="79">
        <v>18054.469894208312</v>
      </c>
      <c r="AQ20" s="80">
        <v>56.341674839999328</v>
      </c>
      <c r="AR20" s="79">
        <v>16299.382277152106</v>
      </c>
      <c r="AS20" s="80">
        <v>42.256256129999379</v>
      </c>
      <c r="AT20" s="79">
        <v>13694.428740899346</v>
      </c>
      <c r="AU20" s="80">
        <v>28.170837419999433</v>
      </c>
      <c r="AV20" s="79">
        <v>9333.7987684516702</v>
      </c>
      <c r="AW20" s="80">
        <v>14.08541870999948</v>
      </c>
    </row>
    <row r="21" spans="1:49" x14ac:dyDescent="0.2">
      <c r="A21" t="s">
        <v>76</v>
      </c>
      <c r="B21" s="79">
        <v>24661.962529999968</v>
      </c>
      <c r="C21" s="80">
        <v>1145.7547579999991</v>
      </c>
      <c r="D21" s="79">
        <v>24662.167296492757</v>
      </c>
      <c r="E21" s="80">
        <v>1069.5835511591349</v>
      </c>
      <c r="F21" s="79">
        <v>24658.823651051025</v>
      </c>
      <c r="G21" s="80">
        <v>993.02318016186257</v>
      </c>
      <c r="H21" s="79">
        <v>24651.401096338192</v>
      </c>
      <c r="I21" s="80">
        <v>916.0712088056174</v>
      </c>
      <c r="J21" s="79">
        <v>24639.251884164612</v>
      </c>
      <c r="K21" s="80">
        <v>838.73941080985992</v>
      </c>
      <c r="L21" s="79">
        <v>24621.57275721609</v>
      </c>
      <c r="M21" s="80">
        <v>761.06117574326311</v>
      </c>
      <c r="N21" s="79">
        <v>24597.350892765942</v>
      </c>
      <c r="O21" s="80">
        <v>683.10365704804667</v>
      </c>
      <c r="P21" s="79">
        <v>24565.286767959122</v>
      </c>
      <c r="Q21" s="80">
        <v>604.98655634309762</v>
      </c>
      <c r="R21" s="79">
        <v>24523.67711581404</v>
      </c>
      <c r="S21" s="80">
        <v>526.91060174802749</v>
      </c>
      <c r="T21" s="79">
        <v>24470.230926985794</v>
      </c>
      <c r="U21" s="80">
        <v>449.20103630759343</v>
      </c>
      <c r="V21" s="79">
        <v>24401.773351768945</v>
      </c>
      <c r="W21" s="80">
        <v>372.37549249459141</v>
      </c>
      <c r="X21" s="79">
        <v>24313.74342750034</v>
      </c>
      <c r="Y21" s="80">
        <v>297.2486851579153</v>
      </c>
      <c r="Z21" s="79">
        <v>24199.299426095375</v>
      </c>
      <c r="AA21" s="80">
        <v>225.09313137379036</v>
      </c>
      <c r="AB21" s="79">
        <v>24047.63676562336</v>
      </c>
      <c r="AC21" s="80">
        <v>157.87261886031584</v>
      </c>
      <c r="AD21" s="79">
        <v>23840.630064168472</v>
      </c>
      <c r="AE21" s="80">
        <v>98.523285717358732</v>
      </c>
      <c r="AF21" s="79">
        <v>23545.772590152214</v>
      </c>
      <c r="AG21" s="80">
        <v>51.040656012065334</v>
      </c>
      <c r="AH21" s="79">
        <v>23100.62521382764</v>
      </c>
      <c r="AI21" s="80">
        <v>19.474427454615686</v>
      </c>
      <c r="AJ21" s="79">
        <v>22375.211011426058</v>
      </c>
      <c r="AK21" s="80">
        <v>4.5028130295108264</v>
      </c>
      <c r="AL21" s="79">
        <v>21049.847240783463</v>
      </c>
      <c r="AM21" s="80">
        <v>0.45521149415201106</v>
      </c>
      <c r="AN21" s="79">
        <v>17971.883908100448</v>
      </c>
      <c r="AO21" s="80">
        <v>8.7688104488544572E-3</v>
      </c>
      <c r="AP21" s="79">
        <v>16784.93675011973</v>
      </c>
      <c r="AQ21" s="80">
        <v>2.6351857854755626E-3</v>
      </c>
      <c r="AR21" s="79">
        <v>15148.708575566183</v>
      </c>
      <c r="AS21" s="80">
        <v>6.0530089625900107E-4</v>
      </c>
      <c r="AT21" s="79">
        <v>12723.040563661891</v>
      </c>
      <c r="AU21" s="80">
        <v>9.093320866624599E-5</v>
      </c>
      <c r="AV21" s="79">
        <v>8667.151888105549</v>
      </c>
      <c r="AW21" s="80">
        <v>6.0860365564373044E-6</v>
      </c>
    </row>
    <row r="22" spans="1:49" x14ac:dyDescent="0.2">
      <c r="A22" t="s">
        <v>28</v>
      </c>
      <c r="B22" s="39">
        <v>6533.6044688320662</v>
      </c>
      <c r="C22" s="40">
        <v>379.90788307663382</v>
      </c>
      <c r="D22" s="39">
        <v>6502.1664076434317</v>
      </c>
      <c r="E22" s="40">
        <v>363.41464902337503</v>
      </c>
      <c r="F22" s="39">
        <v>6468.41961986963</v>
      </c>
      <c r="G22" s="40">
        <v>346.7598566155292</v>
      </c>
      <c r="H22" s="39">
        <v>6432.0378648938613</v>
      </c>
      <c r="I22" s="40">
        <v>329.93819852032965</v>
      </c>
      <c r="J22" s="39">
        <v>6392.6261384891977</v>
      </c>
      <c r="K22" s="40">
        <v>312.94340848371615</v>
      </c>
      <c r="L22" s="39">
        <v>6349.7008479605129</v>
      </c>
      <c r="M22" s="40">
        <v>295.76732913690574</v>
      </c>
      <c r="N22" s="39">
        <v>6302.6594864916979</v>
      </c>
      <c r="O22" s="40">
        <v>278.39875526008586</v>
      </c>
      <c r="P22" s="39">
        <v>6250.7371801458885</v>
      </c>
      <c r="Q22" s="40">
        <v>260.82188011133366</v>
      </c>
      <c r="R22" s="39">
        <v>6192.9409252650566</v>
      </c>
      <c r="S22" s="40">
        <v>243.01382596805169</v>
      </c>
      <c r="T22" s="39">
        <v>6127.9444527824407</v>
      </c>
      <c r="U22" s="40">
        <v>224.94077227698992</v>
      </c>
      <c r="V22" s="39">
        <v>6053.9176484030713</v>
      </c>
      <c r="W22" s="40">
        <v>206.55239466585274</v>
      </c>
      <c r="X22" s="39">
        <v>5968.2351683385796</v>
      </c>
      <c r="Y22" s="40">
        <v>187.77355930455701</v>
      </c>
      <c r="Z22" s="39">
        <v>5866.9552058031104</v>
      </c>
      <c r="AA22" s="40">
        <v>168.49268022448311</v>
      </c>
      <c r="AB22" s="39">
        <v>5743.8487666060737</v>
      </c>
      <c r="AC22" s="40">
        <v>148.54757780781625</v>
      </c>
      <c r="AD22" s="39">
        <v>5588.5154365071548</v>
      </c>
      <c r="AE22" s="40">
        <v>127.71658592903044</v>
      </c>
      <c r="AF22" s="39">
        <v>5382.6990121243871</v>
      </c>
      <c r="AG22" s="40">
        <v>105.74883056989715</v>
      </c>
      <c r="AH22" s="39">
        <v>5093.374215408855</v>
      </c>
      <c r="AI22" s="40">
        <v>82.529679293306955</v>
      </c>
      <c r="AJ22" s="39">
        <v>4660.1430652190584</v>
      </c>
      <c r="AK22" s="40">
        <v>58.480043278088417</v>
      </c>
      <c r="AL22" s="39">
        <v>3962.0673348269183</v>
      </c>
      <c r="AM22" s="40">
        <v>34.850138164298144</v>
      </c>
      <c r="AN22" s="39">
        <v>2674.3679906744733</v>
      </c>
      <c r="AO22" s="40">
        <v>13.529917102547374</v>
      </c>
      <c r="AP22" s="39">
        <v>2273.008131664179</v>
      </c>
      <c r="AQ22" s="40">
        <v>9.8111900610738552</v>
      </c>
      <c r="AR22" s="39">
        <v>1790.4465162191245</v>
      </c>
      <c r="AS22" s="40">
        <v>6.3978829901092906</v>
      </c>
      <c r="AT22" s="39">
        <v>1206.3576213336855</v>
      </c>
      <c r="AU22" s="40">
        <v>3.4105099474831992</v>
      </c>
      <c r="AV22" s="39">
        <v>522.47483023754387</v>
      </c>
      <c r="AW22" s="40">
        <v>1.0821562216545546</v>
      </c>
    </row>
    <row r="23" spans="1:49" x14ac:dyDescent="0.2">
      <c r="A23" t="s">
        <v>7</v>
      </c>
      <c r="B23" s="110">
        <v>3278.5018080150408</v>
      </c>
      <c r="C23" s="8">
        <v>0</v>
      </c>
      <c r="D23" s="110">
        <v>3283.7424796097912</v>
      </c>
      <c r="E23" s="8">
        <v>0</v>
      </c>
      <c r="F23" s="110">
        <v>3288.5991069471506</v>
      </c>
      <c r="G23" s="8">
        <v>0</v>
      </c>
      <c r="H23" s="110">
        <v>3293.009580655269</v>
      </c>
      <c r="I23" s="8">
        <v>0</v>
      </c>
      <c r="J23" s="110">
        <v>3296.8977683563512</v>
      </c>
      <c r="K23" s="8">
        <v>0</v>
      </c>
      <c r="L23" s="110">
        <v>3300.1691473071874</v>
      </c>
      <c r="M23" s="8">
        <v>0</v>
      </c>
      <c r="N23" s="110">
        <v>3302.7047656809168</v>
      </c>
      <c r="O23" s="8">
        <v>0</v>
      </c>
      <c r="P23" s="110">
        <v>3304.3531988447594</v>
      </c>
      <c r="Q23" s="8">
        <v>0</v>
      </c>
      <c r="R23" s="110">
        <v>3304.9187887433127</v>
      </c>
      <c r="S23" s="8">
        <v>0</v>
      </c>
      <c r="T23" s="110">
        <v>3304.1437839408945</v>
      </c>
      <c r="U23" s="8">
        <v>0</v>
      </c>
      <c r="V23" s="110">
        <v>3301.6811360057691</v>
      </c>
      <c r="W23" s="8">
        <v>0</v>
      </c>
      <c r="X23" s="110">
        <v>3297.0501276555597</v>
      </c>
      <c r="Y23" s="8">
        <v>0</v>
      </c>
      <c r="Z23" s="110">
        <v>3289.559308937723</v>
      </c>
      <c r="AA23" s="8">
        <v>0</v>
      </c>
      <c r="AB23" s="110">
        <v>3278.16182053784</v>
      </c>
      <c r="AC23" s="8">
        <v>0</v>
      </c>
      <c r="AD23" s="110">
        <v>3261.1506009488407</v>
      </c>
      <c r="AE23" s="8">
        <v>0</v>
      </c>
      <c r="AF23" s="110">
        <v>3235.4285312990814</v>
      </c>
      <c r="AG23" s="8">
        <v>0</v>
      </c>
      <c r="AH23" s="110">
        <v>3194.5042485211147</v>
      </c>
      <c r="AI23" s="8">
        <v>0</v>
      </c>
      <c r="AJ23" s="110">
        <v>3122.4601542876499</v>
      </c>
      <c r="AK23" s="8">
        <v>0</v>
      </c>
      <c r="AL23" s="110">
        <v>2973.8760773875665</v>
      </c>
      <c r="AM23" s="8">
        <v>0</v>
      </c>
      <c r="AN23" s="110">
        <v>2574.411392787641</v>
      </c>
      <c r="AO23" s="8">
        <v>0</v>
      </c>
      <c r="AP23" s="110">
        <v>2408.8043868284517</v>
      </c>
      <c r="AQ23" s="8">
        <v>0</v>
      </c>
      <c r="AR23" s="110">
        <v>2174.6489898132268</v>
      </c>
      <c r="AS23" s="8">
        <v>0</v>
      </c>
      <c r="AT23" s="110">
        <v>1820.2990405313838</v>
      </c>
      <c r="AU23" s="8">
        <v>0</v>
      </c>
      <c r="AV23" s="110">
        <v>1223.3754903368388</v>
      </c>
      <c r="AW23" s="8">
        <v>0</v>
      </c>
    </row>
    <row r="24" spans="1:49" x14ac:dyDescent="0.2">
      <c r="A24" t="s">
        <v>8</v>
      </c>
      <c r="B24" s="93">
        <v>3196.3846373657216</v>
      </c>
      <c r="C24" s="8">
        <v>0</v>
      </c>
      <c r="D24" s="93">
        <v>3235.7839582089891</v>
      </c>
      <c r="E24" s="8">
        <v>0</v>
      </c>
      <c r="F24" s="93">
        <v>3275.7162270358131</v>
      </c>
      <c r="G24" s="8">
        <v>0</v>
      </c>
      <c r="H24" s="93">
        <v>3316.2453888980904</v>
      </c>
      <c r="I24" s="8">
        <v>0</v>
      </c>
      <c r="J24" s="93">
        <v>3357.4474369095155</v>
      </c>
      <c r="K24" s="8">
        <v>0</v>
      </c>
      <c r="L24" s="93">
        <v>3399.4138863979097</v>
      </c>
      <c r="M24" s="8">
        <v>0</v>
      </c>
      <c r="N24" s="93">
        <v>3442.2585995771783</v>
      </c>
      <c r="O24" s="8">
        <v>0</v>
      </c>
      <c r="P24" s="93">
        <v>3486.1292922371249</v>
      </c>
      <c r="Q24" s="8">
        <v>0</v>
      </c>
      <c r="R24" s="93">
        <v>3531.2267082240219</v>
      </c>
      <c r="S24" s="8">
        <v>0</v>
      </c>
      <c r="T24" s="93">
        <v>3577.8393280104601</v>
      </c>
      <c r="U24" s="8">
        <v>0</v>
      </c>
      <c r="V24" s="93">
        <v>3626.4056466446732</v>
      </c>
      <c r="W24" s="8">
        <v>0</v>
      </c>
      <c r="X24" s="93">
        <v>3677.630347764311</v>
      </c>
      <c r="Y24" s="8">
        <v>0</v>
      </c>
      <c r="Z24" s="93">
        <v>3732.7050152838774</v>
      </c>
      <c r="AA24" s="8">
        <v>0</v>
      </c>
      <c r="AB24" s="93">
        <v>3793.7327056470485</v>
      </c>
      <c r="AC24" s="8">
        <v>0</v>
      </c>
      <c r="AD24" s="93">
        <v>3864.5220701810758</v>
      </c>
      <c r="AE24" s="8">
        <v>0</v>
      </c>
      <c r="AF24" s="93">
        <v>3951.8740614285689</v>
      </c>
      <c r="AG24" s="8">
        <v>0</v>
      </c>
      <c r="AH24" s="93">
        <v>4066.5441176974755</v>
      </c>
      <c r="AI24" s="8">
        <v>0</v>
      </c>
      <c r="AJ24" s="93">
        <v>4219.3458047828444</v>
      </c>
      <c r="AK24" s="8">
        <v>0</v>
      </c>
      <c r="AL24" s="93">
        <v>4401.6406266310887</v>
      </c>
      <c r="AM24" s="8">
        <v>0</v>
      </c>
      <c r="AN24" s="93">
        <v>4477.2766605336947</v>
      </c>
      <c r="AO24" s="8">
        <v>0</v>
      </c>
      <c r="AP24" s="93">
        <v>4411.4126644361977</v>
      </c>
      <c r="AQ24" s="8">
        <v>0</v>
      </c>
      <c r="AR24" s="93">
        <v>4251.1340763986946</v>
      </c>
      <c r="AS24" s="8">
        <v>0</v>
      </c>
      <c r="AT24" s="93">
        <v>3883.468108869658</v>
      </c>
      <c r="AU24" s="8">
        <v>0</v>
      </c>
      <c r="AV24" s="93">
        <v>2970.8031005797138</v>
      </c>
      <c r="AW24" s="8">
        <v>0</v>
      </c>
    </row>
    <row r="25" spans="1:49" x14ac:dyDescent="0.2">
      <c r="A25" t="s">
        <v>0</v>
      </c>
      <c r="B25" s="39">
        <v>3195.0476040000012</v>
      </c>
      <c r="C25" s="40">
        <v>91.012690000004397</v>
      </c>
      <c r="D25" s="39">
        <v>3205.1143493261052</v>
      </c>
      <c r="E25" s="40">
        <v>81.173611112605315</v>
      </c>
      <c r="F25" s="39">
        <v>3215.0703814011736</v>
      </c>
      <c r="G25" s="40">
        <v>71.707658241336702</v>
      </c>
      <c r="H25" s="39">
        <v>3224.8972292665885</v>
      </c>
      <c r="I25" s="40">
        <v>62.649869493320132</v>
      </c>
      <c r="J25" s="39">
        <v>3234.5684479928086</v>
      </c>
      <c r="K25" s="40">
        <v>54.037621429352335</v>
      </c>
      <c r="L25" s="39">
        <v>3244.0438503082969</v>
      </c>
      <c r="M25" s="40">
        <v>45.910587795394058</v>
      </c>
      <c r="N25" s="39">
        <v>3253.2601047303478</v>
      </c>
      <c r="O25" s="40">
        <v>38.310722501094219</v>
      </c>
      <c r="P25" s="39">
        <v>3262.1151971272666</v>
      </c>
      <c r="Q25" s="40">
        <v>31.282004059404823</v>
      </c>
      <c r="R25" s="39">
        <v>3270.4416922591104</v>
      </c>
      <c r="S25" s="40">
        <v>24.870032760988479</v>
      </c>
      <c r="T25" s="39">
        <v>3277.9601945590016</v>
      </c>
      <c r="U25" s="40">
        <v>19.121399925131186</v>
      </c>
      <c r="V25" s="39">
        <v>3284.1973841716849</v>
      </c>
      <c r="W25" s="40">
        <v>14.082514142132588</v>
      </c>
      <c r="X25" s="39">
        <v>3288.33766901834</v>
      </c>
      <c r="Y25" s="40">
        <v>9.7975429758080956</v>
      </c>
      <c r="Z25" s="39">
        <v>3288.9486415289516</v>
      </c>
      <c r="AA25" s="40">
        <v>6.3046597045507884</v>
      </c>
      <c r="AB25" s="39">
        <v>3283.4631535974304</v>
      </c>
      <c r="AC25" s="40">
        <v>3.6287079456413056</v>
      </c>
      <c r="AD25" s="39">
        <v>3267.2074997535169</v>
      </c>
      <c r="AE25" s="40">
        <v>1.7668061495700806</v>
      </c>
      <c r="AF25" s="39">
        <v>3231.7077862659271</v>
      </c>
      <c r="AG25" s="40">
        <v>0.66121954077200185</v>
      </c>
      <c r="AH25" s="39">
        <v>3162.4243528859251</v>
      </c>
      <c r="AI25" s="40">
        <v>0.16132560798795012</v>
      </c>
      <c r="AJ25" s="39">
        <v>3037.015155973339</v>
      </c>
      <c r="AK25" s="40">
        <v>1.960164256967066E-2</v>
      </c>
      <c r="AL25" s="39">
        <v>2816.8880650521915</v>
      </c>
      <c r="AM25" s="40">
        <v>7.5062823518268554E-4</v>
      </c>
      <c r="AN25" s="39">
        <v>2363.6740419205939</v>
      </c>
      <c r="AO25" s="40">
        <v>2.8158154969586318E-6</v>
      </c>
      <c r="AP25" s="39">
        <v>2199.0598306745469</v>
      </c>
      <c r="AQ25" s="40">
        <v>5.1843753023374929E-7</v>
      </c>
      <c r="AR25" s="39">
        <v>1976.280303683526</v>
      </c>
      <c r="AS25" s="40">
        <v>6.5889236731304236E-8</v>
      </c>
      <c r="AT25" s="39">
        <v>1651.3650095968524</v>
      </c>
      <c r="AU25" s="40">
        <v>4.6983315481472907E-9</v>
      </c>
      <c r="AV25" s="39">
        <v>1116.6273448439717</v>
      </c>
      <c r="AW25" s="40">
        <v>1.1504306631788728E-10</v>
      </c>
    </row>
    <row r="26" spans="1:49" x14ac:dyDescent="0.2">
      <c r="A26" t="s">
        <v>27</v>
      </c>
      <c r="B26" s="31">
        <v>5036.2953101960647</v>
      </c>
      <c r="C26" s="32">
        <v>74.905331803938267</v>
      </c>
      <c r="D26" s="31">
        <v>5041.1528722951016</v>
      </c>
      <c r="E26" s="32">
        <v>70.047769704900276</v>
      </c>
      <c r="F26" s="31">
        <v>5046.0242017317005</v>
      </c>
      <c r="G26" s="32">
        <v>65.176440268300439</v>
      </c>
      <c r="H26" s="31">
        <v>5050.9110687566736</v>
      </c>
      <c r="I26" s="32">
        <v>60.289573243331084</v>
      </c>
      <c r="J26" s="31">
        <v>5055.8151667414231</v>
      </c>
      <c r="K26" s="32">
        <v>55.385475258582169</v>
      </c>
      <c r="L26" s="31">
        <v>5060.7377473329843</v>
      </c>
      <c r="M26" s="32">
        <v>50.462894667022454</v>
      </c>
      <c r="N26" s="31">
        <v>5065.6790188905834</v>
      </c>
      <c r="O26" s="32">
        <v>45.521623109415962</v>
      </c>
      <c r="P26" s="31">
        <v>5070.6372716856031</v>
      </c>
      <c r="Q26" s="32">
        <v>40.563370314406029</v>
      </c>
      <c r="R26" s="31">
        <v>5075.6073622221256</v>
      </c>
      <c r="S26" s="32">
        <v>35.593279777875303</v>
      </c>
      <c r="T26" s="31">
        <v>5080.5781398088857</v>
      </c>
      <c r="U26" s="32">
        <v>30.622502191121288</v>
      </c>
      <c r="V26" s="31">
        <v>5085.5282852911905</v>
      </c>
      <c r="W26" s="32">
        <v>25.672356708811815</v>
      </c>
      <c r="X26" s="31">
        <v>5090.4194065712072</v>
      </c>
      <c r="Y26" s="32">
        <v>20.781235428781152</v>
      </c>
      <c r="Z26" s="31">
        <v>5095.1846639048526</v>
      </c>
      <c r="AA26" s="32">
        <v>16.015978095149386</v>
      </c>
      <c r="AB26" s="31">
        <v>5099.7107845987421</v>
      </c>
      <c r="AC26" s="32">
        <v>11.489857401266576</v>
      </c>
      <c r="AD26" s="31">
        <v>5103.8126188711849</v>
      </c>
      <c r="AE26" s="32">
        <v>7.3880231288205378</v>
      </c>
      <c r="AF26" s="31">
        <v>5107.2126931731573</v>
      </c>
      <c r="AG26" s="32">
        <v>3.9879488268444883</v>
      </c>
      <c r="AH26" s="31">
        <v>5109.5862706820826</v>
      </c>
      <c r="AI26" s="32">
        <v>1.6143713179163131</v>
      </c>
      <c r="AJ26" s="31">
        <v>5110.7923816892999</v>
      </c>
      <c r="AK26" s="32">
        <v>0.40826031070351954</v>
      </c>
      <c r="AL26" s="31">
        <v>5111.1529438113457</v>
      </c>
      <c r="AM26" s="32">
        <v>4.7698188658274243E-2</v>
      </c>
      <c r="AN26" s="31">
        <v>5111.1994310200189</v>
      </c>
      <c r="AO26" s="32">
        <v>1.2109799838279343E-3</v>
      </c>
      <c r="AP26" s="31">
        <v>5111.2002422600426</v>
      </c>
      <c r="AQ26" s="32">
        <v>3.9973996058453924E-4</v>
      </c>
      <c r="AR26" s="31">
        <v>5111.2005380885266</v>
      </c>
      <c r="AS26" s="32">
        <v>1.039114777365197E-4</v>
      </c>
      <c r="AT26" s="31">
        <v>5111.2006233336833</v>
      </c>
      <c r="AU26" s="32">
        <v>1.8666320909887572E-5</v>
      </c>
      <c r="AV26" s="31">
        <v>5111.2006402866291</v>
      </c>
      <c r="AW26" s="32">
        <v>1.7133736058495449E-6</v>
      </c>
    </row>
    <row r="27" spans="1:49" x14ac:dyDescent="0.2">
      <c r="A27" t="s">
        <v>2</v>
      </c>
      <c r="B27" s="33">
        <v>6425.1981590000414</v>
      </c>
      <c r="C27" s="34">
        <v>273.22915400000028</v>
      </c>
      <c r="D27" s="33">
        <v>6442.6925524208546</v>
      </c>
      <c r="E27" s="34">
        <v>255.73478648594775</v>
      </c>
      <c r="F27" s="33">
        <v>6460.2678397567861</v>
      </c>
      <c r="G27" s="34">
        <v>238.15947345316707</v>
      </c>
      <c r="H27" s="33">
        <v>6477.9306026148824</v>
      </c>
      <c r="I27" s="34">
        <v>220.49671057674263</v>
      </c>
      <c r="J27" s="33">
        <v>6495.6872889646611</v>
      </c>
      <c r="K27" s="34">
        <v>202.74002919353572</v>
      </c>
      <c r="L27" s="33">
        <v>6513.5428223805411</v>
      </c>
      <c r="M27" s="34">
        <v>184.88449049601854</v>
      </c>
      <c r="N27" s="33">
        <v>6531.4982816743059</v>
      </c>
      <c r="O27" s="34">
        <v>166.92903057232971</v>
      </c>
      <c r="P27" s="33">
        <v>6549.5477702802646</v>
      </c>
      <c r="Q27" s="34">
        <v>148.87954634766169</v>
      </c>
      <c r="R27" s="33">
        <v>6567.6728956189672</v>
      </c>
      <c r="S27" s="34">
        <v>130.7544198318767</v>
      </c>
      <c r="T27" s="33">
        <v>6585.8330989147398</v>
      </c>
      <c r="U27" s="34">
        <v>112.59421673225651</v>
      </c>
      <c r="V27" s="33">
        <v>6603.9502888226216</v>
      </c>
      <c r="W27" s="34">
        <v>94.477026391844831</v>
      </c>
      <c r="X27" s="33">
        <v>6621.8831815953254</v>
      </c>
      <c r="Y27" s="34">
        <v>76.54413610174521</v>
      </c>
      <c r="Z27" s="33">
        <v>6639.3849068958989</v>
      </c>
      <c r="AA27" s="34">
        <v>59.042415452730012</v>
      </c>
      <c r="AB27" s="33">
        <v>6656.0360533916119</v>
      </c>
      <c r="AC27" s="34">
        <v>42.391259228753157</v>
      </c>
      <c r="AD27" s="33">
        <v>6671.1496072704258</v>
      </c>
      <c r="AE27" s="34">
        <v>27.277704636894498</v>
      </c>
      <c r="AF27" s="33">
        <v>6683.694268023607</v>
      </c>
      <c r="AG27" s="34">
        <v>14.733048198523461</v>
      </c>
      <c r="AH27" s="33">
        <v>6692.460669097617</v>
      </c>
      <c r="AI27" s="34">
        <v>5.9666434227119503</v>
      </c>
      <c r="AJ27" s="33">
        <v>6696.918077340194</v>
      </c>
      <c r="AK27" s="34">
        <v>1.5092361879189589</v>
      </c>
      <c r="AL27" s="33">
        <v>6698.2509732796225</v>
      </c>
      <c r="AM27" s="34">
        <v>0.17633955253297803</v>
      </c>
      <c r="AN27" s="33">
        <v>6698.4228359648796</v>
      </c>
      <c r="AO27" s="34">
        <v>4.4770135753528619E-3</v>
      </c>
      <c r="AP27" s="33">
        <v>6698.4258351612243</v>
      </c>
      <c r="AQ27" s="34">
        <v>1.4778459029609393E-3</v>
      </c>
      <c r="AR27" s="33">
        <v>6698.4269288564119</v>
      </c>
      <c r="AS27" s="34">
        <v>3.8416269114353321E-4</v>
      </c>
      <c r="AT27" s="33">
        <v>6698.4272439893675</v>
      </c>
      <c r="AU27" s="34">
        <v>6.9009723452989846E-5</v>
      </c>
      <c r="AV27" s="33">
        <v>6698.4273069297569</v>
      </c>
      <c r="AW27" s="34">
        <v>6.334373490603218E-6</v>
      </c>
    </row>
    <row r="28" spans="1:49" x14ac:dyDescent="0.2">
      <c r="A28" t="s">
        <v>35</v>
      </c>
      <c r="B28" s="39">
        <v>13763.097676000029</v>
      </c>
      <c r="C28" s="40">
        <v>382.36647899999997</v>
      </c>
      <c r="D28" s="39">
        <v>13787.651937808216</v>
      </c>
      <c r="E28" s="40">
        <v>357.79443936107452</v>
      </c>
      <c r="F28" s="39">
        <v>13812.271663195372</v>
      </c>
      <c r="G28" s="40">
        <v>333.12107045173963</v>
      </c>
      <c r="H28" s="39">
        <v>13836.965588526531</v>
      </c>
      <c r="I28" s="40">
        <v>308.33736410349223</v>
      </c>
      <c r="J28" s="39">
        <v>13861.74215284908</v>
      </c>
      <c r="K28" s="40">
        <v>283.43446129713482</v>
      </c>
      <c r="L28" s="39">
        <v>13886.607590520249</v>
      </c>
      <c r="M28" s="40">
        <v>258.40567856446239</v>
      </c>
      <c r="N28" s="39">
        <v>13911.562778356853</v>
      </c>
      <c r="O28" s="40">
        <v>233.24972871108542</v>
      </c>
      <c r="P28" s="39">
        <v>13936.598913604465</v>
      </c>
      <c r="Q28" s="40">
        <v>207.97508223806591</v>
      </c>
      <c r="R28" s="39">
        <v>13961.689945098102</v>
      </c>
      <c r="S28" s="40">
        <v>182.60770096691209</v>
      </c>
      <c r="T28" s="39">
        <v>13986.779459152795</v>
      </c>
      <c r="U28" s="40">
        <v>157.20448322380565</v>
      </c>
      <c r="V28" s="39">
        <v>14011.759787358485</v>
      </c>
      <c r="W28" s="40">
        <v>131.87466472620153</v>
      </c>
      <c r="X28" s="39">
        <v>14036.437234707193</v>
      </c>
      <c r="Y28" s="40">
        <v>106.81554577144006</v>
      </c>
      <c r="Z28" s="39">
        <v>14060.474750036028</v>
      </c>
      <c r="AA28" s="40">
        <v>82.371433532742557</v>
      </c>
      <c r="AB28" s="39">
        <v>14083.301456059855</v>
      </c>
      <c r="AC28" s="40">
        <v>59.126764709999428</v>
      </c>
      <c r="AD28" s="39">
        <v>14103.984475967067</v>
      </c>
      <c r="AE28" s="40">
        <v>38.038247849965416</v>
      </c>
      <c r="AF28" s="39">
        <v>14121.126126597381</v>
      </c>
      <c r="AG28" s="40">
        <v>20.541220909693497</v>
      </c>
      <c r="AH28" s="39">
        <v>14133.091106987498</v>
      </c>
      <c r="AI28" s="40">
        <v>8.3178010668265472</v>
      </c>
      <c r="AJ28" s="39">
        <v>14139.170512938113</v>
      </c>
      <c r="AK28" s="40">
        <v>2.103814978700965</v>
      </c>
      <c r="AL28" s="39">
        <v>14140.987862776479</v>
      </c>
      <c r="AM28" s="40">
        <v>0.24580555605513327</v>
      </c>
      <c r="AN28" s="39">
        <v>14141.222171399</v>
      </c>
      <c r="AO28" s="40">
        <v>6.240642264487852E-3</v>
      </c>
      <c r="AP28" s="39">
        <v>14141.226260297439</v>
      </c>
      <c r="AQ28" s="40">
        <v>2.0600131205173872E-3</v>
      </c>
      <c r="AR28" s="39">
        <v>14141.227751365328</v>
      </c>
      <c r="AS28" s="40">
        <v>5.3549571040843518E-4</v>
      </c>
      <c r="AT28" s="39">
        <v>14141.228181005243</v>
      </c>
      <c r="AU28" s="40">
        <v>9.6194696742989537E-5</v>
      </c>
      <c r="AV28" s="39">
        <v>14141.22826670526</v>
      </c>
      <c r="AW28" s="40">
        <v>8.8296705384769871E-6</v>
      </c>
    </row>
    <row r="29" spans="1:49" x14ac:dyDescent="0.2">
      <c r="A29" t="s">
        <v>53</v>
      </c>
      <c r="B29" s="33">
        <v>14362.768558000025</v>
      </c>
      <c r="C29" s="34">
        <v>817.26650999999993</v>
      </c>
      <c r="D29" s="33">
        <v>14367.423472030836</v>
      </c>
      <c r="E29" s="34">
        <v>757.55396348919021</v>
      </c>
      <c r="F29" s="33">
        <v>14370.169832901125</v>
      </c>
      <c r="G29" s="34">
        <v>698.14497462773761</v>
      </c>
      <c r="H29" s="33">
        <v>14370.721386086625</v>
      </c>
      <c r="I29" s="34">
        <v>639.08349223287223</v>
      </c>
      <c r="J29" s="33">
        <v>14368.726946986124</v>
      </c>
      <c r="K29" s="34">
        <v>580.42385928934266</v>
      </c>
      <c r="L29" s="33">
        <v>14363.747666285439</v>
      </c>
      <c r="M29" s="34">
        <v>522.23659016597264</v>
      </c>
      <c r="N29" s="33">
        <v>14355.224461326554</v>
      </c>
      <c r="O29" s="34">
        <v>464.61675886188664</v>
      </c>
      <c r="P29" s="33">
        <v>14342.430624984305</v>
      </c>
      <c r="Q29" s="34">
        <v>407.6946626087946</v>
      </c>
      <c r="R29" s="33">
        <v>14324.39842272321</v>
      </c>
      <c r="S29" s="34">
        <v>351.65281581220887</v>
      </c>
      <c r="T29" s="33">
        <v>14299.801658378978</v>
      </c>
      <c r="U29" s="34">
        <v>296.75300142313813</v>
      </c>
      <c r="V29" s="33">
        <v>14266.763536009226</v>
      </c>
      <c r="W29" s="34">
        <v>243.37612502396254</v>
      </c>
      <c r="X29" s="33">
        <v>14222.526426999153</v>
      </c>
      <c r="Y29" s="34">
        <v>192.08364293316711</v>
      </c>
      <c r="Z29" s="33">
        <v>14162.859051964659</v>
      </c>
      <c r="AA29" s="34">
        <v>143.71025586205218</v>
      </c>
      <c r="AB29" s="33">
        <v>14080.940922359998</v>
      </c>
      <c r="AC29" s="34">
        <v>99.493463380367004</v>
      </c>
      <c r="AD29" s="33">
        <v>13965.163548979734</v>
      </c>
      <c r="AE29" s="34">
        <v>61.21934922581513</v>
      </c>
      <c r="AF29" s="33">
        <v>13794.665827884832</v>
      </c>
      <c r="AG29" s="34">
        <v>31.223468019684223</v>
      </c>
      <c r="AH29" s="33">
        <v>13530.164651240791</v>
      </c>
      <c r="AI29" s="34">
        <v>11.706802727162886</v>
      </c>
      <c r="AJ29" s="33">
        <v>13093.476311671202</v>
      </c>
      <c r="AK29" s="34">
        <v>2.6545559194723585</v>
      </c>
      <c r="AL29" s="33">
        <v>12299.707942501971</v>
      </c>
      <c r="AM29" s="34">
        <v>0.2627253696198289</v>
      </c>
      <c r="AN29" s="33">
        <v>10482.535680450961</v>
      </c>
      <c r="AO29" s="34">
        <v>4.9484954652457731E-3</v>
      </c>
      <c r="AP29" s="33">
        <v>9786.3764504247338</v>
      </c>
      <c r="AQ29" s="34">
        <v>1.4802866235420831E-3</v>
      </c>
      <c r="AR29" s="33">
        <v>8828.581277558771</v>
      </c>
      <c r="AS29" s="34">
        <v>3.3845061648608729E-4</v>
      </c>
      <c r="AT29" s="33">
        <v>7411.0910593980443</v>
      </c>
      <c r="AU29" s="34">
        <v>5.060837096091919E-5</v>
      </c>
      <c r="AV29" s="33">
        <v>5044.8073192673146</v>
      </c>
      <c r="AW29" s="34">
        <v>3.3712492625987148E-6</v>
      </c>
    </row>
    <row r="30" spans="1:49" x14ac:dyDescent="0.2">
      <c r="A30" t="s">
        <v>48</v>
      </c>
      <c r="B30" s="112">
        <v>2924829.9599999995</v>
      </c>
      <c r="D30" s="112">
        <v>2983760.2861545766</v>
      </c>
      <c r="F30" s="112">
        <v>3043575.0869857226</v>
      </c>
      <c r="H30" s="112">
        <v>3104395.8129988844</v>
      </c>
      <c r="J30" s="112">
        <v>3166366.3187095337</v>
      </c>
      <c r="L30" s="112">
        <v>3229664.1142304363</v>
      </c>
      <c r="N30" s="112">
        <v>3294516.128036852</v>
      </c>
      <c r="P30" s="112">
        <v>3361224.8727133032</v>
      </c>
      <c r="R30" s="112">
        <v>3430214.1429123636</v>
      </c>
      <c r="T30" s="112">
        <v>3502109.0889427336</v>
      </c>
      <c r="V30" s="112">
        <v>3577880.0021119248</v>
      </c>
      <c r="X30" s="112">
        <v>3659109.7554697618</v>
      </c>
      <c r="Z30" s="112">
        <v>3748500.012059052</v>
      </c>
      <c r="AB30" s="112">
        <v>3850854.0297061661</v>
      </c>
      <c r="AD30" s="112">
        <v>3974958.8620405346</v>
      </c>
      <c r="AF30" s="112">
        <v>4136877.0298469253</v>
      </c>
      <c r="AH30" s="112">
        <v>4363764.777654185</v>
      </c>
      <c r="AJ30" s="112">
        <v>4691321.5525714271</v>
      </c>
      <c r="AL30" s="112">
        <v>5142593.7511360794</v>
      </c>
      <c r="AN30" s="112">
        <v>5619669.9879650101</v>
      </c>
      <c r="AP30" s="112">
        <v>5645321.9936818741</v>
      </c>
      <c r="AR30" s="112">
        <v>5564117.1744540269</v>
      </c>
      <c r="AT30" s="112">
        <v>5223601.6602686383</v>
      </c>
      <c r="AV30" s="112">
        <v>4141052.6155355074</v>
      </c>
    </row>
    <row r="31" spans="1:49" x14ac:dyDescent="0.2">
      <c r="A31" t="s">
        <v>47</v>
      </c>
      <c r="B31" s="77">
        <v>1</v>
      </c>
      <c r="D31" s="77">
        <v>0.99302062677919511</v>
      </c>
      <c r="F31" s="77">
        <v>0.98553972486380859</v>
      </c>
      <c r="H31" s="77">
        <v>0.97748996340967742</v>
      </c>
      <c r="J31" s="77">
        <v>0.96879045452105683</v>
      </c>
      <c r="L31" s="77">
        <v>0.9593428566500678</v>
      </c>
      <c r="N31" s="77">
        <v>0.94902557946986699</v>
      </c>
      <c r="P31" s="77">
        <v>0.93768551077657025</v>
      </c>
      <c r="R31" s="77">
        <v>0.92512554604070263</v>
      </c>
      <c r="T31" s="77">
        <v>0.91108484375636389</v>
      </c>
      <c r="V31" s="77">
        <v>0.8952070839223939</v>
      </c>
      <c r="X31" s="77">
        <v>0.87698688468025743</v>
      </c>
      <c r="Z31" s="77">
        <v>0.85567555501051518</v>
      </c>
      <c r="AB31" s="77">
        <v>0.83010944949893217</v>
      </c>
      <c r="AD31" s="77">
        <v>0.79838810296648222</v>
      </c>
      <c r="AF31" s="77">
        <v>0.75728015797189818</v>
      </c>
      <c r="AH31" s="77">
        <v>0.70122795461443421</v>
      </c>
      <c r="AJ31" s="77">
        <v>0.62090077428746848</v>
      </c>
      <c r="AL31" s="77">
        <v>0.49998637086338488</v>
      </c>
      <c r="AN31" s="77">
        <v>0.30271960794022484</v>
      </c>
      <c r="AP31" s="77">
        <v>0.24781961832821592</v>
      </c>
      <c r="AR31" s="77">
        <v>0.18593055021836416</v>
      </c>
      <c r="AT31" s="77">
        <v>0.11716740552071138</v>
      </c>
      <c r="AV31" s="77">
        <v>4.587695530615752E-2</v>
      </c>
    </row>
    <row r="32" spans="1:49" x14ac:dyDescent="0.2">
      <c r="A32" t="s">
        <v>64</v>
      </c>
      <c r="B32" s="83">
        <v>14734457.915000005</v>
      </c>
      <c r="D32" s="83">
        <v>14736518.91249253</v>
      </c>
      <c r="F32" s="83">
        <v>14736137.477998011</v>
      </c>
      <c r="H32" s="83">
        <v>14732932.312389789</v>
      </c>
      <c r="J32" s="83">
        <v>14726445.132027943</v>
      </c>
      <c r="L32" s="83">
        <v>14716123.075819898</v>
      </c>
      <c r="N32" s="83">
        <v>14701296.905180493</v>
      </c>
      <c r="P32" s="83">
        <v>14681156.61049583</v>
      </c>
      <c r="R32" s="83">
        <v>14654722.43396987</v>
      </c>
      <c r="T32" s="83">
        <v>14620810.52573202</v>
      </c>
      <c r="V32" s="83">
        <v>14577997.526380962</v>
      </c>
      <c r="X32" s="83">
        <v>14524585.013835279</v>
      </c>
      <c r="Z32" s="83">
        <v>14458562.784703882</v>
      </c>
      <c r="AB32" s="83">
        <v>14377542.969283232</v>
      </c>
      <c r="AD32" s="83">
        <v>14278445.170740694</v>
      </c>
      <c r="AF32" s="83">
        <v>14155807.202796895</v>
      </c>
      <c r="AH32" s="83">
        <v>13993579.108435644</v>
      </c>
      <c r="AJ32" s="83">
        <v>13732562.440444663</v>
      </c>
      <c r="AL32" s="83">
        <v>13165649.623731047</v>
      </c>
      <c r="AN32" s="83">
        <v>11489370.466037089</v>
      </c>
      <c r="AP32" s="83">
        <v>10769584.192047132</v>
      </c>
      <c r="AR32" s="83">
        <v>9741896.7223572526</v>
      </c>
      <c r="AT32" s="83">
        <v>8173889.0677684536</v>
      </c>
      <c r="AV32" s="83">
        <v>5512408.8760594139</v>
      </c>
    </row>
    <row r="33" spans="1:49 16319:16384" x14ac:dyDescent="0.2">
      <c r="A33" t="s">
        <v>54</v>
      </c>
      <c r="B33" s="111">
        <v>7019665.6909999885</v>
      </c>
      <c r="D33" s="111">
        <v>6985862.9810348945</v>
      </c>
      <c r="F33" s="111">
        <v>6950081.7282541506</v>
      </c>
      <c r="H33" s="111">
        <v>6912024.6306047058</v>
      </c>
      <c r="J33" s="111">
        <v>6871333.2921414413</v>
      </c>
      <c r="L33" s="111">
        <v>6827573.4982683957</v>
      </c>
      <c r="N33" s="111">
        <v>6780212.7051395737</v>
      </c>
      <c r="P33" s="111">
        <v>6728589.4755191188</v>
      </c>
      <c r="R33" s="111">
        <v>6671869.5524918279</v>
      </c>
      <c r="T33" s="111">
        <v>6608977.773304062</v>
      </c>
      <c r="V33" s="111">
        <v>6538491.2497853916</v>
      </c>
      <c r="X33" s="111">
        <v>6458459.7567604166</v>
      </c>
      <c r="Z33" s="111">
        <v>6366082.1186654558</v>
      </c>
      <c r="AB33" s="111">
        <v>6257084.2659960147</v>
      </c>
      <c r="AD33" s="111">
        <v>6124412.1815983122</v>
      </c>
      <c r="AF33" s="111">
        <v>5955271.4797207257</v>
      </c>
      <c r="AH33" s="111">
        <v>5723980.2579890061</v>
      </c>
      <c r="AJ33" s="111">
        <v>5374131.0676279217</v>
      </c>
      <c r="AL33" s="111">
        <v>4768919.9230730031</v>
      </c>
      <c r="AN33" s="111">
        <v>3488961.3134866487</v>
      </c>
      <c r="AP33" s="111">
        <v>3045871.3587690275</v>
      </c>
      <c r="AR33" s="111">
        <v>2483280.2412896222</v>
      </c>
      <c r="AT33" s="111">
        <v>1753656.5395548567</v>
      </c>
      <c r="AV33" s="111">
        <v>815136.8130465718</v>
      </c>
    </row>
    <row r="34" spans="1:49 16319:16384" x14ac:dyDescent="0.2">
      <c r="A34" t="s">
        <v>75</v>
      </c>
      <c r="B34" s="111">
        <v>1136879.4410000162</v>
      </c>
      <c r="D34" s="111">
        <v>1137038.263397906</v>
      </c>
      <c r="F34" s="111">
        <v>1137009.0266303369</v>
      </c>
      <c r="H34" s="111">
        <v>1136761.7206021557</v>
      </c>
      <c r="J34" s="111">
        <v>1136261.1611179155</v>
      </c>
      <c r="L34" s="111">
        <v>1135464.7515566493</v>
      </c>
      <c r="N34" s="111">
        <v>1134320.7845660374</v>
      </c>
      <c r="P34" s="111">
        <v>1132766.7631992006</v>
      </c>
      <c r="R34" s="111">
        <v>1130727.1730677027</v>
      </c>
      <c r="T34" s="111">
        <v>1128110.5926658942</v>
      </c>
      <c r="V34" s="111">
        <v>1124807.2373360018</v>
      </c>
      <c r="X34" s="111">
        <v>1120685.9809277193</v>
      </c>
      <c r="Z34" s="111">
        <v>1115591.942000363</v>
      </c>
      <c r="AB34" s="111">
        <v>1109340.6398576384</v>
      </c>
      <c r="AD34" s="111">
        <v>1101694.4658819856</v>
      </c>
      <c r="AF34" s="111">
        <v>1092231.9843967112</v>
      </c>
      <c r="AH34" s="111">
        <v>1079714.8069650012</v>
      </c>
      <c r="AJ34" s="111">
        <v>1059575.316671781</v>
      </c>
      <c r="AL34" s="111">
        <v>1015833.5291969656</v>
      </c>
      <c r="AN34" s="111">
        <v>886495.39387346047</v>
      </c>
      <c r="AP34" s="111">
        <v>830958.2155440005</v>
      </c>
      <c r="AR34" s="111">
        <v>751664.03568307904</v>
      </c>
      <c r="AT34" s="111">
        <v>630679.89930600021</v>
      </c>
      <c r="AV34" s="111">
        <v>425325.74715036957</v>
      </c>
    </row>
    <row r="35" spans="1:49 16319:16384" x14ac:dyDescent="0.2">
      <c r="A35" t="s">
        <v>78</v>
      </c>
      <c r="B35" s="192">
        <v>1</v>
      </c>
      <c r="D35" s="192">
        <v>1.0021802171355978</v>
      </c>
      <c r="F35" s="192">
        <v>1.0046236377452775</v>
      </c>
      <c r="H35" s="192">
        <v>1.0073759014451176</v>
      </c>
      <c r="J35" s="192">
        <v>1.0104947698122029</v>
      </c>
      <c r="L35" s="192">
        <v>1.0140548525777187</v>
      </c>
      <c r="N35" s="192">
        <v>1.018154600272712</v>
      </c>
      <c r="P35" s="192">
        <v>1.0229270460147739</v>
      </c>
      <c r="R35" s="192">
        <v>1.028556979160218</v>
      </c>
      <c r="T35" s="192">
        <v>1.0353093652156031</v>
      </c>
      <c r="V35" s="192">
        <v>1.0435781622957694</v>
      </c>
      <c r="X35" s="192">
        <v>1.053974344873122</v>
      </c>
      <c r="Z35" s="192">
        <v>1.0674929249411045</v>
      </c>
      <c r="AB35" s="192">
        <v>1.0858487635624567</v>
      </c>
      <c r="AD35" s="192">
        <v>1.1121923890525585</v>
      </c>
      <c r="AF35" s="192">
        <v>1.152714828905808</v>
      </c>
      <c r="AH35" s="192">
        <v>1.2203664106108028</v>
      </c>
      <c r="AJ35" s="192">
        <v>1.3441078470287313</v>
      </c>
      <c r="AL35" s="192">
        <v>1.6001532988214404</v>
      </c>
      <c r="AN35" s="192">
        <v>2.2896819963600326</v>
      </c>
      <c r="AP35" s="192">
        <v>2.5806543556033739</v>
      </c>
      <c r="AR35" s="192">
        <v>2.9991811341211903</v>
      </c>
      <c r="AT35" s="192">
        <v>3.6510201042243047</v>
      </c>
      <c r="AV35" s="192">
        <v>4.8105973934685933</v>
      </c>
    </row>
    <row r="36" spans="1:49 16319:16384" x14ac:dyDescent="0.2">
      <c r="A36" t="s">
        <v>21</v>
      </c>
      <c r="B36" s="35">
        <v>0.47195767671988198</v>
      </c>
      <c r="C36" s="36">
        <v>0.31738834428178964</v>
      </c>
      <c r="D36" s="35">
        <v>0.47198044573234815</v>
      </c>
      <c r="E36" s="36">
        <v>0.3199131624502467</v>
      </c>
      <c r="F36" s="35">
        <v>0.4720042537384268</v>
      </c>
      <c r="G36" s="36">
        <v>0.32269148606641146</v>
      </c>
      <c r="H36" s="35">
        <v>0.47202925581378685</v>
      </c>
      <c r="I36" s="36">
        <v>0.32576218389538836</v>
      </c>
      <c r="J36" s="35">
        <v>0.47205563073728118</v>
      </c>
      <c r="K36" s="36">
        <v>0.32917263115504192</v>
      </c>
      <c r="L36" s="35">
        <v>0.47208358543958095</v>
      </c>
      <c r="M36" s="36">
        <v>0.33298141014464677</v>
      </c>
      <c r="N36" s="35">
        <v>0.47211335341149818</v>
      </c>
      <c r="O36" s="36">
        <v>0.33726211241692594</v>
      </c>
      <c r="P36" s="35">
        <v>0.47214518457576626</v>
      </c>
      <c r="Q36" s="36">
        <v>0.34210888728332212</v>
      </c>
      <c r="R36" s="35">
        <v>0.47217932269639773</v>
      </c>
      <c r="S36" s="36">
        <v>0.34764489224859546</v>
      </c>
      <c r="T36" s="35">
        <v>0.47221595536406341</v>
      </c>
      <c r="U36" s="36">
        <v>0.35403563641522462</v>
      </c>
      <c r="V36" s="35">
        <v>0.4722551077584069</v>
      </c>
      <c r="W36" s="36">
        <v>0.36151080468080737</v>
      </c>
      <c r="X36" s="35">
        <v>0.47229643052290737</v>
      </c>
      <c r="Y36" s="36">
        <v>0.37040175171861156</v>
      </c>
      <c r="Z36" s="35">
        <v>0.47233877306561139</v>
      </c>
      <c r="AA36" s="36">
        <v>0.38120907225965461</v>
      </c>
      <c r="AB36" s="35">
        <v>0.47237935009807835</v>
      </c>
      <c r="AC36" s="36">
        <v>0.39473089818563245</v>
      </c>
      <c r="AD36" s="35">
        <v>0.47241220120667238</v>
      </c>
      <c r="AE36" s="36">
        <v>0.41231869560759798</v>
      </c>
      <c r="AF36" s="35">
        <v>0.47242588987396616</v>
      </c>
      <c r="AG36" s="36">
        <v>0.43640396639843743</v>
      </c>
      <c r="AH36" s="35">
        <v>0.47240265410503168</v>
      </c>
      <c r="AI36" s="36">
        <v>0.47158517846018638</v>
      </c>
      <c r="AJ36" s="35">
        <v>0.47232727509799832</v>
      </c>
      <c r="AK36" s="36">
        <v>0.52695242494166028</v>
      </c>
      <c r="AL36" s="35">
        <v>0.47220751762928065</v>
      </c>
      <c r="AM36" s="36">
        <v>0.6230294834491843</v>
      </c>
      <c r="AN36" s="35">
        <v>0.47206980552579786</v>
      </c>
      <c r="AO36" s="36">
        <v>0.82721599797140388</v>
      </c>
      <c r="AP36" s="35">
        <v>0.47204040811316739</v>
      </c>
      <c r="AQ36" s="36">
        <v>0.9007036493863525</v>
      </c>
      <c r="AR36" s="35">
        <v>0.47200860356942098</v>
      </c>
      <c r="AS36" s="36">
        <v>0.99830688812850876</v>
      </c>
      <c r="AT36" s="35">
        <v>0.47197104888264968</v>
      </c>
      <c r="AU36" s="36">
        <v>1.1364142736496121</v>
      </c>
      <c r="AV36" s="35">
        <v>0.47191801952911827</v>
      </c>
      <c r="AW36" s="36">
        <v>1.3534269693222725</v>
      </c>
    </row>
    <row r="37" spans="1:49 16319:16384" x14ac:dyDescent="0.2">
      <c r="B37" s="37">
        <v>2.1403217525954466E-2</v>
      </c>
      <c r="C37" s="38">
        <v>0.3496246130199252</v>
      </c>
      <c r="D37" s="37">
        <v>2.0709559778333286E-2</v>
      </c>
      <c r="E37" s="38">
        <v>0.34548294792440981</v>
      </c>
      <c r="F37" s="37">
        <v>2.000257592268823E-2</v>
      </c>
      <c r="G37" s="38">
        <v>0.34123645517647228</v>
      </c>
      <c r="H37" s="37">
        <v>1.9281496090055882E-2</v>
      </c>
      <c r="I37" s="38">
        <v>0.33687956958390786</v>
      </c>
      <c r="J37" s="37">
        <v>1.8545435153873892E-2</v>
      </c>
      <c r="K37" s="38">
        <v>0.33240612551766213</v>
      </c>
      <c r="L37" s="37">
        <v>1.7793331083655235E-2</v>
      </c>
      <c r="M37" s="38">
        <v>0.32780903485678797</v>
      </c>
      <c r="N37" s="37">
        <v>1.7023870406279302E-2</v>
      </c>
      <c r="O37" s="38">
        <v>0.32307989961837519</v>
      </c>
      <c r="P37" s="37">
        <v>1.6235383666883769E-2</v>
      </c>
      <c r="Q37" s="38">
        <v>0.31820846248885976</v>
      </c>
      <c r="R37" s="37">
        <v>1.5425681651824237E-2</v>
      </c>
      <c r="S37" s="38">
        <v>0.31318172989166942</v>
      </c>
      <c r="T37" s="37">
        <v>1.4591801470871456E-2</v>
      </c>
      <c r="U37" s="38">
        <v>0.30798259870084516</v>
      </c>
      <c r="V37" s="37">
        <v>1.3729625945349084E-2</v>
      </c>
      <c r="W37" s="38">
        <v>0.30258780414234177</v>
      </c>
      <c r="X37" s="37">
        <v>1.2833292073237048E-2</v>
      </c>
      <c r="Y37" s="38">
        <v>0.29696476488543166</v>
      </c>
      <c r="Z37" s="37">
        <v>1.189429428916091E-2</v>
      </c>
      <c r="AA37" s="38">
        <v>0.29106695397767274</v>
      </c>
      <c r="AB37" s="37">
        <v>1.0900188673961888E-2</v>
      </c>
      <c r="AC37" s="38">
        <v>0.28482770681700265</v>
      </c>
      <c r="AD37" s="37">
        <v>9.8330396992762827E-3</v>
      </c>
      <c r="AE37" s="38">
        <v>0.2781545107740655</v>
      </c>
      <c r="AF37" s="37">
        <v>8.6688994743597883E-3</v>
      </c>
      <c r="AG37" s="38">
        <v>0.27093441096743803</v>
      </c>
      <c r="AH37" s="37">
        <v>7.3829278697065308E-3</v>
      </c>
      <c r="AI37" s="38">
        <v>0.26308379349279215</v>
      </c>
      <c r="AJ37" s="37">
        <v>5.9662403256154429E-3</v>
      </c>
      <c r="AK37" s="38">
        <v>0.25468318413989027</v>
      </c>
      <c r="AL37" s="37">
        <v>4.4365614924356395E-3</v>
      </c>
      <c r="AM37" s="38">
        <v>0.24608412643164568</v>
      </c>
      <c r="AN37" s="37">
        <v>2.7977942199363297E-3</v>
      </c>
      <c r="AO37" s="38">
        <v>0.23777327867539</v>
      </c>
      <c r="AP37" s="37">
        <v>2.4509958508744222E-3</v>
      </c>
      <c r="AQ37" s="38">
        <v>0.23619171964883559</v>
      </c>
      <c r="AR37" s="37">
        <v>2.0939098638144554E-3</v>
      </c>
      <c r="AS37" s="38">
        <v>0.23465010587606491</v>
      </c>
      <c r="AT37" s="37">
        <v>1.7225271298305267E-3</v>
      </c>
      <c r="AU37" s="38">
        <v>0.23315740453520617</v>
      </c>
      <c r="AV37" s="37">
        <v>1.3290621688263164E-3</v>
      </c>
      <c r="AW37" s="38">
        <v>0.23172822739816754</v>
      </c>
    </row>
    <row r="38" spans="1:49 16319:16384" x14ac:dyDescent="0.2">
      <c r="A38" t="s">
        <v>22</v>
      </c>
      <c r="B38" s="35">
        <v>0.18079094942242827</v>
      </c>
      <c r="C38" s="36">
        <v>6.0565413429233668E-2</v>
      </c>
      <c r="D38" s="35">
        <v>0.18089857753436578</v>
      </c>
      <c r="E38" s="36">
        <v>6.0868908405274633E-2</v>
      </c>
      <c r="F38" s="35">
        <v>0.1810302848088792</v>
      </c>
      <c r="G38" s="36">
        <v>6.1205149320373298E-2</v>
      </c>
      <c r="H38" s="35">
        <v>0.18118972618341003</v>
      </c>
      <c r="I38" s="36">
        <v>6.1579220668774561E-2</v>
      </c>
      <c r="J38" s="35">
        <v>0.18138140029377639</v>
      </c>
      <c r="K38" s="36">
        <v>6.1997376798008284E-2</v>
      </c>
      <c r="L38" s="35">
        <v>0.1816109406081762</v>
      </c>
      <c r="M38" s="36">
        <v>6.2467382983061773E-2</v>
      </c>
      <c r="N38" s="35">
        <v>0.18188553557197512</v>
      </c>
      <c r="O38" s="36">
        <v>6.2998997914729793E-2</v>
      </c>
      <c r="P38" s="35">
        <v>0.18221454831244233</v>
      </c>
      <c r="Q38" s="36">
        <v>6.3604754263795041E-2</v>
      </c>
      <c r="R38" s="35">
        <v>0.18261048039490588</v>
      </c>
      <c r="S38" s="36">
        <v>6.4301137905005121E-2</v>
      </c>
      <c r="T38" s="35">
        <v>0.1830905272608998</v>
      </c>
      <c r="U38" s="36">
        <v>6.511036749768849E-2</v>
      </c>
      <c r="V38" s="35">
        <v>0.18367916526107822</v>
      </c>
      <c r="W38" s="36">
        <v>6.6063424318360237E-2</v>
      </c>
      <c r="X38" s="35">
        <v>0.18441268236250263</v>
      </c>
      <c r="Y38" s="36">
        <v>6.7205237037705257E-2</v>
      </c>
      <c r="Z38" s="35">
        <v>0.18534752051027914</v>
      </c>
      <c r="AA38" s="36">
        <v>6.8604057015654266E-2</v>
      </c>
      <c r="AB38" s="35">
        <v>0.18657651922264615</v>
      </c>
      <c r="AC38" s="36">
        <v>7.0369517423568242E-2</v>
      </c>
      <c r="AD38" s="35">
        <v>0.18826246771200986</v>
      </c>
      <c r="AE38" s="36">
        <v>7.2688788021070858E-2</v>
      </c>
      <c r="AF38" s="35">
        <v>0.1907111651204218</v>
      </c>
      <c r="AG38" s="36">
        <v>7.590265427987794E-2</v>
      </c>
      <c r="AH38" s="35">
        <v>0.19453863397547588</v>
      </c>
      <c r="AI38" s="36">
        <v>8.0667729149816653E-2</v>
      </c>
      <c r="AJ38" s="35">
        <v>0.20110408007469235</v>
      </c>
      <c r="AK38" s="36">
        <v>8.8326863891214996E-2</v>
      </c>
      <c r="AL38" s="35">
        <v>0.21414801085531587</v>
      </c>
      <c r="AM38" s="36">
        <v>0.102130277404929</v>
      </c>
      <c r="AN38" s="35">
        <v>0.2513415022146348</v>
      </c>
      <c r="AO38" s="36">
        <v>0.13462477738921166</v>
      </c>
      <c r="AP38" s="35">
        <v>0.26923644890533349</v>
      </c>
      <c r="AQ38" s="36">
        <v>0.14787610272289062</v>
      </c>
      <c r="AR38" s="35">
        <v>0.2984640900235343</v>
      </c>
      <c r="AS38" s="36">
        <v>0.16734990148748824</v>
      </c>
      <c r="AT38" s="35">
        <v>0.35557645523347209</v>
      </c>
      <c r="AU38" s="36">
        <v>0.2001107449595656</v>
      </c>
      <c r="AV38" s="35">
        <v>0.52241536848357983</v>
      </c>
      <c r="AW38" s="36">
        <v>0.27444288370420933</v>
      </c>
    </row>
    <row r="39" spans="1:49 16319:16384" x14ac:dyDescent="0.2">
      <c r="A39" t="s">
        <v>23</v>
      </c>
      <c r="B39" s="37">
        <v>0.23064923795098771</v>
      </c>
      <c r="C39" s="38">
        <v>0.22092201281804777</v>
      </c>
      <c r="D39" s="37">
        <v>0.23119194115880401</v>
      </c>
      <c r="E39" s="38">
        <v>0.22222402455115797</v>
      </c>
      <c r="F39" s="37">
        <v>0.23176744308349967</v>
      </c>
      <c r="G39" s="38">
        <v>0.22364808625260435</v>
      </c>
      <c r="H39" s="37">
        <v>0.23238074401730618</v>
      </c>
      <c r="I39" s="38">
        <v>0.2252133307121407</v>
      </c>
      <c r="J39" s="37">
        <v>0.23303796074140631</v>
      </c>
      <c r="K39" s="38">
        <v>0.2269430734911527</v>
      </c>
      <c r="L39" s="37">
        <v>0.23374667839438448</v>
      </c>
      <c r="M39" s="38">
        <v>0.22886618676257744</v>
      </c>
      <c r="N39" s="37">
        <v>0.23451645053301121</v>
      </c>
      <c r="O39" s="38">
        <v>0.23101903953769171</v>
      </c>
      <c r="P39" s="37">
        <v>0.23535954647681975</v>
      </c>
      <c r="Q39" s="38">
        <v>0.23344822895510839</v>
      </c>
      <c r="R39" s="37">
        <v>0.23629209608926713</v>
      </c>
      <c r="S39" s="38">
        <v>0.23621475834111305</v>
      </c>
      <c r="T39" s="37">
        <v>0.23733591362063838</v>
      </c>
      <c r="U39" s="38">
        <v>0.23940077736943319</v>
      </c>
      <c r="V39" s="37">
        <v>0.23852154750273702</v>
      </c>
      <c r="W39" s="38">
        <v>0.24312048767688829</v>
      </c>
      <c r="X39" s="37">
        <v>0.23989363985072554</v>
      </c>
      <c r="Y39" s="38">
        <v>0.24753902760947988</v>
      </c>
      <c r="Z39" s="37">
        <v>0.24152088911011557</v>
      </c>
      <c r="AA39" s="38">
        <v>0.25290676672989393</v>
      </c>
      <c r="AB39" s="37">
        <v>0.24351577787757989</v>
      </c>
      <c r="AC39" s="38">
        <v>0.25962484569877331</v>
      </c>
      <c r="AD39" s="37">
        <v>0.24607625344570552</v>
      </c>
      <c r="AE39" s="38">
        <v>0.26837805668444731</v>
      </c>
      <c r="AF39" s="37">
        <v>0.24957940813142679</v>
      </c>
      <c r="AG39" s="38">
        <v>0.28041419598309014</v>
      </c>
      <c r="AH39" s="37">
        <v>0.25480383098161341</v>
      </c>
      <c r="AI39" s="38">
        <v>0.29814428082016592</v>
      </c>
      <c r="AJ39" s="37">
        <v>0.26351638820317702</v>
      </c>
      <c r="AK39" s="38">
        <v>0.32652230906379126</v>
      </c>
      <c r="AL39" s="37">
        <v>0.28064453126458028</v>
      </c>
      <c r="AM39" s="38">
        <v>0.37757424179523758</v>
      </c>
      <c r="AN39" s="37">
        <v>0.3293926759817784</v>
      </c>
      <c r="AO39" s="38">
        <v>0.4977100893485919</v>
      </c>
      <c r="AP39" s="37">
        <v>0.35284479175816963</v>
      </c>
      <c r="AQ39" s="38">
        <v>0.54670064067471991</v>
      </c>
      <c r="AR39" s="37">
        <v>0.3911487884327734</v>
      </c>
      <c r="AS39" s="38">
        <v>0.61869573908911968</v>
      </c>
      <c r="AT39" s="37">
        <v>0.46599677660540928</v>
      </c>
      <c r="AU39" s="38">
        <v>0.73981301598197913</v>
      </c>
      <c r="AV39" s="37">
        <v>0.68464566666158944</v>
      </c>
      <c r="AW39" s="38">
        <v>1.0146203497506781</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v>6.0999999999999999E-2</v>
      </c>
      <c r="C42" s="126"/>
      <c r="D42" s="167">
        <v>6.1000000000000311E-2</v>
      </c>
      <c r="E42" s="126"/>
      <c r="F42" s="167">
        <v>6.1000000000000519E-2</v>
      </c>
      <c r="G42" s="126"/>
      <c r="H42" s="167">
        <v>6.0999999999999791E-2</v>
      </c>
      <c r="I42" s="126"/>
      <c r="J42" s="167">
        <v>6.0999999999999582E-2</v>
      </c>
      <c r="K42" s="126"/>
      <c r="L42" s="167">
        <v>6.0999999999999374E-2</v>
      </c>
      <c r="M42" s="126"/>
      <c r="N42" s="167">
        <v>6.1000000000000623E-2</v>
      </c>
      <c r="O42" s="126"/>
      <c r="P42" s="167">
        <v>6.0999999999998958E-2</v>
      </c>
      <c r="Q42" s="126"/>
      <c r="R42" s="167">
        <v>6.1000000000000519E-2</v>
      </c>
      <c r="S42" s="126"/>
      <c r="T42" s="167">
        <v>6.0999999999999374E-2</v>
      </c>
      <c r="U42" s="126"/>
      <c r="V42" s="167">
        <v>6.1000000000000207E-2</v>
      </c>
      <c r="W42" s="126"/>
      <c r="X42" s="167">
        <v>6.1000000000002816E-2</v>
      </c>
      <c r="Y42" s="152"/>
      <c r="Z42" s="167">
        <v>6.1000000000000311E-2</v>
      </c>
      <c r="AA42" s="126"/>
      <c r="AB42" s="167">
        <v>6.0999999999998958E-2</v>
      </c>
      <c r="AC42" s="126"/>
      <c r="AD42" s="167">
        <v>6.0999999999999582E-2</v>
      </c>
      <c r="AE42" s="126"/>
      <c r="AF42" s="167">
        <v>6.1000000000000311E-2</v>
      </c>
      <c r="AG42" s="126"/>
      <c r="AH42" s="167">
        <v>6.1000000000000831E-2</v>
      </c>
      <c r="AI42" s="126"/>
      <c r="AJ42" s="167">
        <v>6.0999999999999999E-2</v>
      </c>
      <c r="AK42" s="126"/>
      <c r="AL42" s="167">
        <v>6.0999999999999791E-2</v>
      </c>
      <c r="AM42" s="126"/>
      <c r="AN42" s="167">
        <v>6.1000000000000207E-2</v>
      </c>
      <c r="AO42" s="126"/>
      <c r="AP42" s="167">
        <v>6.0999999999999999E-2</v>
      </c>
      <c r="AQ42" s="126"/>
      <c r="AR42" s="167">
        <v>6.0999999999999791E-2</v>
      </c>
      <c r="AS42" s="126"/>
      <c r="AT42" s="167">
        <v>6.0999999999999791E-2</v>
      </c>
      <c r="AU42" s="126"/>
      <c r="AV42" s="167">
        <v>6.1000000000000207E-2</v>
      </c>
      <c r="XFD42" s="167"/>
    </row>
    <row r="43" spans="1:49 16319:16384" x14ac:dyDescent="0.2">
      <c r="A43" t="s">
        <v>95</v>
      </c>
      <c r="B43" s="152">
        <v>0.56058995943839207</v>
      </c>
      <c r="C43" s="126"/>
      <c r="D43" s="152">
        <v>0.565763869663093</v>
      </c>
      <c r="E43" s="126"/>
      <c r="F43" s="152">
        <v>0.56432334774738924</v>
      </c>
      <c r="G43" s="126"/>
      <c r="H43" s="152">
        <v>0.56287849526781586</v>
      </c>
      <c r="I43" s="126"/>
      <c r="J43" s="152">
        <v>0.56142883863450199</v>
      </c>
      <c r="K43" s="126"/>
      <c r="L43" s="152">
        <v>0.55997403161783776</v>
      </c>
      <c r="M43" s="126"/>
      <c r="N43" s="152">
        <v>0.55851405086407413</v>
      </c>
      <c r="O43" s="126"/>
      <c r="P43" s="152">
        <v>0.55704943743052737</v>
      </c>
      <c r="Q43" s="126"/>
      <c r="R43" s="152">
        <v>0.55558173600835337</v>
      </c>
      <c r="S43" s="126"/>
      <c r="T43" s="152">
        <v>0.55411427176442263</v>
      </c>
      <c r="U43" s="126"/>
      <c r="V43" s="152">
        <v>0.55265336503513163</v>
      </c>
      <c r="W43" s="126"/>
      <c r="X43" s="152">
        <v>0.55121036181504746</v>
      </c>
      <c r="Y43" s="126"/>
      <c r="Z43" s="152">
        <v>0.54980498406014633</v>
      </c>
      <c r="AA43" s="126"/>
      <c r="AB43" s="152">
        <v>0.54847059979845647</v>
      </c>
      <c r="AC43" s="126"/>
      <c r="AD43" s="152">
        <v>0.5472617182376015</v>
      </c>
      <c r="AE43" s="126"/>
      <c r="AF43" s="152">
        <v>0.54625996864731363</v>
      </c>
      <c r="AG43" s="126"/>
      <c r="AH43" s="152">
        <v>0.54556082236993153</v>
      </c>
      <c r="AI43" s="126"/>
      <c r="AJ43" s="152">
        <v>0.54520561344581953</v>
      </c>
      <c r="AK43" s="126"/>
      <c r="AL43" s="152">
        <v>0.54509943238967473</v>
      </c>
      <c r="AM43" s="126"/>
      <c r="AN43" s="152">
        <v>0.54508574274556731</v>
      </c>
      <c r="AO43" s="126"/>
      <c r="AP43" s="152">
        <v>0.54508550385151866</v>
      </c>
      <c r="AQ43" s="126"/>
      <c r="AR43" s="152">
        <v>0.54508541673594457</v>
      </c>
      <c r="AS43" s="126"/>
      <c r="AT43" s="152">
        <v>0.54508539163207481</v>
      </c>
      <c r="AU43" s="126"/>
      <c r="AV43" s="152">
        <v>0.54508538664986472</v>
      </c>
    </row>
    <row r="44" spans="1:49 16319:16384" x14ac:dyDescent="0.2">
      <c r="A44" t="s">
        <v>129</v>
      </c>
      <c r="B44" s="183">
        <v>0.29754226190682465</v>
      </c>
      <c r="D44" s="183">
        <v>0.29990269676580744</v>
      </c>
      <c r="F44" s="183">
        <v>0.30231855596858032</v>
      </c>
      <c r="H44" s="183">
        <v>0.30479908243984805</v>
      </c>
      <c r="J44" s="183">
        <v>0.3073555614057441</v>
      </c>
      <c r="L44" s="183">
        <v>0.31000187935743362</v>
      </c>
      <c r="N44" s="183">
        <v>0.31275552504690357</v>
      </c>
      <c r="P44" s="183">
        <v>0.31563912350375162</v>
      </c>
      <c r="R44" s="183">
        <v>0.31868283533698383</v>
      </c>
      <c r="T44" s="183">
        <v>0.32192839221510838</v>
      </c>
      <c r="V44" s="183">
        <v>0.32543600429498398</v>
      </c>
      <c r="X44" s="183">
        <v>0.32929670192078891</v>
      </c>
      <c r="Z44" s="183">
        <v>0.33365539140607425</v>
      </c>
      <c r="AB44" s="183">
        <v>0.33875535580205057</v>
      </c>
      <c r="AD44" s="183">
        <v>0.34502668829169497</v>
      </c>
      <c r="AF44" s="183">
        <v>0.35325920738381883</v>
      </c>
      <c r="AH44" s="183">
        <v>0.36491046108671921</v>
      </c>
      <c r="AJ44" s="183">
        <v>0.38261160486229817</v>
      </c>
      <c r="AL44" s="183">
        <v>0.41172936600240545</v>
      </c>
      <c r="AN44" s="183">
        <v>0.47028517200663111</v>
      </c>
      <c r="AP44" s="183">
        <v>0.49113216514289681</v>
      </c>
      <c r="AR44" s="183">
        <v>0.51904653126897848</v>
      </c>
      <c r="AT44" s="183">
        <v>0.55941007885029237</v>
      </c>
      <c r="AV44" s="183">
        <v>0.62608072734972608</v>
      </c>
    </row>
    <row r="45" spans="1:49 16319:16384" x14ac:dyDescent="0.2">
      <c r="A45" t="s">
        <v>82</v>
      </c>
      <c r="B45" s="183">
        <v>0.22038438833194082</v>
      </c>
      <c r="D45" s="183">
        <v>0.22274483674813333</v>
      </c>
      <c r="F45" s="183">
        <v>0.22516068279265727</v>
      </c>
      <c r="H45" s="183">
        <v>0.22764120941777582</v>
      </c>
      <c r="J45" s="183">
        <v>0.23019768990784217</v>
      </c>
      <c r="L45" s="183">
        <v>0.23284400661428331</v>
      </c>
      <c r="N45" s="183">
        <v>0.23559765306580499</v>
      </c>
      <c r="P45" s="183">
        <v>0.23848125418510646</v>
      </c>
      <c r="R45" s="183">
        <v>0.24152496502163345</v>
      </c>
      <c r="T45" s="183">
        <v>0.24477052256893067</v>
      </c>
      <c r="V45" s="183">
        <v>0.24827813434058846</v>
      </c>
      <c r="X45" s="183">
        <v>0.25213883614629562</v>
      </c>
      <c r="Z45" s="183">
        <v>0.25649751903575962</v>
      </c>
      <c r="AB45" s="183">
        <v>0.26159748242774183</v>
      </c>
      <c r="AD45" s="183">
        <v>0.26786881481821817</v>
      </c>
      <c r="AF45" s="183">
        <v>0.2761013336752175</v>
      </c>
      <c r="AH45" s="183">
        <v>0.28775258756498917</v>
      </c>
      <c r="AJ45" s="183">
        <v>0.30545373128502923</v>
      </c>
      <c r="AL45" s="183">
        <v>0.33457149242768047</v>
      </c>
      <c r="AN45" s="183">
        <v>0.39312729843175015</v>
      </c>
      <c r="AP45" s="183">
        <v>0.41397429156801668</v>
      </c>
      <c r="AR45" s="183">
        <v>0.44188865769410879</v>
      </c>
      <c r="AT45" s="183">
        <v>0.48225220527540891</v>
      </c>
      <c r="AV45" s="183">
        <v>0.54892285377514893</v>
      </c>
      <c r="XCQ45" s="183"/>
    </row>
    <row r="46" spans="1:49 16319:16384" x14ac:dyDescent="0.2">
      <c r="A46" t="s">
        <v>126</v>
      </c>
      <c r="B46" s="183">
        <v>7.7157873574883795E-2</v>
      </c>
      <c r="D46" s="183">
        <v>7.7157860017674121E-2</v>
      </c>
      <c r="F46" s="183">
        <v>7.7157873175923042E-2</v>
      </c>
      <c r="H46" s="183">
        <v>7.7157873022072179E-2</v>
      </c>
      <c r="J46" s="183">
        <v>7.7157871497901931E-2</v>
      </c>
      <c r="L46" s="183">
        <v>7.7157872743150308E-2</v>
      </c>
      <c r="N46" s="183">
        <v>7.715787198109858E-2</v>
      </c>
      <c r="P46" s="183">
        <v>7.7157869318645156E-2</v>
      </c>
      <c r="R46" s="183">
        <v>7.7157870315350346E-2</v>
      </c>
      <c r="T46" s="183">
        <v>7.7157869646177712E-2</v>
      </c>
      <c r="V46" s="183">
        <v>7.7157869954395525E-2</v>
      </c>
      <c r="X46" s="183">
        <v>7.7157865774493295E-2</v>
      </c>
      <c r="Z46" s="183">
        <v>7.7157872370314629E-2</v>
      </c>
      <c r="AB46" s="183">
        <v>7.7157873374308725E-2</v>
      </c>
      <c r="AD46" s="183">
        <v>7.7157873473476746E-2</v>
      </c>
      <c r="AF46" s="183">
        <v>7.7157873708601277E-2</v>
      </c>
      <c r="AH46" s="183">
        <v>7.7157873521730036E-2</v>
      </c>
      <c r="AJ46" s="183">
        <v>7.7157873577268929E-2</v>
      </c>
      <c r="AL46" s="183">
        <v>7.7157873574724978E-2</v>
      </c>
      <c r="AN46" s="183">
        <v>7.7157873574880922E-2</v>
      </c>
      <c r="AP46" s="183">
        <v>7.7157873574880159E-2</v>
      </c>
      <c r="AR46" s="183">
        <v>7.7157873574869765E-2</v>
      </c>
      <c r="AT46" s="183">
        <v>7.7157873574883434E-2</v>
      </c>
      <c r="AV46" s="183">
        <v>7.7157873574577221E-2</v>
      </c>
      <c r="XCS46" s="183"/>
    </row>
    <row r="48" spans="1:49 16319:16384" x14ac:dyDescent="0.2">
      <c r="A48" t="s">
        <v>143</v>
      </c>
      <c r="B48" s="181">
        <v>1</v>
      </c>
      <c r="C48" s="181"/>
      <c r="D48" s="181">
        <v>1.0123262139301665</v>
      </c>
      <c r="E48" s="181"/>
      <c r="F48" s="181">
        <v>1.0248191624821072</v>
      </c>
      <c r="G48" s="181"/>
      <c r="H48" s="181">
        <v>1.0374988510866925</v>
      </c>
      <c r="I48" s="181"/>
      <c r="J48" s="181">
        <v>1.0503890544526371</v>
      </c>
      <c r="K48" s="181"/>
      <c r="L48" s="181">
        <v>1.063518403467085</v>
      </c>
      <c r="M48" s="181"/>
      <c r="N48" s="181">
        <v>1.076922520317859</v>
      </c>
      <c r="O48" s="181"/>
      <c r="P48" s="181">
        <v>1.0906476184012055</v>
      </c>
      <c r="Q48" s="181"/>
      <c r="R48" s="181">
        <v>1.104756501124426</v>
      </c>
      <c r="S48" s="181"/>
      <c r="T48" s="181">
        <v>1.1193394206021188</v>
      </c>
      <c r="U48" s="181"/>
      <c r="V48" s="181">
        <v>1.1345335615282366</v>
      </c>
      <c r="W48" s="181"/>
      <c r="X48" s="181">
        <v>1.1505593866185031</v>
      </c>
      <c r="Y48" s="181"/>
      <c r="Z48" s="181">
        <v>1.1677896870259521</v>
      </c>
      <c r="AA48" s="181"/>
      <c r="AB48" s="181">
        <v>1.1868824112399774</v>
      </c>
      <c r="AC48" s="181"/>
      <c r="AD48" s="181">
        <v>1.2090291090142378</v>
      </c>
      <c r="AE48" s="181"/>
      <c r="AF48" s="181">
        <v>1.2363574818972596</v>
      </c>
      <c r="AG48" s="181"/>
      <c r="AH48" s="181">
        <v>1.2722324060000769</v>
      </c>
      <c r="AI48" s="181"/>
      <c r="AJ48" s="181">
        <v>1.3200369428193064</v>
      </c>
      <c r="AK48" s="181"/>
      <c r="AL48" s="181">
        <v>1.3770685089572545</v>
      </c>
      <c r="AM48" s="181"/>
      <c r="AN48" s="181">
        <v>1.4007315040231239</v>
      </c>
      <c r="AO48" s="181"/>
      <c r="AP48" s="181">
        <v>1.3801257248163454</v>
      </c>
      <c r="AQ48" s="181"/>
      <c r="AR48" s="181">
        <v>1.3299820136484692</v>
      </c>
      <c r="AS48" s="181"/>
      <c r="AT48" s="181">
        <v>1.2149564428110227</v>
      </c>
      <c r="AU48" s="181"/>
      <c r="AV48" s="181">
        <v>0.92942603523087908</v>
      </c>
    </row>
    <row r="49" spans="1:48 16321:16384" x14ac:dyDescent="0.2">
      <c r="A49" t="s">
        <v>144</v>
      </c>
      <c r="B49" s="181">
        <v>1</v>
      </c>
      <c r="C49" s="181"/>
      <c r="D49" s="181">
        <v>0.99631584364233883</v>
      </c>
      <c r="E49" s="181"/>
      <c r="F49" s="181">
        <v>0.99208220581199758</v>
      </c>
      <c r="G49" s="181"/>
      <c r="H49" s="181">
        <v>0.98721727193729547</v>
      </c>
      <c r="I49" s="181"/>
      <c r="J49" s="181">
        <v>0.98162106648654235</v>
      </c>
      <c r="K49" s="181"/>
      <c r="L49" s="181">
        <v>0.97516946421084194</v>
      </c>
      <c r="M49" s="181"/>
      <c r="N49" s="181">
        <v>0.96770574678112031</v>
      </c>
      <c r="O49" s="181"/>
      <c r="P49" s="181">
        <v>0.95902841840173225</v>
      </c>
      <c r="Q49" s="181"/>
      <c r="R49" s="181">
        <v>0.94887267490389038</v>
      </c>
      <c r="S49" s="181"/>
      <c r="T49" s="181">
        <v>0.93688129900663208</v>
      </c>
      <c r="U49" s="181"/>
      <c r="V49" s="181">
        <v>0.92255780956044486</v>
      </c>
      <c r="W49" s="181"/>
      <c r="X49" s="181">
        <v>0.90518757301694563</v>
      </c>
      <c r="Y49" s="181"/>
      <c r="Z49" s="181">
        <v>0.88369982534351155</v>
      </c>
      <c r="AA49" s="181"/>
      <c r="AB49" s="181">
        <v>0.85641753801375087</v>
      </c>
      <c r="AC49" s="181"/>
      <c r="AD49" s="181">
        <v>0.82059443538359766</v>
      </c>
      <c r="AE49" s="181"/>
      <c r="AF49" s="181">
        <v>0.77158475497115109</v>
      </c>
      <c r="AG49" s="181"/>
      <c r="AH49" s="181">
        <v>0.70158533660122013</v>
      </c>
      <c r="AI49" s="181"/>
      <c r="AJ49" s="181">
        <v>0.5985302297172802</v>
      </c>
      <c r="AK49" s="181"/>
      <c r="AL49" s="181">
        <v>0.44624336768947159</v>
      </c>
      <c r="AM49" s="181"/>
      <c r="AN49" s="181">
        <v>0.22816414054642242</v>
      </c>
      <c r="AO49" s="181"/>
      <c r="AP49" s="181">
        <v>0.1767292155011089</v>
      </c>
      <c r="AQ49" s="181"/>
      <c r="AR49" s="181">
        <v>0.12397946375280278</v>
      </c>
      <c r="AS49" s="181"/>
      <c r="AT49" s="181">
        <v>7.1921221504346933E-2</v>
      </c>
      <c r="AU49" s="181"/>
      <c r="AV49" s="181">
        <v>2.5372206671763469E-2</v>
      </c>
    </row>
    <row r="51" spans="1:48 16321:16384" x14ac:dyDescent="0.2">
      <c r="A51" t="s">
        <v>150</v>
      </c>
      <c r="B51" s="27">
        <v>-405838.32800000021</v>
      </c>
      <c r="D51" s="27">
        <v>-347373.88250622526</v>
      </c>
      <c r="F51" s="27">
        <v>-287472.85985530308</v>
      </c>
      <c r="H51" s="27">
        <v>-225927.61832140246</v>
      </c>
      <c r="J51" s="27">
        <v>-162490.71011163294</v>
      </c>
      <c r="L51" s="27">
        <v>-96859.652961601503</v>
      </c>
      <c r="N51" s="27">
        <v>-28656.239553923719</v>
      </c>
      <c r="P51" s="27">
        <v>42605.142294804566</v>
      </c>
      <c r="R51" s="27">
        <v>117569.7577683446</v>
      </c>
      <c r="T51" s="27">
        <v>197130.36194541771</v>
      </c>
      <c r="V51" s="27">
        <v>282578.99112393474</v>
      </c>
      <c r="X51" s="27">
        <v>375882.44021897297</v>
      </c>
      <c r="Z51" s="27">
        <v>480196.77112029819</v>
      </c>
      <c r="AB51" s="27">
        <v>600865.01053776033</v>
      </c>
      <c r="AD51" s="27">
        <v>747370.52411335986</v>
      </c>
      <c r="AF51" s="27">
        <v>937010.53910893993</v>
      </c>
      <c r="AH51" s="27">
        <v>1200569.3319202797</v>
      </c>
      <c r="AJ51" s="27">
        <v>1587127.9339649356</v>
      </c>
      <c r="AL51" s="27">
        <v>2166548.6230666284</v>
      </c>
      <c r="AN51" s="27">
        <v>3022541.4012827291</v>
      </c>
      <c r="AP51" s="27">
        <v>3210898.3623325923</v>
      </c>
      <c r="AQ51" s="27"/>
      <c r="AR51" s="27">
        <v>3361998.3951065596</v>
      </c>
      <c r="AT51" s="27">
        <v>3375925.0599689344</v>
      </c>
      <c r="AV51" s="27">
        <v>2894993.5110950302</v>
      </c>
      <c r="XFD51" s="27"/>
    </row>
    <row r="52" spans="1:48 16321:16384" x14ac:dyDescent="0.2">
      <c r="A52" t="s">
        <v>151</v>
      </c>
      <c r="B52" s="27">
        <v>2073093.0976150823</v>
      </c>
      <c r="D52" s="27">
        <v>2069958.6399701228</v>
      </c>
      <c r="F52" s="27">
        <v>2066188.1107409778</v>
      </c>
      <c r="H52" s="27">
        <v>2061688.7828693585</v>
      </c>
      <c r="J52" s="27">
        <v>2056348.6285199993</v>
      </c>
      <c r="L52" s="27">
        <v>2050030.6153624298</v>
      </c>
      <c r="N52" s="27">
        <v>2042564.8484751317</v>
      </c>
      <c r="P52" s="27">
        <v>2033737.7202365713</v>
      </c>
      <c r="R52" s="27">
        <v>2023275.8663407196</v>
      </c>
      <c r="T52" s="27">
        <v>2010821.4918170427</v>
      </c>
      <c r="V52" s="27">
        <v>1995893.5641919046</v>
      </c>
      <c r="X52" s="27">
        <v>1977823.0247671704</v>
      </c>
      <c r="Z52" s="27">
        <v>1955638.5073910542</v>
      </c>
      <c r="AB52" s="27">
        <v>1927852.039186452</v>
      </c>
      <c r="AD52" s="27">
        <v>1892026.8360745395</v>
      </c>
      <c r="AF52" s="27">
        <v>1843844.6350282338</v>
      </c>
      <c r="AH52" s="27">
        <v>1774964.0233516805</v>
      </c>
      <c r="AJ52" s="27">
        <v>1667780.9629443081</v>
      </c>
      <c r="AL52" s="27">
        <v>1480308.2900215567</v>
      </c>
      <c r="AN52" s="27">
        <v>1083032.1887259714</v>
      </c>
      <c r="AP52" s="27">
        <v>945490.12161484745</v>
      </c>
      <c r="AQ52" s="27"/>
      <c r="AR52" s="27">
        <v>770852.44595294085</v>
      </c>
      <c r="AT52" s="27">
        <v>544364.86265079107</v>
      </c>
      <c r="AV52" s="27">
        <v>253032.35504031408</v>
      </c>
    </row>
    <row r="53" spans="1:48 16321:16384" x14ac:dyDescent="0.2">
      <c r="A53" t="s">
        <v>152</v>
      </c>
      <c r="B53" s="27">
        <v>2716869.1663849424</v>
      </c>
      <c r="D53" s="27">
        <v>2696937.74510065</v>
      </c>
      <c r="F53" s="27">
        <v>2676292.5800603661</v>
      </c>
      <c r="H53" s="27">
        <v>2654823.1264051935</v>
      </c>
      <c r="J53" s="27">
        <v>2632397.0293511809</v>
      </c>
      <c r="L53" s="27">
        <v>2608854.9110980909</v>
      </c>
      <c r="N53" s="27">
        <v>2584003.3412324446</v>
      </c>
      <c r="P53" s="27">
        <v>2557604.7276412291</v>
      </c>
      <c r="R53" s="27">
        <v>2529363.0107571618</v>
      </c>
      <c r="T53" s="27">
        <v>2498902.3331057727</v>
      </c>
      <c r="V53" s="27">
        <v>2465732.8529793103</v>
      </c>
      <c r="X53" s="27">
        <v>2429192.7716895244</v>
      </c>
      <c r="Z53" s="27">
        <v>2388342.2968129818</v>
      </c>
      <c r="AB53" s="27">
        <v>2341752.638440168</v>
      </c>
      <c r="AD53" s="27">
        <v>2287047.2831038651</v>
      </c>
      <c r="AF53" s="27">
        <v>2219814.0849911976</v>
      </c>
      <c r="AH53" s="27">
        <v>2130870.0480156704</v>
      </c>
      <c r="AJ53" s="27">
        <v>1999328.861300681</v>
      </c>
      <c r="AL53" s="27">
        <v>1773827.6584075321</v>
      </c>
      <c r="AN53" s="27">
        <v>1297706.9757540587</v>
      </c>
      <c r="AP53" s="27">
        <v>1132900.7180260269</v>
      </c>
      <c r="AQ53" s="27"/>
      <c r="AR53" s="27">
        <v>923646.86075646663</v>
      </c>
      <c r="AT53" s="27">
        <v>652266.00529117777</v>
      </c>
      <c r="AV53" s="27">
        <v>303187.09277408721</v>
      </c>
      <c r="XFD53" s="27"/>
    </row>
    <row r="55" spans="1:48 16321:16384" x14ac:dyDescent="0.2">
      <c r="A55" t="s">
        <v>153</v>
      </c>
      <c r="B55" s="183">
        <v>0.19850271905982084</v>
      </c>
      <c r="D55" s="183">
        <v>0.20247388843135575</v>
      </c>
      <c r="F55" s="183">
        <v>0.20653818488935607</v>
      </c>
      <c r="H55" s="183">
        <v>0.21071133343823317</v>
      </c>
      <c r="J55" s="183">
        <v>0.21501226469266049</v>
      </c>
      <c r="L55" s="183">
        <v>0.21946433157637191</v>
      </c>
      <c r="N55" s="183">
        <v>0.22409697248383026</v>
      </c>
      <c r="P55" s="183">
        <v>0.22894823356834854</v>
      </c>
      <c r="R55" s="183">
        <v>0.23406885789669241</v>
      </c>
      <c r="T55" s="183">
        <v>0.23952906596930224</v>
      </c>
      <c r="V55" s="183">
        <v>0.24543014194077353</v>
      </c>
      <c r="X55" s="183">
        <v>0.25192525307843944</v>
      </c>
      <c r="Z55" s="183">
        <v>0.25925813428874789</v>
      </c>
      <c r="AB55" s="183">
        <v>0.26783811656367762</v>
      </c>
      <c r="AD55" s="183">
        <v>0.27838877514380889</v>
      </c>
      <c r="AF55" s="183">
        <v>0.29223886498182627</v>
      </c>
      <c r="AH55" s="183">
        <v>0.31184050512306816</v>
      </c>
      <c r="AJ55" s="183">
        <v>0.34162026008741897</v>
      </c>
      <c r="AL55" s="183">
        <v>0.39060691254205704</v>
      </c>
      <c r="AN55" s="183">
        <v>0.4891190517859022</v>
      </c>
      <c r="AP55" s="183">
        <v>0.5241912680204216</v>
      </c>
      <c r="AR55" s="183">
        <v>0.57115337321166693</v>
      </c>
      <c r="AT55" s="183">
        <v>0.63905952441494651</v>
      </c>
      <c r="AV55" s="183">
        <v>0.75122377687189446</v>
      </c>
      <c r="XCS55" s="183"/>
      <c r="XFD55" s="183"/>
    </row>
    <row r="56" spans="1:48 16321:16384" x14ac:dyDescent="0.2">
      <c r="A56" t="s">
        <v>154</v>
      </c>
      <c r="B56" s="183">
        <v>2.9221206744340551E-2</v>
      </c>
      <c r="D56" s="183">
        <v>3.3534958982583185E-2</v>
      </c>
      <c r="F56" s="183">
        <v>3.7965053560853855E-2</v>
      </c>
      <c r="H56" s="183">
        <v>4.2530586888874962E-2</v>
      </c>
      <c r="J56" s="183">
        <v>4.7254624183887782E-2</v>
      </c>
      <c r="L56" s="183">
        <v>5.2165698089507682E-2</v>
      </c>
      <c r="N56" s="183">
        <v>5.7299888202641112E-2</v>
      </c>
      <c r="P56" s="183">
        <v>6.2703986229408815E-2</v>
      </c>
      <c r="R56" s="183">
        <v>6.8440608631616148E-2</v>
      </c>
      <c r="T56" s="183">
        <v>7.4596655049947752E-2</v>
      </c>
      <c r="V56" s="183">
        <v>8.129773924474222E-2</v>
      </c>
      <c r="X56" s="183">
        <v>8.8734010198292163E-2</v>
      </c>
      <c r="Z56" s="183">
        <v>9.7207949389966256E-2</v>
      </c>
      <c r="AB56" s="183">
        <v>0.10722657997831564</v>
      </c>
      <c r="AD56" s="183">
        <v>0.11968304443521509</v>
      </c>
      <c r="AF56" s="183">
        <v>0.13620901131155108</v>
      </c>
      <c r="AH56" s="183">
        <v>0.15979466549065871</v>
      </c>
      <c r="AJ56" s="183">
        <v>0.19579456755407693</v>
      </c>
      <c r="AL56" s="183">
        <v>0.25508060682264749</v>
      </c>
      <c r="AN56" s="183">
        <v>0.37421607505040333</v>
      </c>
      <c r="AP56" s="183">
        <v>0.41660040564536788</v>
      </c>
      <c r="AR56" s="183">
        <v>0.47333358792553193</v>
      </c>
      <c r="AT56" s="183">
        <v>0.55533418181586724</v>
      </c>
      <c r="AV56" s="183">
        <v>0.69070781317729246</v>
      </c>
      <c r="XFD56" s="183"/>
    </row>
    <row r="57" spans="1:48 16321:16384" x14ac:dyDescent="0.2">
      <c r="A57" t="s">
        <v>155</v>
      </c>
      <c r="B57" s="183">
        <v>0.15852881819439493</v>
      </c>
      <c r="D57" s="183">
        <v>0.15826698938375153</v>
      </c>
      <c r="F57" s="183">
        <v>0.15798278761669549</v>
      </c>
      <c r="H57" s="183">
        <v>0.15767305904155279</v>
      </c>
      <c r="J57" s="183">
        <v>0.15733393374361646</v>
      </c>
      <c r="L57" s="183">
        <v>0.15696055101062648</v>
      </c>
      <c r="N57" s="183">
        <v>0.15654665203780205</v>
      </c>
      <c r="P57" s="183">
        <v>0.15608395145530218</v>
      </c>
      <c r="R57" s="183">
        <v>0.15556112784331405</v>
      </c>
      <c r="T57" s="183">
        <v>0.15496215537620722</v>
      </c>
      <c r="V57" s="183">
        <v>0.15426346590704151</v>
      </c>
      <c r="X57" s="183">
        <v>0.15342893645070349</v>
      </c>
      <c r="Y57" s="183"/>
      <c r="Z57" s="183">
        <v>0.15240072533032245</v>
      </c>
      <c r="AB57" s="183">
        <v>0.15108195779253888</v>
      </c>
      <c r="AD57" s="183">
        <v>0.14930348771076493</v>
      </c>
      <c r="AF57" s="183">
        <v>0.14676187918983019</v>
      </c>
      <c r="AH57" s="183">
        <v>0.14291714324478996</v>
      </c>
      <c r="AJ57" s="183">
        <v>0.13683935199086511</v>
      </c>
      <c r="AL57" s="183">
        <v>0.12668740992855879</v>
      </c>
      <c r="AN57" s="183">
        <v>0.10621080741157467</v>
      </c>
      <c r="AP57" s="183">
        <v>9.8919437715700165E-2</v>
      </c>
      <c r="AR57" s="183">
        <v>8.9156151329804909E-2</v>
      </c>
      <c r="AT57" s="183">
        <v>7.5038634857237441E-2</v>
      </c>
      <c r="AV57" s="183">
        <v>5.1719963928317368E-2</v>
      </c>
      <c r="XFD57" s="183"/>
    </row>
    <row r="58" spans="1:48 16321:16384" x14ac:dyDescent="0.2">
      <c r="A58" t="s">
        <v>156</v>
      </c>
      <c r="B58" s="183">
        <v>1.075269412108535E-2</v>
      </c>
      <c r="D58" s="183">
        <v>1.0671940065021004E-2</v>
      </c>
      <c r="F58" s="183">
        <v>1.0590343711806742E-2</v>
      </c>
      <c r="H58" s="183">
        <v>1.0507687507805424E-2</v>
      </c>
      <c r="J58" s="183">
        <v>1.042370676515628E-2</v>
      </c>
      <c r="L58" s="183">
        <v>1.033808247623778E-2</v>
      </c>
      <c r="N58" s="183">
        <v>1.025043224338712E-2</v>
      </c>
      <c r="P58" s="183">
        <v>1.0160295883637566E-2</v>
      </c>
      <c r="R58" s="183">
        <v>1.0067121421762222E-2</v>
      </c>
      <c r="T58" s="183">
        <v>9.9702555431472519E-3</v>
      </c>
      <c r="V58" s="183">
        <v>9.8689367889897971E-3</v>
      </c>
      <c r="X58" s="183">
        <v>9.7623064294438087E-3</v>
      </c>
      <c r="Y58" s="183"/>
      <c r="Z58" s="183">
        <v>9.6494595684592198E-3</v>
      </c>
      <c r="AB58" s="183">
        <v>9.52957879282312E-3</v>
      </c>
      <c r="AD58" s="183">
        <v>9.402242997828875E-3</v>
      </c>
      <c r="AF58" s="183">
        <v>9.2679744804449737E-3</v>
      </c>
      <c r="AH58" s="183">
        <v>9.1286963876194976E-3</v>
      </c>
      <c r="AJ58" s="183">
        <v>8.986340542476939E-3</v>
      </c>
      <c r="AL58" s="183">
        <v>8.8388957908507072E-3</v>
      </c>
      <c r="AN58" s="183">
        <v>8.6921693239241649E-3</v>
      </c>
      <c r="AP58" s="183">
        <v>8.6714246593534595E-3</v>
      </c>
      <c r="AR58" s="183">
        <v>8.6636339563301266E-3</v>
      </c>
      <c r="AT58" s="183">
        <v>8.6867077418419213E-3</v>
      </c>
      <c r="AV58" s="183">
        <v>8.7959997662846335E-3</v>
      </c>
      <c r="XFD58" s="183"/>
    </row>
    <row r="59" spans="1:48 16321:16384" x14ac:dyDescent="0.2">
      <c r="A59" t="s">
        <v>157</v>
      </c>
      <c r="B59" s="183">
        <v>5.5174232040962052E-4</v>
      </c>
      <c r="D59" s="183">
        <v>4.9173876592182768E-3</v>
      </c>
      <c r="F59" s="183">
        <v>9.4001755171507825E-3</v>
      </c>
      <c r="H59" s="183">
        <v>1.4019321812069722E-2</v>
      </c>
      <c r="J59" s="183">
        <v>1.8798033577373325E-2</v>
      </c>
      <c r="L59" s="183">
        <v>2.3765014919700549E-2</v>
      </c>
      <c r="N59" s="183">
        <v>2.8956557406874889E-2</v>
      </c>
      <c r="P59" s="183">
        <v>3.4419724563326572E-2</v>
      </c>
      <c r="R59" s="183">
        <v>4.0217495934194381E-2</v>
      </c>
      <c r="T59" s="183">
        <v>4.6437277942458569E-2</v>
      </c>
      <c r="V59" s="183">
        <v>5.3205429066584597E-2</v>
      </c>
      <c r="X59" s="183">
        <v>6.0713252184080198E-2</v>
      </c>
      <c r="Z59" s="183">
        <v>6.9265111640305591E-2</v>
      </c>
      <c r="AB59" s="183">
        <v>7.9371254141523601E-2</v>
      </c>
      <c r="AD59" s="183">
        <v>9.1930532191832864E-2</v>
      </c>
      <c r="AF59" s="183">
        <v>0.10858473671338943</v>
      </c>
      <c r="AH59" s="183">
        <v>0.13234053321043204</v>
      </c>
      <c r="AJ59" s="183">
        <v>0.16857284494447733</v>
      </c>
      <c r="AL59" s="183">
        <v>0.22816518860910612</v>
      </c>
      <c r="AN59" s="183">
        <v>0.34763823707598673</v>
      </c>
      <c r="AP59" s="183">
        <v>0.39006409281430499</v>
      </c>
      <c r="AR59" s="183">
        <v>0.44679735024185324</v>
      </c>
      <c r="AT59" s="183">
        <v>0.52869882306398686</v>
      </c>
      <c r="AV59" s="183">
        <v>0.66369585749863513</v>
      </c>
      <c r="XFD59" s="183"/>
    </row>
    <row r="60" spans="1:48 16321:16384" x14ac:dyDescent="0.2">
      <c r="A60" t="s">
        <v>158</v>
      </c>
      <c r="B60" s="183">
        <v>2.8669464423930927E-2</v>
      </c>
      <c r="D60" s="183">
        <v>2.8617571323364913E-2</v>
      </c>
      <c r="F60" s="183">
        <v>2.8564878043703071E-2</v>
      </c>
      <c r="H60" s="183">
        <v>2.8511265076805237E-2</v>
      </c>
      <c r="J60" s="183">
        <v>2.8456590606514457E-2</v>
      </c>
      <c r="L60" s="183">
        <v>2.840068316980713E-2</v>
      </c>
      <c r="N60" s="183">
        <v>2.8343330795766227E-2</v>
      </c>
      <c r="P60" s="183">
        <v>2.8284261666082246E-2</v>
      </c>
      <c r="R60" s="183">
        <v>2.8223112697421768E-2</v>
      </c>
      <c r="T60" s="183">
        <v>2.8159377107489184E-2</v>
      </c>
      <c r="V60" s="183">
        <v>2.8092310178157619E-2</v>
      </c>
      <c r="X60" s="183">
        <v>2.8020758014211954E-2</v>
      </c>
      <c r="Z60" s="183">
        <v>2.7942837749660658E-2</v>
      </c>
      <c r="AB60" s="183">
        <v>2.7855325836792028E-2</v>
      </c>
      <c r="AD60" s="183">
        <v>2.7752512243382228E-2</v>
      </c>
      <c r="AF60" s="183">
        <v>2.7624274598161646E-2</v>
      </c>
      <c r="AH60" s="183">
        <v>2.7454132280226671E-2</v>
      </c>
      <c r="AJ60" s="183">
        <v>2.7221722609599566E-2</v>
      </c>
      <c r="AL60" s="183">
        <v>2.6915418213541386E-2</v>
      </c>
      <c r="AN60" s="183">
        <v>2.6577837974416603E-2</v>
      </c>
      <c r="AP60" s="183">
        <v>2.6536312831062933E-2</v>
      </c>
      <c r="AR60" s="183">
        <v>2.6536237683678722E-2</v>
      </c>
      <c r="AT60" s="183">
        <v>2.6635358751880309E-2</v>
      </c>
      <c r="AV60" s="183">
        <v>2.7011955678657284E-2</v>
      </c>
      <c r="XFD60" s="183"/>
    </row>
    <row r="62" spans="1:48 16321:16384" x14ac:dyDescent="0.2">
      <c r="A62" t="s">
        <v>159</v>
      </c>
      <c r="B62">
        <v>1</v>
      </c>
      <c r="D62">
        <v>1.0058672481790061</v>
      </c>
      <c r="F62">
        <v>1.0117802263772437</v>
      </c>
      <c r="H62">
        <v>1.0177413860019195</v>
      </c>
      <c r="J62">
        <v>1.0237532029372143</v>
      </c>
      <c r="L62">
        <v>1.029817670034616</v>
      </c>
      <c r="N62">
        <v>1.0359354668968266</v>
      </c>
      <c r="P62">
        <v>1.0421048982631487</v>
      </c>
      <c r="R62">
        <v>1.0483199667880416</v>
      </c>
      <c r="T62">
        <v>1.0545669473313808</v>
      </c>
      <c r="V62">
        <v>1.0608189657618989</v>
      </c>
      <c r="X62">
        <v>1.0670268992568077</v>
      </c>
      <c r="Z62">
        <v>1.073104287795648</v>
      </c>
      <c r="AB62">
        <v>1.0789034958324661</v>
      </c>
      <c r="AD62">
        <v>1.0841816885223712</v>
      </c>
      <c r="AF62">
        <v>1.0885732070262455</v>
      </c>
      <c r="AH62">
        <v>1.0916477129428568</v>
      </c>
      <c r="AJ62">
        <v>1.0932127705909971</v>
      </c>
      <c r="AL62">
        <v>1.0936810022840648</v>
      </c>
      <c r="AN62">
        <v>1.0937413834780327</v>
      </c>
      <c r="AP62">
        <v>1.0937424372041018</v>
      </c>
      <c r="AR62">
        <v>1.0937428214584022</v>
      </c>
      <c r="AT62">
        <v>1.0937429321841621</v>
      </c>
      <c r="AV62">
        <v>1.0937429542031472</v>
      </c>
    </row>
    <row r="65" spans="1:48 16384:16384" x14ac:dyDescent="0.2">
      <c r="A65" t="s">
        <v>160</v>
      </c>
      <c r="B65" s="181">
        <v>1</v>
      </c>
      <c r="C65" s="181"/>
      <c r="D65" s="181">
        <v>0.99867558903582643</v>
      </c>
      <c r="E65" s="181"/>
      <c r="F65" s="181">
        <v>0.99731240340321681</v>
      </c>
      <c r="G65" s="181"/>
      <c r="H65" s="181">
        <v>0.99590393845366632</v>
      </c>
      <c r="I65" s="181"/>
      <c r="J65" s="181">
        <v>0.99444274316907633</v>
      </c>
      <c r="K65" s="181"/>
      <c r="L65" s="181">
        <v>0.99292049772574853</v>
      </c>
      <c r="M65" s="181"/>
      <c r="N65" s="181">
        <v>0.9913282657972865</v>
      </c>
      <c r="O65" s="181"/>
      <c r="P65" s="181">
        <v>0.98965709753670139</v>
      </c>
      <c r="Q65" s="181"/>
      <c r="R65" s="181">
        <v>0.98789930650835822</v>
      </c>
      <c r="S65" s="181"/>
      <c r="T65" s="181">
        <v>0.98605098620969123</v>
      </c>
      <c r="U65" s="181"/>
      <c r="V65" s="181">
        <v>0.98411685946148308</v>
      </c>
      <c r="W65" s="181"/>
      <c r="X65" s="181">
        <v>0.98211957471525169</v>
      </c>
      <c r="Y65" s="181"/>
      <c r="Z65" s="181">
        <v>0.98011753710444727</v>
      </c>
      <c r="AA65" s="181"/>
      <c r="AB65" s="181">
        <v>0.97823911100450422</v>
      </c>
      <c r="AC65" s="181"/>
      <c r="AD65" s="181">
        <v>0.97674559513346537</v>
      </c>
      <c r="AE65" s="181"/>
      <c r="AF65" s="181">
        <v>0.97612933898433996</v>
      </c>
      <c r="AG65" s="181"/>
      <c r="AH65" s="181">
        <v>0.97717352723273865</v>
      </c>
      <c r="AI65" s="181"/>
      <c r="AJ65" s="181">
        <v>0.98064968009769748</v>
      </c>
      <c r="AK65" s="181"/>
      <c r="AL65" s="181">
        <v>0.98646456668738547</v>
      </c>
      <c r="AM65" s="181"/>
      <c r="AN65" s="181">
        <v>0.99366121536877283</v>
      </c>
      <c r="AO65" s="181"/>
      <c r="AP65" s="181">
        <v>0.99527797380799143</v>
      </c>
      <c r="AQ65" s="181"/>
      <c r="AR65" s="181">
        <v>0.9970622544877118</v>
      </c>
      <c r="AS65" s="181"/>
      <c r="AT65" s="181">
        <v>0.99921863985138315</v>
      </c>
      <c r="AU65" s="181"/>
      <c r="AV65" s="181">
        <v>1.0023611880309375</v>
      </c>
    </row>
    <row r="66" spans="1:48 16384:16384" x14ac:dyDescent="0.2">
      <c r="A66" t="s">
        <v>166</v>
      </c>
      <c r="B66" s="181">
        <v>1</v>
      </c>
      <c r="C66" s="181"/>
      <c r="D66" s="181">
        <v>0.99854370803928283</v>
      </c>
      <c r="E66" s="181"/>
      <c r="F66" s="181">
        <v>0.99704324359136232</v>
      </c>
      <c r="G66" s="181"/>
      <c r="H66" s="181">
        <v>0.99549128915353924</v>
      </c>
      <c r="I66" s="181"/>
      <c r="J66" s="181">
        <v>0.99387944299399278</v>
      </c>
      <c r="K66" s="181"/>
      <c r="L66" s="181">
        <v>0.99219829483484989</v>
      </c>
      <c r="M66" s="181"/>
      <c r="N66" s="181">
        <v>0.99043769403729465</v>
      </c>
      <c r="O66" s="181"/>
      <c r="P66" s="181">
        <v>0.98858740697068526</v>
      </c>
      <c r="Q66" s="181"/>
      <c r="R66" s="181">
        <v>0.98663852650096118</v>
      </c>
      <c r="S66" s="181"/>
      <c r="T66" s="181">
        <v>0.98458627155049716</v>
      </c>
      <c r="U66" s="181"/>
      <c r="V66" s="181">
        <v>0.98243541280100999</v>
      </c>
      <c r="W66" s="181"/>
      <c r="X66" s="181">
        <v>0.9802107195146551</v>
      </c>
      <c r="Y66" s="181"/>
      <c r="Z66" s="181">
        <v>0.97797706296522491</v>
      </c>
      <c r="AA66" s="181"/>
      <c r="AB66" s="181">
        <v>0.97587805320477616</v>
      </c>
      <c r="AC66" s="181"/>
      <c r="AD66" s="181">
        <v>0.9742071841966633</v>
      </c>
      <c r="AE66" s="181"/>
      <c r="AF66" s="181">
        <v>0.97351824002013343</v>
      </c>
      <c r="AG66" s="181"/>
      <c r="AH66" s="181">
        <v>0.97469020582676968</v>
      </c>
      <c r="AI66" s="181"/>
      <c r="AJ66" s="181">
        <v>0.97857911375243956</v>
      </c>
      <c r="AK66" s="181"/>
      <c r="AL66" s="181">
        <v>0.98505547815810446</v>
      </c>
      <c r="AM66" s="181"/>
      <c r="AN66" s="181">
        <v>0.99302355278099474</v>
      </c>
      <c r="AO66" s="181"/>
      <c r="AP66" s="181">
        <v>0.9948066211785126</v>
      </c>
      <c r="AQ66" s="181"/>
      <c r="AR66" s="181">
        <v>0.99677151495269423</v>
      </c>
      <c r="AS66" s="181"/>
      <c r="AT66" s="181">
        <v>0.99914211194126834</v>
      </c>
      <c r="AU66" s="181"/>
      <c r="AV66" s="181">
        <v>1.0025889478208587</v>
      </c>
      <c r="XFD66" s="181"/>
    </row>
    <row r="67" spans="1:48 16384:16384" x14ac:dyDescent="0.2">
      <c r="A67" t="s">
        <v>167</v>
      </c>
      <c r="B67" s="181">
        <v>1</v>
      </c>
      <c r="C67" s="181"/>
      <c r="D67" s="181">
        <v>1</v>
      </c>
      <c r="E67" s="181"/>
      <c r="F67" s="181">
        <v>1</v>
      </c>
      <c r="G67" s="181"/>
      <c r="H67" s="181">
        <v>1</v>
      </c>
      <c r="I67" s="181"/>
      <c r="J67" s="181">
        <v>1</v>
      </c>
      <c r="K67" s="181"/>
      <c r="L67" s="181">
        <v>1</v>
      </c>
      <c r="M67" s="181"/>
      <c r="N67" s="181">
        <v>1</v>
      </c>
      <c r="O67" s="181"/>
      <c r="P67" s="181">
        <v>1</v>
      </c>
      <c r="Q67" s="181"/>
      <c r="R67" s="181">
        <v>1</v>
      </c>
      <c r="S67" s="181"/>
      <c r="T67" s="181">
        <v>1</v>
      </c>
      <c r="U67" s="181"/>
      <c r="V67" s="181">
        <v>1</v>
      </c>
      <c r="W67" s="181"/>
      <c r="X67" s="181">
        <v>1</v>
      </c>
      <c r="Y67" s="181"/>
      <c r="Z67" s="181">
        <v>1</v>
      </c>
      <c r="AA67" s="181"/>
      <c r="AB67" s="181">
        <v>1</v>
      </c>
      <c r="AC67" s="181"/>
      <c r="AD67" s="181">
        <v>1</v>
      </c>
      <c r="AE67" s="181"/>
      <c r="AF67" s="181">
        <v>1</v>
      </c>
      <c r="AG67" s="181"/>
      <c r="AH67" s="181">
        <v>1</v>
      </c>
      <c r="AI67" s="181"/>
      <c r="AJ67" s="181">
        <v>1</v>
      </c>
      <c r="AK67" s="181"/>
      <c r="AL67" s="181">
        <v>1</v>
      </c>
      <c r="AM67" s="181"/>
      <c r="AN67" s="181">
        <v>1</v>
      </c>
      <c r="AO67" s="181"/>
      <c r="AP67" s="181">
        <v>1</v>
      </c>
      <c r="AQ67" s="181"/>
      <c r="AR67" s="181">
        <v>1</v>
      </c>
      <c r="AS67" s="181"/>
      <c r="AT67" s="181">
        <v>1</v>
      </c>
      <c r="AU67" s="181"/>
      <c r="AV67" s="181">
        <v>1</v>
      </c>
      <c r="XFD67" s="181"/>
    </row>
    <row r="68" spans="1:48 16384:16384" x14ac:dyDescent="0.2">
      <c r="A68" t="s">
        <v>165</v>
      </c>
      <c r="B68" s="181">
        <v>1</v>
      </c>
      <c r="C68" s="181"/>
      <c r="D68" s="181">
        <v>0.99854370803928283</v>
      </c>
      <c r="E68" s="181"/>
      <c r="F68" s="181">
        <v>0.99704324359136232</v>
      </c>
      <c r="G68" s="181"/>
      <c r="H68" s="181">
        <v>0.99549128915353924</v>
      </c>
      <c r="I68" s="181"/>
      <c r="J68" s="181">
        <v>0.99387944299399278</v>
      </c>
      <c r="K68" s="181"/>
      <c r="L68" s="181">
        <v>0.99219829483484989</v>
      </c>
      <c r="M68" s="181"/>
      <c r="N68" s="181">
        <v>0.99043769403729465</v>
      </c>
      <c r="O68" s="181"/>
      <c r="P68" s="181">
        <v>0.98858740697068526</v>
      </c>
      <c r="Q68" s="181"/>
      <c r="R68" s="181">
        <v>0.98663852650096118</v>
      </c>
      <c r="S68" s="181"/>
      <c r="T68" s="181">
        <v>0.98458627155049716</v>
      </c>
      <c r="U68" s="181"/>
      <c r="V68" s="181">
        <v>0.98243541280100999</v>
      </c>
      <c r="W68" s="181"/>
      <c r="X68" s="181">
        <v>0.9802107195146551</v>
      </c>
      <c r="Y68" s="181"/>
      <c r="Z68" s="181">
        <v>0.97797706296522491</v>
      </c>
      <c r="AA68" s="181"/>
      <c r="AB68" s="181">
        <v>0.97587805320477616</v>
      </c>
      <c r="AC68" s="181"/>
      <c r="AD68" s="181">
        <v>0.9742071841966633</v>
      </c>
      <c r="AE68" s="181"/>
      <c r="AF68" s="181">
        <v>0.97351824002013343</v>
      </c>
      <c r="AG68" s="181"/>
      <c r="AH68" s="181">
        <v>0.97469020582676968</v>
      </c>
      <c r="AI68" s="181"/>
      <c r="AJ68" s="181">
        <v>0.97857911375243956</v>
      </c>
      <c r="AK68" s="181"/>
      <c r="AL68" s="181">
        <v>0.98505547815810446</v>
      </c>
      <c r="AM68" s="181"/>
      <c r="AN68" s="181">
        <v>0.99302355278099474</v>
      </c>
      <c r="AO68" s="181"/>
      <c r="AP68" s="181">
        <v>0.9948066211785126</v>
      </c>
      <c r="AQ68" s="181"/>
      <c r="AR68" s="181">
        <v>0.99677151495269423</v>
      </c>
      <c r="AS68" s="181"/>
      <c r="AT68" s="181">
        <v>0.99914211194126834</v>
      </c>
      <c r="AU68" s="181"/>
      <c r="AV68" s="181">
        <v>1.0025889478208587</v>
      </c>
      <c r="XFD68" s="181"/>
    </row>
    <row r="69" spans="1:48 16384:16384" x14ac:dyDescent="0.2">
      <c r="A69" t="s">
        <v>161</v>
      </c>
      <c r="B69" s="181">
        <v>1</v>
      </c>
      <c r="C69" s="181"/>
      <c r="D69" s="181">
        <v>1.0014662288848144</v>
      </c>
      <c r="E69" s="181"/>
      <c r="F69" s="181">
        <v>1.0028091352068993</v>
      </c>
      <c r="G69" s="181"/>
      <c r="H69" s="181">
        <v>1.0040089426367291</v>
      </c>
      <c r="I69" s="181"/>
      <c r="J69" s="181">
        <v>1.0050414609852509</v>
      </c>
      <c r="K69" s="181"/>
      <c r="L69" s="181">
        <v>1.0058767556612902</v>
      </c>
      <c r="M69" s="181"/>
      <c r="N69" s="181">
        <v>1.006477328384328</v>
      </c>
      <c r="O69" s="181"/>
      <c r="P69" s="181">
        <v>1.0067957305591344</v>
      </c>
      <c r="Q69" s="181"/>
      <c r="R69" s="181">
        <v>1.0067711314553953</v>
      </c>
      <c r="S69" s="181"/>
      <c r="T69" s="181">
        <v>1.0063241950977737</v>
      </c>
      <c r="U69" s="181"/>
      <c r="V69" s="181">
        <v>1.0053494334650619</v>
      </c>
      <c r="W69" s="181"/>
      <c r="X69" s="181">
        <v>1.003702955870005</v>
      </c>
      <c r="Y69" s="181"/>
      <c r="Z69" s="181">
        <v>1.001181468806803</v>
      </c>
      <c r="AA69" s="181"/>
      <c r="AB69" s="181">
        <v>0.99748296877312193</v>
      </c>
      <c r="AC69" s="181"/>
      <c r="AD69" s="181">
        <v>0.99212248908687328</v>
      </c>
      <c r="AE69" s="181"/>
      <c r="AF69" s="181">
        <v>0.98422209435155361</v>
      </c>
      <c r="AG69" s="181"/>
      <c r="AH69" s="181">
        <v>0.97190306497944112</v>
      </c>
      <c r="AI69" s="181"/>
      <c r="AJ69" s="181">
        <v>0.9503936561225389</v>
      </c>
      <c r="AK69" s="181"/>
      <c r="AL69" s="181">
        <v>0.90578816140380891</v>
      </c>
      <c r="AM69" s="181"/>
      <c r="AN69" s="181">
        <v>0.78473628060859946</v>
      </c>
      <c r="AO69" s="181"/>
      <c r="AP69" s="181">
        <v>0.73437922097621344</v>
      </c>
      <c r="AQ69" s="181"/>
      <c r="AR69" s="181">
        <v>0.663112298788749</v>
      </c>
      <c r="AS69" s="181"/>
      <c r="AT69" s="181">
        <v>0.55518030323142575</v>
      </c>
      <c r="AU69" s="181"/>
      <c r="AV69" s="181">
        <v>0.3732355634907451</v>
      </c>
    </row>
    <row r="70" spans="1:48 16384:16384" x14ac:dyDescent="0.2">
      <c r="A70" t="s">
        <v>162</v>
      </c>
      <c r="B70" s="129">
        <v>1</v>
      </c>
      <c r="C70" s="129"/>
      <c r="D70" s="129">
        <v>1.0003689732878795</v>
      </c>
      <c r="E70" s="129"/>
      <c r="F70" s="129">
        <v>1.0006071279060496</v>
      </c>
      <c r="G70" s="129"/>
      <c r="H70" s="129">
        <v>1.0006948186160662</v>
      </c>
      <c r="I70" s="129"/>
      <c r="J70" s="129">
        <v>1.0006079193679382</v>
      </c>
      <c r="K70" s="129"/>
      <c r="L70" s="129">
        <v>1.0003162464484852</v>
      </c>
      <c r="M70" s="129"/>
      <c r="N70" s="129">
        <v>0.99978128373651265</v>
      </c>
      <c r="O70" s="129"/>
      <c r="P70" s="129">
        <v>0.99895285718364346</v>
      </c>
      <c r="Q70" s="129"/>
      <c r="R70" s="129">
        <v>0.99776397071843159</v>
      </c>
      <c r="S70" s="129"/>
      <c r="T70" s="129">
        <v>0.99612251798080786</v>
      </c>
      <c r="U70" s="129"/>
      <c r="V70" s="129">
        <v>0.99389767560648512</v>
      </c>
      <c r="W70" s="129"/>
      <c r="X70" s="129">
        <v>0.99089646448650026</v>
      </c>
      <c r="Y70" s="129"/>
      <c r="Z70" s="129">
        <v>0.98682159756223786</v>
      </c>
      <c r="AA70" s="129"/>
      <c r="AB70" s="129">
        <v>0.98119213477916745</v>
      </c>
      <c r="AC70" s="129"/>
      <c r="AD70" s="129">
        <v>0.97318738810117955</v>
      </c>
      <c r="AE70" s="129"/>
      <c r="AF70" s="129">
        <v>0.96133183206756079</v>
      </c>
      <c r="AG70" s="129"/>
      <c r="AH70" s="129">
        <v>0.94285600636276279</v>
      </c>
      <c r="AI70" s="129"/>
      <c r="AJ70" s="129">
        <v>0.9122898746961916</v>
      </c>
      <c r="AK70" s="129"/>
      <c r="AL70" s="129">
        <v>0.85678199202852878</v>
      </c>
      <c r="AM70" s="129"/>
      <c r="AN70" s="129">
        <v>0.73000211462261755</v>
      </c>
      <c r="AO70" s="129"/>
      <c r="AP70" s="129">
        <v>0.68148223606677316</v>
      </c>
      <c r="AQ70" s="129"/>
      <c r="AR70" s="129">
        <v>0.61474687904917202</v>
      </c>
      <c r="AS70" s="129"/>
      <c r="AT70" s="129">
        <v>0.51600680587763548</v>
      </c>
      <c r="AU70" s="129"/>
      <c r="AV70" s="129">
        <v>0.35121453653148638</v>
      </c>
    </row>
    <row r="71" spans="1:48 16384:16384" x14ac:dyDescent="0.2">
      <c r="A71" t="s">
        <v>163</v>
      </c>
      <c r="B71" s="129">
        <v>1</v>
      </c>
      <c r="D71" s="129">
        <v>0.93048794866793849</v>
      </c>
      <c r="E71" s="129"/>
      <c r="F71" s="129">
        <v>0.86102275518479299</v>
      </c>
      <c r="G71" s="129"/>
      <c r="H71" s="129">
        <v>0.79162586479233321</v>
      </c>
      <c r="I71" s="129"/>
      <c r="J71" s="129">
        <v>0.72232812723086004</v>
      </c>
      <c r="K71" s="129"/>
      <c r="L71" s="129">
        <v>0.65317687569983107</v>
      </c>
      <c r="M71" s="129"/>
      <c r="N71" s="129">
        <v>0.58424640844314313</v>
      </c>
      <c r="O71" s="129"/>
      <c r="P71" s="129">
        <v>0.51565164466286062</v>
      </c>
      <c r="Q71" s="129"/>
      <c r="R71" s="129">
        <v>0.44757034543655749</v>
      </c>
      <c r="S71" s="129"/>
      <c r="T71" s="129">
        <v>0.38027912134950342</v>
      </c>
      <c r="U71" s="129"/>
      <c r="V71" s="129">
        <v>0.3142075464372962</v>
      </c>
      <c r="W71" s="129"/>
      <c r="X71" s="129">
        <v>0.2500231366287165</v>
      </c>
      <c r="Y71" s="129"/>
      <c r="Z71" s="129">
        <v>0.18876245670605926</v>
      </c>
      <c r="AA71" s="129"/>
      <c r="AB71" s="129">
        <v>0.13202069661847249</v>
      </c>
      <c r="AC71" s="129"/>
      <c r="AD71" s="129">
        <v>8.2181255668983294E-2</v>
      </c>
      <c r="AE71" s="129"/>
      <c r="AF71" s="129">
        <v>4.2481962144332225E-2</v>
      </c>
      <c r="AG71" s="129"/>
      <c r="AH71" s="129">
        <v>1.6181379950008162E-2</v>
      </c>
      <c r="AI71" s="129"/>
      <c r="AJ71" s="129">
        <v>3.7372857503379154E-3</v>
      </c>
      <c r="AK71" s="129"/>
      <c r="AL71" s="129">
        <v>3.7762377501535728E-4</v>
      </c>
      <c r="AM71" s="129"/>
      <c r="AN71" s="129">
        <v>7.2731730465811636E-6</v>
      </c>
      <c r="AO71" s="129"/>
      <c r="AP71" s="129">
        <v>2.1857048859628015E-6</v>
      </c>
      <c r="AQ71" s="129"/>
      <c r="AR71" s="129">
        <v>5.0205351725716542E-7</v>
      </c>
      <c r="AS71" s="129"/>
      <c r="AT71" s="129">
        <v>7.5422387027647248E-8</v>
      </c>
      <c r="AU71" s="129"/>
      <c r="AV71" s="129">
        <v>5.0479152210326588E-9</v>
      </c>
      <c r="XFD71" s="129"/>
    </row>
    <row r="72" spans="1:48 16384:16384" x14ac:dyDescent="0.2">
      <c r="A72" t="s">
        <v>164</v>
      </c>
      <c r="B72" s="129">
        <v>1</v>
      </c>
      <c r="D72" s="129">
        <v>1.0226893707709859</v>
      </c>
      <c r="E72" s="129"/>
      <c r="F72" s="129">
        <v>1.0487595661610458</v>
      </c>
      <c r="G72" s="129"/>
      <c r="H72" s="129">
        <v>1.0786391784616964</v>
      </c>
      <c r="I72" s="129"/>
      <c r="J72" s="129">
        <v>1.1128014840088754</v>
      </c>
      <c r="K72" s="129"/>
      <c r="L72" s="129">
        <v>1.1517593671241362</v>
      </c>
      <c r="M72" s="129"/>
      <c r="N72" s="129">
        <v>1.1960455829167094</v>
      </c>
      <c r="O72" s="129"/>
      <c r="P72" s="129">
        <v>1.2461687659837142</v>
      </c>
      <c r="Q72" s="129"/>
      <c r="R72" s="129">
        <v>1.3025275899044495</v>
      </c>
      <c r="S72" s="129"/>
      <c r="T72" s="129">
        <v>1.3652484561547553</v>
      </c>
      <c r="U72" s="129"/>
      <c r="V72" s="129">
        <v>1.4338763191640991</v>
      </c>
      <c r="W72" s="129"/>
      <c r="X72" s="129">
        <v>1.5067949941350134</v>
      </c>
      <c r="Y72" s="129"/>
      <c r="Z72" s="129">
        <v>1.58012907957087</v>
      </c>
      <c r="AA72" s="129"/>
      <c r="AB72" s="129">
        <v>1.6456794198816798</v>
      </c>
      <c r="AC72" s="129"/>
      <c r="AD72" s="129">
        <v>1.6872042729344165</v>
      </c>
      <c r="AE72" s="129"/>
      <c r="AF72" s="129">
        <v>1.6748910098344456</v>
      </c>
      <c r="AG72" s="129"/>
      <c r="AH72" s="129">
        <v>1.5628461843182448</v>
      </c>
      <c r="AI72" s="129"/>
      <c r="AJ72" s="129">
        <v>1.3085666682177155</v>
      </c>
      <c r="AK72" s="129"/>
      <c r="AL72" s="129">
        <v>0.9219738331354802</v>
      </c>
      <c r="AM72" s="129"/>
      <c r="AN72" s="129">
        <v>0.46831964824347683</v>
      </c>
      <c r="AO72" s="129"/>
      <c r="AP72" s="129">
        <v>0.37494694314848276</v>
      </c>
      <c r="AQ72" s="129"/>
      <c r="AR72" s="129">
        <v>0.28132875589754802</v>
      </c>
      <c r="AS72" s="129"/>
      <c r="AT72" s="129">
        <v>0.1875897245276901</v>
      </c>
      <c r="AU72" s="129"/>
      <c r="AV72" s="129">
        <v>9.3801905884556766E-2</v>
      </c>
      <c r="XFD72" s="129"/>
    </row>
    <row r="73" spans="1:48 16384:16384" x14ac:dyDescent="0.2">
      <c r="A73" t="s">
        <v>168</v>
      </c>
      <c r="B73" s="183">
        <v>0.47641153352875076</v>
      </c>
      <c r="D73" s="183">
        <v>0.47405109866976769</v>
      </c>
      <c r="E73" s="129"/>
      <c r="F73" s="183">
        <v>0.47163523946699498</v>
      </c>
      <c r="G73" s="129"/>
      <c r="H73" s="183">
        <v>0.46915471299572714</v>
      </c>
      <c r="I73" s="129"/>
      <c r="J73" s="183">
        <v>0.46659823402983114</v>
      </c>
      <c r="K73" s="129"/>
      <c r="L73" s="183">
        <v>0.46395191607814151</v>
      </c>
      <c r="M73" s="129"/>
      <c r="N73" s="183">
        <v>0.46119827038867167</v>
      </c>
      <c r="O73" s="129"/>
      <c r="P73" s="183">
        <v>0.45831467193182357</v>
      </c>
      <c r="Q73" s="129"/>
      <c r="R73" s="183">
        <v>0.45527096009859153</v>
      </c>
      <c r="S73" s="129"/>
      <c r="T73" s="183">
        <v>0.45202540322046697</v>
      </c>
      <c r="U73" s="129"/>
      <c r="V73" s="183">
        <v>0.44851779114059126</v>
      </c>
      <c r="W73" s="129"/>
      <c r="X73" s="183">
        <v>0.44465709351478622</v>
      </c>
      <c r="Y73" s="129"/>
      <c r="Z73" s="183">
        <v>0.44029840402950104</v>
      </c>
      <c r="AA73" s="129"/>
      <c r="AB73" s="183">
        <v>0.43519843963352478</v>
      </c>
      <c r="AC73" s="129"/>
      <c r="AD73" s="183">
        <v>0.42892710714388022</v>
      </c>
      <c r="AE73" s="129"/>
      <c r="AF73" s="183">
        <v>0.42069458805175647</v>
      </c>
      <c r="AG73" s="129"/>
      <c r="AH73" s="183">
        <v>0.40904333434885592</v>
      </c>
      <c r="AI73" s="129"/>
      <c r="AJ73" s="183">
        <v>0.39134219057327713</v>
      </c>
      <c r="AK73" s="129"/>
      <c r="AL73" s="183">
        <v>0.36222442943316974</v>
      </c>
      <c r="AM73" s="129"/>
      <c r="AN73" s="183">
        <v>0.30366862342894407</v>
      </c>
      <c r="AO73" s="129"/>
      <c r="AP73" s="183">
        <v>0.28282163029267837</v>
      </c>
      <c r="AQ73" s="129"/>
      <c r="AR73" s="183">
        <v>0.25490726416659665</v>
      </c>
      <c r="AS73" s="129"/>
      <c r="AT73" s="183">
        <v>0.21454371658528282</v>
      </c>
      <c r="AU73" s="129"/>
      <c r="AV73" s="183">
        <v>0.14787306808584899</v>
      </c>
      <c r="XFD73" s="183"/>
    </row>
    <row r="74" spans="1:48 16384:16384" x14ac:dyDescent="0.2">
      <c r="A74" t="s">
        <v>169</v>
      </c>
      <c r="B74" s="183">
        <v>0.22604620456442484</v>
      </c>
      <c r="D74" s="183">
        <v>0.22604620456442484</v>
      </c>
      <c r="E74" s="129"/>
      <c r="F74" s="183">
        <v>0.22604620456442484</v>
      </c>
      <c r="G74" s="129"/>
      <c r="H74" s="183">
        <v>0.22604620456442484</v>
      </c>
      <c r="I74" s="129"/>
      <c r="J74" s="183">
        <v>0.22604620456442484</v>
      </c>
      <c r="K74" s="129"/>
      <c r="L74" s="183">
        <v>0.22604620456442484</v>
      </c>
      <c r="M74" s="129"/>
      <c r="N74" s="183">
        <v>0.22604620456442484</v>
      </c>
      <c r="O74" s="129"/>
      <c r="P74" s="183">
        <v>0.22604620456442487</v>
      </c>
      <c r="Q74" s="129"/>
      <c r="R74" s="183">
        <v>0.22604620456442484</v>
      </c>
      <c r="S74" s="129"/>
      <c r="T74" s="183">
        <v>0.22604620456442484</v>
      </c>
      <c r="U74" s="129"/>
      <c r="V74" s="183">
        <v>0.22604620456442484</v>
      </c>
      <c r="W74" s="129"/>
      <c r="X74" s="183">
        <v>0.22604620456442484</v>
      </c>
      <c r="Y74" s="129"/>
      <c r="Z74" s="183">
        <v>0.22604620456442484</v>
      </c>
      <c r="AA74" s="129"/>
      <c r="AB74" s="183">
        <v>0.22604620456442484</v>
      </c>
      <c r="AC74" s="129"/>
      <c r="AD74" s="183">
        <v>0.22604620456442484</v>
      </c>
      <c r="AE74" s="129"/>
      <c r="AF74" s="183">
        <v>0.22604620456442484</v>
      </c>
      <c r="AG74" s="129"/>
      <c r="AH74" s="183">
        <v>0.22604620456442484</v>
      </c>
      <c r="AI74" s="129"/>
      <c r="AJ74" s="183">
        <v>0.22604620456442484</v>
      </c>
      <c r="AK74" s="129"/>
      <c r="AL74" s="183">
        <v>0.22604620456442484</v>
      </c>
      <c r="AM74" s="129"/>
      <c r="AN74" s="183">
        <v>0.22604620456442484</v>
      </c>
      <c r="AO74" s="129"/>
      <c r="AP74" s="183">
        <v>0.22604620456442481</v>
      </c>
      <c r="AQ74" s="129"/>
      <c r="AR74" s="183">
        <v>0.22604620456442481</v>
      </c>
      <c r="AS74" s="129"/>
      <c r="AT74" s="183">
        <v>0.22604620456442484</v>
      </c>
      <c r="AU74" s="129"/>
      <c r="AV74" s="183">
        <v>0.22604620456442484</v>
      </c>
      <c r="XFD74" s="183"/>
    </row>
    <row r="75" spans="1:48 16384:16384" x14ac:dyDescent="0.2">
      <c r="A75" t="s">
        <v>170</v>
      </c>
      <c r="B75" s="183">
        <v>0.22038438833194082</v>
      </c>
      <c r="D75" s="183">
        <v>0.22274483674813333</v>
      </c>
      <c r="E75" s="129"/>
      <c r="F75" s="183">
        <v>0.22516068279265727</v>
      </c>
      <c r="G75" s="129"/>
      <c r="H75" s="183">
        <v>0.22764120941777582</v>
      </c>
      <c r="I75" s="129"/>
      <c r="J75" s="183">
        <v>0.23019768990784217</v>
      </c>
      <c r="K75" s="129"/>
      <c r="L75" s="183">
        <v>0.23284400661428331</v>
      </c>
      <c r="M75" s="129"/>
      <c r="N75" s="183">
        <v>0.23559765306580499</v>
      </c>
      <c r="O75" s="129"/>
      <c r="P75" s="183">
        <v>0.23848125418510646</v>
      </c>
      <c r="Q75" s="129"/>
      <c r="R75" s="183">
        <v>0.24152496502163345</v>
      </c>
      <c r="S75" s="129"/>
      <c r="T75" s="183">
        <v>0.24477052256893067</v>
      </c>
      <c r="U75" s="129"/>
      <c r="V75" s="183">
        <v>0.24827813434058846</v>
      </c>
      <c r="W75" s="129"/>
      <c r="X75" s="183">
        <v>0.25213883614629562</v>
      </c>
      <c r="Y75" s="129"/>
      <c r="Z75" s="183">
        <v>0.25649751903575962</v>
      </c>
      <c r="AA75" s="129"/>
      <c r="AB75" s="183">
        <v>0.26159748242774183</v>
      </c>
      <c r="AC75" s="129"/>
      <c r="AD75" s="183">
        <v>0.26786881481821817</v>
      </c>
      <c r="AE75" s="129"/>
      <c r="AF75" s="183">
        <v>0.2761013336752175</v>
      </c>
      <c r="AG75" s="129"/>
      <c r="AH75" s="183">
        <v>0.28775258756498917</v>
      </c>
      <c r="AI75" s="129"/>
      <c r="AJ75" s="183">
        <v>0.30545373128502923</v>
      </c>
      <c r="AK75" s="129"/>
      <c r="AL75" s="183">
        <v>0.33457149242768047</v>
      </c>
      <c r="AM75" s="129"/>
      <c r="AN75" s="183">
        <v>0.39312729843175015</v>
      </c>
      <c r="AO75" s="129"/>
      <c r="AP75" s="183">
        <v>0.41397429156801668</v>
      </c>
      <c r="AQ75" s="129"/>
      <c r="AR75" s="183">
        <v>0.44188865769410879</v>
      </c>
      <c r="AS75" s="129"/>
      <c r="AT75" s="183">
        <v>0.48225220527540891</v>
      </c>
      <c r="AU75" s="129"/>
      <c r="AV75" s="183">
        <v>0.54892285377514893</v>
      </c>
      <c r="XFD75" s="183"/>
    </row>
    <row r="76" spans="1:48 16384:16384" x14ac:dyDescent="0.2">
      <c r="A76" t="s">
        <v>171</v>
      </c>
      <c r="B76" s="183">
        <v>0.22301874374724867</v>
      </c>
      <c r="D76" s="183">
        <v>0.22300300226621628</v>
      </c>
      <c r="E76" s="129"/>
      <c r="F76" s="183">
        <v>0.22304203150587315</v>
      </c>
      <c r="G76" s="129"/>
      <c r="H76" s="183">
        <v>0.22314275454827259</v>
      </c>
      <c r="I76" s="129"/>
      <c r="J76" s="183">
        <v>0.22331296113478918</v>
      </c>
      <c r="K76" s="129"/>
      <c r="L76" s="183">
        <v>0.22356122065256601</v>
      </c>
      <c r="M76" s="129"/>
      <c r="N76" s="183">
        <v>0.22389662956004558</v>
      </c>
      <c r="O76" s="129"/>
      <c r="P76" s="183">
        <v>0.22432818398191876</v>
      </c>
      <c r="Q76" s="129"/>
      <c r="R76" s="183">
        <v>0.22486346908771987</v>
      </c>
      <c r="S76" s="129"/>
      <c r="T76" s="183">
        <v>0.22550607496632324</v>
      </c>
      <c r="U76" s="129"/>
      <c r="V76" s="183">
        <v>0.226250545889112</v>
      </c>
      <c r="W76" s="129"/>
      <c r="X76" s="183">
        <v>0.22707259511046513</v>
      </c>
      <c r="Y76" s="129"/>
      <c r="Z76" s="183">
        <v>0.22791015609930765</v>
      </c>
      <c r="AA76" s="129"/>
      <c r="AB76" s="183">
        <v>0.22862681534430104</v>
      </c>
      <c r="AC76" s="129"/>
      <c r="AD76" s="183">
        <v>0.22894469718606689</v>
      </c>
      <c r="AE76" s="129"/>
      <c r="AF76" s="183">
        <v>0.22834225978777456</v>
      </c>
      <c r="AG76" s="129"/>
      <c r="AH76" s="183">
        <v>0.2260026297766406</v>
      </c>
      <c r="AI76" s="129"/>
      <c r="AJ76" s="183">
        <v>0.22115572172250533</v>
      </c>
      <c r="AK76" s="129"/>
      <c r="AL76" s="183">
        <v>0.21395744958934593</v>
      </c>
      <c r="AM76" s="129"/>
      <c r="AN76" s="183">
        <v>0.20572702844977436</v>
      </c>
      <c r="AO76" s="129"/>
      <c r="AP76" s="183">
        <v>0.20419171176700526</v>
      </c>
      <c r="AQ76" s="129"/>
      <c r="AR76" s="183">
        <v>0.20286401714913821</v>
      </c>
      <c r="AS76" s="129"/>
      <c r="AT76" s="183">
        <v>0.20202929057518862</v>
      </c>
      <c r="AU76" s="129"/>
      <c r="AV76" s="183">
        <v>0.20256613214844035</v>
      </c>
      <c r="XFD76" s="183"/>
    </row>
    <row r="77" spans="1:48 16384:16384" x14ac:dyDescent="0.2">
      <c r="A77" t="s">
        <v>172</v>
      </c>
      <c r="B77" s="183">
        <v>0.14586087017236485</v>
      </c>
      <c r="D77" s="183">
        <v>0.14584514224854214</v>
      </c>
      <c r="E77" s="129"/>
      <c r="F77" s="183">
        <v>0.14588415832995011</v>
      </c>
      <c r="G77" s="129"/>
      <c r="H77" s="183">
        <v>0.1459848815262004</v>
      </c>
      <c r="I77" s="129"/>
      <c r="J77" s="183">
        <v>0.1461550896368872</v>
      </c>
      <c r="K77" s="129"/>
      <c r="L77" s="183">
        <v>0.1464033479094157</v>
      </c>
      <c r="M77" s="129"/>
      <c r="N77" s="183">
        <v>0.146738757578947</v>
      </c>
      <c r="O77" s="129"/>
      <c r="P77" s="183">
        <v>0.14717031466327363</v>
      </c>
      <c r="Q77" s="129"/>
      <c r="R77" s="183">
        <v>0.14770559877236952</v>
      </c>
      <c r="S77" s="129"/>
      <c r="T77" s="183">
        <v>0.1483482053201455</v>
      </c>
      <c r="U77" s="129"/>
      <c r="V77" s="183">
        <v>0.14909267593471651</v>
      </c>
      <c r="W77" s="129"/>
      <c r="X77" s="183">
        <v>0.14991472933597183</v>
      </c>
      <c r="Y77" s="129"/>
      <c r="Z77" s="183">
        <v>0.15075228372899305</v>
      </c>
      <c r="AA77" s="129"/>
      <c r="AB77" s="183">
        <v>0.15146894196999233</v>
      </c>
      <c r="AC77" s="129"/>
      <c r="AD77" s="183">
        <v>0.15178682371259014</v>
      </c>
      <c r="AE77" s="129"/>
      <c r="AF77" s="183">
        <v>0.15118438607917326</v>
      </c>
      <c r="AG77" s="129"/>
      <c r="AH77" s="183">
        <v>0.14884475625491056</v>
      </c>
      <c r="AI77" s="129"/>
      <c r="AJ77" s="183">
        <v>0.14399784814523642</v>
      </c>
      <c r="AK77" s="129"/>
      <c r="AL77" s="183">
        <v>0.13679957601462092</v>
      </c>
      <c r="AM77" s="129"/>
      <c r="AN77" s="183">
        <v>0.12856915487489343</v>
      </c>
      <c r="AO77" s="129"/>
      <c r="AP77" s="183">
        <v>0.1270338381921251</v>
      </c>
      <c r="AQ77" s="129"/>
      <c r="AR77" s="183">
        <v>0.12570614357426846</v>
      </c>
      <c r="AS77" s="129"/>
      <c r="AT77" s="183">
        <v>0.12487141700030518</v>
      </c>
      <c r="AU77" s="129"/>
      <c r="AV77" s="183">
        <v>0.12540825857386312</v>
      </c>
      <c r="XFD77" s="183"/>
    </row>
    <row r="78" spans="1:48 16384:16384" x14ac:dyDescent="0.2">
      <c r="A78" t="s">
        <v>173</v>
      </c>
      <c r="B78" s="183">
        <v>0.346887593115773</v>
      </c>
      <c r="D78" s="183">
        <v>0.34631466784598969</v>
      </c>
      <c r="E78" s="129"/>
      <c r="F78" s="183">
        <v>0.34569278680217569</v>
      </c>
      <c r="G78" s="129"/>
      <c r="H78" s="183">
        <v>0.34501504882889011</v>
      </c>
      <c r="I78" s="129"/>
      <c r="J78" s="183">
        <v>0.34427298590490146</v>
      </c>
      <c r="K78" s="129"/>
      <c r="L78" s="183">
        <v>0.34345596197806527</v>
      </c>
      <c r="M78" s="129"/>
      <c r="N78" s="183">
        <v>0.34255028173575064</v>
      </c>
      <c r="O78" s="129"/>
      <c r="P78" s="183">
        <v>0.34153781540171263</v>
      </c>
      <c r="Q78" s="129"/>
      <c r="R78" s="183">
        <v>0.34039378981411095</v>
      </c>
      <c r="S78" s="129"/>
      <c r="T78" s="183">
        <v>0.3390831377836232</v>
      </c>
      <c r="U78" s="129"/>
      <c r="V78" s="183">
        <v>0.33755428825926087</v>
      </c>
      <c r="W78" s="129"/>
      <c r="X78" s="183">
        <v>0.3357281981023385</v>
      </c>
      <c r="Y78" s="129"/>
      <c r="Z78" s="183">
        <v>0.33347830004073509</v>
      </c>
      <c r="AA78" s="129"/>
      <c r="AB78" s="183">
        <v>0.33059261589654382</v>
      </c>
      <c r="AC78" s="129"/>
      <c r="AD78" s="183">
        <v>0.32670102562846726</v>
      </c>
      <c r="AE78" s="129"/>
      <c r="AF78" s="183">
        <v>0.32113956070044097</v>
      </c>
      <c r="AG78" s="129"/>
      <c r="AH78" s="183">
        <v>0.3127266348152225</v>
      </c>
      <c r="AI78" s="129"/>
      <c r="AJ78" s="183">
        <v>0.29942741008405233</v>
      </c>
      <c r="AK78" s="129"/>
      <c r="AL78" s="183">
        <v>0.27721326134091401</v>
      </c>
      <c r="AM78" s="129"/>
      <c r="AN78" s="183">
        <v>0.23240702709778169</v>
      </c>
      <c r="AO78" s="129"/>
      <c r="AP78" s="183">
        <v>0.21645228957354384</v>
      </c>
      <c r="AQ78" s="129"/>
      <c r="AR78" s="183">
        <v>0.19508858451425165</v>
      </c>
      <c r="AS78" s="129"/>
      <c r="AT78" s="183">
        <v>0.16419709509473138</v>
      </c>
      <c r="AU78" s="129"/>
      <c r="AV78" s="183">
        <v>0.11317193938283551</v>
      </c>
      <c r="XFD78" s="183"/>
    </row>
    <row r="79" spans="1:48 16384:16384" x14ac:dyDescent="0.2">
      <c r="A79" t="s">
        <v>174</v>
      </c>
      <c r="B79" s="183">
        <v>0.45460968782440875</v>
      </c>
      <c r="D79" s="183">
        <v>0.45121147899328307</v>
      </c>
      <c r="F79" s="183">
        <v>0.44776902717113487</v>
      </c>
      <c r="H79" s="183">
        <v>0.44427361597901999</v>
      </c>
      <c r="J79" s="183">
        <v>0.44071475663841181</v>
      </c>
      <c r="L79" s="183">
        <v>0.43707970331652046</v>
      </c>
      <c r="N79" s="183">
        <v>0.43335273942763713</v>
      </c>
      <c r="P79" s="183">
        <v>0.42951395484667848</v>
      </c>
      <c r="R79" s="183">
        <v>0.42553735522206393</v>
      </c>
      <c r="T79" s="183">
        <v>0.42138779974876961</v>
      </c>
      <c r="V79" s="183">
        <v>0.41701557295310787</v>
      </c>
      <c r="X79" s="183">
        <v>0.41234655571802525</v>
      </c>
      <c r="Z79" s="183">
        <v>0.40726357455453582</v>
      </c>
      <c r="AB79" s="183">
        <v>0.40156926713694491</v>
      </c>
      <c r="AD79" s="183">
        <v>0.39491019831464785</v>
      </c>
      <c r="AF79" s="183">
        <v>0.38662157675763642</v>
      </c>
      <c r="AH79" s="183">
        <v>0.37543285980870827</v>
      </c>
      <c r="AJ79" s="183">
        <v>0.35895233016012729</v>
      </c>
      <c r="AL79" s="183">
        <v>0.33217982602577195</v>
      </c>
      <c r="AN79" s="183">
        <v>0.27847392110647939</v>
      </c>
      <c r="AP79" s="183">
        <v>0.25935644241044442</v>
      </c>
      <c r="AR79" s="183">
        <v>0.23375804228428379</v>
      </c>
      <c r="AT79" s="183">
        <v>0.19674338048993548</v>
      </c>
      <c r="AV79" s="183">
        <v>0.13560428380639447</v>
      </c>
      <c r="XFD79" s="183"/>
    </row>
    <row r="80" spans="1:48 16384:16384" x14ac:dyDescent="0.2">
      <c r="A80" t="s">
        <v>153</v>
      </c>
      <c r="B80" s="195">
        <v>0.19850271905982084</v>
      </c>
      <c r="D80" s="195">
        <v>0.20247388843135575</v>
      </c>
      <c r="F80" s="195">
        <v>0.20653818488935607</v>
      </c>
      <c r="H80" s="195">
        <v>0.21071133343823317</v>
      </c>
      <c r="J80" s="195">
        <v>0.21501226469266049</v>
      </c>
      <c r="L80" s="195">
        <v>0.21946433157637191</v>
      </c>
      <c r="N80" s="195">
        <v>0.22409697248383026</v>
      </c>
      <c r="P80" s="195">
        <v>0.22894823356834854</v>
      </c>
      <c r="R80" s="195">
        <v>0.23406885789669241</v>
      </c>
      <c r="T80" s="195">
        <v>0.23952906596930224</v>
      </c>
      <c r="V80" s="195">
        <v>0.24543014194077353</v>
      </c>
      <c r="X80" s="195">
        <v>0.25192525307843944</v>
      </c>
      <c r="Z80" s="195">
        <v>0.25925813428874789</v>
      </c>
      <c r="AB80" s="195">
        <v>0.26783811656367762</v>
      </c>
      <c r="AD80" s="195">
        <v>0.27838877514380889</v>
      </c>
      <c r="AF80" s="195">
        <v>0.29223886498182627</v>
      </c>
      <c r="AH80" s="195">
        <v>0.31184050512306816</v>
      </c>
      <c r="AJ80" s="195">
        <v>0.34162026008741897</v>
      </c>
      <c r="AL80" s="195">
        <v>0.39060691254205704</v>
      </c>
      <c r="AN80" s="195">
        <v>0.4891190517859022</v>
      </c>
      <c r="AP80" s="195">
        <v>0.5241912680204216</v>
      </c>
      <c r="AR80" s="195">
        <v>0.57115337321166693</v>
      </c>
      <c r="AT80" s="195">
        <v>0.63905952441494651</v>
      </c>
      <c r="AV80" s="195">
        <v>0.75122377687189446</v>
      </c>
      <c r="XFD80" s="195"/>
    </row>
    <row r="81" spans="1:48 16384:16384" x14ac:dyDescent="0.2">
      <c r="A81" t="s">
        <v>175</v>
      </c>
      <c r="B81" s="195">
        <v>-2.7543485504603994E-2</v>
      </c>
      <c r="D81" s="195">
        <v>-2.3572316133069079E-2</v>
      </c>
      <c r="F81" s="195">
        <v>-1.9508019675068742E-2</v>
      </c>
      <c r="H81" s="195">
        <v>-1.5334871126191672E-2</v>
      </c>
      <c r="J81" s="195">
        <v>-1.1033939871764337E-2</v>
      </c>
      <c r="L81" s="195">
        <v>-6.581872988052938E-3</v>
      </c>
      <c r="N81" s="195">
        <v>-1.9492320805945859E-3</v>
      </c>
      <c r="P81" s="195">
        <v>2.9020290039236665E-3</v>
      </c>
      <c r="R81" s="195">
        <v>8.0226533322675635E-3</v>
      </c>
      <c r="T81" s="195">
        <v>1.3482861404877415E-2</v>
      </c>
      <c r="V81" s="195">
        <v>1.9383937376348696E-2</v>
      </c>
      <c r="X81" s="195">
        <v>2.5879048514014624E-2</v>
      </c>
      <c r="Z81" s="195">
        <v>3.3211929724323068E-2</v>
      </c>
      <c r="AB81" s="195">
        <v>4.1791911999252779E-2</v>
      </c>
      <c r="AD81" s="195">
        <v>5.2342570579384032E-2</v>
      </c>
      <c r="AF81" s="195">
        <v>6.6192660417401419E-2</v>
      </c>
      <c r="AH81" s="195">
        <v>8.5794300558643316E-2</v>
      </c>
      <c r="AJ81" s="195">
        <v>0.11557405552299416</v>
      </c>
      <c r="AL81" s="195">
        <v>0.16456070797763223</v>
      </c>
      <c r="AN81" s="195">
        <v>0.26307284722147734</v>
      </c>
      <c r="AP81" s="195">
        <v>0.29814506345599678</v>
      </c>
      <c r="AR81" s="195">
        <v>0.34510716864724211</v>
      </c>
      <c r="AT81" s="195">
        <v>0.41301331985052164</v>
      </c>
      <c r="AV81" s="195">
        <v>0.52517757230746964</v>
      </c>
      <c r="XFD81" s="195"/>
    </row>
    <row r="82" spans="1:48 16384:16384" x14ac:dyDescent="0.2">
      <c r="A82" t="s">
        <v>176</v>
      </c>
      <c r="B82" s="195">
        <v>0.14069693704202227</v>
      </c>
      <c r="D82" s="195">
        <v>0.14046455966037985</v>
      </c>
      <c r="F82" s="195">
        <v>0.14021232591144916</v>
      </c>
      <c r="H82" s="195">
        <v>0.13993743669992723</v>
      </c>
      <c r="J82" s="195">
        <v>0.13963645741277581</v>
      </c>
      <c r="L82" s="195">
        <v>0.13930507408781057</v>
      </c>
      <c r="N82" s="195">
        <v>0.138937731932709</v>
      </c>
      <c r="P82" s="195">
        <v>0.13852707754528104</v>
      </c>
      <c r="R82" s="195">
        <v>0.13806306297898452</v>
      </c>
      <c r="T82" s="195">
        <v>0.13753146504963459</v>
      </c>
      <c r="V82" s="195">
        <v>0.13691136663866563</v>
      </c>
      <c r="X82" s="195">
        <v>0.13617070800186104</v>
      </c>
      <c r="Z82" s="195">
        <v>0.13525815369837305</v>
      </c>
      <c r="AB82" s="195">
        <v>0.13408772578911388</v>
      </c>
      <c r="AD82" s="195">
        <v>0.13250930430098018</v>
      </c>
      <c r="AF82" s="195">
        <v>0.13025358487956293</v>
      </c>
      <c r="AH82" s="195">
        <v>0.12684131840736101</v>
      </c>
      <c r="AJ82" s="195">
        <v>0.12144717857116148</v>
      </c>
      <c r="AL82" s="195">
        <v>0.11243716279319063</v>
      </c>
      <c r="AN82" s="195">
        <v>9.4263840819429207E-2</v>
      </c>
      <c r="AP82" s="195">
        <v>8.7792630128937621E-2</v>
      </c>
      <c r="AR82" s="195">
        <v>7.9127552664756351E-2</v>
      </c>
      <c r="AT82" s="195">
        <v>6.6598024286547805E-2</v>
      </c>
      <c r="AV82" s="195">
        <v>4.5902319789673532E-2</v>
      </c>
    </row>
    <row r="83" spans="1:48 16384:16384" x14ac:dyDescent="0.2">
      <c r="A83" t="s">
        <v>177</v>
      </c>
      <c r="B83" s="195">
        <v>0.18438881036940691</v>
      </c>
      <c r="D83" s="195">
        <v>0.18301050343812103</v>
      </c>
      <c r="F83" s="195">
        <v>0.18161425163522266</v>
      </c>
      <c r="H83" s="195">
        <v>0.18019651961426555</v>
      </c>
      <c r="J83" s="195">
        <v>0.17875305314695997</v>
      </c>
      <c r="L83" s="195">
        <v>0.17727868254817108</v>
      </c>
      <c r="N83" s="195">
        <v>0.17576703320112422</v>
      </c>
      <c r="P83" s="195">
        <v>0.17421002959758294</v>
      </c>
      <c r="R83" s="195">
        <v>0.17259712847880759</v>
      </c>
      <c r="T83" s="195">
        <v>0.17091407680222709</v>
      </c>
      <c r="V83" s="195">
        <v>0.16914071006784132</v>
      </c>
      <c r="X83" s="195">
        <v>0.16724696570508665</v>
      </c>
      <c r="Z83" s="195">
        <v>0.16518531837339157</v>
      </c>
      <c r="AB83" s="195">
        <v>0.162875718295065</v>
      </c>
      <c r="AD83" s="195">
        <v>0.16017481285640744</v>
      </c>
      <c r="AF83" s="195">
        <v>0.15681296397937719</v>
      </c>
      <c r="AH83" s="195">
        <v>0.15227484201887523</v>
      </c>
      <c r="AJ83" s="195">
        <v>0.14559037105939729</v>
      </c>
      <c r="AL83" s="195">
        <v>0.13473149514857305</v>
      </c>
      <c r="AN83" s="195">
        <v>0.1129484839565508</v>
      </c>
      <c r="AP83" s="195">
        <v>0.10519447156210772</v>
      </c>
      <c r="AR83" s="195">
        <v>9.4811809966814264E-2</v>
      </c>
      <c r="AT83" s="195">
        <v>7.9798734712857117E-2</v>
      </c>
      <c r="AV83" s="195">
        <v>5.5000835313729984E-2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4"/>
  <dimension ref="A1:XFD83"/>
  <sheetViews>
    <sheetView showGridLines="0" workbookViewId="0">
      <pane xSplit="1" ySplit="1" topLeftCell="B33"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c r="AP1" s="91"/>
      <c r="AR1" s="91"/>
      <c r="AT1" s="91"/>
      <c r="AV1" s="91"/>
    </row>
    <row r="2" spans="1:49" x14ac:dyDescent="0.2">
      <c r="A2" s="190" t="s">
        <v>139</v>
      </c>
      <c r="B2" s="188">
        <v>5.7716594496607888E-3</v>
      </c>
      <c r="C2" s="189"/>
      <c r="D2" s="188">
        <v>5.6613144183313743E-2</v>
      </c>
      <c r="E2" s="189"/>
      <c r="F2" s="188">
        <v>0.11238299223790056</v>
      </c>
      <c r="G2" s="189"/>
      <c r="H2" s="188">
        <v>0.1738781132406336</v>
      </c>
      <c r="I2" s="189"/>
      <c r="J2" s="188">
        <v>0.24209690208904491</v>
      </c>
      <c r="K2" s="189"/>
      <c r="L2" s="188">
        <v>0.31831153568559589</v>
      </c>
      <c r="M2" s="189"/>
      <c r="N2" s="188">
        <v>0.40419162312909251</v>
      </c>
      <c r="O2" s="189"/>
      <c r="P2" s="188">
        <v>0.50197315221493877</v>
      </c>
      <c r="Q2" s="189"/>
      <c r="R2" s="188">
        <v>0.61475624813283969</v>
      </c>
      <c r="S2" s="189"/>
      <c r="T2" s="188">
        <v>0.74699888555461624</v>
      </c>
      <c r="U2" s="189"/>
      <c r="V2" s="188">
        <v>0.90539407028806029</v>
      </c>
      <c r="W2" s="189"/>
      <c r="X2" s="188">
        <v>1.1005158046198136</v>
      </c>
      <c r="Y2" s="189"/>
      <c r="Z2" s="188">
        <v>1.3501042044668816</v>
      </c>
      <c r="AA2" s="189"/>
      <c r="AB2" s="188">
        <v>1.6861089978417878</v>
      </c>
      <c r="AC2" s="189"/>
      <c r="AD2" s="188">
        <v>2.1710424633437735</v>
      </c>
      <c r="AE2" s="189"/>
      <c r="AF2" s="188">
        <v>2.9390284943982472</v>
      </c>
      <c r="AG2" s="189"/>
      <c r="AH2" s="188">
        <v>4.305973188490146</v>
      </c>
      <c r="AI2" s="189"/>
      <c r="AJ2" s="188">
        <v>7.0932888892520785</v>
      </c>
      <c r="AK2" s="189"/>
      <c r="AL2" s="188">
        <v>13.882121838816106</v>
      </c>
      <c r="AM2" s="189"/>
      <c r="AN2" s="188"/>
      <c r="AO2" s="189"/>
      <c r="AP2" s="188"/>
      <c r="AQ2" s="189"/>
      <c r="AR2" s="188"/>
      <c r="AS2" s="189"/>
      <c r="AT2" s="188"/>
      <c r="AU2" s="189"/>
      <c r="AV2" s="188"/>
      <c r="AW2" s="189"/>
    </row>
    <row r="3" spans="1:49" x14ac:dyDescent="0.2">
      <c r="A3" t="s">
        <v>12</v>
      </c>
      <c r="B3" s="81">
        <v>1000</v>
      </c>
      <c r="C3" s="82">
        <v>1000</v>
      </c>
      <c r="D3" s="81">
        <v>998.6198824459351</v>
      </c>
      <c r="E3" s="82">
        <v>1021.1325117335471</v>
      </c>
      <c r="F3" s="81">
        <v>997.1889897974022</v>
      </c>
      <c r="G3" s="82">
        <v>1044.9070183877445</v>
      </c>
      <c r="H3" s="81">
        <v>995.69963690954182</v>
      </c>
      <c r="I3" s="82">
        <v>1071.7984438807216</v>
      </c>
      <c r="J3" s="81">
        <v>994.14289639114963</v>
      </c>
      <c r="K3" s="82">
        <v>1102.4029110202064</v>
      </c>
      <c r="L3" s="81">
        <v>992.50867096573973</v>
      </c>
      <c r="M3" s="82">
        <v>1137.4786354475016</v>
      </c>
      <c r="N3" s="81">
        <v>990.78581944290443</v>
      </c>
      <c r="O3" s="82">
        <v>1178.0135468879332</v>
      </c>
      <c r="P3" s="81">
        <v>988.96284580543193</v>
      </c>
      <c r="Q3" s="82">
        <v>1225.3152037283737</v>
      </c>
      <c r="R3" s="81">
        <v>987.02920786359437</v>
      </c>
      <c r="S3" s="82">
        <v>1281.1648606374356</v>
      </c>
      <c r="T3" s="81">
        <v>984.97806837251198</v>
      </c>
      <c r="U3" s="82">
        <v>1348.0645203486704</v>
      </c>
      <c r="V3" s="81">
        <v>982.8116638399631</v>
      </c>
      <c r="W3" s="82">
        <v>1429.6647437919169</v>
      </c>
      <c r="X3" s="81">
        <v>980.55172279336603</v>
      </c>
      <c r="Y3" s="82">
        <v>1531.5426094519746</v>
      </c>
      <c r="Z3" s="81">
        <v>978.25961957470577</v>
      </c>
      <c r="AA3" s="82">
        <v>1662.7094922053466</v>
      </c>
      <c r="AB3" s="81">
        <v>976.07513537912564</v>
      </c>
      <c r="AC3" s="82">
        <v>1838.7438280147767</v>
      </c>
      <c r="AD3" s="81">
        <v>974.2876213007271</v>
      </c>
      <c r="AE3" s="82">
        <v>2088.8281025836177</v>
      </c>
      <c r="AF3" s="81">
        <v>973.44268413610632</v>
      </c>
      <c r="AG3" s="82">
        <v>2472.8144498494285</v>
      </c>
      <c r="AH3" s="81">
        <v>974.37891840891405</v>
      </c>
      <c r="AI3" s="82">
        <v>3125.7250849760494</v>
      </c>
      <c r="AJ3" s="81">
        <v>977.7813832834446</v>
      </c>
      <c r="AK3" s="82">
        <v>4387.4985438586191</v>
      </c>
      <c r="AL3" s="81">
        <v>983.09633014508211</v>
      </c>
      <c r="AM3" s="82">
        <v>7312.9367437303081</v>
      </c>
      <c r="AN3" s="81"/>
      <c r="AO3" s="82"/>
      <c r="AP3" s="81"/>
      <c r="AQ3" s="82"/>
      <c r="AR3" s="81"/>
      <c r="AS3" s="82"/>
      <c r="AT3" s="81"/>
      <c r="AU3" s="82"/>
      <c r="AV3" s="81"/>
      <c r="AW3" s="82"/>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c r="AO4" s="96"/>
      <c r="AP4" s="95"/>
      <c r="AQ4" s="96"/>
      <c r="AR4" s="95"/>
      <c r="AS4" s="96"/>
      <c r="AT4" s="95"/>
      <c r="AU4" s="96"/>
      <c r="AV4" s="95"/>
      <c r="AW4" s="96"/>
    </row>
    <row r="5" spans="1:49" x14ac:dyDescent="0.2">
      <c r="A5" t="s">
        <v>115</v>
      </c>
      <c r="B5" s="39">
        <v>1000</v>
      </c>
      <c r="C5" s="40">
        <v>1000</v>
      </c>
      <c r="D5" s="39">
        <v>998.5514320142662</v>
      </c>
      <c r="E5" s="40">
        <v>1018.36680296573</v>
      </c>
      <c r="F5" s="39">
        <v>997.04868106121273</v>
      </c>
      <c r="G5" s="40">
        <v>1038.5825431016447</v>
      </c>
      <c r="H5" s="39">
        <v>995.48356760157571</v>
      </c>
      <c r="I5" s="40">
        <v>1060.8836045868966</v>
      </c>
      <c r="J5" s="39">
        <v>993.84657959023195</v>
      </c>
      <c r="K5" s="40">
        <v>1085.5417364691386</v>
      </c>
      <c r="L5" s="39">
        <v>992.12694237436631</v>
      </c>
      <c r="M5" s="40">
        <v>1112.8708623653085</v>
      </c>
      <c r="N5" s="39">
        <v>990.31274156462291</v>
      </c>
      <c r="O5" s="40">
        <v>1143.2290880135783</v>
      </c>
      <c r="P5" s="39">
        <v>988.39164274289999</v>
      </c>
      <c r="Q5" s="40">
        <v>1177.0260636299547</v>
      </c>
      <c r="R5" s="39">
        <v>986.35226396573125</v>
      </c>
      <c r="S5" s="40">
        <v>1214.7235115236194</v>
      </c>
      <c r="T5" s="39">
        <v>984.18707926568061</v>
      </c>
      <c r="U5" s="40">
        <v>1256.8299511144467</v>
      </c>
      <c r="V5" s="39">
        <v>981.89810571504029</v>
      </c>
      <c r="W5" s="40">
        <v>1303.8826240390156</v>
      </c>
      <c r="X5" s="39">
        <v>979.50797099124338</v>
      </c>
      <c r="Y5" s="40">
        <v>1356.3940676115774</v>
      </c>
      <c r="Z5" s="39">
        <v>977.08136951254335</v>
      </c>
      <c r="AA5" s="40">
        <v>1414.7241860346076</v>
      </c>
      <c r="AB5" s="39">
        <v>974.76638618809613</v>
      </c>
      <c r="AC5" s="40">
        <v>1478.7799932514617</v>
      </c>
      <c r="AD5" s="39">
        <v>972.87039403962535</v>
      </c>
      <c r="AE5" s="40">
        <v>1547.3434190619141</v>
      </c>
      <c r="AF5" s="39">
        <v>971.97364700173364</v>
      </c>
      <c r="AG5" s="40">
        <v>1616.7121852822465</v>
      </c>
      <c r="AH5" s="39">
        <v>972.96726875904574</v>
      </c>
      <c r="AI5" s="40">
        <v>1678.9274720493866</v>
      </c>
      <c r="AJ5" s="39">
        <v>976.57475765370009</v>
      </c>
      <c r="AK5" s="40">
        <v>1723.0059206063331</v>
      </c>
      <c r="AL5" s="39">
        <v>982.1990021842978</v>
      </c>
      <c r="AM5" s="40">
        <v>1744.0843726306584</v>
      </c>
      <c r="AN5" s="39"/>
      <c r="AO5" s="40"/>
      <c r="AP5" s="39"/>
      <c r="AQ5" s="40"/>
      <c r="AR5" s="39"/>
      <c r="AS5" s="40"/>
      <c r="AT5" s="39"/>
      <c r="AU5" s="40"/>
      <c r="AV5" s="39"/>
      <c r="AW5" s="40"/>
    </row>
    <row r="6" spans="1:49" x14ac:dyDescent="0.2">
      <c r="A6" t="s">
        <v>77</v>
      </c>
      <c r="B6" s="39">
        <v>999.99999999999943</v>
      </c>
      <c r="C6" s="40">
        <v>999.99999999999909</v>
      </c>
      <c r="D6" s="39">
        <v>998.44080382978007</v>
      </c>
      <c r="E6" s="40">
        <v>1022.7740259308531</v>
      </c>
      <c r="F6" s="39">
        <v>996.8236517399564</v>
      </c>
      <c r="G6" s="40">
        <v>1048.3119761175078</v>
      </c>
      <c r="H6" s="39">
        <v>995.13978472261454</v>
      </c>
      <c r="I6" s="40">
        <v>1077.1019210255138</v>
      </c>
      <c r="J6" s="39">
        <v>993.37902097703727</v>
      </c>
      <c r="K6" s="40">
        <v>1109.7558944893824</v>
      </c>
      <c r="L6" s="39">
        <v>991.52983294309058</v>
      </c>
      <c r="M6" s="40">
        <v>1147.0517027360063</v>
      </c>
      <c r="N6" s="39">
        <v>989.57948445305578</v>
      </c>
      <c r="O6" s="40">
        <v>1190.0023963300112</v>
      </c>
      <c r="P6" s="39">
        <v>987.51480528531886</v>
      </c>
      <c r="Q6" s="40">
        <v>1239.9482130560732</v>
      </c>
      <c r="R6" s="39">
        <v>985.32366937083759</v>
      </c>
      <c r="S6" s="40">
        <v>1298.7146859630532</v>
      </c>
      <c r="T6" s="39">
        <v>982.99811312265024</v>
      </c>
      <c r="U6" s="40">
        <v>1368.8659863056505</v>
      </c>
      <c r="V6" s="39">
        <v>980.54043564618257</v>
      </c>
      <c r="W6" s="40">
        <v>1454.1437181320175</v>
      </c>
      <c r="X6" s="39">
        <v>977.9750581852104</v>
      </c>
      <c r="Y6" s="40">
        <v>1560.2647782177119</v>
      </c>
      <c r="Z6" s="39">
        <v>975.37149813832184</v>
      </c>
      <c r="AA6" s="40">
        <v>1696.4674864658896</v>
      </c>
      <c r="AB6" s="39">
        <v>972.88859508566634</v>
      </c>
      <c r="AC6" s="40">
        <v>1878.7234177213477</v>
      </c>
      <c r="AD6" s="39">
        <v>970.85572878254902</v>
      </c>
      <c r="AE6" s="40">
        <v>2136.9508771104033</v>
      </c>
      <c r="AF6" s="39">
        <v>969.89444935671509</v>
      </c>
      <c r="AG6" s="40">
        <v>2532.5074642181826</v>
      </c>
      <c r="AH6" s="39">
        <v>970.95958275272881</v>
      </c>
      <c r="AI6" s="40">
        <v>3203.8116578006448</v>
      </c>
      <c r="AJ6" s="39">
        <v>974.82806365191539</v>
      </c>
      <c r="AK6" s="40">
        <v>4499.4171257441585</v>
      </c>
      <c r="AL6" s="39">
        <v>980.86345998211084</v>
      </c>
      <c r="AM6" s="40">
        <v>7501.1877113068022</v>
      </c>
      <c r="AN6" s="39"/>
      <c r="AO6" s="40"/>
      <c r="AP6" s="39"/>
      <c r="AQ6" s="40"/>
      <c r="AR6" s="39"/>
      <c r="AS6" s="40"/>
      <c r="AT6" s="39"/>
      <c r="AU6" s="40"/>
      <c r="AV6" s="39"/>
      <c r="AW6" s="40"/>
    </row>
    <row r="7" spans="1:49" x14ac:dyDescent="0.2">
      <c r="A7" t="s">
        <v>13</v>
      </c>
      <c r="B7" s="31">
        <v>1015.9116825427475</v>
      </c>
      <c r="C7" s="32">
        <v>1015.9116825427475</v>
      </c>
      <c r="D7" s="31">
        <v>1014.4400654030831</v>
      </c>
      <c r="E7" s="32">
        <v>1014.4400654030831</v>
      </c>
      <c r="F7" s="31">
        <v>1012.9134031539238</v>
      </c>
      <c r="G7" s="32">
        <v>1012.9134031539238</v>
      </c>
      <c r="H7" s="31">
        <v>1011.3233861057737</v>
      </c>
      <c r="I7" s="32">
        <v>1011.3233861057737</v>
      </c>
      <c r="J7" s="31">
        <v>1009.6603508608671</v>
      </c>
      <c r="K7" s="32">
        <v>1009.6603508608671</v>
      </c>
      <c r="L7" s="31">
        <v>1007.9133513235339</v>
      </c>
      <c r="M7" s="32">
        <v>1007.9133513235339</v>
      </c>
      <c r="N7" s="31">
        <v>1006.070283526437</v>
      </c>
      <c r="O7" s="32">
        <v>1006.070283526437</v>
      </c>
      <c r="P7" s="31">
        <v>1004.1186167901296</v>
      </c>
      <c r="Q7" s="32">
        <v>1004.1186167901296</v>
      </c>
      <c r="R7" s="31">
        <v>1002.0467880652742</v>
      </c>
      <c r="S7" s="32">
        <v>1002.0467880652742</v>
      </c>
      <c r="T7" s="31">
        <v>999.84715163362989</v>
      </c>
      <c r="U7" s="32">
        <v>999.84715163362989</v>
      </c>
      <c r="V7" s="31">
        <v>997.52175666250309</v>
      </c>
      <c r="W7" s="32">
        <v>997.52175666250309</v>
      </c>
      <c r="X7" s="31">
        <v>995.09359087374673</v>
      </c>
      <c r="Y7" s="32">
        <v>995.09359087374673</v>
      </c>
      <c r="Z7" s="31">
        <v>992.62837808265988</v>
      </c>
      <c r="AA7" s="32">
        <v>992.62837808265988</v>
      </c>
      <c r="AB7" s="31">
        <v>990.27655947846222</v>
      </c>
      <c r="AC7" s="32">
        <v>990.27655947846222</v>
      </c>
      <c r="AD7" s="31">
        <v>988.35039890482153</v>
      </c>
      <c r="AE7" s="32">
        <v>988.35039890482153</v>
      </c>
      <c r="AF7" s="31">
        <v>987.43938311274167</v>
      </c>
      <c r="AG7" s="32">
        <v>987.43938311274167</v>
      </c>
      <c r="AH7" s="31">
        <v>988.44881506402373</v>
      </c>
      <c r="AI7" s="32">
        <v>988.44881506402373</v>
      </c>
      <c r="AJ7" s="31">
        <v>992.11370517674629</v>
      </c>
      <c r="AK7" s="32">
        <v>992.11370517674629</v>
      </c>
      <c r="AL7" s="31">
        <v>997.8274409008576</v>
      </c>
      <c r="AM7" s="32">
        <v>997.8274409008576</v>
      </c>
      <c r="AN7" s="31"/>
      <c r="AO7" s="32"/>
      <c r="AP7" s="31"/>
      <c r="AQ7" s="32"/>
      <c r="AR7" s="31"/>
      <c r="AS7" s="32"/>
      <c r="AT7" s="31"/>
      <c r="AU7" s="32"/>
      <c r="AV7" s="31"/>
      <c r="AW7" s="32"/>
    </row>
    <row r="8" spans="1:49" x14ac:dyDescent="0.2">
      <c r="B8" s="33">
        <v>1005.7716594496609</v>
      </c>
      <c r="C8" s="34">
        <v>1005.7716594496609</v>
      </c>
      <c r="D8" s="33">
        <v>1076.0197496135293</v>
      </c>
      <c r="E8" s="34">
        <v>1076.0197496135293</v>
      </c>
      <c r="F8" s="33">
        <v>1155.3015569814556</v>
      </c>
      <c r="G8" s="34">
        <v>1155.3015569814556</v>
      </c>
      <c r="H8" s="33">
        <v>1245.3480441203885</v>
      </c>
      <c r="I8" s="34">
        <v>1245.3480441203885</v>
      </c>
      <c r="J8" s="33">
        <v>1348.3480279566795</v>
      </c>
      <c r="K8" s="34">
        <v>1348.3480279566795</v>
      </c>
      <c r="L8" s="33">
        <v>1467.1104955845633</v>
      </c>
      <c r="M8" s="34">
        <v>1467.1104955845633</v>
      </c>
      <c r="N8" s="33">
        <v>1605.3127087061787</v>
      </c>
      <c r="O8" s="34">
        <v>1605.3127087061787</v>
      </c>
      <c r="P8" s="33">
        <v>1767.8615470294244</v>
      </c>
      <c r="Q8" s="34">
        <v>1767.8615470294244</v>
      </c>
      <c r="R8" s="33">
        <v>1961.4823799866281</v>
      </c>
      <c r="S8" s="34">
        <v>1961.4823799866281</v>
      </c>
      <c r="T8" s="33">
        <v>2195.6805239286014</v>
      </c>
      <c r="U8" s="34">
        <v>2195.6805239286014</v>
      </c>
      <c r="V8" s="33">
        <v>2484.4102201955766</v>
      </c>
      <c r="W8" s="34">
        <v>2484.4102201955766</v>
      </c>
      <c r="X8" s="33">
        <v>2849.1271763106743</v>
      </c>
      <c r="Y8" s="34">
        <v>2849.1271763106743</v>
      </c>
      <c r="Z8" s="33">
        <v>3324.7492577609182</v>
      </c>
      <c r="AA8" s="34">
        <v>3324.7492577609182</v>
      </c>
      <c r="AB8" s="33">
        <v>3972.1642457011694</v>
      </c>
      <c r="AC8" s="34">
        <v>3972.1642457011694</v>
      </c>
      <c r="AD8" s="33">
        <v>4906.6916872208685</v>
      </c>
      <c r="AE8" s="34">
        <v>4906.6916872208685</v>
      </c>
      <c r="AF8" s="33">
        <v>6368.2753650676277</v>
      </c>
      <c r="AG8" s="34">
        <v>6368.2753650676277</v>
      </c>
      <c r="AH8" s="33">
        <v>8908.3441521135846</v>
      </c>
      <c r="AI8" s="34">
        <v>8908.3441521135846</v>
      </c>
      <c r="AJ8" s="33">
        <v>13944.784673358787</v>
      </c>
      <c r="AK8" s="34">
        <v>13944.784673358787</v>
      </c>
      <c r="AL8" s="33">
        <v>25955.676130664608</v>
      </c>
      <c r="AM8" s="34">
        <v>25955.676130664608</v>
      </c>
      <c r="AN8" s="33"/>
      <c r="AO8" s="34"/>
      <c r="AP8" s="33"/>
      <c r="AQ8" s="34"/>
      <c r="AR8" s="33"/>
      <c r="AS8" s="34"/>
      <c r="AT8" s="33"/>
      <c r="AU8" s="34"/>
      <c r="AV8" s="33"/>
      <c r="AW8" s="34"/>
    </row>
    <row r="9" spans="1:49" x14ac:dyDescent="0.2">
      <c r="A9" t="s">
        <v>14</v>
      </c>
      <c r="B9" s="39">
        <v>1015.9116825427475</v>
      </c>
      <c r="C9" s="40">
        <v>1005.7716594496609</v>
      </c>
      <c r="D9" s="39">
        <v>1014.4400654030831</v>
      </c>
      <c r="E9" s="40">
        <v>1076.0197496135293</v>
      </c>
      <c r="F9" s="39">
        <v>1012.9134031539238</v>
      </c>
      <c r="G9" s="40">
        <v>1155.3015569814556</v>
      </c>
      <c r="H9" s="39">
        <v>1011.3233861057737</v>
      </c>
      <c r="I9" s="40">
        <v>1245.3480441203885</v>
      </c>
      <c r="J9" s="39">
        <v>1009.6603508608671</v>
      </c>
      <c r="K9" s="40">
        <v>1348.3480279566795</v>
      </c>
      <c r="L9" s="39">
        <v>1007.9133513235339</v>
      </c>
      <c r="M9" s="40">
        <v>1467.1104955845633</v>
      </c>
      <c r="N9" s="39">
        <v>1006.070283526437</v>
      </c>
      <c r="O9" s="40">
        <v>1605.3127087061787</v>
      </c>
      <c r="P9" s="39">
        <v>1004.1186167901296</v>
      </c>
      <c r="Q9" s="40">
        <v>1767.8615470294244</v>
      </c>
      <c r="R9" s="39">
        <v>1002.0467880652742</v>
      </c>
      <c r="S9" s="40">
        <v>1961.4823799866281</v>
      </c>
      <c r="T9" s="39">
        <v>999.84715163362989</v>
      </c>
      <c r="U9" s="40">
        <v>2195.6805239286014</v>
      </c>
      <c r="V9" s="39">
        <v>997.52175666250309</v>
      </c>
      <c r="W9" s="40">
        <v>2484.4102201955766</v>
      </c>
      <c r="X9" s="39">
        <v>995.09359087374673</v>
      </c>
      <c r="Y9" s="40">
        <v>2849.1271763106743</v>
      </c>
      <c r="Z9" s="39">
        <v>992.62837808265988</v>
      </c>
      <c r="AA9" s="40">
        <v>3324.7492577609182</v>
      </c>
      <c r="AB9" s="39">
        <v>990.27655947846222</v>
      </c>
      <c r="AC9" s="40">
        <v>3972.1642457011694</v>
      </c>
      <c r="AD9" s="39">
        <v>988.35039890482153</v>
      </c>
      <c r="AE9" s="40">
        <v>4906.6916872208685</v>
      </c>
      <c r="AF9" s="39">
        <v>987.43938311274167</v>
      </c>
      <c r="AG9" s="40">
        <v>6368.2753650676277</v>
      </c>
      <c r="AH9" s="39">
        <v>988.44881506402373</v>
      </c>
      <c r="AI9" s="40">
        <v>8908.3441521135846</v>
      </c>
      <c r="AJ9" s="39">
        <v>992.11370517674629</v>
      </c>
      <c r="AK9" s="40">
        <v>13944.784673358787</v>
      </c>
      <c r="AL9" s="39">
        <v>997.8274409008576</v>
      </c>
      <c r="AM9" s="40">
        <v>25955.676130664608</v>
      </c>
      <c r="AN9" s="39"/>
      <c r="AO9" s="40"/>
      <c r="AP9" s="39"/>
      <c r="AQ9" s="40"/>
      <c r="AR9" s="39"/>
      <c r="AS9" s="40"/>
      <c r="AT9" s="39"/>
      <c r="AU9" s="40"/>
      <c r="AV9" s="39"/>
      <c r="AW9" s="40"/>
    </row>
    <row r="10" spans="1:49" x14ac:dyDescent="0.2">
      <c r="A10" t="s">
        <v>15</v>
      </c>
      <c r="B10" s="39">
        <v>1015.9116825427475</v>
      </c>
      <c r="C10" s="40">
        <v>1005.7716594496609</v>
      </c>
      <c r="D10" s="39">
        <v>1014.4400654030831</v>
      </c>
      <c r="E10" s="40">
        <v>1076.0197496135293</v>
      </c>
      <c r="F10" s="39">
        <v>1012.9134031539238</v>
      </c>
      <c r="G10" s="40">
        <v>1155.3015569814556</v>
      </c>
      <c r="H10" s="39">
        <v>1011.3233861057737</v>
      </c>
      <c r="I10" s="40">
        <v>1245.3480441203885</v>
      </c>
      <c r="J10" s="39">
        <v>1009.6603508608671</v>
      </c>
      <c r="K10" s="40">
        <v>1348.3480279566795</v>
      </c>
      <c r="L10" s="39">
        <v>1007.9133513235339</v>
      </c>
      <c r="M10" s="40">
        <v>1467.1104955845633</v>
      </c>
      <c r="N10" s="39">
        <v>1006.070283526437</v>
      </c>
      <c r="O10" s="40">
        <v>1605.3127087061787</v>
      </c>
      <c r="P10" s="39">
        <v>1004.1186167901296</v>
      </c>
      <c r="Q10" s="40">
        <v>1767.8615470294244</v>
      </c>
      <c r="R10" s="39">
        <v>1002.0467880652742</v>
      </c>
      <c r="S10" s="40">
        <v>1961.4823799866281</v>
      </c>
      <c r="T10" s="39">
        <v>999.84715163362989</v>
      </c>
      <c r="U10" s="40">
        <v>2195.6805239286014</v>
      </c>
      <c r="V10" s="39">
        <v>997.52175666250309</v>
      </c>
      <c r="W10" s="40">
        <v>2484.4102201955766</v>
      </c>
      <c r="X10" s="39">
        <v>995.09359087374673</v>
      </c>
      <c r="Y10" s="40">
        <v>2849.1271763106743</v>
      </c>
      <c r="Z10" s="39">
        <v>992.62837808265988</v>
      </c>
      <c r="AA10" s="40">
        <v>3324.7492577609182</v>
      </c>
      <c r="AB10" s="39">
        <v>990.27655947846222</v>
      </c>
      <c r="AC10" s="40">
        <v>3972.1642457011694</v>
      </c>
      <c r="AD10" s="39">
        <v>988.35039890482153</v>
      </c>
      <c r="AE10" s="40">
        <v>4906.6916872208685</v>
      </c>
      <c r="AF10" s="39">
        <v>987.43938311274167</v>
      </c>
      <c r="AG10" s="40">
        <v>6368.2753650676277</v>
      </c>
      <c r="AH10" s="39">
        <v>988.44881506402373</v>
      </c>
      <c r="AI10" s="40">
        <v>8908.3441521135846</v>
      </c>
      <c r="AJ10" s="39">
        <v>992.11370517674629</v>
      </c>
      <c r="AK10" s="40">
        <v>13944.784673358787</v>
      </c>
      <c r="AL10" s="39">
        <v>997.8274409008576</v>
      </c>
      <c r="AM10" s="40">
        <v>25955.676130664608</v>
      </c>
      <c r="AN10" s="39"/>
      <c r="AO10" s="40"/>
      <c r="AP10" s="39"/>
      <c r="AQ10" s="40"/>
      <c r="AR10" s="39"/>
      <c r="AS10" s="40"/>
      <c r="AT10" s="39"/>
      <c r="AU10" s="40"/>
      <c r="AV10" s="39"/>
      <c r="AW10" s="40"/>
    </row>
    <row r="11" spans="1:49" x14ac:dyDescent="0.2">
      <c r="A11" t="s">
        <v>29</v>
      </c>
      <c r="B11" s="39">
        <v>1015.9116825427475</v>
      </c>
      <c r="C11" s="40">
        <v>1005.7716594496609</v>
      </c>
      <c r="D11" s="39">
        <v>1014.4400654030831</v>
      </c>
      <c r="E11" s="40">
        <v>1076.0197496135293</v>
      </c>
      <c r="F11" s="39">
        <v>1012.9134031539238</v>
      </c>
      <c r="G11" s="40">
        <v>1155.3015569814556</v>
      </c>
      <c r="H11" s="39">
        <v>1011.3233861057737</v>
      </c>
      <c r="I11" s="40">
        <v>1245.3480441203885</v>
      </c>
      <c r="J11" s="39">
        <v>1009.6603508608671</v>
      </c>
      <c r="K11" s="40">
        <v>1348.3480279566795</v>
      </c>
      <c r="L11" s="39">
        <v>1007.9133513235339</v>
      </c>
      <c r="M11" s="40">
        <v>1467.1104955845633</v>
      </c>
      <c r="N11" s="39">
        <v>1006.070283526437</v>
      </c>
      <c r="O11" s="40">
        <v>1605.3127087061787</v>
      </c>
      <c r="P11" s="39">
        <v>1004.1186167901296</v>
      </c>
      <c r="Q11" s="40">
        <v>1767.8615470294244</v>
      </c>
      <c r="R11" s="39">
        <v>1002.0467880652742</v>
      </c>
      <c r="S11" s="40">
        <v>1961.4823799866281</v>
      </c>
      <c r="T11" s="39">
        <v>999.84715163362989</v>
      </c>
      <c r="U11" s="40">
        <v>2195.6805239286014</v>
      </c>
      <c r="V11" s="39">
        <v>997.52175666250309</v>
      </c>
      <c r="W11" s="40">
        <v>2484.4102201955766</v>
      </c>
      <c r="X11" s="39">
        <v>995.09359087374673</v>
      </c>
      <c r="Y11" s="40">
        <v>2849.1271763106743</v>
      </c>
      <c r="Z11" s="39">
        <v>992.62837808265988</v>
      </c>
      <c r="AA11" s="40">
        <v>3324.7492577609182</v>
      </c>
      <c r="AB11" s="39">
        <v>990.27655947846222</v>
      </c>
      <c r="AC11" s="40">
        <v>3972.1642457011694</v>
      </c>
      <c r="AD11" s="39">
        <v>988.35039890482153</v>
      </c>
      <c r="AE11" s="40">
        <v>4906.6916872208685</v>
      </c>
      <c r="AF11" s="39">
        <v>987.43938311274167</v>
      </c>
      <c r="AG11" s="40">
        <v>6368.2753650676277</v>
      </c>
      <c r="AH11" s="39">
        <v>988.44881506402373</v>
      </c>
      <c r="AI11" s="40">
        <v>8908.3441521135846</v>
      </c>
      <c r="AJ11" s="39">
        <v>992.11370517674629</v>
      </c>
      <c r="AK11" s="40">
        <v>13944.784673358787</v>
      </c>
      <c r="AL11" s="39">
        <v>997.8274409008576</v>
      </c>
      <c r="AM11" s="40">
        <v>25955.676130664608</v>
      </c>
      <c r="AN11" s="39"/>
      <c r="AO11" s="40"/>
      <c r="AP11" s="39"/>
      <c r="AQ11" s="40"/>
      <c r="AR11" s="39"/>
      <c r="AS11" s="40"/>
      <c r="AT11" s="39"/>
      <c r="AU11" s="40"/>
      <c r="AV11" s="39"/>
      <c r="AW11" s="40"/>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c r="AO12" s="40"/>
      <c r="AP12" s="39"/>
      <c r="AQ12" s="40"/>
      <c r="AR12" s="39"/>
      <c r="AS12" s="40"/>
      <c r="AT12" s="39"/>
      <c r="AU12" s="40"/>
      <c r="AV12" s="39"/>
      <c r="AW12" s="40"/>
    </row>
    <row r="13" spans="1:49" x14ac:dyDescent="0.2">
      <c r="A13" t="s">
        <v>17</v>
      </c>
      <c r="B13" s="93">
        <v>1000</v>
      </c>
      <c r="C13" s="94">
        <v>1000</v>
      </c>
      <c r="D13" s="93">
        <v>1006.6054231620691</v>
      </c>
      <c r="E13" s="94">
        <v>1006.6054231620691</v>
      </c>
      <c r="F13" s="93">
        <v>1013.2098098071793</v>
      </c>
      <c r="G13" s="94">
        <v>1013.2098098071793</v>
      </c>
      <c r="H13" s="93">
        <v>1019.8125964657831</v>
      </c>
      <c r="I13" s="94">
        <v>1019.8125964657831</v>
      </c>
      <c r="J13" s="93">
        <v>1026.4129947362178</v>
      </c>
      <c r="K13" s="94">
        <v>1026.4129947362178</v>
      </c>
      <c r="L13" s="93">
        <v>1033.0105352448152</v>
      </c>
      <c r="M13" s="94">
        <v>1033.0105352448152</v>
      </c>
      <c r="N13" s="93">
        <v>1039.6066925582545</v>
      </c>
      <c r="O13" s="94">
        <v>1039.6066925582545</v>
      </c>
      <c r="P13" s="93">
        <v>1046.2072609512943</v>
      </c>
      <c r="Q13" s="94">
        <v>1046.2072609512943</v>
      </c>
      <c r="R13" s="93">
        <v>1052.8279407116502</v>
      </c>
      <c r="S13" s="94">
        <v>1052.8279407116502</v>
      </c>
      <c r="T13" s="93">
        <v>1059.5044626677684</v>
      </c>
      <c r="U13" s="94">
        <v>1059.5044626677684</v>
      </c>
      <c r="V13" s="93">
        <v>1066.3126462570583</v>
      </c>
      <c r="W13" s="94">
        <v>1066.3126462570583</v>
      </c>
      <c r="X13" s="93">
        <v>1073.4066771807993</v>
      </c>
      <c r="Y13" s="94">
        <v>1073.4066771807993</v>
      </c>
      <c r="Z13" s="93">
        <v>1081.0941959155496</v>
      </c>
      <c r="AA13" s="94">
        <v>1081.0941959155496</v>
      </c>
      <c r="AB13" s="93">
        <v>1089.9831918681321</v>
      </c>
      <c r="AC13" s="94">
        <v>1089.9831918681321</v>
      </c>
      <c r="AD13" s="93">
        <v>1101.2592197161914</v>
      </c>
      <c r="AE13" s="94">
        <v>1101.2592197161914</v>
      </c>
      <c r="AF13" s="93">
        <v>1117.1245883856743</v>
      </c>
      <c r="AG13" s="94">
        <v>1117.1245883856743</v>
      </c>
      <c r="AH13" s="93">
        <v>1141.0304613478804</v>
      </c>
      <c r="AI13" s="94">
        <v>1141.0304613478804</v>
      </c>
      <c r="AJ13" s="93">
        <v>1175.8984194502748</v>
      </c>
      <c r="AK13" s="94">
        <v>1175.8984194502748</v>
      </c>
      <c r="AL13" s="93">
        <v>1216.9925655749139</v>
      </c>
      <c r="AM13" s="94">
        <v>1216.9925655749139</v>
      </c>
      <c r="AN13" s="93"/>
      <c r="AO13" s="94"/>
      <c r="AP13" s="93"/>
      <c r="AQ13" s="94"/>
      <c r="AR13" s="93"/>
      <c r="AS13" s="94"/>
      <c r="AT13" s="93"/>
      <c r="AU13" s="94"/>
      <c r="AV13" s="93"/>
      <c r="AW13" s="94"/>
    </row>
    <row r="14" spans="1:49" x14ac:dyDescent="0.2">
      <c r="A14" t="s">
        <v>36</v>
      </c>
      <c r="B14" s="39">
        <v>1457.0034251455234</v>
      </c>
      <c r="C14" s="40">
        <v>1457.0034251455236</v>
      </c>
      <c r="D14" s="39">
        <v>1466.6275493171936</v>
      </c>
      <c r="E14" s="40">
        <v>1466.6275493171938</v>
      </c>
      <c r="F14" s="39">
        <v>1476.2501632801045</v>
      </c>
      <c r="G14" s="40">
        <v>1476.2501632801047</v>
      </c>
      <c r="H14" s="39">
        <v>1485.8704460571955</v>
      </c>
      <c r="I14" s="40">
        <v>1485.8704460571957</v>
      </c>
      <c r="J14" s="39">
        <v>1495.4872489445434</v>
      </c>
      <c r="K14" s="40">
        <v>1495.4872489445436</v>
      </c>
      <c r="L14" s="39">
        <v>1505.0998880631059</v>
      </c>
      <c r="M14" s="40">
        <v>1505.0998880631062</v>
      </c>
      <c r="N14" s="39">
        <v>1514.7105118615857</v>
      </c>
      <c r="O14" s="40">
        <v>1514.7105118615859</v>
      </c>
      <c r="P14" s="39">
        <v>1524.3275626181521</v>
      </c>
      <c r="Q14" s="40">
        <v>1524.3275626181523</v>
      </c>
      <c r="R14" s="39">
        <v>1533.9739157057822</v>
      </c>
      <c r="S14" s="40">
        <v>1533.9739157057825</v>
      </c>
      <c r="T14" s="39">
        <v>1543.7016310639058</v>
      </c>
      <c r="U14" s="40">
        <v>1543.701631063906</v>
      </c>
      <c r="V14" s="39">
        <v>1553.6211778725208</v>
      </c>
      <c r="W14" s="40">
        <v>1553.621177872521</v>
      </c>
      <c r="X14" s="39">
        <v>1563.9572052264996</v>
      </c>
      <c r="Y14" s="40">
        <v>1563.9572052264998</v>
      </c>
      <c r="Z14" s="39">
        <v>1575.157946353901</v>
      </c>
      <c r="AA14" s="40">
        <v>1575.1579463539013</v>
      </c>
      <c r="AB14" s="39">
        <v>1588.1092439029185</v>
      </c>
      <c r="AC14" s="40">
        <v>1588.1092439029187</v>
      </c>
      <c r="AD14" s="39">
        <v>1604.5384550995773</v>
      </c>
      <c r="AE14" s="40">
        <v>1604.5384550995775</v>
      </c>
      <c r="AF14" s="39">
        <v>1627.6543515922103</v>
      </c>
      <c r="AG14" s="40">
        <v>1627.6543515922106</v>
      </c>
      <c r="AH14" s="39">
        <v>1662.4852903792384</v>
      </c>
      <c r="AI14" s="40">
        <v>1662.4852903792387</v>
      </c>
      <c r="AJ14" s="39">
        <v>1713.2880247622575</v>
      </c>
      <c r="AK14" s="40">
        <v>1713.2880247622579</v>
      </c>
      <c r="AL14" s="39">
        <v>1773.1623364192874</v>
      </c>
      <c r="AM14" s="40">
        <v>1773.1623364192876</v>
      </c>
      <c r="AN14" s="39"/>
      <c r="AO14" s="40"/>
      <c r="AP14" s="39"/>
      <c r="AQ14" s="40"/>
      <c r="AR14" s="39"/>
      <c r="AS14" s="40"/>
      <c r="AT14" s="39"/>
      <c r="AU14" s="40"/>
      <c r="AV14" s="39"/>
      <c r="AW14" s="40"/>
    </row>
    <row r="15" spans="1:49" x14ac:dyDescent="0.2">
      <c r="A15" t="s">
        <v>18</v>
      </c>
      <c r="B15" s="144">
        <v>1000</v>
      </c>
      <c r="C15" s="145">
        <v>1000</v>
      </c>
      <c r="D15" s="144">
        <v>983.13290949421514</v>
      </c>
      <c r="E15" s="145">
        <v>983.13290949421514</v>
      </c>
      <c r="F15" s="144">
        <v>965.64335744585742</v>
      </c>
      <c r="G15" s="145">
        <v>965.64335744585742</v>
      </c>
      <c r="H15" s="144">
        <v>947.43740943046362</v>
      </c>
      <c r="I15" s="145">
        <v>947.43740943046362</v>
      </c>
      <c r="J15" s="144">
        <v>928.4019681553832</v>
      </c>
      <c r="K15" s="145">
        <v>928.4019681553832</v>
      </c>
      <c r="L15" s="144">
        <v>908.39908386113495</v>
      </c>
      <c r="M15" s="145">
        <v>908.39908386113495</v>
      </c>
      <c r="N15" s="144">
        <v>887.25650353603237</v>
      </c>
      <c r="O15" s="145">
        <v>887.25650353603237</v>
      </c>
      <c r="P15" s="144">
        <v>864.75531685089732</v>
      </c>
      <c r="Q15" s="145">
        <v>864.75531685089732</v>
      </c>
      <c r="R15" s="144">
        <v>840.60853888468557</v>
      </c>
      <c r="S15" s="145">
        <v>840.60853888468557</v>
      </c>
      <c r="T15" s="144">
        <v>814.42717701218794</v>
      </c>
      <c r="U15" s="145">
        <v>814.42717701218794</v>
      </c>
      <c r="V15" s="144">
        <v>785.66124806734331</v>
      </c>
      <c r="W15" s="145">
        <v>785.66124806734331</v>
      </c>
      <c r="X15" s="144">
        <v>753.49512917012851</v>
      </c>
      <c r="Y15" s="145">
        <v>753.49512917012851</v>
      </c>
      <c r="Z15" s="144">
        <v>716.65147100533829</v>
      </c>
      <c r="AA15" s="145">
        <v>716.65147100533829</v>
      </c>
      <c r="AB15" s="144">
        <v>673.00906338383322</v>
      </c>
      <c r="AC15" s="145">
        <v>673.00906338383322</v>
      </c>
      <c r="AD15" s="144">
        <v>618.83528651775748</v>
      </c>
      <c r="AE15" s="145">
        <v>618.83528651775748</v>
      </c>
      <c r="AF15" s="144">
        <v>547.26478322590413</v>
      </c>
      <c r="AG15" s="145">
        <v>547.26478322590413</v>
      </c>
      <c r="AH15" s="144">
        <v>445.60965234304086</v>
      </c>
      <c r="AI15" s="145">
        <v>445.60965234304086</v>
      </c>
      <c r="AJ15" s="144">
        <v>291.51935852489754</v>
      </c>
      <c r="AK15" s="145">
        <v>291.51935852489754</v>
      </c>
      <c r="AL15" s="144">
        <v>45.162976305557706</v>
      </c>
      <c r="AM15" s="145">
        <v>45.162976305557706</v>
      </c>
      <c r="AN15" s="144"/>
      <c r="AO15" s="145"/>
      <c r="AP15" s="144"/>
      <c r="AQ15" s="145"/>
      <c r="AR15" s="144"/>
      <c r="AS15" s="145"/>
      <c r="AT15" s="144"/>
      <c r="AU15" s="145"/>
      <c r="AV15" s="144"/>
      <c r="AW15" s="145"/>
    </row>
    <row r="16" spans="1:49" s="27" customFormat="1" x14ac:dyDescent="0.2">
      <c r="A16" t="s">
        <v>61</v>
      </c>
      <c r="B16" s="39">
        <v>1000</v>
      </c>
      <c r="C16" s="40">
        <v>1000</v>
      </c>
      <c r="D16" s="39">
        <v>995.63865002237219</v>
      </c>
      <c r="E16" s="40">
        <v>989.82806470236073</v>
      </c>
      <c r="F16" s="39">
        <v>990.9679127841855</v>
      </c>
      <c r="G16" s="40">
        <v>979.20165313881876</v>
      </c>
      <c r="H16" s="39">
        <v>985.94254128606849</v>
      </c>
      <c r="I16" s="40">
        <v>968.05288959099028</v>
      </c>
      <c r="J16" s="39">
        <v>980.50799873811525</v>
      </c>
      <c r="K16" s="40">
        <v>956.29995130330781</v>
      </c>
      <c r="L16" s="39">
        <v>974.59802853472081</v>
      </c>
      <c r="M16" s="40">
        <v>943.84339081024302</v>
      </c>
      <c r="N16" s="39">
        <v>968.1310256820625</v>
      </c>
      <c r="O16" s="40">
        <v>930.55934165298572</v>
      </c>
      <c r="P16" s="39">
        <v>961.00542849274188</v>
      </c>
      <c r="Q16" s="40">
        <v>916.29172207275224</v>
      </c>
      <c r="R16" s="39">
        <v>953.09251807084354</v>
      </c>
      <c r="S16" s="40">
        <v>900.83825441169404</v>
      </c>
      <c r="T16" s="39">
        <v>944.22570557777692</v>
      </c>
      <c r="U16" s="40">
        <v>883.92892529935534</v>
      </c>
      <c r="V16" s="39">
        <v>934.18323454532583</v>
      </c>
      <c r="W16" s="40">
        <v>865.18940114054578</v>
      </c>
      <c r="X16" s="39">
        <v>922.65893686782658</v>
      </c>
      <c r="Y16" s="40">
        <v>844.07666977459826</v>
      </c>
      <c r="Z16" s="39">
        <v>909.20924547971401</v>
      </c>
      <c r="AA16" s="40">
        <v>819.75958086398407</v>
      </c>
      <c r="AB16" s="39">
        <v>893.15026246298669</v>
      </c>
      <c r="AC16" s="40">
        <v>790.88604373917281</v>
      </c>
      <c r="AD16" s="39">
        <v>873.34163583734346</v>
      </c>
      <c r="AE16" s="40">
        <v>755.1108125652712</v>
      </c>
      <c r="AF16" s="39">
        <v>847.69991647641154</v>
      </c>
      <c r="AG16" s="40">
        <v>708.12769988283003</v>
      </c>
      <c r="AH16" s="39">
        <v>812.04974992784071</v>
      </c>
      <c r="AI16" s="40">
        <v>641.80511473119748</v>
      </c>
      <c r="AJ16" s="39">
        <v>757.36418433973517</v>
      </c>
      <c r="AK16" s="40">
        <v>540.92409019068498</v>
      </c>
      <c r="AL16" s="39">
        <v>662.28810966317349</v>
      </c>
      <c r="AM16" s="40">
        <v>375.54326814385337</v>
      </c>
      <c r="AN16" s="39"/>
      <c r="AO16" s="40"/>
      <c r="AP16" s="39"/>
      <c r="AQ16" s="40"/>
      <c r="AR16" s="39"/>
      <c r="AS16" s="40"/>
      <c r="AT16" s="39"/>
      <c r="AU16" s="40"/>
      <c r="AV16" s="39"/>
      <c r="AW16" s="40"/>
    </row>
    <row r="17" spans="1:49" x14ac:dyDescent="0.2">
      <c r="A17" t="s">
        <v>62</v>
      </c>
      <c r="B17" s="33">
        <v>1000.0000000000002</v>
      </c>
      <c r="C17" s="34">
        <v>999.99999999999977</v>
      </c>
      <c r="D17" s="33">
        <v>998.68354591363857</v>
      </c>
      <c r="E17" s="34">
        <v>1032.2147751388502</v>
      </c>
      <c r="F17" s="33">
        <v>997.31948814634382</v>
      </c>
      <c r="G17" s="34">
        <v>1068.5429345314542</v>
      </c>
      <c r="H17" s="33">
        <v>995.90060830777338</v>
      </c>
      <c r="I17" s="34">
        <v>1109.7467786308753</v>
      </c>
      <c r="J17" s="33">
        <v>994.41852687877395</v>
      </c>
      <c r="K17" s="34">
        <v>1156.7870538419324</v>
      </c>
      <c r="L17" s="33">
        <v>992.86374878432775</v>
      </c>
      <c r="M17" s="34">
        <v>1210.8930125671541</v>
      </c>
      <c r="N17" s="33">
        <v>991.22589687230311</v>
      </c>
      <c r="O17" s="34">
        <v>1273.669287962535</v>
      </c>
      <c r="P17" s="33">
        <v>989.49423962481978</v>
      </c>
      <c r="Q17" s="34">
        <v>1347.251249150474</v>
      </c>
      <c r="R17" s="33">
        <v>987.65901878899615</v>
      </c>
      <c r="S17" s="34">
        <v>1434.5582989222764</v>
      </c>
      <c r="T17" s="33">
        <v>985.71404224337709</v>
      </c>
      <c r="U17" s="34">
        <v>1539.7065650882464</v>
      </c>
      <c r="V17" s="33">
        <v>983.66175406392369</v>
      </c>
      <c r="W17" s="34">
        <v>1668.7240774753204</v>
      </c>
      <c r="X17" s="33">
        <v>981.52304806292136</v>
      </c>
      <c r="Y17" s="34">
        <v>1830.8556091598773</v>
      </c>
      <c r="Z17" s="33">
        <v>979.35621949039989</v>
      </c>
      <c r="AA17" s="34">
        <v>2041.1031421372452</v>
      </c>
      <c r="AB17" s="33">
        <v>977.29329784637366</v>
      </c>
      <c r="AC17" s="34">
        <v>2325.5372134684567</v>
      </c>
      <c r="AD17" s="33">
        <v>975.60685688420097</v>
      </c>
      <c r="AE17" s="34">
        <v>2733.3326945959452</v>
      </c>
      <c r="AF17" s="33">
        <v>974.81019470489809</v>
      </c>
      <c r="AG17" s="34">
        <v>3366.3095148834163</v>
      </c>
      <c r="AH17" s="33">
        <v>975.69295537075197</v>
      </c>
      <c r="AI17" s="34">
        <v>4457.221790135276</v>
      </c>
      <c r="AJ17" s="33">
        <v>978.90440946211368</v>
      </c>
      <c r="AK17" s="34">
        <v>6601.8367130953948</v>
      </c>
      <c r="AL17" s="33">
        <v>983.93130688250596</v>
      </c>
      <c r="AM17" s="34">
        <v>11678.345386457788</v>
      </c>
      <c r="AN17" s="33"/>
      <c r="AO17" s="34"/>
      <c r="AP17" s="33"/>
      <c r="AQ17" s="34"/>
      <c r="AR17" s="33"/>
      <c r="AS17" s="34"/>
      <c r="AT17" s="33"/>
      <c r="AU17" s="34"/>
      <c r="AV17" s="33"/>
      <c r="AW17" s="34"/>
    </row>
    <row r="18" spans="1:49" x14ac:dyDescent="0.2">
      <c r="A18" t="s">
        <v>19</v>
      </c>
      <c r="B18" s="31">
        <v>27857.010133999996</v>
      </c>
      <c r="C18" s="32">
        <v>1236.7674480000003</v>
      </c>
      <c r="D18" s="31">
        <v>27864.403888745681</v>
      </c>
      <c r="E18" s="32">
        <v>1151.1053327933068</v>
      </c>
      <c r="F18" s="31">
        <v>27868.109353722339</v>
      </c>
      <c r="G18" s="32">
        <v>1065.3864567885862</v>
      </c>
      <c r="H18" s="31">
        <v>27867.558606248742</v>
      </c>
      <c r="I18" s="32">
        <v>979.63465847210443</v>
      </c>
      <c r="J18" s="31">
        <v>27862.054451727272</v>
      </c>
      <c r="K18" s="32">
        <v>893.88408940860677</v>
      </c>
      <c r="L18" s="31">
        <v>27850.720255675616</v>
      </c>
      <c r="M18" s="32">
        <v>808.19646592130016</v>
      </c>
      <c r="N18" s="31">
        <v>27832.442040644131</v>
      </c>
      <c r="O18" s="32">
        <v>722.65787459956721</v>
      </c>
      <c r="P18" s="31">
        <v>27805.76284124254</v>
      </c>
      <c r="Q18" s="32">
        <v>637.41185424243417</v>
      </c>
      <c r="R18" s="31">
        <v>27768.730511657446</v>
      </c>
      <c r="S18" s="32">
        <v>552.68375304722963</v>
      </c>
      <c r="T18" s="31">
        <v>27718.650858448829</v>
      </c>
      <c r="U18" s="32">
        <v>468.82713004624202</v>
      </c>
      <c r="V18" s="31">
        <v>27651.672576340156</v>
      </c>
      <c r="W18" s="32">
        <v>386.39954635626822</v>
      </c>
      <c r="X18" s="31">
        <v>27562.071608403614</v>
      </c>
      <c r="Y18" s="32">
        <v>306.27560403722009</v>
      </c>
      <c r="Z18" s="31">
        <v>27440.948946126635</v>
      </c>
      <c r="AA18" s="32">
        <v>229.82370889332719</v>
      </c>
      <c r="AB18" s="31">
        <v>27273.756235165627</v>
      </c>
      <c r="AC18" s="32">
        <v>159.16065135176987</v>
      </c>
      <c r="AD18" s="31">
        <v>27035.386055132607</v>
      </c>
      <c r="AE18" s="32">
        <v>97.452816371612982</v>
      </c>
      <c r="AF18" s="31">
        <v>26680.246645914824</v>
      </c>
      <c r="AG18" s="32">
        <v>48.959547937026933</v>
      </c>
      <c r="AH18" s="31">
        <v>26122.416325829043</v>
      </c>
      <c r="AI18" s="32">
        <v>17.756015317775606</v>
      </c>
      <c r="AJ18" s="31">
        <v>25192.981667336218</v>
      </c>
      <c r="AK18" s="32">
        <v>3.7933474074496187</v>
      </c>
      <c r="AL18" s="31">
        <v>23496.232465961592</v>
      </c>
      <c r="AM18" s="32">
        <v>0.34352722928771168</v>
      </c>
      <c r="AN18" s="31"/>
      <c r="AO18" s="32"/>
      <c r="AP18" s="31"/>
      <c r="AQ18" s="32"/>
      <c r="AR18" s="31"/>
      <c r="AS18" s="32"/>
      <c r="AT18" s="31"/>
      <c r="AU18" s="32"/>
      <c r="AV18" s="31"/>
      <c r="AW18" s="32"/>
    </row>
    <row r="19" spans="1:49" x14ac:dyDescent="0.2">
      <c r="A19" t="s">
        <v>3</v>
      </c>
      <c r="B19" s="39">
        <v>1886.3937399999918</v>
      </c>
      <c r="C19" s="40">
        <v>262.78711299999759</v>
      </c>
      <c r="D19" s="39">
        <v>1880.340363206727</v>
      </c>
      <c r="E19" s="40">
        <v>268.50031831192905</v>
      </c>
      <c r="F19" s="39">
        <v>1873.8021669495276</v>
      </c>
      <c r="G19" s="40">
        <v>275.17621753077054</v>
      </c>
      <c r="H19" s="39">
        <v>1866.7081642360363</v>
      </c>
      <c r="I19" s="40">
        <v>282.93996029960346</v>
      </c>
      <c r="J19" s="39">
        <v>1858.9738884495152</v>
      </c>
      <c r="K19" s="40">
        <v>291.9318791343245</v>
      </c>
      <c r="L19" s="39">
        <v>1850.4987624677792</v>
      </c>
      <c r="M19" s="40">
        <v>302.30442190085006</v>
      </c>
      <c r="N19" s="39">
        <v>1841.1633693696394</v>
      </c>
      <c r="O19" s="40">
        <v>314.22110987419802</v>
      </c>
      <c r="P19" s="39">
        <v>1830.8264107062225</v>
      </c>
      <c r="Q19" s="40">
        <v>327.84008951613527</v>
      </c>
      <c r="R19" s="39">
        <v>1819.321799892133</v>
      </c>
      <c r="S19" s="40">
        <v>343.29321385424703</v>
      </c>
      <c r="T19" s="39">
        <v>1806.4566669472456</v>
      </c>
      <c r="U19" s="40">
        <v>360.63928228568136</v>
      </c>
      <c r="V19" s="39">
        <v>1792.0110266202503</v>
      </c>
      <c r="W19" s="40">
        <v>379.77663320903611</v>
      </c>
      <c r="X19" s="39">
        <v>1775.7417371948159</v>
      </c>
      <c r="Y19" s="40">
        <v>400.27659356004415</v>
      </c>
      <c r="Z19" s="39">
        <v>1757.3932685922132</v>
      </c>
      <c r="AA19" s="40">
        <v>421.06692851253592</v>
      </c>
      <c r="AB19" s="39">
        <v>1736.7157739913014</v>
      </c>
      <c r="AC19" s="40">
        <v>439.83174937253051</v>
      </c>
      <c r="AD19" s="39">
        <v>1713.4634344377682</v>
      </c>
      <c r="AE19" s="40">
        <v>451.93089005855785</v>
      </c>
      <c r="AF19" s="39">
        <v>1687.1931712664405</v>
      </c>
      <c r="AG19" s="40">
        <v>448.82299695260679</v>
      </c>
      <c r="AH19" s="39">
        <v>1655.9988935216566</v>
      </c>
      <c r="AI19" s="40">
        <v>417.60124747173683</v>
      </c>
      <c r="AJ19" s="39">
        <v>1611.4097234130898</v>
      </c>
      <c r="AK19" s="40">
        <v>347.41008922174404</v>
      </c>
      <c r="AL19" s="39">
        <v>1523.8357190170168</v>
      </c>
      <c r="AM19" s="40">
        <v>243.14986577236127</v>
      </c>
      <c r="AN19" s="39"/>
      <c r="AO19" s="40"/>
      <c r="AP19" s="39"/>
      <c r="AQ19" s="40"/>
      <c r="AR19" s="39"/>
      <c r="AS19" s="40"/>
      <c r="AT19" s="39"/>
      <c r="AU19" s="40"/>
      <c r="AV19" s="39"/>
      <c r="AW19" s="40"/>
    </row>
    <row r="20" spans="1:49" x14ac:dyDescent="0.2">
      <c r="A20" t="s">
        <v>114</v>
      </c>
      <c r="B20" s="79">
        <v>26548.356269999993</v>
      </c>
      <c r="C20" s="80">
        <v>1408.5418709999938</v>
      </c>
      <c r="D20" s="79">
        <v>26539.997739554154</v>
      </c>
      <c r="E20" s="80">
        <v>1338.1147774499941</v>
      </c>
      <c r="F20" s="79">
        <v>26527.498626014534</v>
      </c>
      <c r="G20" s="80">
        <v>1267.6876838999945</v>
      </c>
      <c r="H20" s="79">
        <v>26510.231872742916</v>
      </c>
      <c r="I20" s="80">
        <v>1197.2605903499946</v>
      </c>
      <c r="J20" s="79">
        <v>26487.433854533108</v>
      </c>
      <c r="K20" s="80">
        <v>1126.8334967999949</v>
      </c>
      <c r="L20" s="79">
        <v>26458.157805163366</v>
      </c>
      <c r="M20" s="80">
        <v>1056.4064032499953</v>
      </c>
      <c r="N20" s="79">
        <v>26421.220943126591</v>
      </c>
      <c r="O20" s="80">
        <v>985.97930969999561</v>
      </c>
      <c r="P20" s="79">
        <v>26375.113066920014</v>
      </c>
      <c r="Q20" s="80">
        <v>915.55221614999596</v>
      </c>
      <c r="R20" s="79">
        <v>26317.86909985065</v>
      </c>
      <c r="S20" s="80">
        <v>845.12512259999642</v>
      </c>
      <c r="T20" s="79">
        <v>26246.870012954914</v>
      </c>
      <c r="U20" s="80">
        <v>774.69802904999653</v>
      </c>
      <c r="V20" s="79">
        <v>26158.517291662058</v>
      </c>
      <c r="W20" s="80">
        <v>704.27093549999688</v>
      </c>
      <c r="X20" s="79">
        <v>26047.685766101546</v>
      </c>
      <c r="Y20" s="80">
        <v>633.84384194999734</v>
      </c>
      <c r="Z20" s="79">
        <v>25906.741054077753</v>
      </c>
      <c r="AA20" s="80">
        <v>563.41674839999746</v>
      </c>
      <c r="AB20" s="79">
        <v>25723.671227001356</v>
      </c>
      <c r="AC20" s="80">
        <v>492.98965484999781</v>
      </c>
      <c r="AD20" s="79">
        <v>25478.282976802806</v>
      </c>
      <c r="AE20" s="80">
        <v>422.56256129999804</v>
      </c>
      <c r="AF20" s="79">
        <v>25133.9715581583</v>
      </c>
      <c r="AG20" s="80">
        <v>352.13546774999827</v>
      </c>
      <c r="AH20" s="79">
        <v>24618.912891319567</v>
      </c>
      <c r="AI20" s="80">
        <v>281.70837419999856</v>
      </c>
      <c r="AJ20" s="79">
        <v>23779.366548932368</v>
      </c>
      <c r="AK20" s="80">
        <v>211.28128064999879</v>
      </c>
      <c r="AL20" s="79">
        <v>22230.25593193957</v>
      </c>
      <c r="AM20" s="80">
        <v>140.85418709999902</v>
      </c>
      <c r="AN20" s="79"/>
      <c r="AO20" s="80"/>
      <c r="AP20" s="79"/>
      <c r="AQ20" s="80"/>
      <c r="AR20" s="79"/>
      <c r="AS20" s="80"/>
      <c r="AT20" s="79"/>
      <c r="AU20" s="80"/>
      <c r="AV20" s="79"/>
      <c r="AW20" s="80"/>
    </row>
    <row r="21" spans="1:49" x14ac:dyDescent="0.2">
      <c r="A21" t="s">
        <v>76</v>
      </c>
      <c r="B21" s="79">
        <v>24661.962529999968</v>
      </c>
      <c r="C21" s="80">
        <v>1145.7547579999991</v>
      </c>
      <c r="D21" s="79">
        <v>24659.661636089866</v>
      </c>
      <c r="E21" s="80">
        <v>1069.8272344262627</v>
      </c>
      <c r="F21" s="79">
        <v>24653.714133001555</v>
      </c>
      <c r="G21" s="80">
        <v>993.42780949137182</v>
      </c>
      <c r="H21" s="79">
        <v>24643.565071242811</v>
      </c>
      <c r="I21" s="80">
        <v>916.5468983960219</v>
      </c>
      <c r="J21" s="79">
        <v>24628.536680633606</v>
      </c>
      <c r="K21" s="80">
        <v>839.18804171638988</v>
      </c>
      <c r="L21" s="79">
        <v>24607.78448706595</v>
      </c>
      <c r="M21" s="80">
        <v>761.37765991113383</v>
      </c>
      <c r="N21" s="79">
        <v>24580.24722660453</v>
      </c>
      <c r="O21" s="80">
        <v>683.17445687326403</v>
      </c>
      <c r="P21" s="79">
        <v>24544.558513247495</v>
      </c>
      <c r="Q21" s="80">
        <v>604.69374618853601</v>
      </c>
      <c r="R21" s="79">
        <v>24498.922252811884</v>
      </c>
      <c r="S21" s="80">
        <v>526.13575657543436</v>
      </c>
      <c r="T21" s="79">
        <v>24440.915349132847</v>
      </c>
      <c r="U21" s="80">
        <v>447.83383937040833</v>
      </c>
      <c r="V21" s="79">
        <v>24367.1619057114</v>
      </c>
      <c r="W21" s="80">
        <v>370.32797448021392</v>
      </c>
      <c r="X21" s="79">
        <v>24272.780678839994</v>
      </c>
      <c r="Y21" s="80">
        <v>294.47917104913961</v>
      </c>
      <c r="Z21" s="79">
        <v>24150.388651487163</v>
      </c>
      <c r="AA21" s="80">
        <v>221.64430432782785</v>
      </c>
      <c r="AB21" s="79">
        <v>23988.208295769375</v>
      </c>
      <c r="AC21" s="80">
        <v>153.92982884584748</v>
      </c>
      <c r="AD21" s="79">
        <v>23766.253914506797</v>
      </c>
      <c r="AE21" s="80">
        <v>94.48904871167754</v>
      </c>
      <c r="AF21" s="79">
        <v>23448.288463595869</v>
      </c>
      <c r="AG21" s="80">
        <v>47.572915816572362</v>
      </c>
      <c r="AH21" s="79">
        <v>22964.29010870789</v>
      </c>
      <c r="AI21" s="80">
        <v>17.281501910659557</v>
      </c>
      <c r="AJ21" s="79">
        <v>22168.954923505946</v>
      </c>
      <c r="AK21" s="80">
        <v>3.6957705838295358</v>
      </c>
      <c r="AL21" s="79">
        <v>20706.959025679349</v>
      </c>
      <c r="AM21" s="80">
        <v>0.33484321714387139</v>
      </c>
      <c r="AN21" s="79"/>
      <c r="AO21" s="80"/>
      <c r="AP21" s="79"/>
      <c r="AQ21" s="80"/>
      <c r="AR21" s="79"/>
      <c r="AS21" s="80"/>
      <c r="AT21" s="79"/>
      <c r="AU21" s="80"/>
      <c r="AV21" s="79"/>
      <c r="AW21" s="80"/>
    </row>
    <row r="22" spans="1:49" x14ac:dyDescent="0.2">
      <c r="A22" t="s">
        <v>28</v>
      </c>
      <c r="B22" s="39">
        <v>6533.6044688320662</v>
      </c>
      <c r="C22" s="40">
        <v>379.90788307663382</v>
      </c>
      <c r="D22" s="39">
        <v>6534.5987330642683</v>
      </c>
      <c r="E22" s="40">
        <v>364.56430494232211</v>
      </c>
      <c r="F22" s="39">
        <v>6534.043606399382</v>
      </c>
      <c r="G22" s="40">
        <v>348.99542460024099</v>
      </c>
      <c r="H22" s="39">
        <v>6531.7134389639796</v>
      </c>
      <c r="I22" s="40">
        <v>333.19481651658975</v>
      </c>
      <c r="J22" s="39">
        <v>6527.3349093793186</v>
      </c>
      <c r="K22" s="40">
        <v>317.15488439968186</v>
      </c>
      <c r="L22" s="39">
        <v>6520.5687607451928</v>
      </c>
      <c r="M22" s="40">
        <v>300.86608352779223</v>
      </c>
      <c r="N22" s="39">
        <v>6510.9979585003821</v>
      </c>
      <c r="O22" s="40">
        <v>284.31534170153401</v>
      </c>
      <c r="P22" s="39">
        <v>6498.0912234345469</v>
      </c>
      <c r="Q22" s="40">
        <v>267.48497672681992</v>
      </c>
      <c r="R22" s="39">
        <v>6481.1651784370779</v>
      </c>
      <c r="S22" s="40">
        <v>250.34952555540616</v>
      </c>
      <c r="T22" s="39">
        <v>6459.3208035446787</v>
      </c>
      <c r="U22" s="40">
        <v>232.87188687413803</v>
      </c>
      <c r="V22" s="39">
        <v>6431.3424238547086</v>
      </c>
      <c r="W22" s="40">
        <v>214.99710118156975</v>
      </c>
      <c r="X22" s="39">
        <v>6395.5329032553564</v>
      </c>
      <c r="Y22" s="40">
        <v>196.64346724595731</v>
      </c>
      <c r="Z22" s="39">
        <v>6349.4250471117111</v>
      </c>
      <c r="AA22" s="40">
        <v>177.68984301537435</v>
      </c>
      <c r="AB22" s="39">
        <v>6289.2463122135405</v>
      </c>
      <c r="AC22" s="40">
        <v>157.96021411957105</v>
      </c>
      <c r="AD22" s="39">
        <v>6208.8499254300341</v>
      </c>
      <c r="AE22" s="40">
        <v>137.21323231341373</v>
      </c>
      <c r="AF22" s="39">
        <v>6097.4176585102396</v>
      </c>
      <c r="AG22" s="40">
        <v>115.17298949438863</v>
      </c>
      <c r="AH22" s="39">
        <v>5934.1293284660251</v>
      </c>
      <c r="AI22" s="40">
        <v>91.69863173541016</v>
      </c>
      <c r="AJ22" s="39">
        <v>5674.7480246120967</v>
      </c>
      <c r="AK22" s="40">
        <v>67.165753849933623</v>
      </c>
      <c r="AL22" s="39">
        <v>5211.237589564279</v>
      </c>
      <c r="AM22" s="40">
        <v>42.633036022568497</v>
      </c>
      <c r="AN22" s="39"/>
      <c r="AO22" s="40"/>
      <c r="AP22" s="39"/>
      <c r="AQ22" s="40"/>
      <c r="AR22" s="39"/>
      <c r="AS22" s="40"/>
      <c r="AT22" s="39"/>
      <c r="AU22" s="40"/>
      <c r="AV22" s="39"/>
      <c r="AW22" s="40"/>
    </row>
    <row r="23" spans="1:49" x14ac:dyDescent="0.2">
      <c r="A23" t="s">
        <v>7</v>
      </c>
      <c r="B23" s="110">
        <v>3278.5018080150408</v>
      </c>
      <c r="C23" s="8">
        <v>0</v>
      </c>
      <c r="D23" s="110">
        <v>3283.992741851378</v>
      </c>
      <c r="E23" s="8">
        <v>0</v>
      </c>
      <c r="F23" s="110">
        <v>3289.1194926322228</v>
      </c>
      <c r="G23" s="8">
        <v>0</v>
      </c>
      <c r="H23" s="110">
        <v>3293.8227915141802</v>
      </c>
      <c r="I23" s="8">
        <v>0</v>
      </c>
      <c r="J23" s="110">
        <v>3298.0300345513583</v>
      </c>
      <c r="K23" s="8">
        <v>0</v>
      </c>
      <c r="L23" s="110">
        <v>3301.6498991689909</v>
      </c>
      <c r="M23" s="8">
        <v>0</v>
      </c>
      <c r="N23" s="110">
        <v>3304.5689443367946</v>
      </c>
      <c r="O23" s="8">
        <v>0</v>
      </c>
      <c r="P23" s="110">
        <v>3306.6418715019245</v>
      </c>
      <c r="Q23" s="8">
        <v>0</v>
      </c>
      <c r="R23" s="110">
        <v>3307.6811146597756</v>
      </c>
      <c r="S23" s="8">
        <v>0</v>
      </c>
      <c r="T23" s="110">
        <v>3307.4405076186367</v>
      </c>
      <c r="U23" s="8">
        <v>0</v>
      </c>
      <c r="V23" s="110">
        <v>3305.589672747441</v>
      </c>
      <c r="W23" s="8">
        <v>0</v>
      </c>
      <c r="X23" s="110">
        <v>3301.6739057699951</v>
      </c>
      <c r="Y23" s="8">
        <v>0</v>
      </c>
      <c r="Z23" s="110">
        <v>3295.0449541801472</v>
      </c>
      <c r="AA23" s="8">
        <v>0</v>
      </c>
      <c r="AB23" s="110">
        <v>3284.7319780244434</v>
      </c>
      <c r="AC23" s="8">
        <v>0</v>
      </c>
      <c r="AD23" s="110">
        <v>3269.168015062357</v>
      </c>
      <c r="AE23" s="8">
        <v>0</v>
      </c>
      <c r="AF23" s="110">
        <v>3245.5163539132982</v>
      </c>
      <c r="AG23" s="8">
        <v>0</v>
      </c>
      <c r="AH23" s="110">
        <v>3207.7279621500397</v>
      </c>
      <c r="AI23" s="8">
        <v>0</v>
      </c>
      <c r="AJ23" s="110">
        <v>3140.4692560238896</v>
      </c>
      <c r="AK23" s="8">
        <v>0</v>
      </c>
      <c r="AL23" s="110">
        <v>2998.7957478873855</v>
      </c>
      <c r="AM23" s="8">
        <v>0</v>
      </c>
      <c r="AN23" s="110"/>
      <c r="AO23" s="8"/>
      <c r="AP23" s="110"/>
      <c r="AQ23" s="8"/>
      <c r="AR23" s="110"/>
      <c r="AS23" s="8"/>
      <c r="AT23" s="110"/>
      <c r="AU23" s="8"/>
      <c r="AV23" s="110"/>
      <c r="AW23" s="8"/>
    </row>
    <row r="24" spans="1:49" x14ac:dyDescent="0.2">
      <c r="A24" t="s">
        <v>8</v>
      </c>
      <c r="B24" s="93">
        <v>3196.3846373657216</v>
      </c>
      <c r="C24" s="8">
        <v>0</v>
      </c>
      <c r="D24" s="93">
        <v>3201.7380407839937</v>
      </c>
      <c r="E24" s="8">
        <v>0</v>
      </c>
      <c r="F24" s="93">
        <v>3206.7363813844941</v>
      </c>
      <c r="G24" s="8">
        <v>0</v>
      </c>
      <c r="H24" s="93">
        <v>3211.3218767614021</v>
      </c>
      <c r="I24" s="8">
        <v>0</v>
      </c>
      <c r="J24" s="93">
        <v>3215.4237344426601</v>
      </c>
      <c r="K24" s="8">
        <v>0</v>
      </c>
      <c r="L24" s="93">
        <v>3218.9529341886409</v>
      </c>
      <c r="M24" s="8">
        <v>0</v>
      </c>
      <c r="N24" s="93">
        <v>3221.7988652458425</v>
      </c>
      <c r="O24" s="8">
        <v>0</v>
      </c>
      <c r="P24" s="93">
        <v>3223.8198711479886</v>
      </c>
      <c r="Q24" s="8">
        <v>0</v>
      </c>
      <c r="R24" s="93">
        <v>3224.833084898673</v>
      </c>
      <c r="S24" s="8">
        <v>0</v>
      </c>
      <c r="T24" s="93">
        <v>3224.598504359833</v>
      </c>
      <c r="U24" s="8">
        <v>0</v>
      </c>
      <c r="V24" s="93">
        <v>3222.7940277128946</v>
      </c>
      <c r="W24" s="8">
        <v>0</v>
      </c>
      <c r="X24" s="93">
        <v>3218.976339581779</v>
      </c>
      <c r="Y24" s="8">
        <v>0</v>
      </c>
      <c r="Z24" s="93">
        <v>3212.5134250891988</v>
      </c>
      <c r="AA24" s="8">
        <v>0</v>
      </c>
      <c r="AB24" s="93">
        <v>3202.458759145451</v>
      </c>
      <c r="AC24" s="8">
        <v>0</v>
      </c>
      <c r="AD24" s="93">
        <v>3187.2846295617151</v>
      </c>
      <c r="AE24" s="8">
        <v>0</v>
      </c>
      <c r="AF24" s="93">
        <v>3164.2253752988508</v>
      </c>
      <c r="AG24" s="8">
        <v>0</v>
      </c>
      <c r="AH24" s="93">
        <v>3127.3834755870789</v>
      </c>
      <c r="AI24" s="8">
        <v>0</v>
      </c>
      <c r="AJ24" s="93">
        <v>3061.8094092660481</v>
      </c>
      <c r="AK24" s="8">
        <v>0</v>
      </c>
      <c r="AL24" s="93">
        <v>2923.6844206448145</v>
      </c>
      <c r="AM24" s="8">
        <v>0</v>
      </c>
      <c r="AN24" s="93"/>
      <c r="AO24" s="8"/>
      <c r="AP24" s="93"/>
      <c r="AQ24" s="8"/>
      <c r="AR24" s="93"/>
      <c r="AS24" s="8"/>
      <c r="AT24" s="93"/>
      <c r="AU24" s="8"/>
      <c r="AV24" s="93"/>
      <c r="AW24" s="8"/>
    </row>
    <row r="25" spans="1:49" x14ac:dyDescent="0.2">
      <c r="A25" t="s">
        <v>0</v>
      </c>
      <c r="B25" s="39">
        <v>3195.0476040000012</v>
      </c>
      <c r="C25" s="40">
        <v>91.012690000004397</v>
      </c>
      <c r="D25" s="39">
        <v>3204.7353463469781</v>
      </c>
      <c r="E25" s="40">
        <v>81.239036288258035</v>
      </c>
      <c r="F25" s="39">
        <v>3214.3664587654102</v>
      </c>
      <c r="G25" s="40">
        <v>71.806834838491554</v>
      </c>
      <c r="H25" s="39">
        <v>3223.925940196129</v>
      </c>
      <c r="I25" s="40">
        <v>62.75550113545826</v>
      </c>
      <c r="J25" s="39">
        <v>3233.3918584124494</v>
      </c>
      <c r="K25" s="40">
        <v>54.12705636376846</v>
      </c>
      <c r="L25" s="39">
        <v>3242.7289055744786</v>
      </c>
      <c r="M25" s="40">
        <v>45.96680888007468</v>
      </c>
      <c r="N25" s="39">
        <v>3251.8805174352483</v>
      </c>
      <c r="O25" s="40">
        <v>38.321815407993483</v>
      </c>
      <c r="P25" s="39">
        <v>3260.7514300620687</v>
      </c>
      <c r="Q25" s="40">
        <v>31.241968928959885</v>
      </c>
      <c r="R25" s="39">
        <v>3269.1801110490092</v>
      </c>
      <c r="S25" s="40">
        <v>24.778816859179734</v>
      </c>
      <c r="T25" s="39">
        <v>3276.8895099497868</v>
      </c>
      <c r="U25" s="40">
        <v>18.984767498687514</v>
      </c>
      <c r="V25" s="39">
        <v>3283.3987828861827</v>
      </c>
      <c r="W25" s="40">
        <v>13.911760672279133</v>
      </c>
      <c r="X25" s="39">
        <v>3287.8627028700084</v>
      </c>
      <c r="Y25" s="40">
        <v>9.6087776079932041</v>
      </c>
      <c r="Z25" s="39">
        <v>3288.7715171116961</v>
      </c>
      <c r="AA25" s="40">
        <v>6.1175282206588015</v>
      </c>
      <c r="AB25" s="39">
        <v>3283.3810423150276</v>
      </c>
      <c r="AC25" s="40">
        <v>3.4642334955329517</v>
      </c>
      <c r="AD25" s="39">
        <v>3266.6382057402284</v>
      </c>
      <c r="AE25" s="40">
        <v>1.6436255961223685</v>
      </c>
      <c r="AF25" s="39">
        <v>3229.3260807764332</v>
      </c>
      <c r="AG25" s="40">
        <v>0.58920746990279105</v>
      </c>
      <c r="AH25" s="39">
        <v>3155.7342236113877</v>
      </c>
      <c r="AI25" s="40">
        <v>0.13373893469396483</v>
      </c>
      <c r="AJ25" s="39">
        <v>3022.3090624606893</v>
      </c>
      <c r="AK25" s="40">
        <v>1.4501153598876368E-2</v>
      </c>
      <c r="AL25" s="39">
        <v>2788.3604338831597</v>
      </c>
      <c r="AM25" s="40">
        <v>4.7270635142606179E-4</v>
      </c>
      <c r="AN25" s="39"/>
      <c r="AO25" s="40"/>
      <c r="AP25" s="39"/>
      <c r="AQ25" s="40"/>
      <c r="AR25" s="39"/>
      <c r="AS25" s="40"/>
      <c r="AT25" s="39"/>
      <c r="AU25" s="40"/>
      <c r="AV25" s="39"/>
      <c r="AW25" s="40"/>
    </row>
    <row r="26" spans="1:49" x14ac:dyDescent="0.2">
      <c r="A26" t="s">
        <v>27</v>
      </c>
      <c r="B26" s="31">
        <v>5036.2953101960647</v>
      </c>
      <c r="C26" s="32">
        <v>74.905331803938267</v>
      </c>
      <c r="D26" s="31">
        <v>5041.0705993832462</v>
      </c>
      <c r="E26" s="32">
        <v>70.130042616754423</v>
      </c>
      <c r="F26" s="31">
        <v>5045.8701398902631</v>
      </c>
      <c r="G26" s="32">
        <v>65.330502109727419</v>
      </c>
      <c r="H26" s="31">
        <v>5050.6963882601194</v>
      </c>
      <c r="I26" s="32">
        <v>60.504253739886551</v>
      </c>
      <c r="J26" s="31">
        <v>5055.5519216634548</v>
      </c>
      <c r="K26" s="32">
        <v>55.648720336545914</v>
      </c>
      <c r="L26" s="31">
        <v>5060.4387305733426</v>
      </c>
      <c r="M26" s="32">
        <v>50.761911426660497</v>
      </c>
      <c r="N26" s="31">
        <v>5065.3583497628533</v>
      </c>
      <c r="O26" s="32">
        <v>45.842292237152847</v>
      </c>
      <c r="P26" s="31">
        <v>5070.3102763974548</v>
      </c>
      <c r="Q26" s="32">
        <v>40.89036560255812</v>
      </c>
      <c r="R26" s="31">
        <v>5075.2906125522768</v>
      </c>
      <c r="S26" s="32">
        <v>35.910029447724483</v>
      </c>
      <c r="T26" s="31">
        <v>5080.2893456204747</v>
      </c>
      <c r="U26" s="32">
        <v>30.911296379527617</v>
      </c>
      <c r="V26" s="31">
        <v>5085.2856980354572</v>
      </c>
      <c r="W26" s="32">
        <v>25.914943964547636</v>
      </c>
      <c r="X26" s="31">
        <v>5090.2405803090232</v>
      </c>
      <c r="Y26" s="32">
        <v>20.96006169098224</v>
      </c>
      <c r="Z26" s="31">
        <v>5095.0839924854517</v>
      </c>
      <c r="AA26" s="32">
        <v>16.11664951455273</v>
      </c>
      <c r="AB26" s="31">
        <v>5099.694926231432</v>
      </c>
      <c r="AC26" s="32">
        <v>11.505715768572303</v>
      </c>
      <c r="AD26" s="31">
        <v>5103.8729102140542</v>
      </c>
      <c r="AE26" s="32">
        <v>7.3277317859478668</v>
      </c>
      <c r="AF26" s="31">
        <v>5107.3160091161026</v>
      </c>
      <c r="AG26" s="32">
        <v>3.8846328838989708</v>
      </c>
      <c r="AH26" s="31">
        <v>5109.6773133580682</v>
      </c>
      <c r="AI26" s="32">
        <v>1.5233286419381746</v>
      </c>
      <c r="AJ26" s="31">
        <v>5110.8329878710474</v>
      </c>
      <c r="AK26" s="32">
        <v>0.36765412895731009</v>
      </c>
      <c r="AL26" s="31">
        <v>5111.1594456548219</v>
      </c>
      <c r="AM26" s="32">
        <v>4.1196345188865509E-2</v>
      </c>
      <c r="AN26" s="31"/>
      <c r="AO26" s="32"/>
      <c r="AP26" s="31"/>
      <c r="AQ26" s="32"/>
      <c r="AR26" s="31"/>
      <c r="AS26" s="32"/>
      <c r="AT26" s="31"/>
      <c r="AU26" s="32"/>
      <c r="AV26" s="31"/>
      <c r="AW26" s="32"/>
    </row>
    <row r="27" spans="1:49" x14ac:dyDescent="0.2">
      <c r="A27" t="s">
        <v>2</v>
      </c>
      <c r="B27" s="33">
        <v>6425.1981590000414</v>
      </c>
      <c r="C27" s="34">
        <v>273.22915400000028</v>
      </c>
      <c r="D27" s="33">
        <v>6442.3300138197992</v>
      </c>
      <c r="E27" s="34">
        <v>256.09733178697888</v>
      </c>
      <c r="F27" s="33">
        <v>6459.5880491148455</v>
      </c>
      <c r="G27" s="34">
        <v>238.83930420115075</v>
      </c>
      <c r="H27" s="33">
        <v>6476.9817399492349</v>
      </c>
      <c r="I27" s="34">
        <v>221.44562995822892</v>
      </c>
      <c r="J27" s="33">
        <v>6494.5212987449122</v>
      </c>
      <c r="K27" s="34">
        <v>203.90606912853912</v>
      </c>
      <c r="L27" s="33">
        <v>6512.2142593941053</v>
      </c>
      <c r="M27" s="34">
        <v>186.21305323157088</v>
      </c>
      <c r="N27" s="33">
        <v>6530.067418053869</v>
      </c>
      <c r="O27" s="34">
        <v>168.3598934757681</v>
      </c>
      <c r="P27" s="33">
        <v>6548.0796990016852</v>
      </c>
      <c r="Q27" s="34">
        <v>150.34761055739</v>
      </c>
      <c r="R27" s="33">
        <v>6566.2376842394588</v>
      </c>
      <c r="S27" s="34">
        <v>132.18963159604198</v>
      </c>
      <c r="T27" s="33">
        <v>6584.5056161287102</v>
      </c>
      <c r="U27" s="34">
        <v>113.92169973785994</v>
      </c>
      <c r="V27" s="33">
        <v>6602.807771695906</v>
      </c>
      <c r="W27" s="34">
        <v>95.619543761915722</v>
      </c>
      <c r="X27" s="33">
        <v>6621.0004541865028</v>
      </c>
      <c r="Y27" s="34">
        <v>77.426854589155525</v>
      </c>
      <c r="Z27" s="33">
        <v>6638.8247263489411</v>
      </c>
      <c r="AA27" s="34">
        <v>59.602604295903959</v>
      </c>
      <c r="AB27" s="33">
        <v>6655.8310634652989</v>
      </c>
      <c r="AC27" s="34">
        <v>42.596246332138563</v>
      </c>
      <c r="AD27" s="33">
        <v>6671.2722439396985</v>
      </c>
      <c r="AE27" s="34">
        <v>27.155075707444965</v>
      </c>
      <c r="AF27" s="33">
        <v>6684.0201003020247</v>
      </c>
      <c r="AG27" s="34">
        <v>14.407207928914895</v>
      </c>
      <c r="AH27" s="33">
        <v>6692.774523663893</v>
      </c>
      <c r="AI27" s="34">
        <v>5.6527900814232774</v>
      </c>
      <c r="AJ27" s="33">
        <v>6697.062648279777</v>
      </c>
      <c r="AK27" s="34">
        <v>1.3646633471566783</v>
      </c>
      <c r="AL27" s="33">
        <v>6698.2743880047492</v>
      </c>
      <c r="AM27" s="34">
        <v>0.15292476110508799</v>
      </c>
      <c r="AN27" s="33"/>
      <c r="AO27" s="34"/>
      <c r="AP27" s="33"/>
      <c r="AQ27" s="34"/>
      <c r="AR27" s="33"/>
      <c r="AS27" s="34"/>
      <c r="AT27" s="33"/>
      <c r="AU27" s="34"/>
      <c r="AV27" s="33"/>
      <c r="AW27" s="34"/>
    </row>
    <row r="28" spans="1:49" x14ac:dyDescent="0.2">
      <c r="A28" t="s">
        <v>35</v>
      </c>
      <c r="B28" s="39">
        <v>13763.097676000029</v>
      </c>
      <c r="C28" s="40">
        <v>382.36647899999997</v>
      </c>
      <c r="D28" s="39">
        <v>13787.170320781659</v>
      </c>
      <c r="E28" s="40">
        <v>358.27673801595444</v>
      </c>
      <c r="F28" s="39">
        <v>13811.370383518197</v>
      </c>
      <c r="G28" s="40">
        <v>334.02492209882507</v>
      </c>
      <c r="H28" s="39">
        <v>13835.710183911207</v>
      </c>
      <c r="I28" s="40">
        <v>309.59812816173707</v>
      </c>
      <c r="J28" s="39">
        <v>13860.202870405246</v>
      </c>
      <c r="K28" s="40">
        <v>284.98248447942262</v>
      </c>
      <c r="L28" s="39">
        <v>13884.858002676245</v>
      </c>
      <c r="M28" s="40">
        <v>260.16764548677264</v>
      </c>
      <c r="N28" s="39">
        <v>13909.683679781871</v>
      </c>
      <c r="O28" s="40">
        <v>235.14482034499335</v>
      </c>
      <c r="P28" s="39">
        <v>13934.677213331393</v>
      </c>
      <c r="Q28" s="40">
        <v>209.91590038835866</v>
      </c>
      <c r="R28" s="39">
        <v>13959.818828728832</v>
      </c>
      <c r="S28" s="40">
        <v>184.50013631757082</v>
      </c>
      <c r="T28" s="39">
        <v>13985.058012565505</v>
      </c>
      <c r="U28" s="40">
        <v>158.94801269819899</v>
      </c>
      <c r="V28" s="39">
        <v>14010.289701477261</v>
      </c>
      <c r="W28" s="40">
        <v>133.36568267213514</v>
      </c>
      <c r="X28" s="39">
        <v>14035.316310341907</v>
      </c>
      <c r="Y28" s="40">
        <v>107.95393205144099</v>
      </c>
      <c r="Z28" s="39">
        <v>14059.783935152851</v>
      </c>
      <c r="AA28" s="40">
        <v>83.073825469997388</v>
      </c>
      <c r="AB28" s="39">
        <v>14083.080767257339</v>
      </c>
      <c r="AC28" s="40">
        <v>59.351144074982876</v>
      </c>
      <c r="AD28" s="39">
        <v>14104.193043965088</v>
      </c>
      <c r="AE28" s="40">
        <v>37.825108856691827</v>
      </c>
      <c r="AF28" s="39">
        <v>14121.593861781874</v>
      </c>
      <c r="AG28" s="40">
        <v>20.063324558288727</v>
      </c>
      <c r="AH28" s="39">
        <v>14133.528520849604</v>
      </c>
      <c r="AI28" s="40">
        <v>7.8706904389063865</v>
      </c>
      <c r="AJ28" s="39">
        <v>14139.369913063236</v>
      </c>
      <c r="AK28" s="40">
        <v>1.8999394932663276</v>
      </c>
      <c r="AL28" s="39">
        <v>14141.020041013582</v>
      </c>
      <c r="AM28" s="40">
        <v>0.21290307860054203</v>
      </c>
      <c r="AN28" s="39"/>
      <c r="AO28" s="40"/>
      <c r="AP28" s="39"/>
      <c r="AQ28" s="40"/>
      <c r="AR28" s="39"/>
      <c r="AS28" s="40"/>
      <c r="AT28" s="39"/>
      <c r="AU28" s="40"/>
      <c r="AV28" s="39"/>
      <c r="AW28" s="40"/>
    </row>
    <row r="29" spans="1:49" x14ac:dyDescent="0.2">
      <c r="A29" t="s">
        <v>53</v>
      </c>
      <c r="B29" s="33">
        <v>14362.768558000025</v>
      </c>
      <c r="C29" s="34">
        <v>817.26650999999993</v>
      </c>
      <c r="D29" s="33">
        <v>14365.939637789756</v>
      </c>
      <c r="E29" s="34">
        <v>757.79184152681194</v>
      </c>
      <c r="F29" s="33">
        <v>14367.175132348735</v>
      </c>
      <c r="G29" s="34">
        <v>698.5263647086656</v>
      </c>
      <c r="H29" s="33">
        <v>14366.177587308362</v>
      </c>
      <c r="I29" s="34">
        <v>639.51541206363947</v>
      </c>
      <c r="J29" s="33">
        <v>14362.582100149802</v>
      </c>
      <c r="K29" s="34">
        <v>580.81421612206452</v>
      </c>
      <c r="L29" s="33">
        <v>14355.930598218025</v>
      </c>
      <c r="M29" s="34">
        <v>522.49930720879831</v>
      </c>
      <c r="N29" s="33">
        <v>14345.641487876808</v>
      </c>
      <c r="O29" s="34">
        <v>464.6662790128197</v>
      </c>
      <c r="P29" s="33">
        <v>14330.956198078551</v>
      </c>
      <c r="Q29" s="34">
        <v>407.45112286962404</v>
      </c>
      <c r="R29" s="33">
        <v>14310.861066328778</v>
      </c>
      <c r="S29" s="34">
        <v>351.04495560922868</v>
      </c>
      <c r="T29" s="33">
        <v>14283.961814065791</v>
      </c>
      <c r="U29" s="34">
        <v>295.72213929058188</v>
      </c>
      <c r="V29" s="33">
        <v>14248.272989625812</v>
      </c>
      <c r="W29" s="34">
        <v>241.88539570186188</v>
      </c>
      <c r="X29" s="33">
        <v>14200.855888271113</v>
      </c>
      <c r="Y29" s="34">
        <v>190.13160166621196</v>
      </c>
      <c r="Z29" s="33">
        <v>14137.160731979546</v>
      </c>
      <c r="AA29" s="34">
        <v>141.3524980915071</v>
      </c>
      <c r="AB29" s="33">
        <v>14049.777452903536</v>
      </c>
      <c r="AC29" s="34">
        <v>96.874760189431925</v>
      </c>
      <c r="AD29" s="33">
        <v>13925.95137411376</v>
      </c>
      <c r="AE29" s="34">
        <v>58.612956149797519</v>
      </c>
      <c r="AF29" s="33">
        <v>13742.531028170606</v>
      </c>
      <c r="AG29" s="34">
        <v>29.041976797163109</v>
      </c>
      <c r="AH29" s="33">
        <v>13455.731227081398</v>
      </c>
      <c r="AI29" s="34">
        <v>10.362903514341991</v>
      </c>
      <c r="AJ29" s="33">
        <v>12978.791814895823</v>
      </c>
      <c r="AK29" s="34">
        <v>2.1726588923128305</v>
      </c>
      <c r="AL29" s="33">
        <v>12107.202252247311</v>
      </c>
      <c r="AM29" s="34">
        <v>0.19270167905483604</v>
      </c>
      <c r="AN29" s="33"/>
      <c r="AO29" s="34"/>
      <c r="AP29" s="33"/>
      <c r="AQ29" s="34"/>
      <c r="AR29" s="33"/>
      <c r="AS29" s="34"/>
      <c r="AT29" s="33"/>
      <c r="AU29" s="34"/>
      <c r="AV29" s="33"/>
      <c r="AW29" s="34"/>
    </row>
    <row r="30" spans="1:49" x14ac:dyDescent="0.2">
      <c r="A30" t="s">
        <v>48</v>
      </c>
      <c r="B30" s="112">
        <v>2924829.9599999995</v>
      </c>
      <c r="D30" s="112">
        <v>3007349.9344578665</v>
      </c>
      <c r="F30" s="112">
        <v>3091539.9009164302</v>
      </c>
      <c r="H30" s="112">
        <v>3177649.8734311634</v>
      </c>
      <c r="J30" s="112">
        <v>3265980.2814938319</v>
      </c>
      <c r="L30" s="112">
        <v>3356897.9006746281</v>
      </c>
      <c r="N30" s="112">
        <v>3450877.4863108872</v>
      </c>
      <c r="P30" s="112">
        <v>3548539.8998317635</v>
      </c>
      <c r="R30" s="112">
        <v>3650745.7270563552</v>
      </c>
      <c r="T30" s="112">
        <v>3758743.6222677547</v>
      </c>
      <c r="V30" s="112">
        <v>3874440.0557305217</v>
      </c>
      <c r="X30" s="112">
        <v>4000897.1557043027</v>
      </c>
      <c r="Z30" s="112">
        <v>4143282.7078543096</v>
      </c>
      <c r="AB30" s="112">
        <v>4310722.6752266437</v>
      </c>
      <c r="AD30" s="112">
        <v>4519927.4297039052</v>
      </c>
      <c r="AF30" s="112">
        <v>4801752.8612558097</v>
      </c>
      <c r="AH30" s="112">
        <v>5209747.8019965068</v>
      </c>
      <c r="AJ30" s="112">
        <v>5820502.6818676796</v>
      </c>
      <c r="AL30" s="112">
        <v>6714659.5994547103</v>
      </c>
      <c r="AN30" s="112"/>
      <c r="AP30" s="112"/>
      <c r="AR30" s="112"/>
      <c r="AT30" s="112"/>
      <c r="AV30" s="112"/>
    </row>
    <row r="31" spans="1:49" x14ac:dyDescent="0.2">
      <c r="A31" t="s">
        <v>47</v>
      </c>
      <c r="B31" s="77">
        <v>1</v>
      </c>
      <c r="D31" s="77">
        <v>0.99787249060470684</v>
      </c>
      <c r="F31" s="77">
        <v>0.99532889861171903</v>
      </c>
      <c r="H31" s="77">
        <v>0.992312529748827</v>
      </c>
      <c r="J31" s="77">
        <v>0.98875526526714752</v>
      </c>
      <c r="L31" s="77">
        <v>0.9845736509407903</v>
      </c>
      <c r="N31" s="77">
        <v>0.9796652696443181</v>
      </c>
      <c r="P31" s="77">
        <v>0.973900989527685</v>
      </c>
      <c r="R31" s="77">
        <v>0.96711542887366642</v>
      </c>
      <c r="T31" s="77">
        <v>0.95909165220050174</v>
      </c>
      <c r="V31" s="77">
        <v>0.94953659227144582</v>
      </c>
      <c r="X31" s="77">
        <v>0.93804056496524935</v>
      </c>
      <c r="Z31" s="77">
        <v>0.92400649813386526</v>
      </c>
      <c r="AB31" s="77">
        <v>0.90652052568700381</v>
      </c>
      <c r="AD31" s="77">
        <v>0.8841034548773955</v>
      </c>
      <c r="AF31" s="77">
        <v>0.85422091138367884</v>
      </c>
      <c r="AH31" s="77">
        <v>0.81232022253755731</v>
      </c>
      <c r="AJ31" s="77">
        <v>0.74990401488347702</v>
      </c>
      <c r="AL31" s="77">
        <v>0.64947568599901417</v>
      </c>
      <c r="AN31" s="77"/>
      <c r="AP31" s="77"/>
      <c r="AR31" s="77"/>
      <c r="AT31" s="77"/>
      <c r="AV31" s="77"/>
    </row>
    <row r="32" spans="1:49" x14ac:dyDescent="0.2">
      <c r="A32" t="s">
        <v>64</v>
      </c>
      <c r="B32" s="83">
        <v>14734457.915000005</v>
      </c>
      <c r="D32" s="83">
        <v>14737756.018714681</v>
      </c>
      <c r="F32" s="83">
        <v>14738549.692005482</v>
      </c>
      <c r="H32" s="83">
        <v>14736456.315049956</v>
      </c>
      <c r="J32" s="83">
        <v>14731015.582638366</v>
      </c>
      <c r="L32" s="83">
        <v>14721667.28559242</v>
      </c>
      <c r="N32" s="83">
        <v>14707739.159646161</v>
      </c>
      <c r="P32" s="83">
        <v>14688415.886613745</v>
      </c>
      <c r="R32" s="83">
        <v>14662715.719008461</v>
      </c>
      <c r="T32" s="83">
        <v>14629464.702194015</v>
      </c>
      <c r="V32" s="83">
        <v>14587272.648608765</v>
      </c>
      <c r="X32" s="83">
        <v>14534526.466028003</v>
      </c>
      <c r="Z32" s="83">
        <v>14469409.627468895</v>
      </c>
      <c r="AB32" s="83">
        <v>14389947.790872371</v>
      </c>
      <c r="AD32" s="83">
        <v>14293907.380572194</v>
      </c>
      <c r="AF32" s="83">
        <v>14177414.182050927</v>
      </c>
      <c r="AH32" s="83">
        <v>14026667.288418358</v>
      </c>
      <c r="AJ32" s="83">
        <v>13783476.681642413</v>
      </c>
      <c r="AL32" s="83">
        <v>13237473.695542723</v>
      </c>
      <c r="AN32" s="83"/>
      <c r="AP32" s="83"/>
      <c r="AR32" s="83"/>
      <c r="AT32" s="83"/>
      <c r="AV32" s="83"/>
    </row>
    <row r="33" spans="1:49 16319:16384" x14ac:dyDescent="0.2">
      <c r="A33" t="s">
        <v>54</v>
      </c>
      <c r="B33" s="111">
        <v>7019665.6909999885</v>
      </c>
      <c r="D33" s="111">
        <v>7021237.158274686</v>
      </c>
      <c r="F33" s="111">
        <v>7021615.3031341992</v>
      </c>
      <c r="H33" s="111">
        <v>7020618.0652256273</v>
      </c>
      <c r="J33" s="111">
        <v>7018026.4177274499</v>
      </c>
      <c r="L33" s="111">
        <v>7013572.101087275</v>
      </c>
      <c r="N33" s="111">
        <v>7006936.5934621412</v>
      </c>
      <c r="P33" s="111">
        <v>6997730.7758145835</v>
      </c>
      <c r="R33" s="111">
        <v>6985486.9331883136</v>
      </c>
      <c r="T33" s="111">
        <v>6969645.7734920448</v>
      </c>
      <c r="V33" s="111">
        <v>6949544.9878295427</v>
      </c>
      <c r="X33" s="111">
        <v>6924416.0488259876</v>
      </c>
      <c r="Z33" s="111">
        <v>6893393.6599489348</v>
      </c>
      <c r="AB33" s="111">
        <v>6855537.1145404903</v>
      </c>
      <c r="AD33" s="111">
        <v>6809782.3269078787</v>
      </c>
      <c r="AF33" s="111">
        <v>6754283.6430183947</v>
      </c>
      <c r="AH33" s="111">
        <v>6682466.0729358718</v>
      </c>
      <c r="AJ33" s="111">
        <v>6566607.2635034742</v>
      </c>
      <c r="AL33" s="111">
        <v>6306485.1433900241</v>
      </c>
      <c r="AN33" s="111"/>
      <c r="AP33" s="111"/>
      <c r="AR33" s="111"/>
      <c r="AT33" s="111"/>
      <c r="AV33" s="111"/>
    </row>
    <row r="34" spans="1:49 16319:16384" x14ac:dyDescent="0.2">
      <c r="A34" t="s">
        <v>75</v>
      </c>
      <c r="B34" s="111">
        <v>1136879.4410000162</v>
      </c>
      <c r="D34" s="111">
        <v>1137133.7011165801</v>
      </c>
      <c r="F34" s="111">
        <v>1137194.9091236037</v>
      </c>
      <c r="H34" s="111">
        <v>1137033.3167959475</v>
      </c>
      <c r="J34" s="111">
        <v>1136613.1471923781</v>
      </c>
      <c r="L34" s="111">
        <v>1135892.5300859241</v>
      </c>
      <c r="N34" s="111">
        <v>1134817.8535994045</v>
      </c>
      <c r="P34" s="111">
        <v>1133326.8987686706</v>
      </c>
      <c r="R34" s="111">
        <v>1131343.9141618088</v>
      </c>
      <c r="T34" s="111">
        <v>1128778.3282155471</v>
      </c>
      <c r="V34" s="111">
        <v>1125522.8837291757</v>
      </c>
      <c r="X34" s="111">
        <v>1121453.1497231417</v>
      </c>
      <c r="Z34" s="111">
        <v>1116428.8482276059</v>
      </c>
      <c r="AB34" s="111">
        <v>1110297.7524467288</v>
      </c>
      <c r="AD34" s="111">
        <v>1102887.5068400246</v>
      </c>
      <c r="AF34" s="111">
        <v>1093899.1200272886</v>
      </c>
      <c r="AH34" s="111">
        <v>1082267.8215526885</v>
      </c>
      <c r="AJ34" s="111">
        <v>1063503.7509794545</v>
      </c>
      <c r="AL34" s="111">
        <v>1021375.3218001333</v>
      </c>
      <c r="AN34" s="111"/>
      <c r="AP34" s="111"/>
      <c r="AR34" s="111"/>
      <c r="AT34" s="111"/>
      <c r="AV34" s="111"/>
    </row>
    <row r="35" spans="1:49 16319:16384" x14ac:dyDescent="0.2">
      <c r="A35" t="s">
        <v>78</v>
      </c>
      <c r="B35" s="192">
        <v>1</v>
      </c>
      <c r="D35" s="192">
        <v>1.0023576083816228</v>
      </c>
      <c r="F35" s="192">
        <v>1.0049827573754995</v>
      </c>
      <c r="H35" s="192">
        <v>1.0079234996640385</v>
      </c>
      <c r="J35" s="192">
        <v>1.0112407093035949</v>
      </c>
      <c r="L35" s="192">
        <v>1.015012999305464</v>
      </c>
      <c r="N35" s="192">
        <v>1.0193443356382292</v>
      </c>
      <c r="P35" s="192">
        <v>1.0243753047130963</v>
      </c>
      <c r="R35" s="192">
        <v>1.0303018196920282</v>
      </c>
      <c r="T35" s="192">
        <v>1.037405866531693</v>
      </c>
      <c r="V35" s="192">
        <v>1.0461089809070065</v>
      </c>
      <c r="X35" s="192">
        <v>1.0570693440327943</v>
      </c>
      <c r="Z35" s="192">
        <v>1.0713679771616182</v>
      </c>
      <c r="AB35" s="192">
        <v>1.0908868080956324</v>
      </c>
      <c r="AD35" s="192">
        <v>1.1191235367826362</v>
      </c>
      <c r="AF35" s="192">
        <v>1.1630302838594104</v>
      </c>
      <c r="AH35" s="192">
        <v>1.2372548463598665</v>
      </c>
      <c r="AJ35" s="192">
        <v>1.3745183214111025</v>
      </c>
      <c r="AL35" s="192">
        <v>1.6605221641036936</v>
      </c>
      <c r="AN35" s="192"/>
      <c r="AP35" s="192"/>
      <c r="AR35" s="192"/>
      <c r="AT35" s="192"/>
      <c r="AV35" s="192"/>
    </row>
    <row r="36" spans="1:49 16319:16384" x14ac:dyDescent="0.2">
      <c r="A36" t="s">
        <v>21</v>
      </c>
      <c r="B36" s="35">
        <v>0.47195767671988198</v>
      </c>
      <c r="C36" s="36">
        <v>0.31738834428178964</v>
      </c>
      <c r="D36" s="35">
        <v>0.47198032425810421</v>
      </c>
      <c r="E36" s="36">
        <v>0.31988218050703082</v>
      </c>
      <c r="F36" s="35">
        <v>0.47200416801940054</v>
      </c>
      <c r="G36" s="36">
        <v>0.32263940831207311</v>
      </c>
      <c r="H36" s="35">
        <v>0.4720293829052109</v>
      </c>
      <c r="I36" s="36">
        <v>0.32570064586647895</v>
      </c>
      <c r="J36" s="35">
        <v>0.4720561758014597</v>
      </c>
      <c r="K36" s="36">
        <v>0.32911545189869351</v>
      </c>
      <c r="L36" s="35">
        <v>0.47208478206026938</v>
      </c>
      <c r="M36" s="36">
        <v>0.33294505903394522</v>
      </c>
      <c r="N36" s="35">
        <v>0.47211548534669134</v>
      </c>
      <c r="O36" s="36">
        <v>0.33726652878304336</v>
      </c>
      <c r="P36" s="35">
        <v>0.47214858531086357</v>
      </c>
      <c r="Q36" s="36">
        <v>0.34217835617782666</v>
      </c>
      <c r="R36" s="35">
        <v>0.47218439026661452</v>
      </c>
      <c r="S36" s="36">
        <v>0.34780955639990985</v>
      </c>
      <c r="T36" s="35">
        <v>0.47222316296724193</v>
      </c>
      <c r="U36" s="36">
        <v>0.35433375503350573</v>
      </c>
      <c r="V36" s="35">
        <v>0.47226501072139526</v>
      </c>
      <c r="W36" s="36">
        <v>0.36199260238458653</v>
      </c>
      <c r="X36" s="35">
        <v>0.47230965902574473</v>
      </c>
      <c r="Y36" s="36">
        <v>0.37113623763010845</v>
      </c>
      <c r="Z36" s="35">
        <v>0.47235599499278502</v>
      </c>
      <c r="AA36" s="36">
        <v>0.38229705517365375</v>
      </c>
      <c r="AB36" s="35">
        <v>0.47240115209654926</v>
      </c>
      <c r="AC36" s="36">
        <v>0.39633115396646895</v>
      </c>
      <c r="AD36" s="35">
        <v>0.47243883839496892</v>
      </c>
      <c r="AE36" s="36">
        <v>0.41470347643136751</v>
      </c>
      <c r="AF36" s="35">
        <v>0.47245688386361356</v>
      </c>
      <c r="AG36" s="36">
        <v>0.44007726821059406</v>
      </c>
      <c r="AH36" s="35">
        <v>0.47243689719181325</v>
      </c>
      <c r="AI36" s="36">
        <v>0.47751758077869305</v>
      </c>
      <c r="AJ36" s="35">
        <v>0.47236579645945664</v>
      </c>
      <c r="AK36" s="36">
        <v>0.53699469477662298</v>
      </c>
      <c r="AL36" s="35">
        <v>0.47225945869716057</v>
      </c>
      <c r="AM36" s="36">
        <v>0.64084542546146805</v>
      </c>
      <c r="AN36" s="35"/>
      <c r="AO36" s="36"/>
      <c r="AP36" s="35"/>
      <c r="AQ36" s="36"/>
      <c r="AR36" s="35"/>
      <c r="AS36" s="36"/>
      <c r="AT36" s="35"/>
      <c r="AU36" s="36"/>
      <c r="AV36" s="35"/>
      <c r="AW36" s="36"/>
    </row>
    <row r="37" spans="1:49 16319:16384" x14ac:dyDescent="0.2">
      <c r="B37" s="37">
        <v>2.1403217525954466E-2</v>
      </c>
      <c r="C37" s="38">
        <v>0.3496246130199252</v>
      </c>
      <c r="D37" s="37">
        <v>2.0678222734705914E-2</v>
      </c>
      <c r="E37" s="38">
        <v>0.34520216196911069</v>
      </c>
      <c r="F37" s="37">
        <v>1.9941529041782903E-2</v>
      </c>
      <c r="G37" s="38">
        <v>0.34068340230954991</v>
      </c>
      <c r="H37" s="37">
        <v>1.9192433170551061E-2</v>
      </c>
      <c r="I37" s="38">
        <v>0.33606350422121528</v>
      </c>
      <c r="J37" s="37">
        <v>1.8430116952434433E-2</v>
      </c>
      <c r="K37" s="38">
        <v>0.33133710608603123</v>
      </c>
      <c r="L37" s="37">
        <v>1.7653606272566326E-2</v>
      </c>
      <c r="M37" s="38">
        <v>0.32649813105196746</v>
      </c>
      <c r="N37" s="37">
        <v>1.6861657366101998E-2</v>
      </c>
      <c r="O37" s="38">
        <v>0.32153915488752172</v>
      </c>
      <c r="P37" s="37">
        <v>1.6052695468828954E-2</v>
      </c>
      <c r="Q37" s="38">
        <v>0.31645113653393703</v>
      </c>
      <c r="R37" s="37">
        <v>1.5224609187967411E-2</v>
      </c>
      <c r="S37" s="38">
        <v>0.311222277765698</v>
      </c>
      <c r="T37" s="37">
        <v>1.4374494844680114E-2</v>
      </c>
      <c r="U37" s="38">
        <v>0.30583662835793907</v>
      </c>
      <c r="V37" s="37">
        <v>1.3498240544193853E-2</v>
      </c>
      <c r="W37" s="38">
        <v>0.30027179256176811</v>
      </c>
      <c r="X37" s="37">
        <v>1.2589894739441368E-2</v>
      </c>
      <c r="Y37" s="38">
        <v>0.29449549593486407</v>
      </c>
      <c r="Z37" s="37">
        <v>1.1640699174644525E-2</v>
      </c>
      <c r="AA37" s="38">
        <v>0.28846050725924427</v>
      </c>
      <c r="AB37" s="37">
        <v>1.0637717528801978E-2</v>
      </c>
      <c r="AC37" s="38">
        <v>0.28209809083298842</v>
      </c>
      <c r="AD37" s="37">
        <v>9.5622575794570893E-3</v>
      </c>
      <c r="AE37" s="38">
        <v>0.27531276805662208</v>
      </c>
      <c r="AF37" s="37">
        <v>8.3897902334677758E-3</v>
      </c>
      <c r="AG37" s="38">
        <v>0.26799273321528033</v>
      </c>
      <c r="AH37" s="37">
        <v>7.0970383254441664E-3</v>
      </c>
      <c r="AI37" s="38">
        <v>0.26007819872311366</v>
      </c>
      <c r="AJ37" s="37">
        <v>5.6825600515217206E-3</v>
      </c>
      <c r="AK37" s="38">
        <v>0.2517290637979922</v>
      </c>
      <c r="AL37" s="37">
        <v>4.1767346543325114E-3</v>
      </c>
      <c r="AM37" s="38">
        <v>0.24342364701692709</v>
      </c>
      <c r="AN37" s="37"/>
      <c r="AO37" s="38"/>
      <c r="AP37" s="37"/>
      <c r="AQ37" s="38"/>
      <c r="AR37" s="37"/>
      <c r="AS37" s="38"/>
      <c r="AT37" s="37"/>
      <c r="AU37" s="38"/>
      <c r="AV37" s="37"/>
      <c r="AW37" s="38"/>
    </row>
    <row r="38" spans="1:49 16319:16384" x14ac:dyDescent="0.2">
      <c r="A38" t="s">
        <v>22</v>
      </c>
      <c r="B38" s="35">
        <v>0.18079094942242827</v>
      </c>
      <c r="C38" s="36">
        <v>6.0565413429233668E-2</v>
      </c>
      <c r="D38" s="35">
        <v>0.18091435293253533</v>
      </c>
      <c r="E38" s="36">
        <v>6.0924088021184604E-2</v>
      </c>
      <c r="F38" s="35">
        <v>0.18106252117229787</v>
      </c>
      <c r="G38" s="36">
        <v>6.1320942924931052E-2</v>
      </c>
      <c r="H38" s="35">
        <v>0.18123928470460279</v>
      </c>
      <c r="I38" s="36">
        <v>6.1762059168315384E-2</v>
      </c>
      <c r="J38" s="35">
        <v>0.18144935903497392</v>
      </c>
      <c r="K38" s="36">
        <v>6.2254962355760328E-2</v>
      </c>
      <c r="L38" s="35">
        <v>0.18169866646598093</v>
      </c>
      <c r="M38" s="36">
        <v>6.2808875771059786E-2</v>
      </c>
      <c r="N38" s="35">
        <v>0.18199475067138682</v>
      </c>
      <c r="O38" s="36">
        <v>6.3435677999848228E-2</v>
      </c>
      <c r="P38" s="35">
        <v>0.1823474617598688</v>
      </c>
      <c r="Q38" s="36">
        <v>6.4150619933412492E-2</v>
      </c>
      <c r="R38" s="35">
        <v>0.18276999052663373</v>
      </c>
      <c r="S38" s="36">
        <v>6.4973919080729317E-2</v>
      </c>
      <c r="T38" s="35">
        <v>0.18328054173935268</v>
      </c>
      <c r="U38" s="36">
        <v>6.5933250015797362E-2</v>
      </c>
      <c r="V38" s="35">
        <v>0.1839051755005455</v>
      </c>
      <c r="W38" s="36">
        <v>6.7067739103020399E-2</v>
      </c>
      <c r="X38" s="35">
        <v>0.18468280079342875</v>
      </c>
      <c r="Y38" s="36">
        <v>6.8435296232197032E-2</v>
      </c>
      <c r="Z38" s="35">
        <v>0.18567448241270232</v>
      </c>
      <c r="AA38" s="36">
        <v>7.0126139692721093E-2</v>
      </c>
      <c r="AB38" s="35">
        <v>0.18698175939755968</v>
      </c>
      <c r="AC38" s="36">
        <v>7.2289951510332018E-2</v>
      </c>
      <c r="AD38" s="35">
        <v>0.18878490951843077</v>
      </c>
      <c r="AE38" s="36">
        <v>7.5192611755881086E-2</v>
      </c>
      <c r="AF38" s="35">
        <v>0.19142686635912773</v>
      </c>
      <c r="AG38" s="36">
        <v>7.934372451509332E-2</v>
      </c>
      <c r="AH38" s="35">
        <v>0.19560507916359085</v>
      </c>
      <c r="AI38" s="36">
        <v>8.5792257703966118E-2</v>
      </c>
      <c r="AJ38" s="35">
        <v>0.2028673324721012</v>
      </c>
      <c r="AK38" s="36">
        <v>9.6920764028964851E-2</v>
      </c>
      <c r="AL38" s="35">
        <v>0.21753102132689706</v>
      </c>
      <c r="AM38" s="36">
        <v>0.1199216297185067</v>
      </c>
      <c r="AN38" s="35"/>
      <c r="AO38" s="36"/>
      <c r="AP38" s="35"/>
      <c r="AQ38" s="36"/>
      <c r="AR38" s="35"/>
      <c r="AS38" s="36"/>
      <c r="AT38" s="35"/>
      <c r="AU38" s="36"/>
      <c r="AV38" s="35"/>
      <c r="AW38" s="36"/>
    </row>
    <row r="39" spans="1:49 16319:16384" x14ac:dyDescent="0.2">
      <c r="A39" t="s">
        <v>23</v>
      </c>
      <c r="B39" s="37">
        <v>0.23064923795098771</v>
      </c>
      <c r="C39" s="38">
        <v>0.22092201281804777</v>
      </c>
      <c r="D39" s="37">
        <v>0.23120286511572674</v>
      </c>
      <c r="E39" s="38">
        <v>0.22247949383183327</v>
      </c>
      <c r="F39" s="37">
        <v>0.23179139880373834</v>
      </c>
      <c r="G39" s="38">
        <v>0.22418090888923858</v>
      </c>
      <c r="H39" s="37">
        <v>0.23242013523556029</v>
      </c>
      <c r="I39" s="38">
        <v>0.22604919910000784</v>
      </c>
      <c r="J39" s="37">
        <v>0.23309556407611903</v>
      </c>
      <c r="K39" s="38">
        <v>0.22811242704123222</v>
      </c>
      <c r="L39" s="37">
        <v>0.23382570359439808</v>
      </c>
      <c r="M39" s="38">
        <v>0.23040567619817304</v>
      </c>
      <c r="N39" s="37">
        <v>0.23462071378853189</v>
      </c>
      <c r="O39" s="38">
        <v>0.23297316668563003</v>
      </c>
      <c r="P39" s="37">
        <v>0.23549361822540363</v>
      </c>
      <c r="Q39" s="38">
        <v>0.23587200262549018</v>
      </c>
      <c r="R39" s="37">
        <v>0.23646157254048472</v>
      </c>
      <c r="S39" s="38">
        <v>0.23917770491209953</v>
      </c>
      <c r="T39" s="37">
        <v>0.23754783916987465</v>
      </c>
      <c r="U39" s="38">
        <v>0.24299297638049114</v>
      </c>
      <c r="V39" s="37">
        <v>0.23878511339475084</v>
      </c>
      <c r="W39" s="38">
        <v>0.24746287790346566</v>
      </c>
      <c r="X39" s="37">
        <v>0.24022143720749112</v>
      </c>
      <c r="Y39" s="38">
        <v>0.25280124687876293</v>
      </c>
      <c r="Z39" s="37">
        <v>0.24193131000617343</v>
      </c>
      <c r="AA39" s="38">
        <v>0.25934053794062012</v>
      </c>
      <c r="AB39" s="37">
        <v>0.2440379317786654</v>
      </c>
      <c r="AC39" s="38">
        <v>0.26763051024460949</v>
      </c>
      <c r="AD39" s="37">
        <v>0.24676075386292376</v>
      </c>
      <c r="AE39" s="38">
        <v>0.27864844463699834</v>
      </c>
      <c r="AF39" s="37">
        <v>0.25052317502939786</v>
      </c>
      <c r="AG39" s="38">
        <v>0.29426758489367238</v>
      </c>
      <c r="AH39" s="37">
        <v>0.25620809500100811</v>
      </c>
      <c r="AI39" s="38">
        <v>0.31835915774212303</v>
      </c>
      <c r="AJ39" s="37">
        <v>0.26583048948758636</v>
      </c>
      <c r="AK39" s="38">
        <v>0.35975174445574504</v>
      </c>
      <c r="AL39" s="37">
        <v>0.28507865666158916</v>
      </c>
      <c r="AM39" s="38">
        <v>0.44516052314738086</v>
      </c>
      <c r="AN39" s="37"/>
      <c r="AO39" s="38"/>
      <c r="AP39" s="37"/>
      <c r="AQ39" s="38"/>
      <c r="AR39" s="37"/>
      <c r="AS39" s="38"/>
      <c r="AT39" s="37"/>
      <c r="AU39" s="38"/>
      <c r="AV39" s="37"/>
      <c r="AW39" s="38"/>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v>6.0999999999999999E-2</v>
      </c>
      <c r="C42" s="126"/>
      <c r="D42" s="167">
        <v>6.1000000000000519E-2</v>
      </c>
      <c r="E42" s="126"/>
      <c r="F42" s="167">
        <v>6.1000000000002295E-2</v>
      </c>
      <c r="G42" s="126"/>
      <c r="H42" s="167">
        <v>6.0999999999999582E-2</v>
      </c>
      <c r="I42" s="126"/>
      <c r="J42" s="167">
        <v>6.1000000000000519E-2</v>
      </c>
      <c r="K42" s="126"/>
      <c r="L42" s="167">
        <v>6.0999999999999999E-2</v>
      </c>
      <c r="M42" s="126"/>
      <c r="N42" s="167">
        <v>6.0999999999999582E-2</v>
      </c>
      <c r="O42" s="126"/>
      <c r="P42" s="167">
        <v>6.0999999999998333E-2</v>
      </c>
      <c r="Q42" s="126"/>
      <c r="R42" s="167">
        <v>6.1000000000000311E-2</v>
      </c>
      <c r="S42" s="126"/>
      <c r="T42" s="167">
        <v>6.1000000000000207E-2</v>
      </c>
      <c r="U42" s="126"/>
      <c r="V42" s="167">
        <v>6.0999999999999582E-2</v>
      </c>
      <c r="W42" s="126"/>
      <c r="X42" s="167">
        <v>6.0999999999999582E-2</v>
      </c>
      <c r="Y42" s="152"/>
      <c r="Z42" s="167">
        <v>6.0999999999999791E-2</v>
      </c>
      <c r="AA42" s="126"/>
      <c r="AB42" s="167">
        <v>6.0999999999999791E-2</v>
      </c>
      <c r="AC42" s="126"/>
      <c r="AD42" s="167">
        <v>6.1000000000000311E-2</v>
      </c>
      <c r="AE42" s="126"/>
      <c r="AF42" s="167">
        <v>6.1000000000000311E-2</v>
      </c>
      <c r="AG42" s="126"/>
      <c r="AH42" s="167">
        <v>6.0999999999999582E-2</v>
      </c>
      <c r="AI42" s="126"/>
      <c r="AJ42" s="167">
        <v>6.0999999999999791E-2</v>
      </c>
      <c r="AK42" s="126"/>
      <c r="AL42" s="167">
        <v>6.099999999999875E-2</v>
      </c>
      <c r="AM42" s="126"/>
      <c r="AN42" s="167">
        <v>1</v>
      </c>
      <c r="AO42" s="126"/>
      <c r="AP42" s="167">
        <v>1</v>
      </c>
      <c r="AQ42" s="126"/>
      <c r="AR42" s="167">
        <v>1</v>
      </c>
      <c r="AS42" s="126"/>
      <c r="AT42" s="167">
        <v>1</v>
      </c>
      <c r="AU42" s="126"/>
      <c r="AV42" s="167">
        <v>1</v>
      </c>
      <c r="XFD42" s="167"/>
    </row>
    <row r="43" spans="1:49 16319:16384" x14ac:dyDescent="0.2">
      <c r="A43" t="s">
        <v>95</v>
      </c>
      <c r="B43" s="152">
        <v>0.56058995943839207</v>
      </c>
      <c r="C43" s="126"/>
      <c r="D43" s="152">
        <v>0.56139949462718397</v>
      </c>
      <c r="E43" s="126"/>
      <c r="F43" s="152">
        <v>0.55536069739320404</v>
      </c>
      <c r="G43" s="126"/>
      <c r="H43" s="152">
        <v>0.54904804754024861</v>
      </c>
      <c r="I43" s="126"/>
      <c r="J43" s="152">
        <v>0.5424172415115599</v>
      </c>
      <c r="K43" s="126"/>
      <c r="L43" s="152">
        <v>0.53541299865954206</v>
      </c>
      <c r="M43" s="126"/>
      <c r="N43" s="152">
        <v>0.52796449064201567</v>
      </c>
      <c r="O43" s="126"/>
      <c r="P43" s="152">
        <v>0.51997892133010282</v>
      </c>
      <c r="Q43" s="126"/>
      <c r="R43" s="152">
        <v>0.51133041368996424</v>
      </c>
      <c r="S43" s="126"/>
      <c r="T43" s="152">
        <v>0.50184170668076722</v>
      </c>
      <c r="U43" s="126"/>
      <c r="V43" s="152">
        <v>0.49125146805007075</v>
      </c>
      <c r="W43" s="126"/>
      <c r="X43" s="152">
        <v>0.47915416724189142</v>
      </c>
      <c r="Y43" s="126"/>
      <c r="Z43" s="152">
        <v>0.46488269329384413</v>
      </c>
      <c r="AA43" s="126"/>
      <c r="AB43" s="152">
        <v>0.44726675455199405</v>
      </c>
      <c r="AC43" s="126"/>
      <c r="AD43" s="152">
        <v>0.42410800727267106</v>
      </c>
      <c r="AE43" s="126"/>
      <c r="AF43" s="152">
        <v>0.3909925133254244</v>
      </c>
      <c r="AG43" s="126"/>
      <c r="AH43" s="152">
        <v>0.33854044701860631</v>
      </c>
      <c r="AI43" s="126"/>
      <c r="AJ43" s="152">
        <v>0.24522511760086549</v>
      </c>
      <c r="AK43" s="126"/>
      <c r="AL43" s="152">
        <v>4.6378895601806053E-2</v>
      </c>
      <c r="AM43" s="126"/>
      <c r="AN43" s="152" t="e">
        <v>#DIV/0!</v>
      </c>
      <c r="AO43" s="126"/>
      <c r="AP43" s="152" t="e">
        <v>#DIV/0!</v>
      </c>
      <c r="AQ43" s="126"/>
      <c r="AR43" s="152" t="e">
        <v>#DIV/0!</v>
      </c>
      <c r="AS43" s="126"/>
      <c r="AT43" s="152" t="e">
        <v>#DIV/0!</v>
      </c>
      <c r="AU43" s="126"/>
      <c r="AV43" s="152" t="e">
        <v>#DIV/0!</v>
      </c>
    </row>
    <row r="44" spans="1:49 16319:16384" x14ac:dyDescent="0.2">
      <c r="A44" t="s">
        <v>129</v>
      </c>
      <c r="B44" s="183">
        <v>0.29754226190682465</v>
      </c>
      <c r="D44" s="183">
        <v>0.29754224747950947</v>
      </c>
      <c r="F44" s="183">
        <v>0.29754224546177543</v>
      </c>
      <c r="H44" s="183">
        <v>0.29754224064029827</v>
      </c>
      <c r="J44" s="183">
        <v>0.2975422148247493</v>
      </c>
      <c r="L44" s="183">
        <v>0.29754226099265157</v>
      </c>
      <c r="N44" s="183">
        <v>0.29754226016119556</v>
      </c>
      <c r="P44" s="183">
        <v>0.29754225930852757</v>
      </c>
      <c r="R44" s="183">
        <v>0.29754225837409731</v>
      </c>
      <c r="T44" s="183">
        <v>0.29754225780448257</v>
      </c>
      <c r="V44" s="183">
        <v>0.29754225811558521</v>
      </c>
      <c r="X44" s="183">
        <v>0.29754226149185581</v>
      </c>
      <c r="Z44" s="183">
        <v>0.29754225982859112</v>
      </c>
      <c r="AB44" s="183">
        <v>0.29754226051054944</v>
      </c>
      <c r="AD44" s="183">
        <v>0.29754226249367932</v>
      </c>
      <c r="AF44" s="183">
        <v>0.29754226112563437</v>
      </c>
      <c r="AH44" s="183">
        <v>0.29754226192372668</v>
      </c>
      <c r="AJ44" s="183">
        <v>0.29754226188909044</v>
      </c>
      <c r="AL44" s="183">
        <v>0.297542261903046</v>
      </c>
      <c r="AN44" s="183" t="e">
        <v>#DIV/0!</v>
      </c>
      <c r="AP44" s="183" t="e">
        <v>#DIV/0!</v>
      </c>
      <c r="AR44" s="183" t="e">
        <v>#DIV/0!</v>
      </c>
      <c r="AT44" s="183" t="e">
        <v>#DIV/0!</v>
      </c>
      <c r="AV44" s="183" t="e">
        <v>#DIV/0!</v>
      </c>
    </row>
    <row r="45" spans="1:49 16319:16384" x14ac:dyDescent="0.2">
      <c r="A45" t="s">
        <v>82</v>
      </c>
      <c r="B45" s="183">
        <v>0.22038438833194082</v>
      </c>
      <c r="D45" s="183">
        <v>0.22038438846266895</v>
      </c>
      <c r="F45" s="183">
        <v>0.22038438848888461</v>
      </c>
      <c r="H45" s="183">
        <v>0.22038438854293038</v>
      </c>
      <c r="J45" s="183">
        <v>0.22038438814157313</v>
      </c>
      <c r="L45" s="183">
        <v>0.22038438831082685</v>
      </c>
      <c r="N45" s="183">
        <v>0.22038438828969675</v>
      </c>
      <c r="P45" s="183">
        <v>0.22038438826802104</v>
      </c>
      <c r="R45" s="183">
        <v>0.22038438831492702</v>
      </c>
      <c r="T45" s="183">
        <v>0.22038438831345042</v>
      </c>
      <c r="V45" s="183">
        <v>0.22038438831759252</v>
      </c>
      <c r="X45" s="183">
        <v>0.22038438831694718</v>
      </c>
      <c r="Z45" s="183">
        <v>0.22038438836242125</v>
      </c>
      <c r="AB45" s="183">
        <v>0.22038438832209034</v>
      </c>
      <c r="AD45" s="183">
        <v>0.2203843883396161</v>
      </c>
      <c r="AF45" s="183">
        <v>0.22038438833017071</v>
      </c>
      <c r="AH45" s="183">
        <v>0.22038438833202162</v>
      </c>
      <c r="AJ45" s="183">
        <v>0.22038438833198662</v>
      </c>
      <c r="AL45" s="183">
        <v>0.22038438833204527</v>
      </c>
      <c r="AN45" s="183" t="e">
        <v>#DIV/0!</v>
      </c>
      <c r="AP45" s="183" t="e">
        <v>#DIV/0!</v>
      </c>
      <c r="AR45" s="183" t="e">
        <v>#DIV/0!</v>
      </c>
      <c r="AT45" s="183" t="e">
        <v>#DIV/0!</v>
      </c>
      <c r="AV45" s="183" t="e">
        <v>#DIV/0!</v>
      </c>
      <c r="XCQ45" s="183"/>
    </row>
    <row r="46" spans="1:49 16319:16384" x14ac:dyDescent="0.2">
      <c r="A46" t="s">
        <v>126</v>
      </c>
      <c r="B46" s="183">
        <v>7.7157873574883795E-2</v>
      </c>
      <c r="D46" s="183">
        <v>7.715785901684051E-2</v>
      </c>
      <c r="F46" s="183">
        <v>7.7157856972890876E-2</v>
      </c>
      <c r="H46" s="183">
        <v>7.7157852097367891E-2</v>
      </c>
      <c r="J46" s="183">
        <v>7.7157826683176139E-2</v>
      </c>
      <c r="L46" s="183">
        <v>7.7157872681824724E-2</v>
      </c>
      <c r="N46" s="183">
        <v>7.7157871871498834E-2</v>
      </c>
      <c r="P46" s="183">
        <v>7.7157871040506518E-2</v>
      </c>
      <c r="R46" s="183">
        <v>7.7157870059170311E-2</v>
      </c>
      <c r="T46" s="183">
        <v>7.7157869491032136E-2</v>
      </c>
      <c r="V46" s="183">
        <v>7.7157869797992731E-2</v>
      </c>
      <c r="X46" s="183">
        <v>7.7157873174908631E-2</v>
      </c>
      <c r="Z46" s="183">
        <v>7.7157871466169869E-2</v>
      </c>
      <c r="AB46" s="183">
        <v>7.7157872188459029E-2</v>
      </c>
      <c r="AD46" s="183">
        <v>7.7157874154063208E-2</v>
      </c>
      <c r="AF46" s="183">
        <v>7.7157872795463711E-2</v>
      </c>
      <c r="AH46" s="183">
        <v>7.715787359170509E-2</v>
      </c>
      <c r="AJ46" s="183">
        <v>7.7157873557103837E-2</v>
      </c>
      <c r="AL46" s="183">
        <v>7.7157873571000735E-2</v>
      </c>
      <c r="AN46" s="183" t="e">
        <v>#DIV/0!</v>
      </c>
      <c r="AP46" s="183" t="e">
        <v>#DIV/0!</v>
      </c>
      <c r="AR46" s="183" t="e">
        <v>#DIV/0!</v>
      </c>
      <c r="AT46" s="183" t="e">
        <v>#DIV/0!</v>
      </c>
      <c r="AV46" s="183" t="e">
        <v>#DIV/0!</v>
      </c>
      <c r="XCS46" s="183"/>
    </row>
    <row r="48" spans="1:49 16319:16384" x14ac:dyDescent="0.2">
      <c r="A48" t="s">
        <v>143</v>
      </c>
      <c r="B48" s="181">
        <v>1</v>
      </c>
      <c r="C48" s="181"/>
      <c r="D48" s="181">
        <v>1.0016748307934191</v>
      </c>
      <c r="E48" s="181"/>
      <c r="F48" s="181">
        <v>1.0032385789550358</v>
      </c>
      <c r="G48" s="181"/>
      <c r="H48" s="181">
        <v>1.0046731670591407</v>
      </c>
      <c r="I48" s="181"/>
      <c r="J48" s="181">
        <v>1.0059564474357596</v>
      </c>
      <c r="K48" s="181"/>
      <c r="L48" s="181">
        <v>1.0070605697947288</v>
      </c>
      <c r="M48" s="181"/>
      <c r="N48" s="181">
        <v>1.0079509291788693</v>
      </c>
      <c r="O48" s="181"/>
      <c r="P48" s="181">
        <v>1.0085832078722783</v>
      </c>
      <c r="Q48" s="181"/>
      <c r="R48" s="181">
        <v>1.0089001953020262</v>
      </c>
      <c r="S48" s="181"/>
      <c r="T48" s="181">
        <v>1.0088268059683092</v>
      </c>
      <c r="U48" s="181"/>
      <c r="V48" s="181">
        <v>1.0082622692020375</v>
      </c>
      <c r="W48" s="181"/>
      <c r="X48" s="181">
        <v>1.0070678922530039</v>
      </c>
      <c r="Y48" s="181"/>
      <c r="Z48" s="181">
        <v>1.0050459470787501</v>
      </c>
      <c r="AA48" s="181"/>
      <c r="AB48" s="181">
        <v>1.0019003100279995</v>
      </c>
      <c r="AC48" s="181"/>
      <c r="AD48" s="181">
        <v>0.99715303105338837</v>
      </c>
      <c r="AE48" s="181"/>
      <c r="AF48" s="181">
        <v>0.98993886352382965</v>
      </c>
      <c r="AG48" s="181"/>
      <c r="AH48" s="181">
        <v>0.97841274764869679</v>
      </c>
      <c r="AI48" s="181"/>
      <c r="AJ48" s="181">
        <v>0.95789767397625125</v>
      </c>
      <c r="AK48" s="181"/>
      <c r="AL48" s="181">
        <v>0.91468479308370998</v>
      </c>
      <c r="AM48" s="181"/>
      <c r="AN48" s="181">
        <v>0</v>
      </c>
      <c r="AO48" s="181"/>
      <c r="AP48" s="181">
        <v>0</v>
      </c>
      <c r="AQ48" s="181"/>
      <c r="AR48" s="181">
        <v>0</v>
      </c>
      <c r="AS48" s="181"/>
      <c r="AT48" s="181">
        <v>0</v>
      </c>
      <c r="AU48" s="181"/>
      <c r="AV48" s="181">
        <v>0</v>
      </c>
    </row>
    <row r="49" spans="1:48 16321:16384" x14ac:dyDescent="0.2">
      <c r="A49" t="s">
        <v>144</v>
      </c>
      <c r="B49" s="181">
        <v>1</v>
      </c>
      <c r="C49" s="181"/>
      <c r="D49" s="181">
        <v>1.0042378236518847</v>
      </c>
      <c r="E49" s="181"/>
      <c r="F49" s="181">
        <v>1.0081862622729614</v>
      </c>
      <c r="G49" s="181"/>
      <c r="H49" s="181">
        <v>1.0117956340989247</v>
      </c>
      <c r="I49" s="181"/>
      <c r="J49" s="181">
        <v>1.0150036339449502</v>
      </c>
      <c r="K49" s="181"/>
      <c r="L49" s="181">
        <v>1.0177313354131092</v>
      </c>
      <c r="M49" s="181"/>
      <c r="N49" s="181">
        <v>1.0198778334382352</v>
      </c>
      <c r="O49" s="181"/>
      <c r="P49" s="181">
        <v>1.0213124585664553</v>
      </c>
      <c r="Q49" s="181"/>
      <c r="R49" s="181">
        <v>1.0218636137383077</v>
      </c>
      <c r="S49" s="181"/>
      <c r="T49" s="181">
        <v>1.0213017844307712</v>
      </c>
      <c r="U49" s="181"/>
      <c r="V49" s="181">
        <v>1.019313155434852</v>
      </c>
      <c r="W49" s="181"/>
      <c r="X49" s="181">
        <v>1.0154553088122649</v>
      </c>
      <c r="Y49" s="181"/>
      <c r="Z49" s="181">
        <v>1.0090783175914022</v>
      </c>
      <c r="AA49" s="181"/>
      <c r="AB49" s="181">
        <v>0.99917166820535874</v>
      </c>
      <c r="AC49" s="181"/>
      <c r="AD49" s="181">
        <v>0.98403722513262226</v>
      </c>
      <c r="AE49" s="181"/>
      <c r="AF49" s="181">
        <v>0.96052923461167128</v>
      </c>
      <c r="AG49" s="181"/>
      <c r="AH49" s="181">
        <v>0.92222751416566418</v>
      </c>
      <c r="AI49" s="181"/>
      <c r="AJ49" s="181">
        <v>0.85549854165863626</v>
      </c>
      <c r="AK49" s="181"/>
      <c r="AL49" s="181">
        <v>0.73289751373587642</v>
      </c>
      <c r="AM49" s="181"/>
      <c r="AN49" s="181" t="e">
        <v>#DIV/0!</v>
      </c>
      <c r="AO49" s="181"/>
      <c r="AP49" s="181" t="e">
        <v>#DIV/0!</v>
      </c>
      <c r="AQ49" s="181"/>
      <c r="AR49" s="181" t="e">
        <v>#DIV/0!</v>
      </c>
      <c r="AS49" s="181"/>
      <c r="AT49" s="181" t="e">
        <v>#DIV/0!</v>
      </c>
      <c r="AU49" s="181"/>
      <c r="AV49" s="181" t="e">
        <v>#DIV/0!</v>
      </c>
    </row>
    <row r="51" spans="1:48 16321:16384" x14ac:dyDescent="0.2">
      <c r="A51" t="s">
        <v>150</v>
      </c>
      <c r="B51" s="27">
        <v>-405838.32800000021</v>
      </c>
      <c r="D51" s="27">
        <v>-324063.87736909557</v>
      </c>
      <c r="F51" s="27">
        <v>-240053.31774558173</v>
      </c>
      <c r="H51" s="27">
        <v>-153470.14531532908</v>
      </c>
      <c r="J51" s="27">
        <v>-63909.880340970121</v>
      </c>
      <c r="L51" s="27">
        <v>29120.885906202719</v>
      </c>
      <c r="N51" s="27">
        <v>126248.87154930923</v>
      </c>
      <c r="P51" s="27">
        <v>228279.23759892536</v>
      </c>
      <c r="R51" s="27">
        <v>336294.49016736122</v>
      </c>
      <c r="T51" s="27">
        <v>451808.65152757382</v>
      </c>
      <c r="V51" s="27">
        <v>577042.43856606539</v>
      </c>
      <c r="X51" s="27">
        <v>715422.61291748984</v>
      </c>
      <c r="Z51" s="27">
        <v>872527.57927701762</v>
      </c>
      <c r="AB51" s="27">
        <v>1057929.5932197142</v>
      </c>
      <c r="AD51" s="27">
        <v>1288843.9179301411</v>
      </c>
      <c r="AF51" s="27">
        <v>1597002.1948653478</v>
      </c>
      <c r="AH51" s="27">
        <v>2039072.8987615644</v>
      </c>
      <c r="AJ51" s="27">
        <v>2704800.0922801588</v>
      </c>
      <c r="AL51" s="27">
        <v>3722378.9125558669</v>
      </c>
      <c r="AN51" s="27">
        <v>0</v>
      </c>
      <c r="AP51" s="27">
        <v>0</v>
      </c>
      <c r="AQ51" s="27"/>
      <c r="AR51" s="27">
        <v>0</v>
      </c>
      <c r="AT51" s="27">
        <v>0</v>
      </c>
      <c r="AV51" s="27">
        <v>0</v>
      </c>
      <c r="XFD51" s="27"/>
    </row>
    <row r="52" spans="1:48 16321:16384" x14ac:dyDescent="0.2">
      <c r="A52" t="s">
        <v>151</v>
      </c>
      <c r="B52" s="27">
        <v>0</v>
      </c>
      <c r="D52" s="27">
        <v>0</v>
      </c>
      <c r="F52" s="27">
        <v>0</v>
      </c>
      <c r="H52" s="27">
        <v>0</v>
      </c>
      <c r="J52" s="27">
        <v>0</v>
      </c>
      <c r="L52" s="27">
        <v>0</v>
      </c>
      <c r="N52" s="27">
        <v>0</v>
      </c>
      <c r="P52" s="27">
        <v>0</v>
      </c>
      <c r="R52" s="27">
        <v>0</v>
      </c>
      <c r="T52" s="27">
        <v>0</v>
      </c>
      <c r="V52" s="27">
        <v>0</v>
      </c>
      <c r="X52" s="27">
        <v>0</v>
      </c>
      <c r="Z52" s="27">
        <v>0</v>
      </c>
      <c r="AB52" s="27">
        <v>0</v>
      </c>
      <c r="AD52" s="27">
        <v>0</v>
      </c>
      <c r="AF52" s="27">
        <v>0</v>
      </c>
      <c r="AH52" s="27">
        <v>0</v>
      </c>
      <c r="AJ52" s="27">
        <v>0</v>
      </c>
      <c r="AL52" s="27">
        <v>0</v>
      </c>
      <c r="AN52" s="27">
        <v>0</v>
      </c>
      <c r="AP52" s="27">
        <v>0</v>
      </c>
      <c r="AQ52" s="27"/>
      <c r="AR52" s="27">
        <v>0</v>
      </c>
      <c r="AT52" s="27">
        <v>0</v>
      </c>
      <c r="AV52" s="27">
        <v>0</v>
      </c>
    </row>
    <row r="53" spans="1:48 16321:16384" x14ac:dyDescent="0.2">
      <c r="A53" t="s">
        <v>152</v>
      </c>
      <c r="B53" s="27">
        <v>4789962.2640000368</v>
      </c>
      <c r="D53" s="27">
        <v>4709169.5598972421</v>
      </c>
      <c r="F53" s="27">
        <v>4625395.2704869127</v>
      </c>
      <c r="H53" s="27">
        <v>4538189.4772286946</v>
      </c>
      <c r="J53" s="27">
        <v>4447010.4297174886</v>
      </c>
      <c r="L53" s="27">
        <v>4351197.3321038596</v>
      </c>
      <c r="N53" s="27">
        <v>4249925.1694932887</v>
      </c>
      <c r="P53" s="27">
        <v>4142145.3331813836</v>
      </c>
      <c r="R53" s="27">
        <v>4026483.1817582711</v>
      </c>
      <c r="T53" s="27">
        <v>3901075.4463338871</v>
      </c>
      <c r="V53" s="27">
        <v>3763287.7319105682</v>
      </c>
      <c r="X53" s="27">
        <v>3609213.232556588</v>
      </c>
      <c r="Z53" s="27">
        <v>3432733.5115980948</v>
      </c>
      <c r="AB53" s="27">
        <v>3223688.0153972842</v>
      </c>
      <c r="AD53" s="27">
        <v>2964197.6729931943</v>
      </c>
      <c r="AF53" s="27">
        <v>2621377.6582018905</v>
      </c>
      <c r="AH53" s="27">
        <v>2134453.4194348231</v>
      </c>
      <c r="AJ53" s="27">
        <v>1396366.7262735162</v>
      </c>
      <c r="AL53" s="27">
        <v>216328.95222598602</v>
      </c>
      <c r="AN53" s="27">
        <v>0</v>
      </c>
      <c r="AP53" s="27">
        <v>0</v>
      </c>
      <c r="AQ53" s="27"/>
      <c r="AR53" s="27">
        <v>0</v>
      </c>
      <c r="AT53" s="27">
        <v>0</v>
      </c>
      <c r="AV53" s="27">
        <v>0</v>
      </c>
      <c r="XFD53" s="27"/>
    </row>
    <row r="55" spans="1:48 16321:16384" x14ac:dyDescent="0.2">
      <c r="A55" t="s">
        <v>153</v>
      </c>
      <c r="B55" s="183">
        <v>0.19850271905982084</v>
      </c>
      <c r="D55" s="183">
        <v>0.20405751938347974</v>
      </c>
      <c r="F55" s="183">
        <v>0.20975875954696888</v>
      </c>
      <c r="H55" s="183">
        <v>0.2156318863569604</v>
      </c>
      <c r="J55" s="183">
        <v>0.2217077473832178</v>
      </c>
      <c r="L55" s="183">
        <v>0.22802430156534692</v>
      </c>
      <c r="N55" s="183">
        <v>0.23463004400969459</v>
      </c>
      <c r="P55" s="183">
        <v>0.24158765160412685</v>
      </c>
      <c r="R55" s="183">
        <v>0.24898155273675526</v>
      </c>
      <c r="T55" s="183">
        <v>0.25692967574569198</v>
      </c>
      <c r="V55" s="183">
        <v>0.26560414335575194</v>
      </c>
      <c r="X55" s="183">
        <v>0.27526849017446309</v>
      </c>
      <c r="Z55" s="183">
        <v>0.28634773736646818</v>
      </c>
      <c r="AB55" s="183">
        <v>0.29956485859948434</v>
      </c>
      <c r="AD55" s="183">
        <v>0.31621356633716829</v>
      </c>
      <c r="AF55" s="183">
        <v>0.33869031401614741</v>
      </c>
      <c r="AH55" s="183">
        <v>0.37141736485744764</v>
      </c>
      <c r="AJ55" s="183">
        <v>0.42228117160162815</v>
      </c>
      <c r="AL55" s="183">
        <v>0.50724630347825717</v>
      </c>
      <c r="AN55" s="183" t="e">
        <v>#DIV/0!</v>
      </c>
      <c r="AP55" s="183" t="e">
        <v>#DIV/0!</v>
      </c>
      <c r="AR55" s="183" t="e">
        <v>#DIV/0!</v>
      </c>
      <c r="AT55" s="183" t="e">
        <v>#DIV/0!</v>
      </c>
      <c r="AV55" s="183" t="e">
        <v>#DIV/0!</v>
      </c>
      <c r="XCS55" s="183"/>
      <c r="XFD55" s="183"/>
    </row>
    <row r="56" spans="1:48 16321:16384" x14ac:dyDescent="0.2">
      <c r="A56" t="s">
        <v>154</v>
      </c>
      <c r="B56" s="183">
        <v>2.9221206744340551E-2</v>
      </c>
      <c r="D56" s="183">
        <v>3.3847117123076531E-2</v>
      </c>
      <c r="F56" s="183">
        <v>3.8593665033230751E-2</v>
      </c>
      <c r="H56" s="183">
        <v>4.3481909859733471E-2</v>
      </c>
      <c r="J56" s="183">
        <v>4.8537397094488122E-2</v>
      </c>
      <c r="L56" s="183">
        <v>5.3791483030368216E-2</v>
      </c>
      <c r="N56" s="183">
        <v>5.9284324911077907E-2</v>
      </c>
      <c r="P56" s="183">
        <v>6.5067701124506688E-2</v>
      </c>
      <c r="R56" s="183">
        <v>7.121130431145449E-2</v>
      </c>
      <c r="T56" s="183">
        <v>7.7812387215774118E-2</v>
      </c>
      <c r="V56" s="183">
        <v>8.5012657805852099E-2</v>
      </c>
      <c r="X56" s="183">
        <v>9.3028762990904748E-2</v>
      </c>
      <c r="Z56" s="183">
        <v>0.10220959102978622</v>
      </c>
      <c r="AB56" s="183">
        <v>0.11314782124863376</v>
      </c>
      <c r="AD56" s="183">
        <v>0.12690293176204281</v>
      </c>
      <c r="AF56" s="183">
        <v>0.14543620352207098</v>
      </c>
      <c r="AH56" s="183">
        <v>0.17236639392286052</v>
      </c>
      <c r="AJ56" s="183">
        <v>0.21415057055734804</v>
      </c>
      <c r="AL56" s="183">
        <v>0.28387049934051678</v>
      </c>
      <c r="AN56" s="183" t="e">
        <v>#DIV/0!</v>
      </c>
      <c r="AP56" s="183" t="e">
        <v>#DIV/0!</v>
      </c>
      <c r="AR56" s="183" t="e">
        <v>#DIV/0!</v>
      </c>
      <c r="AT56" s="183" t="e">
        <v>#DIV/0!</v>
      </c>
      <c r="AV56" s="183" t="e">
        <v>#DIV/0!</v>
      </c>
      <c r="XFD56" s="183"/>
    </row>
    <row r="57" spans="1:48 16321:16384" x14ac:dyDescent="0.2">
      <c r="A57" t="s">
        <v>155</v>
      </c>
      <c r="B57" s="183">
        <v>0.15852881819439493</v>
      </c>
      <c r="D57" s="183">
        <v>0.15954025725168283</v>
      </c>
      <c r="F57" s="183">
        <v>0.16057836092424105</v>
      </c>
      <c r="H57" s="183">
        <v>0.16164776178978504</v>
      </c>
      <c r="J57" s="183">
        <v>0.16275406239342666</v>
      </c>
      <c r="L57" s="183">
        <v>0.16390422065628921</v>
      </c>
      <c r="N57" s="183">
        <v>0.1651070174607491</v>
      </c>
      <c r="P57" s="183">
        <v>0.16637388345328694</v>
      </c>
      <c r="R57" s="183">
        <v>0.16772020022850348</v>
      </c>
      <c r="T57" s="183">
        <v>0.16916742535287466</v>
      </c>
      <c r="V57" s="183">
        <v>0.17074690654271005</v>
      </c>
      <c r="X57" s="183">
        <v>0.17250662962711719</v>
      </c>
      <c r="Y57" s="183"/>
      <c r="Z57" s="183">
        <v>0.17452398013775569</v>
      </c>
      <c r="AB57" s="183">
        <v>0.17693060697357674</v>
      </c>
      <c r="AD57" s="183">
        <v>0.17996206932843992</v>
      </c>
      <c r="AF57" s="183">
        <v>0.18405472394006572</v>
      </c>
      <c r="AH57" s="183">
        <v>0.19001379316380823</v>
      </c>
      <c r="AJ57" s="183">
        <v>0.19927527423708338</v>
      </c>
      <c r="AL57" s="183">
        <v>0.21474605768304145</v>
      </c>
      <c r="AN57" s="183" t="e">
        <v>#DIV/0!</v>
      </c>
      <c r="AP57" s="183" t="e">
        <v>#DIV/0!</v>
      </c>
      <c r="AR57" s="183" t="e">
        <v>#DIV/0!</v>
      </c>
      <c r="AT57" s="183" t="e">
        <v>#DIV/0!</v>
      </c>
      <c r="AV57" s="183" t="e">
        <v>#DIV/0!</v>
      </c>
      <c r="XFD57" s="183"/>
    </row>
    <row r="58" spans="1:48 16321:16384" x14ac:dyDescent="0.2">
      <c r="A58" t="s">
        <v>156</v>
      </c>
      <c r="B58" s="183">
        <v>1.075269412108535E-2</v>
      </c>
      <c r="D58" s="183">
        <v>1.0670145008720383E-2</v>
      </c>
      <c r="F58" s="183">
        <v>1.0586733589497091E-2</v>
      </c>
      <c r="H58" s="183">
        <v>1.0502214707441868E-2</v>
      </c>
      <c r="J58" s="183">
        <v>1.0416287895303031E-2</v>
      </c>
      <c r="L58" s="183">
        <v>1.0328597878689474E-2</v>
      </c>
      <c r="N58" s="183">
        <v>1.0238701637867584E-2</v>
      </c>
      <c r="P58" s="183">
        <v>1.0146067026333225E-2</v>
      </c>
      <c r="R58" s="183">
        <v>1.0050048196797291E-2</v>
      </c>
      <c r="T58" s="183">
        <v>9.9498631770432184E-3</v>
      </c>
      <c r="V58" s="183">
        <v>9.8445790071897792E-3</v>
      </c>
      <c r="X58" s="183">
        <v>9.733097556441115E-3</v>
      </c>
      <c r="Y58" s="183"/>
      <c r="Z58" s="183">
        <v>9.6141661989262907E-3</v>
      </c>
      <c r="AB58" s="183">
        <v>9.4864303772738967E-3</v>
      </c>
      <c r="AD58" s="183">
        <v>9.348565246685538E-3</v>
      </c>
      <c r="AF58" s="183">
        <v>9.1993865540106641E-3</v>
      </c>
      <c r="AH58" s="183">
        <v>9.0371777707789029E-3</v>
      </c>
      <c r="AJ58" s="183">
        <v>8.8553268071967263E-3</v>
      </c>
      <c r="AL58" s="183">
        <v>8.6297464546990048E-3</v>
      </c>
      <c r="AN58" s="183" t="e">
        <v>#DIV/0!</v>
      </c>
      <c r="AP58" s="183" t="e">
        <v>#DIV/0!</v>
      </c>
      <c r="AR58" s="183" t="e">
        <v>#DIV/0!</v>
      </c>
      <c r="AT58" s="183" t="e">
        <v>#DIV/0!</v>
      </c>
      <c r="AV58" s="183" t="e">
        <v>#DIV/0!</v>
      </c>
      <c r="XFD58" s="183"/>
    </row>
    <row r="59" spans="1:48 16321:16384" x14ac:dyDescent="0.2">
      <c r="A59" t="s">
        <v>157</v>
      </c>
      <c r="B59" s="183">
        <v>5.5174232040962052E-4</v>
      </c>
      <c r="D59" s="183">
        <v>5.2346001504565715E-3</v>
      </c>
      <c r="F59" s="183">
        <v>1.0039200563448092E-2</v>
      </c>
      <c r="H59" s="183">
        <v>1.4986778303607435E-2</v>
      </c>
      <c r="J59" s="183">
        <v>2.0103090025033094E-2</v>
      </c>
      <c r="L59" s="183">
        <v>2.5419744214976756E-2</v>
      </c>
      <c r="N59" s="183">
        <v>3.0977221203664973E-2</v>
      </c>
      <c r="P59" s="183">
        <v>3.6827711060348142E-2</v>
      </c>
      <c r="R59" s="183">
        <v>4.3041459191920553E-2</v>
      </c>
      <c r="T59" s="183">
        <v>4.9716493606393339E-2</v>
      </c>
      <c r="V59" s="183">
        <v>5.6995662901250979E-2</v>
      </c>
      <c r="X59" s="183">
        <v>6.5097386614919081E-2</v>
      </c>
      <c r="Z59" s="183">
        <v>7.4373463947800103E-2</v>
      </c>
      <c r="AB59" s="183">
        <v>8.5421619305894772E-2</v>
      </c>
      <c r="AD59" s="183">
        <v>9.9310480381406788E-2</v>
      </c>
      <c r="AF59" s="183">
        <v>0.11801827197626158</v>
      </c>
      <c r="AH59" s="183">
        <v>0.14519394931658647</v>
      </c>
      <c r="AJ59" s="183">
        <v>0.18734265137486264</v>
      </c>
      <c r="AL59" s="183">
        <v>0.25762499355320451</v>
      </c>
      <c r="AN59" s="183" t="e">
        <v>#DIV/0!</v>
      </c>
      <c r="AP59" s="183" t="e">
        <v>#DIV/0!</v>
      </c>
      <c r="AR59" s="183" t="e">
        <v>#DIV/0!</v>
      </c>
      <c r="AT59" s="183" t="e">
        <v>#DIV/0!</v>
      </c>
      <c r="AV59" s="183" t="e">
        <v>#DIV/0!</v>
      </c>
      <c r="XFD59" s="183"/>
    </row>
    <row r="60" spans="1:48 16321:16384" x14ac:dyDescent="0.2">
      <c r="A60" t="s">
        <v>158</v>
      </c>
      <c r="B60" s="183">
        <v>2.8669464423930927E-2</v>
      </c>
      <c r="D60" s="183">
        <v>2.8612516972619954E-2</v>
      </c>
      <c r="F60" s="183">
        <v>2.8554464469782659E-2</v>
      </c>
      <c r="H60" s="183">
        <v>2.8495131556126034E-2</v>
      </c>
      <c r="J60" s="183">
        <v>2.8434307069455021E-2</v>
      </c>
      <c r="L60" s="183">
        <v>2.8371738815391467E-2</v>
      </c>
      <c r="N60" s="183">
        <v>2.8307103707412934E-2</v>
      </c>
      <c r="P60" s="183">
        <v>2.823999006415855E-2</v>
      </c>
      <c r="R60" s="183">
        <v>2.8169845119533944E-2</v>
      </c>
      <c r="T60" s="183">
        <v>2.8095893609380779E-2</v>
      </c>
      <c r="V60" s="183">
        <v>2.801699490460113E-2</v>
      </c>
      <c r="X60" s="183">
        <v>2.793137637598566E-2</v>
      </c>
      <c r="Z60" s="183">
        <v>2.7836127081986101E-2</v>
      </c>
      <c r="AB60" s="183">
        <v>2.772620194273898E-2</v>
      </c>
      <c r="AD60" s="183">
        <v>2.7592451380636027E-2</v>
      </c>
      <c r="AF60" s="183">
        <v>2.7417931545809394E-2</v>
      </c>
      <c r="AH60" s="183">
        <v>2.717244460627407E-2</v>
      </c>
      <c r="AJ60" s="183">
        <v>2.6807919182485377E-2</v>
      </c>
      <c r="AL60" s="183">
        <v>2.6245505787312228E-2</v>
      </c>
      <c r="AN60" s="183" t="e">
        <v>#DIV/0!</v>
      </c>
      <c r="AP60" s="183" t="e">
        <v>#DIV/0!</v>
      </c>
      <c r="AR60" s="183" t="e">
        <v>#DIV/0!</v>
      </c>
      <c r="AT60" s="183" t="e">
        <v>#DIV/0!</v>
      </c>
      <c r="AV60" s="183" t="e">
        <v>#DIV/0!</v>
      </c>
      <c r="XFD60" s="183"/>
    </row>
    <row r="62" spans="1:48 16321:16384" x14ac:dyDescent="0.2">
      <c r="A62" t="s">
        <v>159</v>
      </c>
      <c r="B62">
        <v>1</v>
      </c>
      <c r="D62">
        <v>1.0238752191501042</v>
      </c>
      <c r="F62">
        <v>1.0492588200338642</v>
      </c>
      <c r="H62">
        <v>1.0763904679242364</v>
      </c>
      <c r="J62">
        <v>1.1055696023303032</v>
      </c>
      <c r="L62">
        <v>1.1371769892743853</v>
      </c>
      <c r="N62">
        <v>1.1717092953560244</v>
      </c>
      <c r="P62">
        <v>1.2098303885094046</v>
      </c>
      <c r="R62">
        <v>1.2524592506620693</v>
      </c>
      <c r="T62">
        <v>1.3009198275463649</v>
      </c>
      <c r="V62">
        <v>1.3572168016178632</v>
      </c>
      <c r="X62">
        <v>1.4245701606100751</v>
      </c>
      <c r="Z62">
        <v>1.5085355150376807</v>
      </c>
      <c r="AB62">
        <v>1.6195668842671862</v>
      </c>
      <c r="AD62">
        <v>1.779567590453798</v>
      </c>
      <c r="AF62">
        <v>2.0412871842413787</v>
      </c>
      <c r="AH62">
        <v>2.5606053534708626</v>
      </c>
      <c r="AJ62">
        <v>4.0336889646038578</v>
      </c>
      <c r="AL62">
        <v>26.946686536802762</v>
      </c>
      <c r="AN62" t="e">
        <v>#DIV/0!</v>
      </c>
      <c r="AP62" t="e">
        <v>#DIV/0!</v>
      </c>
      <c r="AR62" t="e">
        <v>#DIV/0!</v>
      </c>
      <c r="AT62" t="e">
        <v>#DIV/0!</v>
      </c>
      <c r="AV62" t="e">
        <v>#DIV/0!</v>
      </c>
    </row>
    <row r="65" spans="1:48 16384:16384" x14ac:dyDescent="0.2">
      <c r="A65" t="s">
        <v>160</v>
      </c>
      <c r="B65" s="181">
        <v>1</v>
      </c>
      <c r="C65" s="181"/>
      <c r="D65" s="181">
        <v>0.99868260988656721</v>
      </c>
      <c r="E65" s="181"/>
      <c r="F65" s="181">
        <v>0.99731734167505237</v>
      </c>
      <c r="G65" s="181"/>
      <c r="H65" s="181">
        <v>0.99589693974412019</v>
      </c>
      <c r="I65" s="181"/>
      <c r="J65" s="181">
        <v>0.99441298361523744</v>
      </c>
      <c r="K65" s="181"/>
      <c r="L65" s="181">
        <v>0.99285596299797352</v>
      </c>
      <c r="M65" s="181"/>
      <c r="N65" s="181">
        <v>0.99121540175884937</v>
      </c>
      <c r="O65" s="181"/>
      <c r="P65" s="181">
        <v>0.98948052192539582</v>
      </c>
      <c r="Q65" s="181"/>
      <c r="R65" s="181">
        <v>0.98764149187641914</v>
      </c>
      <c r="S65" s="181"/>
      <c r="T65" s="181">
        <v>0.9856920410343134</v>
      </c>
      <c r="U65" s="181"/>
      <c r="V65" s="181">
        <v>0.98363454576895859</v>
      </c>
      <c r="W65" s="181"/>
      <c r="X65" s="181">
        <v>0.98148987476929184</v>
      </c>
      <c r="Y65" s="181"/>
      <c r="Z65" s="181">
        <v>0.97931639928936431</v>
      </c>
      <c r="AA65" s="181"/>
      <c r="AB65" s="181">
        <v>0.977246510358039</v>
      </c>
      <c r="AC65" s="181"/>
      <c r="AD65" s="181">
        <v>0.97555364252542542</v>
      </c>
      <c r="AE65" s="181"/>
      <c r="AF65" s="181">
        <v>0.97475291424821786</v>
      </c>
      <c r="AG65" s="181"/>
      <c r="AH65" s="181">
        <v>0.97563673134409312</v>
      </c>
      <c r="AI65" s="181"/>
      <c r="AJ65" s="181">
        <v>0.97885626954613492</v>
      </c>
      <c r="AK65" s="181"/>
      <c r="AL65" s="181">
        <v>0.98389594443405981</v>
      </c>
      <c r="AM65" s="181"/>
      <c r="AN65" s="181" t="e">
        <v>#DIV/0!</v>
      </c>
      <c r="AO65" s="181"/>
      <c r="AP65" s="181" t="e">
        <v>#DIV/0!</v>
      </c>
      <c r="AQ65" s="181"/>
      <c r="AR65" s="181" t="e">
        <v>#DIV/0!</v>
      </c>
      <c r="AS65" s="181"/>
      <c r="AT65" s="181" t="e">
        <v>#DIV/0!</v>
      </c>
      <c r="AU65" s="181"/>
      <c r="AV65" s="181" t="e">
        <v>#DIV/0!</v>
      </c>
    </row>
    <row r="66" spans="1:48 16384:16384" x14ac:dyDescent="0.2">
      <c r="A66" t="s">
        <v>166</v>
      </c>
      <c r="B66" s="181">
        <v>1</v>
      </c>
      <c r="C66" s="181"/>
      <c r="D66" s="181">
        <v>0.99855143201426622</v>
      </c>
      <c r="E66" s="181"/>
      <c r="F66" s="181">
        <v>0.99704868106121258</v>
      </c>
      <c r="G66" s="181"/>
      <c r="H66" s="181">
        <v>0.99548356760157575</v>
      </c>
      <c r="I66" s="181"/>
      <c r="J66" s="181">
        <v>0.99384657959023193</v>
      </c>
      <c r="K66" s="181"/>
      <c r="L66" s="181">
        <v>0.99212694237436627</v>
      </c>
      <c r="M66" s="181"/>
      <c r="N66" s="181">
        <v>0.99031274156462279</v>
      </c>
      <c r="O66" s="181"/>
      <c r="P66" s="181">
        <v>0.98839164274289992</v>
      </c>
      <c r="Q66" s="181"/>
      <c r="R66" s="181">
        <v>0.98635226396573128</v>
      </c>
      <c r="S66" s="181"/>
      <c r="T66" s="181">
        <v>0.98418707926568061</v>
      </c>
      <c r="U66" s="181"/>
      <c r="V66" s="181">
        <v>0.98189810571504021</v>
      </c>
      <c r="W66" s="181"/>
      <c r="X66" s="181">
        <v>0.97950797099124332</v>
      </c>
      <c r="Y66" s="181"/>
      <c r="Z66" s="181">
        <v>0.97708136951254332</v>
      </c>
      <c r="AA66" s="181"/>
      <c r="AB66" s="181">
        <v>0.97476638618809608</v>
      </c>
      <c r="AC66" s="181"/>
      <c r="AD66" s="181">
        <v>0.97287039403962539</v>
      </c>
      <c r="AE66" s="181"/>
      <c r="AF66" s="181">
        <v>0.97197364700173361</v>
      </c>
      <c r="AG66" s="181"/>
      <c r="AH66" s="181">
        <v>0.97296726875904571</v>
      </c>
      <c r="AI66" s="181"/>
      <c r="AJ66" s="181">
        <v>0.97657475765370017</v>
      </c>
      <c r="AK66" s="181"/>
      <c r="AL66" s="181">
        <v>0.98219900218429768</v>
      </c>
      <c r="AM66" s="181"/>
      <c r="AN66" s="181" t="e">
        <v>#DIV/0!</v>
      </c>
      <c r="AO66" s="181"/>
      <c r="AP66" s="181" t="e">
        <v>#DIV/0!</v>
      </c>
      <c r="AQ66" s="181"/>
      <c r="AR66" s="181" t="e">
        <v>#DIV/0!</v>
      </c>
      <c r="AS66" s="181"/>
      <c r="AT66" s="181" t="e">
        <v>#DIV/0!</v>
      </c>
      <c r="AU66" s="181"/>
      <c r="AV66" s="181" t="e">
        <v>#DIV/0!</v>
      </c>
      <c r="XFD66" s="181"/>
    </row>
    <row r="67" spans="1:48 16384:16384" x14ac:dyDescent="0.2">
      <c r="A67" t="s">
        <v>167</v>
      </c>
      <c r="B67" s="181">
        <v>1</v>
      </c>
      <c r="C67" s="181"/>
      <c r="D67" s="181">
        <v>1</v>
      </c>
      <c r="E67" s="181"/>
      <c r="F67" s="181">
        <v>1</v>
      </c>
      <c r="G67" s="181"/>
      <c r="H67" s="181">
        <v>1</v>
      </c>
      <c r="I67" s="181"/>
      <c r="J67" s="181">
        <v>1</v>
      </c>
      <c r="K67" s="181"/>
      <c r="L67" s="181">
        <v>1</v>
      </c>
      <c r="M67" s="181"/>
      <c r="N67" s="181">
        <v>1</v>
      </c>
      <c r="O67" s="181"/>
      <c r="P67" s="181">
        <v>1</v>
      </c>
      <c r="Q67" s="181"/>
      <c r="R67" s="181">
        <v>1</v>
      </c>
      <c r="S67" s="181"/>
      <c r="T67" s="181">
        <v>1</v>
      </c>
      <c r="U67" s="181"/>
      <c r="V67" s="181">
        <v>1</v>
      </c>
      <c r="W67" s="181"/>
      <c r="X67" s="181">
        <v>1</v>
      </c>
      <c r="Y67" s="181"/>
      <c r="Z67" s="181">
        <v>1</v>
      </c>
      <c r="AA67" s="181"/>
      <c r="AB67" s="181">
        <v>1</v>
      </c>
      <c r="AC67" s="181"/>
      <c r="AD67" s="181">
        <v>1</v>
      </c>
      <c r="AE67" s="181"/>
      <c r="AF67" s="181">
        <v>1</v>
      </c>
      <c r="AG67" s="181"/>
      <c r="AH67" s="181">
        <v>1</v>
      </c>
      <c r="AI67" s="181"/>
      <c r="AJ67" s="181">
        <v>1</v>
      </c>
      <c r="AK67" s="181"/>
      <c r="AL67" s="181">
        <v>1</v>
      </c>
      <c r="AM67" s="181"/>
      <c r="AN67" s="181" t="e">
        <v>#DIV/0!</v>
      </c>
      <c r="AO67" s="181"/>
      <c r="AP67" s="181" t="e">
        <v>#DIV/0!</v>
      </c>
      <c r="AQ67" s="181"/>
      <c r="AR67" s="181" t="e">
        <v>#DIV/0!</v>
      </c>
      <c r="AS67" s="181"/>
      <c r="AT67" s="181" t="e">
        <v>#DIV/0!</v>
      </c>
      <c r="AU67" s="181"/>
      <c r="AV67" s="181" t="e">
        <v>#DIV/0!</v>
      </c>
      <c r="XFD67" s="181"/>
    </row>
    <row r="68" spans="1:48 16384:16384" x14ac:dyDescent="0.2">
      <c r="A68" t="s">
        <v>165</v>
      </c>
      <c r="B68" s="181">
        <v>1</v>
      </c>
      <c r="C68" s="181"/>
      <c r="D68" s="181">
        <v>0.99855143201426622</v>
      </c>
      <c r="E68" s="181"/>
      <c r="F68" s="181">
        <v>0.99704868106121258</v>
      </c>
      <c r="G68" s="181"/>
      <c r="H68" s="181">
        <v>0.99548356760157575</v>
      </c>
      <c r="I68" s="181"/>
      <c r="J68" s="181">
        <v>0.99384657959023193</v>
      </c>
      <c r="K68" s="181"/>
      <c r="L68" s="181">
        <v>0.99212694237436627</v>
      </c>
      <c r="M68" s="181"/>
      <c r="N68" s="181">
        <v>0.99031274156462279</v>
      </c>
      <c r="O68" s="181"/>
      <c r="P68" s="181">
        <v>0.98839164274289992</v>
      </c>
      <c r="Q68" s="181"/>
      <c r="R68" s="181">
        <v>0.98635226396573128</v>
      </c>
      <c r="S68" s="181"/>
      <c r="T68" s="181">
        <v>0.98418707926568061</v>
      </c>
      <c r="U68" s="181"/>
      <c r="V68" s="181">
        <v>0.98189810571504021</v>
      </c>
      <c r="W68" s="181"/>
      <c r="X68" s="181">
        <v>0.97950797099124332</v>
      </c>
      <c r="Y68" s="181"/>
      <c r="Z68" s="181">
        <v>0.97708136951254332</v>
      </c>
      <c r="AA68" s="181"/>
      <c r="AB68" s="181">
        <v>0.97476638618809608</v>
      </c>
      <c r="AC68" s="181"/>
      <c r="AD68" s="181">
        <v>0.97287039403962539</v>
      </c>
      <c r="AE68" s="181"/>
      <c r="AF68" s="181">
        <v>0.97197364700173361</v>
      </c>
      <c r="AG68" s="181"/>
      <c r="AH68" s="181">
        <v>0.97296726875904571</v>
      </c>
      <c r="AI68" s="181"/>
      <c r="AJ68" s="181">
        <v>0.97657475765370017</v>
      </c>
      <c r="AK68" s="181"/>
      <c r="AL68" s="181">
        <v>0.98219900218429768</v>
      </c>
      <c r="AM68" s="181"/>
      <c r="AN68" s="181" t="e">
        <v>#DIV/0!</v>
      </c>
      <c r="AO68" s="181"/>
      <c r="AP68" s="181" t="e">
        <v>#DIV/0!</v>
      </c>
      <c r="AQ68" s="181"/>
      <c r="AR68" s="181" t="e">
        <v>#DIV/0!</v>
      </c>
      <c r="AS68" s="181"/>
      <c r="AT68" s="181" t="e">
        <v>#DIV/0!</v>
      </c>
      <c r="AU68" s="181"/>
      <c r="AV68" s="181" t="e">
        <v>#DIV/0!</v>
      </c>
      <c r="XFD68" s="181"/>
    </row>
    <row r="69" spans="1:48 16384:16384" x14ac:dyDescent="0.2">
      <c r="A69" t="s">
        <v>161</v>
      </c>
      <c r="B69" s="181">
        <v>1</v>
      </c>
      <c r="C69" s="181"/>
      <c r="D69" s="181">
        <v>1.0015432592960734</v>
      </c>
      <c r="E69" s="181"/>
      <c r="F69" s="181">
        <v>1.0029683225446424</v>
      </c>
      <c r="G69" s="181"/>
      <c r="H69" s="181">
        <v>1.0042561511606567</v>
      </c>
      <c r="I69" s="181"/>
      <c r="J69" s="181">
        <v>1.0053834692802051</v>
      </c>
      <c r="K69" s="181"/>
      <c r="L69" s="181">
        <v>1.0063211193041832</v>
      </c>
      <c r="M69" s="181"/>
      <c r="N69" s="181">
        <v>1.0070330288026716</v>
      </c>
      <c r="O69" s="181"/>
      <c r="P69" s="181">
        <v>1.007473307328103</v>
      </c>
      <c r="Q69" s="181"/>
      <c r="R69" s="181">
        <v>1.0075832172034391</v>
      </c>
      <c r="S69" s="181"/>
      <c r="T69" s="181">
        <v>1.0072865219570288</v>
      </c>
      <c r="U69" s="181"/>
      <c r="V69" s="181">
        <v>1.0064823531425899</v>
      </c>
      <c r="W69" s="181"/>
      <c r="X69" s="181">
        <v>1.0050343393406358</v>
      </c>
      <c r="Y69" s="181"/>
      <c r="Z69" s="181">
        <v>1.0027521962988775</v>
      </c>
      <c r="AA69" s="181"/>
      <c r="AB69" s="181">
        <v>0.99935761777503695</v>
      </c>
      <c r="AC69" s="181"/>
      <c r="AD69" s="181">
        <v>0.99441037367624607</v>
      </c>
      <c r="AE69" s="181"/>
      <c r="AF69" s="181">
        <v>0.98711629730066808</v>
      </c>
      <c r="AG69" s="181"/>
      <c r="AH69" s="181">
        <v>0.97573568953985279</v>
      </c>
      <c r="AI69" s="181"/>
      <c r="AJ69" s="181">
        <v>0.95566501224326739</v>
      </c>
      <c r="AK69" s="181"/>
      <c r="AL69" s="181">
        <v>0.91310722049607496</v>
      </c>
      <c r="AM69" s="181"/>
      <c r="AN69" s="181" t="e">
        <v>#DIV/0!</v>
      </c>
      <c r="AO69" s="181"/>
      <c r="AP69" s="181" t="e">
        <v>#DIV/0!</v>
      </c>
      <c r="AQ69" s="181"/>
      <c r="AR69" s="181" t="e">
        <v>#DIV/0!</v>
      </c>
      <c r="AS69" s="181"/>
      <c r="AT69" s="181" t="e">
        <v>#DIV/0!</v>
      </c>
      <c r="AU69" s="181"/>
      <c r="AV69" s="181" t="e">
        <v>#DIV/0!</v>
      </c>
    </row>
    <row r="70" spans="1:48 16384:16384" x14ac:dyDescent="0.2">
      <c r="A70" t="s">
        <v>162</v>
      </c>
      <c r="B70" s="129">
        <v>1</v>
      </c>
      <c r="C70" s="129"/>
      <c r="D70" s="129">
        <v>1.000265418101588</v>
      </c>
      <c r="E70" s="129"/>
      <c r="F70" s="129">
        <v>1.0003984354268083</v>
      </c>
      <c r="G70" s="129"/>
      <c r="H70" s="129">
        <v>1.000378664910484</v>
      </c>
      <c r="I70" s="129"/>
      <c r="J70" s="129">
        <v>1.0001810789349974</v>
      </c>
      <c r="K70" s="129"/>
      <c r="L70" s="129">
        <v>0.99977420842028186</v>
      </c>
      <c r="M70" s="129"/>
      <c r="N70" s="129">
        <v>0.99911806424172278</v>
      </c>
      <c r="O70" s="129"/>
      <c r="P70" s="129">
        <v>0.99816034482843119</v>
      </c>
      <c r="Q70" s="129"/>
      <c r="R70" s="129">
        <v>0.99683097281733035</v>
      </c>
      <c r="S70" s="129"/>
      <c r="T70" s="129">
        <v>0.9950332331113203</v>
      </c>
      <c r="U70" s="129"/>
      <c r="V70" s="129">
        <v>0.99262887306742142</v>
      </c>
      <c r="W70" s="129"/>
      <c r="X70" s="129">
        <v>0.98941241274000169</v>
      </c>
      <c r="Y70" s="129"/>
      <c r="Z70" s="129">
        <v>0.98506439901942133</v>
      </c>
      <c r="AA70" s="129"/>
      <c r="AB70" s="129">
        <v>0.97906258079999409</v>
      </c>
      <c r="AC70" s="129"/>
      <c r="AD70" s="129">
        <v>0.97050566177363806</v>
      </c>
      <c r="AE70" s="129"/>
      <c r="AF70" s="129">
        <v>0.95775700685663634</v>
      </c>
      <c r="AG70" s="129"/>
      <c r="AH70" s="129">
        <v>0.93773223329326894</v>
      </c>
      <c r="AI70" s="129"/>
      <c r="AJ70" s="129">
        <v>0.90436775325675445</v>
      </c>
      <c r="AK70" s="129"/>
      <c r="AL70" s="129">
        <v>0.84345851736917044</v>
      </c>
      <c r="AM70" s="129"/>
      <c r="AN70" s="129">
        <v>0</v>
      </c>
      <c r="AO70" s="129"/>
      <c r="AP70" s="129">
        <v>0</v>
      </c>
      <c r="AQ70" s="129"/>
      <c r="AR70" s="129">
        <v>0</v>
      </c>
      <c r="AS70" s="129"/>
      <c r="AT70" s="129">
        <v>0</v>
      </c>
      <c r="AU70" s="129"/>
      <c r="AV70" s="129">
        <v>0</v>
      </c>
    </row>
    <row r="71" spans="1:48 16384:16384" x14ac:dyDescent="0.2">
      <c r="A71" t="s">
        <v>163</v>
      </c>
      <c r="B71" s="129">
        <v>1</v>
      </c>
      <c r="D71" s="129">
        <v>0.93073708776438191</v>
      </c>
      <c r="E71" s="129"/>
      <c r="F71" s="129">
        <v>0.861428281049475</v>
      </c>
      <c r="G71" s="129"/>
      <c r="H71" s="129">
        <v>0.79209285468847834</v>
      </c>
      <c r="I71" s="129"/>
      <c r="J71" s="129">
        <v>0.72275842225159093</v>
      </c>
      <c r="K71" s="129"/>
      <c r="L71" s="129">
        <v>0.65347488505478513</v>
      </c>
      <c r="M71" s="129"/>
      <c r="N71" s="129">
        <v>0.58431184922290014</v>
      </c>
      <c r="O71" s="129"/>
      <c r="P71" s="129">
        <v>0.51538537440745613</v>
      </c>
      <c r="Q71" s="129"/>
      <c r="R71" s="129">
        <v>0.44687766802157092</v>
      </c>
      <c r="S71" s="129"/>
      <c r="T71" s="129">
        <v>0.3790746035597809</v>
      </c>
      <c r="U71" s="129"/>
      <c r="V71" s="129">
        <v>0.31242700232862869</v>
      </c>
      <c r="W71" s="129"/>
      <c r="X71" s="129">
        <v>0.24764203208331856</v>
      </c>
      <c r="Y71" s="129"/>
      <c r="Z71" s="129">
        <v>0.18582613025996067</v>
      </c>
      <c r="AA71" s="129"/>
      <c r="AB71" s="129">
        <v>0.12869084774922845</v>
      </c>
      <c r="AC71" s="129"/>
      <c r="AD71" s="129">
        <v>7.8796395012826176E-2</v>
      </c>
      <c r="AE71" s="129"/>
      <c r="AF71" s="129">
        <v>3.9586704854013041E-2</v>
      </c>
      <c r="AG71" s="129"/>
      <c r="AH71" s="129">
        <v>1.4356793871385595E-2</v>
      </c>
      <c r="AI71" s="129"/>
      <c r="AJ71" s="129">
        <v>3.0671468703222355E-3</v>
      </c>
      <c r="AK71" s="129"/>
      <c r="AL71" s="129">
        <v>2.7776218548057353E-4</v>
      </c>
      <c r="AM71" s="129"/>
      <c r="AN71" s="129">
        <v>0</v>
      </c>
      <c r="AO71" s="129"/>
      <c r="AP71" s="129">
        <v>0</v>
      </c>
      <c r="AQ71" s="129"/>
      <c r="AR71" s="129">
        <v>0</v>
      </c>
      <c r="AS71" s="129"/>
      <c r="AT71" s="129">
        <v>0</v>
      </c>
      <c r="AU71" s="129"/>
      <c r="AV71" s="129">
        <v>0</v>
      </c>
      <c r="XFD71" s="129"/>
    </row>
    <row r="72" spans="1:48 16384:16384" x14ac:dyDescent="0.2">
      <c r="A72" t="s">
        <v>164</v>
      </c>
      <c r="B72" s="129">
        <v>1</v>
      </c>
      <c r="D72" s="129">
        <v>1.0217408123507621</v>
      </c>
      <c r="E72" s="129"/>
      <c r="F72" s="129">
        <v>1.0471450231685184</v>
      </c>
      <c r="G72" s="129"/>
      <c r="H72" s="129">
        <v>1.0766888721046457</v>
      </c>
      <c r="I72" s="129"/>
      <c r="J72" s="129">
        <v>1.1109063751323573</v>
      </c>
      <c r="K72" s="129"/>
      <c r="L72" s="129">
        <v>1.1503776515131199</v>
      </c>
      <c r="M72" s="129"/>
      <c r="N72" s="129">
        <v>1.1957249588346477</v>
      </c>
      <c r="O72" s="129"/>
      <c r="P72" s="129">
        <v>1.2475501015764736</v>
      </c>
      <c r="Q72" s="129"/>
      <c r="R72" s="129">
        <v>1.3063548281922417</v>
      </c>
      <c r="S72" s="129"/>
      <c r="T72" s="129">
        <v>1.3723628916524711</v>
      </c>
      <c r="U72" s="129"/>
      <c r="V72" s="129">
        <v>1.4451874327986531</v>
      </c>
      <c r="W72" s="129"/>
      <c r="X72" s="129">
        <v>1.5231971955947772</v>
      </c>
      <c r="Y72" s="129"/>
      <c r="Z72" s="129">
        <v>1.6023119387613951</v>
      </c>
      <c r="AA72" s="129"/>
      <c r="AB72" s="129">
        <v>1.6737188682937223</v>
      </c>
      <c r="AC72" s="129"/>
      <c r="AD72" s="129">
        <v>1.7197604741696828</v>
      </c>
      <c r="AE72" s="129"/>
      <c r="AF72" s="129">
        <v>1.7079338169547564</v>
      </c>
      <c r="AG72" s="129"/>
      <c r="AH72" s="129">
        <v>1.5891237690629854</v>
      </c>
      <c r="AI72" s="129"/>
      <c r="AJ72" s="129">
        <v>1.3220210278033961</v>
      </c>
      <c r="AK72" s="129"/>
      <c r="AL72" s="129">
        <v>0.92527317263218878</v>
      </c>
      <c r="AM72" s="129"/>
      <c r="AN72" s="129">
        <v>0</v>
      </c>
      <c r="AO72" s="129"/>
      <c r="AP72" s="129">
        <v>0</v>
      </c>
      <c r="AQ72" s="129"/>
      <c r="AR72" s="129">
        <v>0</v>
      </c>
      <c r="AS72" s="129"/>
      <c r="AT72" s="129">
        <v>0</v>
      </c>
      <c r="AU72" s="129"/>
      <c r="AV72" s="129">
        <v>0</v>
      </c>
      <c r="XFD72" s="129"/>
    </row>
    <row r="73" spans="1:48 16384:16384" x14ac:dyDescent="0.2">
      <c r="A73" t="s">
        <v>168</v>
      </c>
      <c r="B73" s="183">
        <v>0.47641153352875076</v>
      </c>
      <c r="D73" s="183">
        <v>0.47641154795606588</v>
      </c>
      <c r="E73" s="129"/>
      <c r="F73" s="183">
        <v>0.47641154997379953</v>
      </c>
      <c r="G73" s="129"/>
      <c r="H73" s="183">
        <v>0.47641155479527691</v>
      </c>
      <c r="I73" s="129"/>
      <c r="J73" s="183">
        <v>0.47641158061082578</v>
      </c>
      <c r="K73" s="129"/>
      <c r="L73" s="183">
        <v>0.47641153444292367</v>
      </c>
      <c r="M73" s="129"/>
      <c r="N73" s="183">
        <v>0.47641153527437979</v>
      </c>
      <c r="O73" s="129"/>
      <c r="P73" s="183">
        <v>0.47641153612704756</v>
      </c>
      <c r="Q73" s="129"/>
      <c r="R73" s="183">
        <v>0.47641153706147793</v>
      </c>
      <c r="S73" s="129"/>
      <c r="T73" s="183">
        <v>0.47641153763109267</v>
      </c>
      <c r="U73" s="129"/>
      <c r="V73" s="183">
        <v>0.47641153731998998</v>
      </c>
      <c r="W73" s="129"/>
      <c r="X73" s="183">
        <v>0.47641153394371927</v>
      </c>
      <c r="Y73" s="129"/>
      <c r="Z73" s="183">
        <v>0.47641153560698396</v>
      </c>
      <c r="AA73" s="129"/>
      <c r="AB73" s="183">
        <v>0.47641153492502591</v>
      </c>
      <c r="AC73" s="129"/>
      <c r="AD73" s="183">
        <v>0.47641153294189587</v>
      </c>
      <c r="AE73" s="129"/>
      <c r="AF73" s="183">
        <v>0.47641153430994082</v>
      </c>
      <c r="AG73" s="129"/>
      <c r="AH73" s="183">
        <v>0.47641153351184851</v>
      </c>
      <c r="AI73" s="129"/>
      <c r="AJ73" s="183">
        <v>0.47641153354648458</v>
      </c>
      <c r="AK73" s="129"/>
      <c r="AL73" s="183">
        <v>0.47641153353252902</v>
      </c>
      <c r="AM73" s="129"/>
      <c r="AN73" s="183" t="e">
        <v>#DIV/0!</v>
      </c>
      <c r="AO73" s="129"/>
      <c r="AP73" s="183" t="e">
        <v>#DIV/0!</v>
      </c>
      <c r="AQ73" s="129"/>
      <c r="AR73" s="183" t="e">
        <v>#DIV/0!</v>
      </c>
      <c r="AS73" s="129"/>
      <c r="AT73" s="183" t="e">
        <v>#DIV/0!</v>
      </c>
      <c r="AU73" s="129"/>
      <c r="AV73" s="183" t="e">
        <v>#DIV/0!</v>
      </c>
      <c r="XFD73" s="183"/>
    </row>
    <row r="74" spans="1:48 16384:16384" x14ac:dyDescent="0.2">
      <c r="A74" t="s">
        <v>169</v>
      </c>
      <c r="B74" s="183">
        <v>0.22604620456442484</v>
      </c>
      <c r="D74" s="183">
        <v>0.22604620456442481</v>
      </c>
      <c r="E74" s="129"/>
      <c r="F74" s="183">
        <v>0.22604620456442484</v>
      </c>
      <c r="G74" s="129"/>
      <c r="H74" s="183">
        <v>0.22604620456442484</v>
      </c>
      <c r="I74" s="129"/>
      <c r="J74" s="183">
        <v>0.22604620456442484</v>
      </c>
      <c r="K74" s="129"/>
      <c r="L74" s="183">
        <v>0.22604620456442487</v>
      </c>
      <c r="M74" s="129"/>
      <c r="N74" s="183">
        <v>0.22604620456442484</v>
      </c>
      <c r="O74" s="129"/>
      <c r="P74" s="183">
        <v>0.22604620456442481</v>
      </c>
      <c r="Q74" s="129"/>
      <c r="R74" s="183">
        <v>0.22604620456442484</v>
      </c>
      <c r="S74" s="129"/>
      <c r="T74" s="183">
        <v>0.22604620456442484</v>
      </c>
      <c r="U74" s="129"/>
      <c r="V74" s="183">
        <v>0.22604620456442484</v>
      </c>
      <c r="W74" s="129"/>
      <c r="X74" s="183">
        <v>0.22604620456442484</v>
      </c>
      <c r="Y74" s="129"/>
      <c r="Z74" s="183">
        <v>0.22604620456442484</v>
      </c>
      <c r="AA74" s="129"/>
      <c r="AB74" s="183">
        <v>0.22604620456442484</v>
      </c>
      <c r="AC74" s="129"/>
      <c r="AD74" s="183">
        <v>0.22604620456442484</v>
      </c>
      <c r="AE74" s="129"/>
      <c r="AF74" s="183">
        <v>0.22604620456442487</v>
      </c>
      <c r="AG74" s="129"/>
      <c r="AH74" s="183">
        <v>0.22604620456442484</v>
      </c>
      <c r="AI74" s="129"/>
      <c r="AJ74" s="183">
        <v>0.22604620456442487</v>
      </c>
      <c r="AK74" s="129"/>
      <c r="AL74" s="183">
        <v>0.22604620456442484</v>
      </c>
      <c r="AM74" s="129"/>
      <c r="AN74" s="183" t="e">
        <v>#DIV/0!</v>
      </c>
      <c r="AO74" s="129"/>
      <c r="AP74" s="183" t="e">
        <v>#DIV/0!</v>
      </c>
      <c r="AQ74" s="129"/>
      <c r="AR74" s="183" t="e">
        <v>#DIV/0!</v>
      </c>
      <c r="AS74" s="129"/>
      <c r="AT74" s="183" t="e">
        <v>#DIV/0!</v>
      </c>
      <c r="AU74" s="129"/>
      <c r="AV74" s="183" t="e">
        <v>#DIV/0!</v>
      </c>
      <c r="XFD74" s="183"/>
    </row>
    <row r="75" spans="1:48 16384:16384" x14ac:dyDescent="0.2">
      <c r="A75" t="s">
        <v>170</v>
      </c>
      <c r="B75" s="183">
        <v>0.22038438833194082</v>
      </c>
      <c r="D75" s="183">
        <v>0.22038438846266895</v>
      </c>
      <c r="E75" s="129"/>
      <c r="F75" s="183">
        <v>0.22038438848888461</v>
      </c>
      <c r="G75" s="129"/>
      <c r="H75" s="183">
        <v>0.22038438854293038</v>
      </c>
      <c r="I75" s="129"/>
      <c r="J75" s="183">
        <v>0.22038438814157313</v>
      </c>
      <c r="K75" s="129"/>
      <c r="L75" s="183">
        <v>0.22038438831082685</v>
      </c>
      <c r="M75" s="129"/>
      <c r="N75" s="183">
        <v>0.22038438828969675</v>
      </c>
      <c r="O75" s="129"/>
      <c r="P75" s="183">
        <v>0.22038438826802104</v>
      </c>
      <c r="Q75" s="129"/>
      <c r="R75" s="183">
        <v>0.22038438831492702</v>
      </c>
      <c r="S75" s="129"/>
      <c r="T75" s="183">
        <v>0.22038438831345042</v>
      </c>
      <c r="U75" s="129"/>
      <c r="V75" s="183">
        <v>0.22038438831759252</v>
      </c>
      <c r="W75" s="129"/>
      <c r="X75" s="183">
        <v>0.22038438831694718</v>
      </c>
      <c r="Y75" s="129"/>
      <c r="Z75" s="183">
        <v>0.22038438836242125</v>
      </c>
      <c r="AA75" s="129"/>
      <c r="AB75" s="183">
        <v>0.22038438832209034</v>
      </c>
      <c r="AC75" s="129"/>
      <c r="AD75" s="183">
        <v>0.2203843883396161</v>
      </c>
      <c r="AE75" s="129"/>
      <c r="AF75" s="183">
        <v>0.22038438833017071</v>
      </c>
      <c r="AG75" s="129"/>
      <c r="AH75" s="183">
        <v>0.22038438833202162</v>
      </c>
      <c r="AI75" s="129"/>
      <c r="AJ75" s="183">
        <v>0.22038438833198662</v>
      </c>
      <c r="AK75" s="129"/>
      <c r="AL75" s="183">
        <v>0.22038438833204527</v>
      </c>
      <c r="AM75" s="129"/>
      <c r="AN75" s="183" t="e">
        <v>#DIV/0!</v>
      </c>
      <c r="AO75" s="129"/>
      <c r="AP75" s="183" t="e">
        <v>#DIV/0!</v>
      </c>
      <c r="AQ75" s="129"/>
      <c r="AR75" s="183" t="e">
        <v>#DIV/0!</v>
      </c>
      <c r="AS75" s="129"/>
      <c r="AT75" s="183" t="e">
        <v>#DIV/0!</v>
      </c>
      <c r="AU75" s="129"/>
      <c r="AV75" s="183" t="e">
        <v>#DIV/0!</v>
      </c>
      <c r="XFD75" s="183"/>
    </row>
    <row r="76" spans="1:48 16384:16384" x14ac:dyDescent="0.2">
      <c r="A76" t="s">
        <v>171</v>
      </c>
      <c r="B76" s="183">
        <v>0.22301874374724867</v>
      </c>
      <c r="D76" s="183">
        <v>0.22296300593269117</v>
      </c>
      <c r="E76" s="129"/>
      <c r="F76" s="183">
        <v>0.22296449530488033</v>
      </c>
      <c r="G76" s="129"/>
      <c r="H76" s="183">
        <v>0.22303065072537051</v>
      </c>
      <c r="I76" s="129"/>
      <c r="J76" s="183">
        <v>0.22316987558215684</v>
      </c>
      <c r="K76" s="129"/>
      <c r="L76" s="183">
        <v>0.22339152561021977</v>
      </c>
      <c r="M76" s="129"/>
      <c r="N76" s="183">
        <v>0.2237055129363878</v>
      </c>
      <c r="O76" s="129"/>
      <c r="P76" s="183">
        <v>0.22412174494536058</v>
      </c>
      <c r="Q76" s="129"/>
      <c r="R76" s="183">
        <v>0.22464862519553347</v>
      </c>
      <c r="S76" s="129"/>
      <c r="T76" s="183">
        <v>0.225290148651453</v>
      </c>
      <c r="U76" s="129"/>
      <c r="V76" s="183">
        <v>0.22604023541528423</v>
      </c>
      <c r="W76" s="129"/>
      <c r="X76" s="183">
        <v>0.22687161416543453</v>
      </c>
      <c r="Y76" s="129"/>
      <c r="Z76" s="183">
        <v>0.22771413140984684</v>
      </c>
      <c r="AA76" s="129"/>
      <c r="AB76" s="183">
        <v>0.22841259214959947</v>
      </c>
      <c r="AC76" s="129"/>
      <c r="AD76" s="183">
        <v>0.22864859441991986</v>
      </c>
      <c r="AE76" s="129"/>
      <c r="AF76" s="183">
        <v>0.22782118422804598</v>
      </c>
      <c r="AG76" s="129"/>
      <c r="AH76" s="183">
        <v>0.22499057671039521</v>
      </c>
      <c r="AI76" s="129"/>
      <c r="AJ76" s="183">
        <v>0.21927149683791927</v>
      </c>
      <c r="AK76" s="129"/>
      <c r="AL76" s="183">
        <v>0.21064146911418594</v>
      </c>
      <c r="AM76" s="129"/>
      <c r="AN76" s="183" t="e">
        <v>#DIV/0!</v>
      </c>
      <c r="AO76" s="129"/>
      <c r="AP76" s="183" t="e">
        <v>#DIV/0!</v>
      </c>
      <c r="AQ76" s="129"/>
      <c r="AR76" s="183" t="e">
        <v>#DIV/0!</v>
      </c>
      <c r="AS76" s="129"/>
      <c r="AT76" s="183" t="e">
        <v>#DIV/0!</v>
      </c>
      <c r="AU76" s="129"/>
      <c r="AV76" s="183" t="e">
        <v>#DIV/0!</v>
      </c>
      <c r="XFD76" s="183"/>
    </row>
    <row r="77" spans="1:48 16384:16384" x14ac:dyDescent="0.2">
      <c r="A77" t="s">
        <v>172</v>
      </c>
      <c r="B77" s="183">
        <v>0.14586087017236485</v>
      </c>
      <c r="D77" s="183">
        <v>0.14580514691585064</v>
      </c>
      <c r="E77" s="129"/>
      <c r="F77" s="183">
        <v>0.14580663833198948</v>
      </c>
      <c r="G77" s="129"/>
      <c r="H77" s="183">
        <v>0.14587279862800262</v>
      </c>
      <c r="I77" s="129"/>
      <c r="J77" s="183">
        <v>0.1460120488989807</v>
      </c>
      <c r="K77" s="129"/>
      <c r="L77" s="183">
        <v>0.14623365292839505</v>
      </c>
      <c r="M77" s="129"/>
      <c r="N77" s="183">
        <v>0.14654764106488899</v>
      </c>
      <c r="O77" s="129"/>
      <c r="P77" s="183">
        <v>0.14696387390485408</v>
      </c>
      <c r="Q77" s="129"/>
      <c r="R77" s="183">
        <v>0.14749075513636314</v>
      </c>
      <c r="S77" s="129"/>
      <c r="T77" s="183">
        <v>0.14813227916042088</v>
      </c>
      <c r="U77" s="129"/>
      <c r="V77" s="183">
        <v>0.14888236561729151</v>
      </c>
      <c r="W77" s="129"/>
      <c r="X77" s="183">
        <v>0.14971374099052587</v>
      </c>
      <c r="Y77" s="129"/>
      <c r="Z77" s="183">
        <v>0.15055625994367697</v>
      </c>
      <c r="AA77" s="129"/>
      <c r="AB77" s="183">
        <v>0.15125471996114043</v>
      </c>
      <c r="AC77" s="129"/>
      <c r="AD77" s="183">
        <v>0.15149072026585664</v>
      </c>
      <c r="AE77" s="129"/>
      <c r="AF77" s="183">
        <v>0.15066331143258224</v>
      </c>
      <c r="AG77" s="129"/>
      <c r="AH77" s="183">
        <v>0.14783270311869012</v>
      </c>
      <c r="AI77" s="129"/>
      <c r="AJ77" s="183">
        <v>0.14211362328081542</v>
      </c>
      <c r="AK77" s="129"/>
      <c r="AL77" s="183">
        <v>0.1334835955431852</v>
      </c>
      <c r="AM77" s="129"/>
      <c r="AN77" s="183" t="e">
        <v>#DIV/0!</v>
      </c>
      <c r="AO77" s="129"/>
      <c r="AP77" s="183" t="e">
        <v>#DIV/0!</v>
      </c>
      <c r="AQ77" s="129"/>
      <c r="AR77" s="183" t="e">
        <v>#DIV/0!</v>
      </c>
      <c r="AS77" s="129"/>
      <c r="AT77" s="183" t="e">
        <v>#DIV/0!</v>
      </c>
      <c r="AU77" s="129"/>
      <c r="AV77" s="183" t="e">
        <v>#DIV/0!</v>
      </c>
      <c r="XFD77" s="183"/>
    </row>
    <row r="78" spans="1:48 16384:16384" x14ac:dyDescent="0.2">
      <c r="A78" t="s">
        <v>173</v>
      </c>
      <c r="B78" s="183">
        <v>0.346887593115773</v>
      </c>
      <c r="D78" s="183">
        <v>0.34910079109556025</v>
      </c>
      <c r="E78" s="129"/>
      <c r="F78" s="183">
        <v>0.35137233571741427</v>
      </c>
      <c r="G78" s="129"/>
      <c r="H78" s="183">
        <v>0.35371236383690485</v>
      </c>
      <c r="I78" s="129"/>
      <c r="J78" s="183">
        <v>0.35613313476064429</v>
      </c>
      <c r="K78" s="129"/>
      <c r="L78" s="183">
        <v>0.35864987358485834</v>
      </c>
      <c r="M78" s="129"/>
      <c r="N78" s="183">
        <v>0.36128179435017188</v>
      </c>
      <c r="O78" s="129"/>
      <c r="P78" s="183">
        <v>0.36405390922465974</v>
      </c>
      <c r="Q78" s="129"/>
      <c r="R78" s="183">
        <v>0.36699987571230225</v>
      </c>
      <c r="S78" s="129"/>
      <c r="T78" s="183">
        <v>0.37016664656070525</v>
      </c>
      <c r="U78" s="129"/>
      <c r="V78" s="183">
        <v>0.37362281582099571</v>
      </c>
      <c r="W78" s="129"/>
      <c r="X78" s="183">
        <v>0.37747338452044649</v>
      </c>
      <c r="Y78" s="129"/>
      <c r="Z78" s="183">
        <v>0.38188768515724397</v>
      </c>
      <c r="AA78" s="129"/>
      <c r="AB78" s="183">
        <v>0.38715378756130076</v>
      </c>
      <c r="AC78" s="129"/>
      <c r="AD78" s="183">
        <v>0.39378713468314752</v>
      </c>
      <c r="AE78" s="129"/>
      <c r="AF78" s="183">
        <v>0.40274254811428889</v>
      </c>
      <c r="AG78" s="129"/>
      <c r="AH78" s="183">
        <v>0.41578198916846681</v>
      </c>
      <c r="AI78" s="129"/>
      <c r="AJ78" s="183">
        <v>0.43604766019779451</v>
      </c>
      <c r="AK78" s="129"/>
      <c r="AL78" s="183">
        <v>0.46990032430207707</v>
      </c>
      <c r="AM78" s="129"/>
      <c r="AN78" s="183" t="e">
        <v>#DIV/0!</v>
      </c>
      <c r="AO78" s="129"/>
      <c r="AP78" s="183" t="e">
        <v>#DIV/0!</v>
      </c>
      <c r="AQ78" s="129"/>
      <c r="AR78" s="183" t="e">
        <v>#DIV/0!</v>
      </c>
      <c r="AS78" s="129"/>
      <c r="AT78" s="183" t="e">
        <v>#DIV/0!</v>
      </c>
      <c r="AU78" s="129"/>
      <c r="AV78" s="183" t="e">
        <v>#DIV/0!</v>
      </c>
      <c r="XFD78" s="183"/>
    </row>
    <row r="79" spans="1:48 16384:16384" x14ac:dyDescent="0.2">
      <c r="A79" t="s">
        <v>174</v>
      </c>
      <c r="B79" s="183">
        <v>0.45460968782440875</v>
      </c>
      <c r="D79" s="183">
        <v>0.44684172793738092</v>
      </c>
      <c r="F79" s="183">
        <v>0.43886895347455884</v>
      </c>
      <c r="H79" s="183">
        <v>0.43065581975239803</v>
      </c>
      <c r="J79" s="183">
        <v>0.42215915915593549</v>
      </c>
      <c r="L79" s="183">
        <v>0.41332582214071595</v>
      </c>
      <c r="N79" s="183">
        <v>0.40408815597740266</v>
      </c>
      <c r="P79" s="183">
        <v>0.39435843015307348</v>
      </c>
      <c r="R79" s="183">
        <v>0.38401857518727889</v>
      </c>
      <c r="T79" s="183">
        <v>0.37290368173651506</v>
      </c>
      <c r="V79" s="183">
        <v>0.3607730445247348</v>
      </c>
      <c r="X79" s="183">
        <v>0.34725812100309444</v>
      </c>
      <c r="Z79" s="183">
        <v>0.33176459327101937</v>
      </c>
      <c r="AB79" s="183">
        <v>0.31328135135910501</v>
      </c>
      <c r="AD79" s="183">
        <v>0.28999930384369665</v>
      </c>
      <c r="AF79" s="183">
        <v>0.25856713514334106</v>
      </c>
      <c r="AH79" s="183">
        <v>0.21280064645061911</v>
      </c>
      <c r="AJ79" s="183">
        <v>0.14167116745021802</v>
      </c>
      <c r="AL79" s="183">
        <v>2.2853372249782726E-2</v>
      </c>
      <c r="AN79" s="183" t="e">
        <v>#DIV/0!</v>
      </c>
      <c r="AP79" s="183" t="e">
        <v>#DIV/0!</v>
      </c>
      <c r="AR79" s="183" t="e">
        <v>#DIV/0!</v>
      </c>
      <c r="AT79" s="183" t="e">
        <v>#DIV/0!</v>
      </c>
      <c r="AV79" s="183" t="e">
        <v>#DIV/0!</v>
      </c>
      <c r="XFD79" s="183"/>
    </row>
    <row r="80" spans="1:48 16384:16384" x14ac:dyDescent="0.2">
      <c r="A80" t="s">
        <v>153</v>
      </c>
      <c r="B80" s="195">
        <v>0.19850271905982084</v>
      </c>
      <c r="D80" s="195">
        <v>0.20405751938347974</v>
      </c>
      <c r="F80" s="195">
        <v>0.20975875954696888</v>
      </c>
      <c r="H80" s="195">
        <v>0.2156318863569604</v>
      </c>
      <c r="J80" s="195">
        <v>0.2217077473832178</v>
      </c>
      <c r="L80" s="195">
        <v>0.22802430156534692</v>
      </c>
      <c r="N80" s="195">
        <v>0.23463004400969459</v>
      </c>
      <c r="P80" s="195">
        <v>0.24158765160412685</v>
      </c>
      <c r="R80" s="195">
        <v>0.24898155273675526</v>
      </c>
      <c r="T80" s="195">
        <v>0.25692967574569198</v>
      </c>
      <c r="V80" s="195">
        <v>0.26560414335575194</v>
      </c>
      <c r="X80" s="195">
        <v>0.27526849017446309</v>
      </c>
      <c r="Z80" s="195">
        <v>0.28634773736646818</v>
      </c>
      <c r="AB80" s="195">
        <v>0.29956485859948434</v>
      </c>
      <c r="AD80" s="195">
        <v>0.31621356633716829</v>
      </c>
      <c r="AF80" s="195">
        <v>0.33869031401614741</v>
      </c>
      <c r="AH80" s="195">
        <v>0.37141736485744764</v>
      </c>
      <c r="AJ80" s="195">
        <v>0.42228117160162815</v>
      </c>
      <c r="AL80" s="195">
        <v>0.50724630347825717</v>
      </c>
      <c r="AN80" s="195" t="e">
        <v>#DIV/0!</v>
      </c>
      <c r="AP80" s="195" t="e">
        <v>#DIV/0!</v>
      </c>
      <c r="AR80" s="195" t="e">
        <v>#DIV/0!</v>
      </c>
      <c r="AT80" s="195" t="e">
        <v>#DIV/0!</v>
      </c>
      <c r="AV80" s="195" t="e">
        <v>#DIV/0!</v>
      </c>
      <c r="XFD80" s="195"/>
    </row>
    <row r="81" spans="1:48 16384:16384" x14ac:dyDescent="0.2">
      <c r="A81" t="s">
        <v>175</v>
      </c>
      <c r="B81" s="195">
        <v>-2.7543485504603994E-2</v>
      </c>
      <c r="D81" s="195">
        <v>-2.1988685180945072E-2</v>
      </c>
      <c r="F81" s="195">
        <v>-1.6287445017455958E-2</v>
      </c>
      <c r="H81" s="195">
        <v>-1.041431820746444E-2</v>
      </c>
      <c r="J81" s="195">
        <v>-4.3384571812070324E-3</v>
      </c>
      <c r="L81" s="195">
        <v>1.9780970009220565E-3</v>
      </c>
      <c r="N81" s="195">
        <v>8.5838394452697458E-3</v>
      </c>
      <c r="P81" s="195">
        <v>1.5541447039702023E-2</v>
      </c>
      <c r="R81" s="195">
        <v>2.2935348172330419E-2</v>
      </c>
      <c r="T81" s="195">
        <v>3.0883471181267146E-2</v>
      </c>
      <c r="V81" s="195">
        <v>3.9557938791327095E-2</v>
      </c>
      <c r="X81" s="195">
        <v>4.9222285610038219E-2</v>
      </c>
      <c r="Z81" s="195">
        <v>6.030153280204336E-2</v>
      </c>
      <c r="AB81" s="195">
        <v>7.3518654035059472E-2</v>
      </c>
      <c r="AD81" s="195">
        <v>9.0167361772743482E-2</v>
      </c>
      <c r="AF81" s="195">
        <v>0.11264410945172253</v>
      </c>
      <c r="AH81" s="195">
        <v>0.14537116029302277</v>
      </c>
      <c r="AJ81" s="195">
        <v>0.19623496703720325</v>
      </c>
      <c r="AL81" s="195">
        <v>0.2812000989138323</v>
      </c>
      <c r="AN81" s="195" t="e">
        <v>#DIV/0!</v>
      </c>
      <c r="AP81" s="195" t="e">
        <v>#DIV/0!</v>
      </c>
      <c r="AR81" s="195" t="e">
        <v>#DIV/0!</v>
      </c>
      <c r="AT81" s="195" t="e">
        <v>#DIV/0!</v>
      </c>
      <c r="AV81" s="195" t="e">
        <v>#DIV/0!</v>
      </c>
      <c r="XFD81" s="195"/>
    </row>
    <row r="82" spans="1:48 16384:16384" x14ac:dyDescent="0.2">
      <c r="A82" t="s">
        <v>176</v>
      </c>
      <c r="B82" s="195">
        <v>0</v>
      </c>
      <c r="D82" s="195">
        <v>0</v>
      </c>
      <c r="F82" s="195">
        <v>0</v>
      </c>
      <c r="H82" s="195">
        <v>0</v>
      </c>
      <c r="J82" s="195">
        <v>0</v>
      </c>
      <c r="L82" s="195">
        <v>0</v>
      </c>
      <c r="N82" s="195">
        <v>0</v>
      </c>
      <c r="P82" s="195">
        <v>0</v>
      </c>
      <c r="R82" s="195">
        <v>0</v>
      </c>
      <c r="T82" s="195">
        <v>0</v>
      </c>
      <c r="V82" s="195">
        <v>0</v>
      </c>
      <c r="X82" s="195">
        <v>0</v>
      </c>
      <c r="Z82" s="195">
        <v>0</v>
      </c>
      <c r="AB82" s="195">
        <v>0</v>
      </c>
      <c r="AD82" s="195">
        <v>0</v>
      </c>
      <c r="AF82" s="195">
        <v>0</v>
      </c>
      <c r="AH82" s="195">
        <v>0</v>
      </c>
      <c r="AJ82" s="195">
        <v>0</v>
      </c>
      <c r="AL82" s="195">
        <v>0</v>
      </c>
      <c r="AN82" s="195" t="e">
        <v>#DIV/0!</v>
      </c>
      <c r="AP82" s="195" t="e">
        <v>#DIV/0!</v>
      </c>
      <c r="AR82" s="195" t="e">
        <v>#DIV/0!</v>
      </c>
      <c r="AT82" s="195" t="e">
        <v>#DIV/0!</v>
      </c>
      <c r="AV82" s="195" t="e">
        <v>#DIV/0!</v>
      </c>
    </row>
    <row r="83" spans="1:48 16384:16384" x14ac:dyDescent="0.2">
      <c r="A83" t="s">
        <v>177</v>
      </c>
      <c r="B83" s="195">
        <v>0.32508574741142998</v>
      </c>
      <c r="D83" s="195">
        <v>0.31953097567345545</v>
      </c>
      <c r="F83" s="195">
        <v>0.31382974357346916</v>
      </c>
      <c r="H83" s="195">
        <v>0.307956633549272</v>
      </c>
      <c r="J83" s="195">
        <v>0.3018807769749855</v>
      </c>
      <c r="L83" s="195">
        <v>0.2955641672707971</v>
      </c>
      <c r="N83" s="195">
        <v>0.28895842680932704</v>
      </c>
      <c r="P83" s="195">
        <v>0.28200082058925896</v>
      </c>
      <c r="R83" s="195">
        <v>0.27460691859001374</v>
      </c>
      <c r="T83" s="195">
        <v>0.26665879618608557</v>
      </c>
      <c r="V83" s="195">
        <v>0.25798432802100846</v>
      </c>
      <c r="X83" s="195">
        <v>0.24831997389061924</v>
      </c>
      <c r="Z83" s="195">
        <v>0.23724074443793158</v>
      </c>
      <c r="AB83" s="195">
        <v>0.22402360746868649</v>
      </c>
      <c r="AD83" s="195">
        <v>0.20737490415126333</v>
      </c>
      <c r="AF83" s="195">
        <v>0.18489815029320658</v>
      </c>
      <c r="AH83" s="195">
        <v>0.15217110205481343</v>
      </c>
      <c r="AJ83" s="195">
        <v>0.10130729412654454</v>
      </c>
      <c r="AL83" s="195">
        <v>1.6342162953557185E-2</v>
      </c>
      <c r="AN83" s="195" t="e">
        <v>#DIV/0!</v>
      </c>
      <c r="AP83" s="195" t="e">
        <v>#DIV/0!</v>
      </c>
      <c r="AR83" s="195" t="e">
        <v>#DIV/0!</v>
      </c>
      <c r="AT83" s="195" t="e">
        <v>#DIV/0!</v>
      </c>
      <c r="AV83" s="195" t="e">
        <v>#DIV/0!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1:XFD83"/>
  <sheetViews>
    <sheetView showGridLines="0" workbookViewId="0">
      <pane ySplit="1" topLeftCell="A35" activePane="bottomLeft" state="frozen"/>
      <selection pane="bottomLeft" activeCell="B69" sqref="B69"/>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5.5014439997918968E-2</v>
      </c>
      <c r="E2" s="189"/>
      <c r="F2" s="188">
        <v>0.10906958458026007</v>
      </c>
      <c r="G2" s="189"/>
      <c r="H2" s="188">
        <v>0.16872438292690839</v>
      </c>
      <c r="I2" s="189"/>
      <c r="J2" s="188">
        <v>0.23496769938343354</v>
      </c>
      <c r="K2" s="189"/>
      <c r="L2" s="188">
        <v>0.30906615374944901</v>
      </c>
      <c r="M2" s="189"/>
      <c r="N2" s="188">
        <v>0.3926801580131119</v>
      </c>
      <c r="O2" s="189"/>
      <c r="P2" s="188">
        <v>0.48804509618252229</v>
      </c>
      <c r="Q2" s="189"/>
      <c r="R2" s="188">
        <v>0.59826652270557557</v>
      </c>
      <c r="S2" s="189"/>
      <c r="T2" s="188">
        <v>0.72782096900058313</v>
      </c>
      <c r="U2" s="189"/>
      <c r="V2" s="188">
        <v>0.88344313079603487</v>
      </c>
      <c r="W2" s="189"/>
      <c r="X2" s="188">
        <v>1.0757925162930242</v>
      </c>
      <c r="Y2" s="189"/>
      <c r="Z2" s="188">
        <v>1.3227809634877583</v>
      </c>
      <c r="AA2" s="189"/>
      <c r="AB2" s="188">
        <v>1.6567067892971499</v>
      </c>
      <c r="AC2" s="189"/>
      <c r="AD2" s="188">
        <v>2.1407933646851998</v>
      </c>
      <c r="AE2" s="189"/>
      <c r="AF2" s="188">
        <v>2.9104917708887981</v>
      </c>
      <c r="AG2" s="189"/>
      <c r="AH2" s="188">
        <v>4.2833747151355865</v>
      </c>
      <c r="AI2" s="189"/>
      <c r="AJ2" s="188">
        <v>7.0803307977105927</v>
      </c>
      <c r="AK2" s="189"/>
      <c r="AL2" s="188">
        <v>13.877653156371668</v>
      </c>
      <c r="AM2" s="189"/>
      <c r="AN2" s="188">
        <v>37.473069560641029</v>
      </c>
      <c r="AO2" s="189"/>
      <c r="AP2" s="188">
        <v>49.321891324375379</v>
      </c>
      <c r="AQ2" s="189"/>
      <c r="AR2" s="188">
        <v>67.974409258132326</v>
      </c>
      <c r="AS2" s="189"/>
      <c r="AT2" s="188">
        <v>100.12194069275338</v>
      </c>
      <c r="AU2" s="189"/>
      <c r="AV2" s="188">
        <v>163.76263899729508</v>
      </c>
      <c r="AW2" s="189"/>
    </row>
    <row r="3" spans="1:49" x14ac:dyDescent="0.2">
      <c r="A3" t="s">
        <v>12</v>
      </c>
      <c r="B3" s="81">
        <v>1000</v>
      </c>
      <c r="C3" s="82">
        <v>1000</v>
      </c>
      <c r="D3" s="81">
        <v>998.52494618023229</v>
      </c>
      <c r="E3" s="82">
        <v>1022.2362293157114</v>
      </c>
      <c r="F3" s="81">
        <v>997.00353801227322</v>
      </c>
      <c r="G3" s="82">
        <v>1047.161288121604</v>
      </c>
      <c r="H3" s="81">
        <v>995.42793100869676</v>
      </c>
      <c r="I3" s="82">
        <v>1075.2561772934971</v>
      </c>
      <c r="J3" s="81">
        <v>993.78916071249682</v>
      </c>
      <c r="K3" s="82">
        <v>1107.1248744771599</v>
      </c>
      <c r="L3" s="81">
        <v>992.07721721103565</v>
      </c>
      <c r="M3" s="82">
        <v>1143.53776996635</v>
      </c>
      <c r="N3" s="81">
        <v>990.28135047281887</v>
      </c>
      <c r="O3" s="82">
        <v>1185.4963911718496</v>
      </c>
      <c r="P3" s="81">
        <v>988.39079040154809</v>
      </c>
      <c r="Q3" s="82">
        <v>1234.3315504680293</v>
      </c>
      <c r="R3" s="81">
        <v>986.39626354160282</v>
      </c>
      <c r="S3" s="82">
        <v>1291.8587210257535</v>
      </c>
      <c r="T3" s="81">
        <v>984.29296819408694</v>
      </c>
      <c r="U3" s="82">
        <v>1360.6351432089202</v>
      </c>
      <c r="V3" s="81">
        <v>982.08629285908125</v>
      </c>
      <c r="W3" s="82">
        <v>1444.4022624986881</v>
      </c>
      <c r="X3" s="81">
        <v>979.80274862382782</v>
      </c>
      <c r="Y3" s="82">
        <v>1548.89371979003</v>
      </c>
      <c r="Z3" s="81">
        <v>977.51090288496744</v>
      </c>
      <c r="AA3" s="82">
        <v>1683.401158543752</v>
      </c>
      <c r="AB3" s="81">
        <v>975.36115883377863</v>
      </c>
      <c r="AC3" s="82">
        <v>1864.0267870571545</v>
      </c>
      <c r="AD3" s="81">
        <v>973.65743217739168</v>
      </c>
      <c r="AE3" s="82">
        <v>2120.9661987543091</v>
      </c>
      <c r="AF3" s="81">
        <v>972.95910866740144</v>
      </c>
      <c r="AG3" s="82">
        <v>2516.0489373589553</v>
      </c>
      <c r="AH3" s="81">
        <v>974.09439124981043</v>
      </c>
      <c r="AI3" s="82">
        <v>3187.9549248542467</v>
      </c>
      <c r="AJ3" s="81">
        <v>977.67751901665929</v>
      </c>
      <c r="AK3" s="82">
        <v>4483.0927432582312</v>
      </c>
      <c r="AL3" s="81">
        <v>983.07886127472614</v>
      </c>
      <c r="AM3" s="82">
        <v>7472.1959751822296</v>
      </c>
      <c r="AN3" s="81">
        <v>988.10365505141169</v>
      </c>
      <c r="AO3" s="82">
        <v>17437.23873984901</v>
      </c>
      <c r="AP3" s="81">
        <v>988.71719628124049</v>
      </c>
      <c r="AQ3" s="82">
        <v>22367.355758283211</v>
      </c>
      <c r="AR3" s="81">
        <v>989.0398402524927</v>
      </c>
      <c r="AS3" s="82">
        <v>30088.512596615128</v>
      </c>
      <c r="AT3" s="81">
        <v>988.9106122819577</v>
      </c>
      <c r="AU3" s="82">
        <v>43334.905112930719</v>
      </c>
      <c r="AV3" s="81">
        <v>988.01788469657106</v>
      </c>
      <c r="AW3" s="82">
        <v>69457.82971888539</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998.45175625363686</v>
      </c>
      <c r="E5" s="40">
        <v>1019.3158652441651</v>
      </c>
      <c r="F5" s="39">
        <v>996.85384956406745</v>
      </c>
      <c r="G5" s="40">
        <v>1040.4750942015364</v>
      </c>
      <c r="H5" s="39">
        <v>995.19793389691472</v>
      </c>
      <c r="I5" s="40">
        <v>1063.708105712866</v>
      </c>
      <c r="J5" s="39">
        <v>993.47445818484607</v>
      </c>
      <c r="K5" s="40">
        <v>1089.2793374767348</v>
      </c>
      <c r="L5" s="39">
        <v>991.67273804700903</v>
      </c>
      <c r="M5" s="40">
        <v>1117.4917024933268</v>
      </c>
      <c r="N5" s="39">
        <v>989.78126990035901</v>
      </c>
      <c r="O5" s="40">
        <v>1148.691553225791</v>
      </c>
      <c r="P5" s="39">
        <v>987.788482880223</v>
      </c>
      <c r="Q5" s="40">
        <v>1183.2722000814219</v>
      </c>
      <c r="R5" s="39">
        <v>985.684334309306</v>
      </c>
      <c r="S5" s="40">
        <v>1221.6744795783984</v>
      </c>
      <c r="T5" s="39">
        <v>983.46345370395045</v>
      </c>
      <c r="U5" s="40">
        <v>1264.3811544709288</v>
      </c>
      <c r="V5" s="93">
        <v>981.13120702614492</v>
      </c>
      <c r="W5" s="94">
        <v>1311.8958042128495</v>
      </c>
      <c r="X5" s="39">
        <v>978.71532031016795</v>
      </c>
      <c r="Y5" s="40">
        <v>1364.6864902856469</v>
      </c>
      <c r="Z5" s="39">
        <v>976.28818062295238</v>
      </c>
      <c r="AA5" s="40">
        <v>1423.0509217022664</v>
      </c>
      <c r="AB5" s="39">
        <v>974.00926431848052</v>
      </c>
      <c r="AC5" s="40">
        <v>1486.8058808256271</v>
      </c>
      <c r="AD5" s="39">
        <v>972.20159552117343</v>
      </c>
      <c r="AE5" s="40">
        <v>1554.5975862916803</v>
      </c>
      <c r="AF5" s="39">
        <v>971.4602649786392</v>
      </c>
      <c r="AG5" s="40">
        <v>1622.5598955202142</v>
      </c>
      <c r="AH5" s="39">
        <v>972.6653457801267</v>
      </c>
      <c r="AI5" s="40">
        <v>1682.7151631422116</v>
      </c>
      <c r="AJ5" s="39">
        <v>976.46471639466381</v>
      </c>
      <c r="AK5" s="40">
        <v>1724.6531470464924</v>
      </c>
      <c r="AL5" s="39">
        <v>982.18053841940809</v>
      </c>
      <c r="AM5" s="40">
        <v>1744.4566273569569</v>
      </c>
      <c r="AN5" s="39">
        <v>987.48567867796839</v>
      </c>
      <c r="AO5" s="40">
        <v>1749.6250453379857</v>
      </c>
      <c r="AP5" s="39">
        <v>988.13265481214069</v>
      </c>
      <c r="AQ5" s="40">
        <v>1749.8587311110941</v>
      </c>
      <c r="AR5" s="39">
        <v>988.47281220050922</v>
      </c>
      <c r="AS5" s="40">
        <v>1749.9827513719465</v>
      </c>
      <c r="AT5" s="39">
        <v>988.33657532353766</v>
      </c>
      <c r="AU5" s="40">
        <v>1750.0402911250717</v>
      </c>
      <c r="AV5" s="39">
        <v>987.39522054327267</v>
      </c>
      <c r="AW5" s="40">
        <v>1750.0622127247716</v>
      </c>
    </row>
    <row r="6" spans="1:49" x14ac:dyDescent="0.2">
      <c r="A6" t="s">
        <v>77</v>
      </c>
      <c r="B6" s="39">
        <v>999.99999999999943</v>
      </c>
      <c r="C6" s="40">
        <v>999.99999999999909</v>
      </c>
      <c r="D6" s="39">
        <v>998.33352842476666</v>
      </c>
      <c r="E6" s="40">
        <v>1023.9615006317389</v>
      </c>
      <c r="F6" s="39">
        <v>996.61401531964873</v>
      </c>
      <c r="G6" s="40">
        <v>1050.7291731273158</v>
      </c>
      <c r="H6" s="39">
        <v>994.83252188017957</v>
      </c>
      <c r="I6" s="40">
        <v>1080.7968990957031</v>
      </c>
      <c r="J6" s="39">
        <v>992.97882397789272</v>
      </c>
      <c r="K6" s="40">
        <v>1114.784381217017</v>
      </c>
      <c r="L6" s="39">
        <v>991.04149184391133</v>
      </c>
      <c r="M6" s="40">
        <v>1153.4816382239173</v>
      </c>
      <c r="N6" s="39">
        <v>989.00823064357542</v>
      </c>
      <c r="O6" s="40">
        <v>1197.9153583636346</v>
      </c>
      <c r="P6" s="39">
        <v>986.8666911300146</v>
      </c>
      <c r="Q6" s="40">
        <v>1249.4495280238134</v>
      </c>
      <c r="R6" s="39">
        <v>984.60618522771699</v>
      </c>
      <c r="S6" s="40">
        <v>1309.9447816483648</v>
      </c>
      <c r="T6" s="39">
        <v>982.22106136817706</v>
      </c>
      <c r="U6" s="40">
        <v>1382.0221367586871</v>
      </c>
      <c r="V6" s="39">
        <v>979.71720651381338</v>
      </c>
      <c r="W6" s="40">
        <v>1469.5167825619176</v>
      </c>
      <c r="X6" s="39">
        <v>977.1244977767069</v>
      </c>
      <c r="Y6" s="40">
        <v>1578.3067446583232</v>
      </c>
      <c r="Z6" s="39">
        <v>974.52067561869615</v>
      </c>
      <c r="AA6" s="40">
        <v>1717.9184616676605</v>
      </c>
      <c r="AB6" s="39">
        <v>972.07674501831082</v>
      </c>
      <c r="AC6" s="40">
        <v>1904.8613244904022</v>
      </c>
      <c r="AD6" s="39">
        <v>970.13878920693833</v>
      </c>
      <c r="AE6" s="40">
        <v>2170.0929416893473</v>
      </c>
      <c r="AF6" s="39">
        <v>969.34418217635175</v>
      </c>
      <c r="AG6" s="40">
        <v>2576.9984470165123</v>
      </c>
      <c r="AH6" s="39">
        <v>970.63591308203638</v>
      </c>
      <c r="AI6" s="40">
        <v>3267.7471949706292</v>
      </c>
      <c r="AJ6" s="39">
        <v>974.71002969603444</v>
      </c>
      <c r="AK6" s="40">
        <v>4597.5334693497944</v>
      </c>
      <c r="AL6" s="39">
        <v>980.8436379677056</v>
      </c>
      <c r="AM6" s="40">
        <v>7664.5767167485456</v>
      </c>
      <c r="AN6" s="39">
        <v>986.54134103030287</v>
      </c>
      <c r="AO6" s="40">
        <v>17887.150587751581</v>
      </c>
      <c r="AP6" s="39">
        <v>987.23650731780231</v>
      </c>
      <c r="AQ6" s="40">
        <v>22944.52927475435</v>
      </c>
      <c r="AR6" s="39">
        <v>987.60202897336501</v>
      </c>
      <c r="AS6" s="40">
        <v>30864.964871107717</v>
      </c>
      <c r="AT6" s="39">
        <v>987.45563113940409</v>
      </c>
      <c r="AU6" s="40">
        <v>44453.215193345</v>
      </c>
      <c r="AV6" s="39">
        <v>986.44415057962192</v>
      </c>
      <c r="AW6" s="40">
        <v>71250.289990798643</v>
      </c>
    </row>
    <row r="7" spans="1:49" x14ac:dyDescent="0.2">
      <c r="A7" t="s">
        <v>13</v>
      </c>
      <c r="B7" s="31">
        <v>1015.9116825427475</v>
      </c>
      <c r="C7" s="32">
        <v>1015.9116825427475</v>
      </c>
      <c r="D7" s="31">
        <v>1014.3388036333934</v>
      </c>
      <c r="E7" s="32">
        <v>1014.3388036333934</v>
      </c>
      <c r="F7" s="31">
        <v>1012.7154715598466</v>
      </c>
      <c r="G7" s="32">
        <v>1012.7154715598466</v>
      </c>
      <c r="H7" s="31">
        <v>1011.0332074882806</v>
      </c>
      <c r="I7" s="32">
        <v>1011.0332074882806</v>
      </c>
      <c r="J7" s="31">
        <v>1009.2823083778113</v>
      </c>
      <c r="K7" s="32">
        <v>1009.2823083778113</v>
      </c>
      <c r="L7" s="31">
        <v>1007.4519198411102</v>
      </c>
      <c r="M7" s="32">
        <v>1007.4519198411102</v>
      </c>
      <c r="N7" s="31">
        <v>1005.5303552537709</v>
      </c>
      <c r="O7" s="32">
        <v>1005.5303552537709</v>
      </c>
      <c r="P7" s="31">
        <v>1003.5058596391953</v>
      </c>
      <c r="Q7" s="32">
        <v>1003.5058596391953</v>
      </c>
      <c r="R7" s="31">
        <v>1001.368230524195</v>
      </c>
      <c r="S7" s="32">
        <v>1001.368230524195</v>
      </c>
      <c r="T7" s="31">
        <v>999.11201197168168</v>
      </c>
      <c r="U7" s="32">
        <v>999.11201197168168</v>
      </c>
      <c r="V7" s="31">
        <v>996.74265532512754</v>
      </c>
      <c r="W7" s="32">
        <v>996.74265532512754</v>
      </c>
      <c r="X7" s="31">
        <v>994.28832778666674</v>
      </c>
      <c r="Y7" s="32">
        <v>994.28832778666674</v>
      </c>
      <c r="Z7" s="31">
        <v>991.82256822326133</v>
      </c>
      <c r="AA7" s="32">
        <v>991.82256822326133</v>
      </c>
      <c r="AB7" s="31">
        <v>989.50739052601114</v>
      </c>
      <c r="AC7" s="32">
        <v>989.50739052601114</v>
      </c>
      <c r="AD7" s="31">
        <v>987.67095867665887</v>
      </c>
      <c r="AE7" s="32">
        <v>987.67095867665887</v>
      </c>
      <c r="AF7" s="31">
        <v>986.91783231787258</v>
      </c>
      <c r="AG7" s="32">
        <v>986.91783231787258</v>
      </c>
      <c r="AH7" s="31">
        <v>988.14208798251173</v>
      </c>
      <c r="AI7" s="32">
        <v>988.14208798251173</v>
      </c>
      <c r="AJ7" s="31">
        <v>992.00191297612957</v>
      </c>
      <c r="AK7" s="32">
        <v>992.00191297612957</v>
      </c>
      <c r="AL7" s="31">
        <v>997.80868334640252</v>
      </c>
      <c r="AM7" s="32">
        <v>997.80868334640252</v>
      </c>
      <c r="AN7" s="31">
        <v>1003.1982373126017</v>
      </c>
      <c r="AO7" s="32">
        <v>1003.1982373126017</v>
      </c>
      <c r="AP7" s="31">
        <v>1003.8555079256337</v>
      </c>
      <c r="AQ7" s="32">
        <v>1003.8555079256337</v>
      </c>
      <c r="AR7" s="31">
        <v>1004.2010777903805</v>
      </c>
      <c r="AS7" s="32">
        <v>1004.2010777903805</v>
      </c>
      <c r="AT7" s="31">
        <v>1004.062673155472</v>
      </c>
      <c r="AU7" s="32">
        <v>1004.062673155472</v>
      </c>
      <c r="AV7" s="31">
        <v>1003.1063398367834</v>
      </c>
      <c r="AW7" s="32">
        <v>1003.1063398367834</v>
      </c>
    </row>
    <row r="8" spans="1:49" x14ac:dyDescent="0.2">
      <c r="B8" s="33">
        <v>1005.7716594496609</v>
      </c>
      <c r="C8" s="34">
        <v>1005.7716594496609</v>
      </c>
      <c r="D8" s="33">
        <v>1075.392956751567</v>
      </c>
      <c r="E8" s="34">
        <v>1075.392956751567</v>
      </c>
      <c r="F8" s="33">
        <v>1153.9592804922049</v>
      </c>
      <c r="G8" s="34">
        <v>1153.9592804922049</v>
      </c>
      <c r="H8" s="33">
        <v>1243.1815994636199</v>
      </c>
      <c r="I8" s="34">
        <v>1243.1815994636199</v>
      </c>
      <c r="J8" s="33">
        <v>1345.2247973895539</v>
      </c>
      <c r="K8" s="34">
        <v>1345.2247973895539</v>
      </c>
      <c r="L8" s="33">
        <v>1462.8705648298628</v>
      </c>
      <c r="M8" s="34">
        <v>1462.8705648298628</v>
      </c>
      <c r="N8" s="33">
        <v>1599.7599338548216</v>
      </c>
      <c r="O8" s="34">
        <v>1599.7599338548216</v>
      </c>
      <c r="P8" s="33">
        <v>1760.7623947802642</v>
      </c>
      <c r="Q8" s="34">
        <v>1760.7623947802642</v>
      </c>
      <c r="R8" s="33">
        <v>1952.5614223539103</v>
      </c>
      <c r="S8" s="34">
        <v>1952.5614223539103</v>
      </c>
      <c r="T8" s="33">
        <v>2184.6242715040362</v>
      </c>
      <c r="U8" s="34">
        <v>2184.6242715040362</v>
      </c>
      <c r="V8" s="33">
        <v>2470.8811407648313</v>
      </c>
      <c r="W8" s="34">
        <v>2470.8811407648313</v>
      </c>
      <c r="X8" s="33">
        <v>2832.8060036211386</v>
      </c>
      <c r="Y8" s="34">
        <v>2832.8060036211386</v>
      </c>
      <c r="Z8" s="33">
        <v>3305.435591003733</v>
      </c>
      <c r="AA8" s="34">
        <v>3305.435591003733</v>
      </c>
      <c r="AB8" s="33">
        <v>3950.0072779563729</v>
      </c>
      <c r="AC8" s="34">
        <v>3950.0072779563729</v>
      </c>
      <c r="AD8" s="33">
        <v>4882.6697837805368</v>
      </c>
      <c r="AE8" s="34">
        <v>4882.6697837805368</v>
      </c>
      <c r="AF8" s="33">
        <v>6345.0071192059859</v>
      </c>
      <c r="AG8" s="34">
        <v>6345.0071192059859</v>
      </c>
      <c r="AH8" s="33">
        <v>8890.4147457208146</v>
      </c>
      <c r="AI8" s="34">
        <v>8890.4147457208146</v>
      </c>
      <c r="AJ8" s="33">
        <v>13935.767939448269</v>
      </c>
      <c r="AK8" s="34">
        <v>13935.767939448269</v>
      </c>
      <c r="AL8" s="33">
        <v>25953.420648150706</v>
      </c>
      <c r="AM8" s="34">
        <v>25953.420648150706</v>
      </c>
      <c r="AN8" s="33">
        <v>67313.446074328036</v>
      </c>
      <c r="AO8" s="34">
        <v>67313.446074328036</v>
      </c>
      <c r="AP8" s="33">
        <v>88056.200899981879</v>
      </c>
      <c r="AQ8" s="34">
        <v>88056.200899981879</v>
      </c>
      <c r="AR8" s="33">
        <v>120704.02648780106</v>
      </c>
      <c r="AS8" s="34">
        <v>120704.02648780106</v>
      </c>
      <c r="AT8" s="33">
        <v>176967.47052907836</v>
      </c>
      <c r="AU8" s="34">
        <v>176967.47052907836</v>
      </c>
      <c r="AV8" s="33">
        <v>288344.86857797898</v>
      </c>
      <c r="AW8" s="34">
        <v>288344.86857797898</v>
      </c>
    </row>
    <row r="9" spans="1:49" x14ac:dyDescent="0.2">
      <c r="A9" t="s">
        <v>14</v>
      </c>
      <c r="B9" s="39">
        <v>1015.9116825427475</v>
      </c>
      <c r="C9" s="40">
        <v>1005.7716594496609</v>
      </c>
      <c r="D9" s="39">
        <v>1014.3388036333934</v>
      </c>
      <c r="E9" s="40">
        <v>1075.392956751567</v>
      </c>
      <c r="F9" s="39">
        <v>1012.7154715598466</v>
      </c>
      <c r="G9" s="40">
        <v>1153.9592804922049</v>
      </c>
      <c r="H9" s="39">
        <v>1011.0332074882806</v>
      </c>
      <c r="I9" s="40">
        <v>1243.1815994636199</v>
      </c>
      <c r="J9" s="39">
        <v>1009.2823083778113</v>
      </c>
      <c r="K9" s="40">
        <v>1345.2247973895539</v>
      </c>
      <c r="L9" s="39">
        <v>1007.4519198411102</v>
      </c>
      <c r="M9" s="40">
        <v>1462.8705648298628</v>
      </c>
      <c r="N9" s="39">
        <v>1005.5303552537709</v>
      </c>
      <c r="O9" s="40">
        <v>1599.7599338548216</v>
      </c>
      <c r="P9" s="39">
        <v>1003.5058596391953</v>
      </c>
      <c r="Q9" s="40">
        <v>1760.7623947802642</v>
      </c>
      <c r="R9" s="39">
        <v>1001.368230524195</v>
      </c>
      <c r="S9" s="40">
        <v>1952.5614223539103</v>
      </c>
      <c r="T9" s="39">
        <v>999.11201197168168</v>
      </c>
      <c r="U9" s="40">
        <v>2184.6242715040362</v>
      </c>
      <c r="V9" s="39">
        <v>996.74265532512754</v>
      </c>
      <c r="W9" s="40">
        <v>2470.8811407648313</v>
      </c>
      <c r="X9" s="39">
        <v>994.28832778666674</v>
      </c>
      <c r="Y9" s="40">
        <v>2832.8060036211386</v>
      </c>
      <c r="Z9" s="39">
        <v>991.82256822326133</v>
      </c>
      <c r="AA9" s="40">
        <v>3305.435591003733</v>
      </c>
      <c r="AB9" s="39">
        <v>989.50739052601114</v>
      </c>
      <c r="AC9" s="40">
        <v>3950.0072779563729</v>
      </c>
      <c r="AD9" s="39">
        <v>987.67095867665887</v>
      </c>
      <c r="AE9" s="40">
        <v>4882.6697837805368</v>
      </c>
      <c r="AF9" s="39">
        <v>986.91783231787258</v>
      </c>
      <c r="AG9" s="40">
        <v>6345.0071192059859</v>
      </c>
      <c r="AH9" s="39">
        <v>988.14208798251173</v>
      </c>
      <c r="AI9" s="40">
        <v>8890.4147457208146</v>
      </c>
      <c r="AJ9" s="39">
        <v>992.00191297612957</v>
      </c>
      <c r="AK9" s="40">
        <v>13935.767939448269</v>
      </c>
      <c r="AL9" s="39">
        <v>997.80868334640252</v>
      </c>
      <c r="AM9" s="40">
        <v>25953.420648150706</v>
      </c>
      <c r="AN9" s="39">
        <v>1003.1982373126017</v>
      </c>
      <c r="AO9" s="40">
        <v>67313.446074328036</v>
      </c>
      <c r="AP9" s="39">
        <v>1003.8555079256337</v>
      </c>
      <c r="AQ9" s="40">
        <v>88056.200899981879</v>
      </c>
      <c r="AR9" s="39">
        <v>1004.2010777903805</v>
      </c>
      <c r="AS9" s="40">
        <v>120704.02648780106</v>
      </c>
      <c r="AT9" s="39">
        <v>1004.062673155472</v>
      </c>
      <c r="AU9" s="40">
        <v>176967.47052907836</v>
      </c>
      <c r="AV9" s="39">
        <v>1003.1063398367834</v>
      </c>
      <c r="AW9" s="40">
        <v>288344.86857797898</v>
      </c>
    </row>
    <row r="10" spans="1:49" x14ac:dyDescent="0.2">
      <c r="A10" t="s">
        <v>15</v>
      </c>
      <c r="B10" s="39">
        <v>1015.9116825427475</v>
      </c>
      <c r="C10" s="40">
        <v>1005.7716594496609</v>
      </c>
      <c r="D10" s="39">
        <v>1014.3388036333934</v>
      </c>
      <c r="E10" s="40">
        <v>1075.392956751567</v>
      </c>
      <c r="F10" s="39">
        <v>1012.7154715598466</v>
      </c>
      <c r="G10" s="40">
        <v>1153.9592804922049</v>
      </c>
      <c r="H10" s="39">
        <v>1011.0332074882806</v>
      </c>
      <c r="I10" s="40">
        <v>1243.1815994636199</v>
      </c>
      <c r="J10" s="39">
        <v>1009.2823083778113</v>
      </c>
      <c r="K10" s="40">
        <v>1345.2247973895539</v>
      </c>
      <c r="L10" s="39">
        <v>1007.4519198411102</v>
      </c>
      <c r="M10" s="40">
        <v>1462.8705648298628</v>
      </c>
      <c r="N10" s="39">
        <v>1005.5303552537709</v>
      </c>
      <c r="O10" s="40">
        <v>1599.7599338548216</v>
      </c>
      <c r="P10" s="39">
        <v>1003.5058596391953</v>
      </c>
      <c r="Q10" s="40">
        <v>1760.7623947802642</v>
      </c>
      <c r="R10" s="39">
        <v>1001.368230524195</v>
      </c>
      <c r="S10" s="40">
        <v>1952.5614223539103</v>
      </c>
      <c r="T10" s="39">
        <v>999.11201197168168</v>
      </c>
      <c r="U10" s="40">
        <v>2184.6242715040362</v>
      </c>
      <c r="V10" s="39">
        <v>996.74265532512754</v>
      </c>
      <c r="W10" s="40">
        <v>2470.8811407648313</v>
      </c>
      <c r="X10" s="39">
        <v>994.28832778666674</v>
      </c>
      <c r="Y10" s="40">
        <v>2832.8060036211386</v>
      </c>
      <c r="Z10" s="39">
        <v>991.82256822326133</v>
      </c>
      <c r="AA10" s="40">
        <v>3305.435591003733</v>
      </c>
      <c r="AB10" s="39">
        <v>989.50739052601114</v>
      </c>
      <c r="AC10" s="40">
        <v>3950.0072779563729</v>
      </c>
      <c r="AD10" s="39">
        <v>987.67095867665887</v>
      </c>
      <c r="AE10" s="40">
        <v>4882.6697837805368</v>
      </c>
      <c r="AF10" s="39">
        <v>986.91783231787258</v>
      </c>
      <c r="AG10" s="40">
        <v>6345.0071192059859</v>
      </c>
      <c r="AH10" s="39">
        <v>988.14208798251173</v>
      </c>
      <c r="AI10" s="40">
        <v>8890.4147457208146</v>
      </c>
      <c r="AJ10" s="39">
        <v>992.00191297612957</v>
      </c>
      <c r="AK10" s="40">
        <v>13935.767939448269</v>
      </c>
      <c r="AL10" s="39">
        <v>997.80868334640252</v>
      </c>
      <c r="AM10" s="40">
        <v>25953.420648150706</v>
      </c>
      <c r="AN10" s="39">
        <v>1003.1982373126017</v>
      </c>
      <c r="AO10" s="40">
        <v>67313.446074328036</v>
      </c>
      <c r="AP10" s="39">
        <v>1003.8555079256337</v>
      </c>
      <c r="AQ10" s="40">
        <v>88056.200899981879</v>
      </c>
      <c r="AR10" s="39">
        <v>1004.2010777903805</v>
      </c>
      <c r="AS10" s="40">
        <v>120704.02648780106</v>
      </c>
      <c r="AT10" s="39">
        <v>1004.062673155472</v>
      </c>
      <c r="AU10" s="40">
        <v>176967.47052907836</v>
      </c>
      <c r="AV10" s="39">
        <v>1003.1063398367834</v>
      </c>
      <c r="AW10" s="40">
        <v>288344.86857797898</v>
      </c>
    </row>
    <row r="11" spans="1:49" x14ac:dyDescent="0.2">
      <c r="A11" t="s">
        <v>29</v>
      </c>
      <c r="B11" s="39">
        <v>1015.9116825427475</v>
      </c>
      <c r="C11" s="40">
        <v>1005.7716594496609</v>
      </c>
      <c r="D11" s="39">
        <v>1014.3388036333934</v>
      </c>
      <c r="E11" s="40">
        <v>1075.392956751567</v>
      </c>
      <c r="F11" s="39">
        <v>1012.7154715598466</v>
      </c>
      <c r="G11" s="40">
        <v>1153.9592804922049</v>
      </c>
      <c r="H11" s="39">
        <v>1011.0332074882806</v>
      </c>
      <c r="I11" s="40">
        <v>1243.1815994636199</v>
      </c>
      <c r="J11" s="39">
        <v>1009.2823083778113</v>
      </c>
      <c r="K11" s="40">
        <v>1345.2247973895539</v>
      </c>
      <c r="L11" s="39">
        <v>1007.4519198411102</v>
      </c>
      <c r="M11" s="40">
        <v>1462.8705648298628</v>
      </c>
      <c r="N11" s="39">
        <v>1005.5303552537709</v>
      </c>
      <c r="O11" s="40">
        <v>1599.7599338548216</v>
      </c>
      <c r="P11" s="39">
        <v>1003.5058596391953</v>
      </c>
      <c r="Q11" s="40">
        <v>1760.7623947802642</v>
      </c>
      <c r="R11" s="39">
        <v>1001.368230524195</v>
      </c>
      <c r="S11" s="40">
        <v>1952.5614223539103</v>
      </c>
      <c r="T11" s="39">
        <v>999.11201197168168</v>
      </c>
      <c r="U11" s="40">
        <v>2184.6242715040362</v>
      </c>
      <c r="V11" s="39">
        <v>996.74265532512754</v>
      </c>
      <c r="W11" s="40">
        <v>2470.8811407648313</v>
      </c>
      <c r="X11" s="39">
        <v>994.28832778666674</v>
      </c>
      <c r="Y11" s="40">
        <v>2832.8060036211386</v>
      </c>
      <c r="Z11" s="39">
        <v>991.82256822326133</v>
      </c>
      <c r="AA11" s="40">
        <v>3305.435591003733</v>
      </c>
      <c r="AB11" s="39">
        <v>989.50739052601114</v>
      </c>
      <c r="AC11" s="40">
        <v>3950.0072779563729</v>
      </c>
      <c r="AD11" s="39">
        <v>987.67095867665887</v>
      </c>
      <c r="AE11" s="40">
        <v>4882.6697837805368</v>
      </c>
      <c r="AF11" s="39">
        <v>986.91783231787258</v>
      </c>
      <c r="AG11" s="40">
        <v>6345.0071192059859</v>
      </c>
      <c r="AH11" s="39">
        <v>988.14208798251173</v>
      </c>
      <c r="AI11" s="40">
        <v>8890.4147457208146</v>
      </c>
      <c r="AJ11" s="39">
        <v>992.00191297612957</v>
      </c>
      <c r="AK11" s="40">
        <v>13935.767939448269</v>
      </c>
      <c r="AL11" s="39">
        <v>997.80868334640252</v>
      </c>
      <c r="AM11" s="40">
        <v>25953.420648150706</v>
      </c>
      <c r="AN11" s="39">
        <v>1003.1982373126017</v>
      </c>
      <c r="AO11" s="40">
        <v>67313.446074328036</v>
      </c>
      <c r="AP11" s="39">
        <v>1003.8555079256337</v>
      </c>
      <c r="AQ11" s="40">
        <v>88056.200899981879</v>
      </c>
      <c r="AR11" s="39">
        <v>1004.2010777903805</v>
      </c>
      <c r="AS11" s="40">
        <v>120704.02648780106</v>
      </c>
      <c r="AT11" s="39">
        <v>1004.062673155472</v>
      </c>
      <c r="AU11" s="40">
        <v>176967.47052907836</v>
      </c>
      <c r="AV11" s="39">
        <v>1003.1063398367834</v>
      </c>
      <c r="AW11" s="40">
        <v>288344.86857797898</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998.31382619106239</v>
      </c>
      <c r="E13" s="94">
        <v>998.31382619106239</v>
      </c>
      <c r="F13" s="93">
        <v>996.30623271780951</v>
      </c>
      <c r="G13" s="94">
        <v>996.30623271780951</v>
      </c>
      <c r="H13" s="93">
        <v>993.93026200470661</v>
      </c>
      <c r="I13" s="94">
        <v>993.93026200470661</v>
      </c>
      <c r="J13" s="93">
        <v>991.12905279862457</v>
      </c>
      <c r="K13" s="94">
        <v>991.12905279862457</v>
      </c>
      <c r="L13" s="93">
        <v>987.83305415810139</v>
      </c>
      <c r="M13" s="94">
        <v>987.83305415810139</v>
      </c>
      <c r="N13" s="93">
        <v>983.95597382972051</v>
      </c>
      <c r="O13" s="94">
        <v>983.95597382972051</v>
      </c>
      <c r="P13" s="93">
        <v>979.38918334614982</v>
      </c>
      <c r="Q13" s="94">
        <v>979.38918334614982</v>
      </c>
      <c r="R13" s="93">
        <v>973.99339905159036</v>
      </c>
      <c r="S13" s="94">
        <v>973.99339905159036</v>
      </c>
      <c r="T13" s="93">
        <v>967.58577755846875</v>
      </c>
      <c r="U13" s="94">
        <v>967.58577755846875</v>
      </c>
      <c r="V13" s="93">
        <v>959.9193997474315</v>
      </c>
      <c r="W13" s="94">
        <v>959.9193997474315</v>
      </c>
      <c r="X13" s="93">
        <v>950.64865983978291</v>
      </c>
      <c r="Y13" s="94">
        <v>950.64865983978291</v>
      </c>
      <c r="Z13" s="93">
        <v>939.26754677875147</v>
      </c>
      <c r="AA13" s="94">
        <v>939.26754677875147</v>
      </c>
      <c r="AB13" s="93">
        <v>924.99241620515193</v>
      </c>
      <c r="AC13" s="94">
        <v>924.99241620515193</v>
      </c>
      <c r="AD13" s="93">
        <v>906.52409319382036</v>
      </c>
      <c r="AE13" s="94">
        <v>906.52409319382036</v>
      </c>
      <c r="AF13" s="93">
        <v>881.53474665955605</v>
      </c>
      <c r="AG13" s="94">
        <v>881.53474665955605</v>
      </c>
      <c r="AH13" s="93">
        <v>845.51251214644174</v>
      </c>
      <c r="AI13" s="94">
        <v>845.51251214644174</v>
      </c>
      <c r="AJ13" s="93">
        <v>789.03461159158178</v>
      </c>
      <c r="AK13" s="94">
        <v>789.03461159158178</v>
      </c>
      <c r="AL13" s="93">
        <v>690.08754170593045</v>
      </c>
      <c r="AM13" s="94">
        <v>690.08754170593045</v>
      </c>
      <c r="AN13" s="93">
        <v>483.51463623080127</v>
      </c>
      <c r="AO13" s="94">
        <v>483.51463623080127</v>
      </c>
      <c r="AP13" s="93">
        <v>413.91442454927812</v>
      </c>
      <c r="AQ13" s="94">
        <v>413.91442454927812</v>
      </c>
      <c r="AR13" s="93">
        <v>327.69670884874284</v>
      </c>
      <c r="AS13" s="94">
        <v>327.69670884874284</v>
      </c>
      <c r="AT13" s="93">
        <v>220.57541786878039</v>
      </c>
      <c r="AU13" s="94">
        <v>220.57541786878039</v>
      </c>
      <c r="AV13" s="93">
        <v>93.694365419888271</v>
      </c>
      <c r="AW13" s="94">
        <v>93.694365419888271</v>
      </c>
    </row>
    <row r="14" spans="1:49" x14ac:dyDescent="0.2">
      <c r="A14" t="s">
        <v>36</v>
      </c>
      <c r="B14" s="39">
        <v>1457.0034251455234</v>
      </c>
      <c r="C14" s="40">
        <v>1457.0034251455236</v>
      </c>
      <c r="D14" s="39">
        <v>1454.5466641305104</v>
      </c>
      <c r="E14" s="40">
        <v>1454.5466641305106</v>
      </c>
      <c r="F14" s="39">
        <v>1451.6215935636812</v>
      </c>
      <c r="G14" s="40">
        <v>1451.6215935636815</v>
      </c>
      <c r="H14" s="39">
        <v>1448.1597960966449</v>
      </c>
      <c r="I14" s="40">
        <v>1448.1597960966451</v>
      </c>
      <c r="J14" s="39">
        <v>1444.0784246888343</v>
      </c>
      <c r="K14" s="40">
        <v>1444.0784246888345</v>
      </c>
      <c r="L14" s="39">
        <v>1439.2761433803169</v>
      </c>
      <c r="M14" s="40">
        <v>1439.2761433803171</v>
      </c>
      <c r="N14" s="39">
        <v>1433.6272240623016</v>
      </c>
      <c r="O14" s="40">
        <v>1433.6272240623018</v>
      </c>
      <c r="P14" s="39">
        <v>1426.9733946858171</v>
      </c>
      <c r="Q14" s="40">
        <v>1426.9733946858173</v>
      </c>
      <c r="R14" s="39">
        <v>1419.1117184872976</v>
      </c>
      <c r="S14" s="40">
        <v>1419.1117184872978</v>
      </c>
      <c r="T14" s="39">
        <v>1409.7757920247834</v>
      </c>
      <c r="U14" s="40">
        <v>1409.7757920247836</v>
      </c>
      <c r="V14" s="39">
        <v>1398.6058532956424</v>
      </c>
      <c r="W14" s="40">
        <v>1398.6058532956426</v>
      </c>
      <c r="X14" s="39">
        <v>1385.0983534965651</v>
      </c>
      <c r="Y14" s="40">
        <v>1385.0983534965653</v>
      </c>
      <c r="Z14" s="39">
        <v>1368.5160327846738</v>
      </c>
      <c r="AA14" s="40">
        <v>1368.5160327846741</v>
      </c>
      <c r="AB14" s="39">
        <v>1347.7171186445398</v>
      </c>
      <c r="AC14" s="40">
        <v>1347.7171186445401</v>
      </c>
      <c r="AD14" s="39">
        <v>1320.8087087603358</v>
      </c>
      <c r="AE14" s="40">
        <v>1320.808708760336</v>
      </c>
      <c r="AF14" s="39">
        <v>1284.3991452677642</v>
      </c>
      <c r="AG14" s="40">
        <v>1284.3991452677644</v>
      </c>
      <c r="AH14" s="39">
        <v>1231.9146262007614</v>
      </c>
      <c r="AI14" s="40">
        <v>1231.9146262007616</v>
      </c>
      <c r="AJ14" s="39">
        <v>1149.6261316473021</v>
      </c>
      <c r="AK14" s="40">
        <v>1149.6261316473024</v>
      </c>
      <c r="AL14" s="39">
        <v>1005.4599119157948</v>
      </c>
      <c r="AM14" s="40">
        <v>1005.4599119157949</v>
      </c>
      <c r="AN14" s="39">
        <v>704.48248109626923</v>
      </c>
      <c r="AO14" s="40">
        <v>704.48248109626934</v>
      </c>
      <c r="AP14" s="39">
        <v>603.07473428543653</v>
      </c>
      <c r="AQ14" s="40">
        <v>603.07473428543653</v>
      </c>
      <c r="AR14" s="39">
        <v>477.4552272015336</v>
      </c>
      <c r="AS14" s="40">
        <v>477.45522720153372</v>
      </c>
      <c r="AT14" s="39">
        <v>321.37913933771807</v>
      </c>
      <c r="AU14" s="40">
        <v>321.37913933771813</v>
      </c>
      <c r="AV14" s="39">
        <v>136.51301133361349</v>
      </c>
      <c r="AW14" s="40">
        <v>136.51301133361352</v>
      </c>
    </row>
    <row r="15" spans="1:49" x14ac:dyDescent="0.2">
      <c r="A15" t="s">
        <v>18</v>
      </c>
      <c r="B15" s="144">
        <v>1000</v>
      </c>
      <c r="C15" s="145">
        <v>1000</v>
      </c>
      <c r="D15" s="144">
        <v>992.4402831331987</v>
      </c>
      <c r="E15" s="145">
        <v>992.4402831331987</v>
      </c>
      <c r="F15" s="144">
        <v>984.6042470144896</v>
      </c>
      <c r="G15" s="145">
        <v>984.6042470144896</v>
      </c>
      <c r="H15" s="144">
        <v>976.44889206102675</v>
      </c>
      <c r="I15" s="145">
        <v>976.44889206102675</v>
      </c>
      <c r="J15" s="144">
        <v>967.92290099000866</v>
      </c>
      <c r="K15" s="145">
        <v>967.92290099000866</v>
      </c>
      <c r="L15" s="144">
        <v>958.96453956507207</v>
      </c>
      <c r="M15" s="145">
        <v>958.96453956507207</v>
      </c>
      <c r="N15" s="144">
        <v>949.49897134999867</v>
      </c>
      <c r="O15" s="145">
        <v>949.49897134999867</v>
      </c>
      <c r="P15" s="144">
        <v>939.43436060546469</v>
      </c>
      <c r="Q15" s="145">
        <v>939.43436060546469</v>
      </c>
      <c r="R15" s="144">
        <v>928.65629644539001</v>
      </c>
      <c r="S15" s="145">
        <v>928.65629644539001</v>
      </c>
      <c r="T15" s="144">
        <v>917.01933680731577</v>
      </c>
      <c r="U15" s="145">
        <v>917.01933680731577</v>
      </c>
      <c r="V15" s="144">
        <v>904.33329702158289</v>
      </c>
      <c r="W15" s="145">
        <v>904.33329702158289</v>
      </c>
      <c r="X15" s="144">
        <v>890.33953019737953</v>
      </c>
      <c r="Y15" s="145">
        <v>890.33953019737953</v>
      </c>
      <c r="Z15" s="144">
        <v>874.666798325218</v>
      </c>
      <c r="AA15" s="145">
        <v>874.666798325218</v>
      </c>
      <c r="AB15" s="144">
        <v>856.74214090708085</v>
      </c>
      <c r="AC15" s="145">
        <v>856.74214090708085</v>
      </c>
      <c r="AD15" s="144">
        <v>835.59488910964353</v>
      </c>
      <c r="AE15" s="145">
        <v>835.59488910964353</v>
      </c>
      <c r="AF15" s="144">
        <v>809.3916923446493</v>
      </c>
      <c r="AG15" s="145">
        <v>809.3916923446493</v>
      </c>
      <c r="AH15" s="144">
        <v>774.29129951534208</v>
      </c>
      <c r="AI15" s="145">
        <v>774.29129951534208</v>
      </c>
      <c r="AJ15" s="144">
        <v>721.67801498584311</v>
      </c>
      <c r="AK15" s="145">
        <v>721.67801498584311</v>
      </c>
      <c r="AL15" s="144">
        <v>630.96617566838415</v>
      </c>
      <c r="AM15" s="145">
        <v>630.96617566838415</v>
      </c>
      <c r="AN15" s="144">
        <v>442.07377144577237</v>
      </c>
      <c r="AO15" s="145">
        <v>442.07377144577237</v>
      </c>
      <c r="AP15" s="144">
        <v>378.4385942555877</v>
      </c>
      <c r="AQ15" s="145">
        <v>378.4385942555877</v>
      </c>
      <c r="AR15" s="144">
        <v>299.61037209944391</v>
      </c>
      <c r="AS15" s="145">
        <v>299.61037209944391</v>
      </c>
      <c r="AT15" s="144">
        <v>201.67025511880055</v>
      </c>
      <c r="AU15" s="145">
        <v>201.67025511880055</v>
      </c>
      <c r="AV15" s="144">
        <v>85.663971605047166</v>
      </c>
      <c r="AW15" s="145">
        <v>85.663971605047166</v>
      </c>
    </row>
    <row r="16" spans="1:49" s="27" customFormat="1" x14ac:dyDescent="0.2">
      <c r="A16" t="s">
        <v>61</v>
      </c>
      <c r="B16" s="39">
        <v>1000</v>
      </c>
      <c r="C16" s="40">
        <v>1000</v>
      </c>
      <c r="D16" s="39">
        <v>995.57051306000903</v>
      </c>
      <c r="E16" s="40">
        <v>994.11621456836178</v>
      </c>
      <c r="F16" s="39">
        <v>990.83808756274266</v>
      </c>
      <c r="G16" s="40">
        <v>987.94218155301155</v>
      </c>
      <c r="H16" s="39">
        <v>985.75763621391582</v>
      </c>
      <c r="I16" s="40">
        <v>981.43377987240115</v>
      </c>
      <c r="J16" s="39">
        <v>980.27491145505428</v>
      </c>
      <c r="K16" s="40">
        <v>974.53811930560471</v>
      </c>
      <c r="L16" s="39">
        <v>974.32404386388373</v>
      </c>
      <c r="M16" s="40">
        <v>967.19124679141078</v>
      </c>
      <c r="N16" s="39">
        <v>967.82413357266989</v>
      </c>
      <c r="O16" s="40">
        <v>959.31507329208978</v>
      </c>
      <c r="P16" s="39">
        <v>960.6744588506607</v>
      </c>
      <c r="Q16" s="40">
        <v>950.81299659120282</v>
      </c>
      <c r="R16" s="39">
        <v>952.7474548820386</v>
      </c>
      <c r="S16" s="40">
        <v>941.5635495067919</v>
      </c>
      <c r="T16" s="39">
        <v>943.87791443844799</v>
      </c>
      <c r="U16" s="40">
        <v>931.41068600305289</v>
      </c>
      <c r="V16" s="39">
        <v>933.84569692444313</v>
      </c>
      <c r="W16" s="40">
        <v>920.14814733440835</v>
      </c>
      <c r="X16" s="39">
        <v>922.34628130828696</v>
      </c>
      <c r="Y16" s="40">
        <v>907.49266671124883</v>
      </c>
      <c r="Z16" s="39">
        <v>908.9373890247191</v>
      </c>
      <c r="AA16" s="40">
        <v>893.03487351419312</v>
      </c>
      <c r="AB16" s="39">
        <v>892.93507710436563</v>
      </c>
      <c r="AC16" s="40">
        <v>876.14222677030955</v>
      </c>
      <c r="AD16" s="39">
        <v>873.1956916073035</v>
      </c>
      <c r="AE16" s="40">
        <v>855.75118451849858</v>
      </c>
      <c r="AF16" s="39">
        <v>847.62546612124993</v>
      </c>
      <c r="AG16" s="40">
        <v>829.88858762393932</v>
      </c>
      <c r="AH16" s="39">
        <v>812.02958377381492</v>
      </c>
      <c r="AI16" s="40">
        <v>794.52341613511885</v>
      </c>
      <c r="AJ16" s="39">
        <v>757.36543422809473</v>
      </c>
      <c r="AK16" s="40">
        <v>740.81100924948487</v>
      </c>
      <c r="AL16" s="39">
        <v>662.28959954775428</v>
      </c>
      <c r="AM16" s="40">
        <v>647.75960398212487</v>
      </c>
      <c r="AN16" s="39">
        <v>464.0297297391989</v>
      </c>
      <c r="AO16" s="40">
        <v>453.84502741901269</v>
      </c>
      <c r="AP16" s="39">
        <v>397.23419181371497</v>
      </c>
      <c r="AQ16" s="40">
        <v>388.51548493006703</v>
      </c>
      <c r="AR16" s="39">
        <v>314.49091104496495</v>
      </c>
      <c r="AS16" s="40">
        <v>307.58828100740243</v>
      </c>
      <c r="AT16" s="39">
        <v>211.68647801895864</v>
      </c>
      <c r="AU16" s="40">
        <v>207.04025645280853</v>
      </c>
      <c r="AV16" s="39">
        <v>89.918587945452273</v>
      </c>
      <c r="AW16" s="40">
        <v>87.945000658982863</v>
      </c>
    </row>
    <row r="17" spans="1:49" x14ac:dyDescent="0.2">
      <c r="A17" t="s">
        <v>62</v>
      </c>
      <c r="B17" s="33">
        <v>1000.0000000000002</v>
      </c>
      <c r="C17" s="34">
        <v>999.99999999999977</v>
      </c>
      <c r="D17" s="33">
        <v>998.5930120095868</v>
      </c>
      <c r="E17" s="34">
        <v>1033.9127284570257</v>
      </c>
      <c r="F17" s="33">
        <v>997.14275373810176</v>
      </c>
      <c r="G17" s="34">
        <v>1072.0217346900076</v>
      </c>
      <c r="H17" s="33">
        <v>995.6418484106299</v>
      </c>
      <c r="I17" s="34">
        <v>1115.1012263442633</v>
      </c>
      <c r="J17" s="33">
        <v>994.08187910139929</v>
      </c>
      <c r="K17" s="34">
        <v>1164.1273368974228</v>
      </c>
      <c r="L17" s="33">
        <v>992.45346304045836</v>
      </c>
      <c r="M17" s="34">
        <v>1220.3501706846089</v>
      </c>
      <c r="N17" s="33">
        <v>990.74655548408487</v>
      </c>
      <c r="O17" s="34">
        <v>1285.4011679080327</v>
      </c>
      <c r="P17" s="33">
        <v>988.95113343495484</v>
      </c>
      <c r="Q17" s="34">
        <v>1361.4563131764949</v>
      </c>
      <c r="R17" s="33">
        <v>987.0586395671138</v>
      </c>
      <c r="S17" s="34">
        <v>1451.4949544967371</v>
      </c>
      <c r="T17" s="33">
        <v>985.06480847806404</v>
      </c>
      <c r="U17" s="34">
        <v>1559.7281761615366</v>
      </c>
      <c r="V17" s="33">
        <v>982.9750514211845</v>
      </c>
      <c r="W17" s="34">
        <v>1692.3392432845462</v>
      </c>
      <c r="X17" s="33">
        <v>980.81475161972492</v>
      </c>
      <c r="Y17" s="34">
        <v>1858.8392359886595</v>
      </c>
      <c r="Z17" s="33">
        <v>978.64892694114076</v>
      </c>
      <c r="AA17" s="34">
        <v>2074.7073103009016</v>
      </c>
      <c r="AB17" s="33">
        <v>976.61952025399603</v>
      </c>
      <c r="AC17" s="34">
        <v>2366.9111150538993</v>
      </c>
      <c r="AD17" s="33">
        <v>975.01264276537393</v>
      </c>
      <c r="AE17" s="34">
        <v>2786.3784960336652</v>
      </c>
      <c r="AF17" s="33">
        <v>974.35439673385167</v>
      </c>
      <c r="AG17" s="34">
        <v>3438.4111707326147</v>
      </c>
      <c r="AH17" s="33">
        <v>975.424637633614</v>
      </c>
      <c r="AI17" s="34">
        <v>4562.3799685626909</v>
      </c>
      <c r="AJ17" s="33">
        <v>978.80629975083434</v>
      </c>
      <c r="AK17" s="34">
        <v>6766.1358604996476</v>
      </c>
      <c r="AL17" s="33">
        <v>983.91476441743362</v>
      </c>
      <c r="AM17" s="34">
        <v>11957.623019798915</v>
      </c>
      <c r="AN17" s="33">
        <v>988.67857944388879</v>
      </c>
      <c r="AO17" s="34">
        <v>29662.713516776934</v>
      </c>
      <c r="AP17" s="33">
        <v>989.26100263249316</v>
      </c>
      <c r="AQ17" s="34">
        <v>38516.727418360104</v>
      </c>
      <c r="AR17" s="33">
        <v>989.56734712084415</v>
      </c>
      <c r="AS17" s="34">
        <v>52443.754569151562</v>
      </c>
      <c r="AT17" s="33">
        <v>989.44464212233027</v>
      </c>
      <c r="AU17" s="34">
        <v>76439.976353280887</v>
      </c>
      <c r="AV17" s="33">
        <v>988.59717215981163</v>
      </c>
      <c r="AW17" s="34">
        <v>123963.1762414635</v>
      </c>
    </row>
    <row r="18" spans="1:49" x14ac:dyDescent="0.2">
      <c r="A18" t="s">
        <v>19</v>
      </c>
      <c r="B18" s="31">
        <v>27857.010133999996</v>
      </c>
      <c r="C18" s="32">
        <v>1236.7674480000003</v>
      </c>
      <c r="D18" s="31">
        <v>27866.203436770349</v>
      </c>
      <c r="E18" s="32">
        <v>1149.8668683305827</v>
      </c>
      <c r="F18" s="31">
        <v>27871.620622068152</v>
      </c>
      <c r="G18" s="32">
        <v>1063.0158316758348</v>
      </c>
      <c r="H18" s="31">
        <v>27872.694611614745</v>
      </c>
      <c r="I18" s="32">
        <v>976.2391252894131</v>
      </c>
      <c r="J18" s="31">
        <v>27868.725707759302</v>
      </c>
      <c r="K18" s="32">
        <v>889.57617793700763</v>
      </c>
      <c r="L18" s="31">
        <v>27858.836575983965</v>
      </c>
      <c r="M18" s="32">
        <v>803.08861578031542</v>
      </c>
      <c r="N18" s="31">
        <v>27841.903718811252</v>
      </c>
      <c r="O18" s="32">
        <v>716.87511765554746</v>
      </c>
      <c r="P18" s="31">
        <v>27816.457090329386</v>
      </c>
      <c r="Q18" s="32">
        <v>631.09042097321128</v>
      </c>
      <c r="R18" s="31">
        <v>27780.523376609082</v>
      </c>
      <c r="S18" s="32">
        <v>545.97594476652455</v>
      </c>
      <c r="T18" s="31">
        <v>27731.372745430519</v>
      </c>
      <c r="U18" s="32">
        <v>461.90888014062443</v>
      </c>
      <c r="V18" s="81">
        <v>27665.099859422568</v>
      </c>
      <c r="W18" s="82">
        <v>379.47623325791426</v>
      </c>
      <c r="X18" s="31">
        <v>27575.897033691846</v>
      </c>
      <c r="Y18" s="32">
        <v>299.58971659298493</v>
      </c>
      <c r="Z18" s="31">
        <v>27454.737498622457</v>
      </c>
      <c r="AA18" s="32">
        <v>223.66080016823622</v>
      </c>
      <c r="AB18" s="31">
        <v>27286.879370656563</v>
      </c>
      <c r="AC18" s="32">
        <v>153.84993731756245</v>
      </c>
      <c r="AD18" s="31">
        <v>27046.94740633238</v>
      </c>
      <c r="AE18" s="32">
        <v>93.34235036455388</v>
      </c>
      <c r="AF18" s="31">
        <v>26689.092928968676</v>
      </c>
      <c r="AG18" s="32">
        <v>46.321672816353463</v>
      </c>
      <c r="AH18" s="31">
        <v>26127.591836870037</v>
      </c>
      <c r="AI18" s="32">
        <v>16.553665017929692</v>
      </c>
      <c r="AJ18" s="31">
        <v>25194.849294729473</v>
      </c>
      <c r="AK18" s="32">
        <v>3.4929507843498753</v>
      </c>
      <c r="AL18" s="31">
        <v>23496.539493411696</v>
      </c>
      <c r="AM18" s="32">
        <v>0.31542508252533669</v>
      </c>
      <c r="AN18" s="31">
        <v>19616.769952426217</v>
      </c>
      <c r="AO18" s="32">
        <v>5.3795559328021813E-3</v>
      </c>
      <c r="AP18" s="31">
        <v>18144.30896678735</v>
      </c>
      <c r="AQ18" s="32">
        <v>1.5904296196701246E-3</v>
      </c>
      <c r="AR18" s="31">
        <v>16141.686315331011</v>
      </c>
      <c r="AS18" s="32">
        <v>3.6437722694209477E-4</v>
      </c>
      <c r="AT18" s="31">
        <v>13244.03664822626</v>
      </c>
      <c r="AU18" s="32">
        <v>5.6463389517137869E-5</v>
      </c>
      <c r="AV18" s="31">
        <v>8635.7227432041182</v>
      </c>
      <c r="AW18" s="32">
        <v>4.2778405118912151E-6</v>
      </c>
    </row>
    <row r="19" spans="1:49" x14ac:dyDescent="0.2">
      <c r="A19" t="s">
        <v>3</v>
      </c>
      <c r="B19" s="39">
        <v>1886.3937399999918</v>
      </c>
      <c r="C19" s="40">
        <v>262.78711299999759</v>
      </c>
      <c r="D19" s="39">
        <v>1880.0112000106444</v>
      </c>
      <c r="E19" s="40">
        <v>269.50251590708268</v>
      </c>
      <c r="F19" s="39">
        <v>1873.1589369085207</v>
      </c>
      <c r="G19" s="40">
        <v>277.18731792511147</v>
      </c>
      <c r="H19" s="39">
        <v>1865.7654763900896</v>
      </c>
      <c r="I19" s="40">
        <v>285.96501778592489</v>
      </c>
      <c r="J19" s="39">
        <v>1857.7462447270702</v>
      </c>
      <c r="K19" s="40">
        <v>295.97235521008247</v>
      </c>
      <c r="L19" s="39">
        <v>1849.0013031872204</v>
      </c>
      <c r="M19" s="40">
        <v>307.35667518121062</v>
      </c>
      <c r="N19" s="39">
        <v>1839.4127589949985</v>
      </c>
      <c r="O19" s="40">
        <v>320.26982541411786</v>
      </c>
      <c r="P19" s="39">
        <v>1828.8422312707282</v>
      </c>
      <c r="Q19" s="40">
        <v>334.85461930097864</v>
      </c>
      <c r="R19" s="39">
        <v>1817.1286234936274</v>
      </c>
      <c r="S19" s="40">
        <v>351.21854783709256</v>
      </c>
      <c r="T19" s="39">
        <v>1804.0867500779775</v>
      </c>
      <c r="U19" s="40">
        <v>369.38478174703857</v>
      </c>
      <c r="V19" s="39">
        <v>1789.5083512132605</v>
      </c>
      <c r="W19" s="40">
        <v>389.19891692293146</v>
      </c>
      <c r="X19" s="39">
        <v>1773.1676250856613</v>
      </c>
      <c r="Y19" s="40">
        <v>410.15512853508801</v>
      </c>
      <c r="Z19" s="39">
        <v>1754.8344447144686</v>
      </c>
      <c r="AA19" s="40">
        <v>431.06800499815779</v>
      </c>
      <c r="AB19" s="39">
        <v>1734.2951752765982</v>
      </c>
      <c r="AC19" s="40">
        <v>449.45797984386462</v>
      </c>
      <c r="AD19" s="39">
        <v>1711.351468727283</v>
      </c>
      <c r="AE19" s="40">
        <v>460.46571148325273</v>
      </c>
      <c r="AF19" s="39">
        <v>1685.599967282654</v>
      </c>
      <c r="AG19" s="40">
        <v>455.35176103860186</v>
      </c>
      <c r="AH19" s="39">
        <v>1655.0860024640356</v>
      </c>
      <c r="AI19" s="40">
        <v>421.3824806568291</v>
      </c>
      <c r="AJ19" s="39">
        <v>1611.0910722737642</v>
      </c>
      <c r="AK19" s="40">
        <v>348.74049350245463</v>
      </c>
      <c r="AL19" s="39">
        <v>1523.7866066119066</v>
      </c>
      <c r="AM19" s="40">
        <v>243.35751792284304</v>
      </c>
      <c r="AN19" s="39">
        <v>1288.7880135828284</v>
      </c>
      <c r="AO19" s="40">
        <v>123.12720344480364</v>
      </c>
      <c r="AP19" s="39">
        <v>1193.9301765563898</v>
      </c>
      <c r="AQ19" s="40">
        <v>98.554398176165094</v>
      </c>
      <c r="AR19" s="39">
        <v>1063.0337902247315</v>
      </c>
      <c r="AS19" s="40">
        <v>73.936755827318606</v>
      </c>
      <c r="AT19" s="39">
        <v>871.91571745539682</v>
      </c>
      <c r="AU19" s="40">
        <v>49.297653686526296</v>
      </c>
      <c r="AV19" s="39">
        <v>567.22704587911596</v>
      </c>
      <c r="AW19" s="40">
        <v>24.650061905321216</v>
      </c>
    </row>
    <row r="20" spans="1:49" x14ac:dyDescent="0.2">
      <c r="A20" t="s">
        <v>114</v>
      </c>
      <c r="B20" s="79">
        <v>26548.356269999993</v>
      </c>
      <c r="C20" s="80">
        <v>1408.5418709999938</v>
      </c>
      <c r="D20" s="79">
        <v>26540.650108917936</v>
      </c>
      <c r="E20" s="80">
        <v>1338.1147774499941</v>
      </c>
      <c r="F20" s="79">
        <v>26528.759254310939</v>
      </c>
      <c r="G20" s="80">
        <v>1267.6876838999945</v>
      </c>
      <c r="H20" s="79">
        <v>26512.056210284885</v>
      </c>
      <c r="I20" s="80">
        <v>1197.2605903499946</v>
      </c>
      <c r="J20" s="79">
        <v>26489.775062971708</v>
      </c>
      <c r="K20" s="80">
        <v>1126.8334967999951</v>
      </c>
      <c r="L20" s="79">
        <v>26460.969931279538</v>
      </c>
      <c r="M20" s="80">
        <v>1056.4064032499953</v>
      </c>
      <c r="N20" s="79">
        <v>26424.454024420578</v>
      </c>
      <c r="O20" s="80">
        <v>985.97930969999561</v>
      </c>
      <c r="P20" s="79">
        <v>26378.713799306868</v>
      </c>
      <c r="Q20" s="80">
        <v>915.55221614999596</v>
      </c>
      <c r="R20" s="79">
        <v>26321.779789528926</v>
      </c>
      <c r="S20" s="80">
        <v>845.12512259999642</v>
      </c>
      <c r="T20" s="79">
        <v>26251.024408650261</v>
      </c>
      <c r="U20" s="80">
        <v>774.69802904999653</v>
      </c>
      <c r="V20" s="79">
        <v>26162.837320165003</v>
      </c>
      <c r="W20" s="80">
        <v>704.27093549999688</v>
      </c>
      <c r="X20" s="79">
        <v>26052.074450078777</v>
      </c>
      <c r="Y20" s="80">
        <v>633.84384194999734</v>
      </c>
      <c r="Z20" s="79">
        <v>25911.071799578895</v>
      </c>
      <c r="AA20" s="80">
        <v>563.41674839999757</v>
      </c>
      <c r="AB20" s="79">
        <v>25727.769197654634</v>
      </c>
      <c r="AC20" s="80">
        <v>492.98965484999775</v>
      </c>
      <c r="AD20" s="79">
        <v>25481.902138643265</v>
      </c>
      <c r="AE20" s="80">
        <v>422.56256129999798</v>
      </c>
      <c r="AF20" s="79">
        <v>25136.784474141776</v>
      </c>
      <c r="AG20" s="80">
        <v>352.13546774999827</v>
      </c>
      <c r="AH20" s="79">
        <v>24620.619147527756</v>
      </c>
      <c r="AI20" s="80">
        <v>281.70837419999856</v>
      </c>
      <c r="AJ20" s="79">
        <v>23780.023058718918</v>
      </c>
      <c r="AK20" s="80">
        <v>211.28128064999879</v>
      </c>
      <c r="AL20" s="79">
        <v>22230.375245652536</v>
      </c>
      <c r="AM20" s="80">
        <v>140.85418709999902</v>
      </c>
      <c r="AN20" s="79">
        <v>18600.523490143754</v>
      </c>
      <c r="AO20" s="80">
        <v>70.42709354999927</v>
      </c>
      <c r="AP20" s="79">
        <v>17208.923989724266</v>
      </c>
      <c r="AQ20" s="80">
        <v>56.341674839999328</v>
      </c>
      <c r="AR20" s="79">
        <v>15311.682067595833</v>
      </c>
      <c r="AS20" s="80">
        <v>42.256256129999379</v>
      </c>
      <c r="AT20" s="79">
        <v>12562.326070897472</v>
      </c>
      <c r="AU20" s="80">
        <v>28.170837419999433</v>
      </c>
      <c r="AV20" s="79">
        <v>8188.0442186457512</v>
      </c>
      <c r="AW20" s="80">
        <v>14.08541870999948</v>
      </c>
    </row>
    <row r="21" spans="1:49" x14ac:dyDescent="0.2">
      <c r="A21" t="s">
        <v>76</v>
      </c>
      <c r="B21" s="79">
        <v>24661.962529999968</v>
      </c>
      <c r="C21" s="80">
        <v>1145.7547579999991</v>
      </c>
      <c r="D21" s="79">
        <v>24660.643775163131</v>
      </c>
      <c r="E21" s="80">
        <v>1068.84792125897</v>
      </c>
      <c r="F21" s="79">
        <v>24655.620402808745</v>
      </c>
      <c r="G21" s="80">
        <v>991.51160130148105</v>
      </c>
      <c r="H21" s="79">
        <v>24646.337497113225</v>
      </c>
      <c r="I21" s="80">
        <v>913.74319307517078</v>
      </c>
      <c r="J21" s="79">
        <v>24632.115099436694</v>
      </c>
      <c r="K21" s="80">
        <v>835.55540452611251</v>
      </c>
      <c r="L21" s="79">
        <v>24612.108978903052</v>
      </c>
      <c r="M21" s="80">
        <v>756.98541685438352</v>
      </c>
      <c r="N21" s="79">
        <v>24585.252324774036</v>
      </c>
      <c r="O21" s="80">
        <v>678.10835712053029</v>
      </c>
      <c r="P21" s="79">
        <v>24550.172450982267</v>
      </c>
      <c r="Q21" s="80">
        <v>599.05821863742074</v>
      </c>
      <c r="R21" s="79">
        <v>24505.063779180455</v>
      </c>
      <c r="S21" s="80">
        <v>520.05956935755353</v>
      </c>
      <c r="T21" s="79">
        <v>24447.486744850226</v>
      </c>
      <c r="U21" s="80">
        <v>441.47549969259501</v>
      </c>
      <c r="V21" s="79">
        <v>24374.041457342788</v>
      </c>
      <c r="W21" s="80">
        <v>363.88238084072623</v>
      </c>
      <c r="X21" s="79">
        <v>24279.809603604997</v>
      </c>
      <c r="Y21" s="80">
        <v>288.1841574254571</v>
      </c>
      <c r="Z21" s="79">
        <v>24157.351700322797</v>
      </c>
      <c r="AA21" s="80">
        <v>215.78597174870649</v>
      </c>
      <c r="AB21" s="79">
        <v>23994.803386609765</v>
      </c>
      <c r="AC21" s="80">
        <v>148.84122801367701</v>
      </c>
      <c r="AD21" s="79">
        <v>23772.056847903099</v>
      </c>
      <c r="AE21" s="80">
        <v>90.525631715185611</v>
      </c>
      <c r="AF21" s="79">
        <v>23452.750588172545</v>
      </c>
      <c r="AG21" s="80">
        <v>45.017150225967356</v>
      </c>
      <c r="AH21" s="79">
        <v>22966.940264144239</v>
      </c>
      <c r="AI21" s="80">
        <v>16.112772641264062</v>
      </c>
      <c r="AJ21" s="79">
        <v>22169.93951150358</v>
      </c>
      <c r="AK21" s="80">
        <v>3.4032228254745474</v>
      </c>
      <c r="AL21" s="79">
        <v>20707.128573022714</v>
      </c>
      <c r="AM21" s="80">
        <v>0.30745366239805189</v>
      </c>
      <c r="AN21" s="79">
        <v>17311.958291591422</v>
      </c>
      <c r="AO21" s="80">
        <v>5.2441724945626452E-3</v>
      </c>
      <c r="AP21" s="79">
        <v>16015.179194320979</v>
      </c>
      <c r="AQ21" s="80">
        <v>1.5504115927894302E-3</v>
      </c>
      <c r="AR21" s="79">
        <v>14248.803900575365</v>
      </c>
      <c r="AS21" s="80">
        <v>3.5520972581203856E-4</v>
      </c>
      <c r="AT21" s="79">
        <v>11690.541068901244</v>
      </c>
      <c r="AU21" s="80">
        <v>5.5042879277193853E-5</v>
      </c>
      <c r="AV21" s="79">
        <v>7620.9166801703259</v>
      </c>
      <c r="AW21" s="80">
        <v>4.1702210378159793E-6</v>
      </c>
    </row>
    <row r="22" spans="1:49" x14ac:dyDescent="0.2">
      <c r="A22" t="s">
        <v>28</v>
      </c>
      <c r="B22" s="39">
        <v>6533.6044688320662</v>
      </c>
      <c r="C22" s="40">
        <v>379.90788307663382</v>
      </c>
      <c r="D22" s="39">
        <v>6534.6353871603287</v>
      </c>
      <c r="E22" s="40">
        <v>364.6719847681394</v>
      </c>
      <c r="F22" s="39">
        <v>6534.1152123878128</v>
      </c>
      <c r="G22" s="40">
        <v>349.20181596620858</v>
      </c>
      <c r="H22" s="39">
        <v>6531.8180720954615</v>
      </c>
      <c r="I22" s="40">
        <v>333.49099951244796</v>
      </c>
      <c r="J22" s="39">
        <v>6527.4695253975387</v>
      </c>
      <c r="K22" s="40">
        <v>317.5316791003483</v>
      </c>
      <c r="L22" s="39">
        <v>6520.7325447501971</v>
      </c>
      <c r="M22" s="40">
        <v>301.31376576925391</v>
      </c>
      <c r="N22" s="39">
        <v>6511.1871530456638</v>
      </c>
      <c r="O22" s="40">
        <v>284.82357280989117</v>
      </c>
      <c r="P22" s="39">
        <v>6498.3022388070804</v>
      </c>
      <c r="Q22" s="40">
        <v>268.04205016026742</v>
      </c>
      <c r="R22" s="39">
        <v>6481.3939131110637</v>
      </c>
      <c r="S22" s="40">
        <v>250.9420310815662</v>
      </c>
      <c r="T22" s="39">
        <v>6459.5620053760204</v>
      </c>
      <c r="U22" s="40">
        <v>233.48396304598776</v>
      </c>
      <c r="V22" s="39">
        <v>6431.5896711362902</v>
      </c>
      <c r="W22" s="40">
        <v>215.60983740572487</v>
      </c>
      <c r="X22" s="39">
        <v>6395.7782743215275</v>
      </c>
      <c r="Y22" s="40">
        <v>197.23420453213876</v>
      </c>
      <c r="Z22" s="39">
        <v>6349.6590694169399</v>
      </c>
      <c r="AA22" s="40">
        <v>178.23176545892122</v>
      </c>
      <c r="AB22" s="39">
        <v>6289.4574025446136</v>
      </c>
      <c r="AC22" s="40">
        <v>158.42269506576588</v>
      </c>
      <c r="AD22" s="39">
        <v>6209.0254174387846</v>
      </c>
      <c r="AE22" s="40">
        <v>137.56499130851282</v>
      </c>
      <c r="AF22" s="39">
        <v>6097.5446570196818</v>
      </c>
      <c r="AG22" s="40">
        <v>115.39203924242813</v>
      </c>
      <c r="AH22" s="39">
        <v>5934.2015296615327</v>
      </c>
      <c r="AI22" s="40">
        <v>91.793566914375077</v>
      </c>
      <c r="AJ22" s="39">
        <v>5674.7750343987909</v>
      </c>
      <c r="AK22" s="40">
        <v>67.187602013666023</v>
      </c>
      <c r="AL22" s="39">
        <v>5211.2427892181086</v>
      </c>
      <c r="AM22" s="40">
        <v>42.63482065234853</v>
      </c>
      <c r="AN22" s="39">
        <v>4190.5521405622203</v>
      </c>
      <c r="AO22" s="40">
        <v>19.415730691921002</v>
      </c>
      <c r="AP22" s="39">
        <v>3821.6277636234845</v>
      </c>
      <c r="AQ22" s="40">
        <v>15.076713072247403</v>
      </c>
      <c r="AR22" s="39">
        <v>3336.5623475358348</v>
      </c>
      <c r="AS22" s="40">
        <v>10.896076133359728</v>
      </c>
      <c r="AT22" s="39">
        <v>2666.8727428157495</v>
      </c>
      <c r="AU22" s="40">
        <v>6.9220423036081069</v>
      </c>
      <c r="AV22" s="39">
        <v>1672.0459319659581</v>
      </c>
      <c r="AW22" s="40">
        <v>3.2360899277995134</v>
      </c>
    </row>
    <row r="23" spans="1:49" x14ac:dyDescent="0.2">
      <c r="A23" t="s">
        <v>7</v>
      </c>
      <c r="B23" s="110">
        <v>3278.5018080150408</v>
      </c>
      <c r="C23" s="8">
        <v>0</v>
      </c>
      <c r="D23" s="110">
        <v>3283.975825484707</v>
      </c>
      <c r="E23" s="8">
        <v>0</v>
      </c>
      <c r="F23" s="110">
        <v>3289.0826009728812</v>
      </c>
      <c r="G23" s="8">
        <v>0</v>
      </c>
      <c r="H23" s="110">
        <v>3293.7624926950375</v>
      </c>
      <c r="I23" s="8">
        <v>0</v>
      </c>
      <c r="J23" s="110">
        <v>3297.9421109642021</v>
      </c>
      <c r="K23" s="8">
        <v>0</v>
      </c>
      <c r="L23" s="110">
        <v>3301.5304304718311</v>
      </c>
      <c r="M23" s="8">
        <v>0</v>
      </c>
      <c r="N23" s="110">
        <v>3304.4129895796291</v>
      </c>
      <c r="O23" s="8">
        <v>0</v>
      </c>
      <c r="P23" s="110">
        <v>3306.4443470471033</v>
      </c>
      <c r="Q23" s="8">
        <v>0</v>
      </c>
      <c r="R23" s="110">
        <v>3307.437156602401</v>
      </c>
      <c r="S23" s="8">
        <v>0</v>
      </c>
      <c r="T23" s="110">
        <v>3307.1457843976691</v>
      </c>
      <c r="U23" s="8">
        <v>0</v>
      </c>
      <c r="V23" s="110">
        <v>3305.2416543194217</v>
      </c>
      <c r="W23" s="8">
        <v>0</v>
      </c>
      <c r="X23" s="110">
        <v>3301.2736993590966</v>
      </c>
      <c r="Y23" s="8">
        <v>0</v>
      </c>
      <c r="Z23" s="110">
        <v>3294.6006046945622</v>
      </c>
      <c r="AA23" s="8">
        <v>0</v>
      </c>
      <c r="AB23" s="110">
        <v>3284.2635620531446</v>
      </c>
      <c r="AC23" s="8">
        <v>0</v>
      </c>
      <c r="AD23" s="110">
        <v>3268.7152636937994</v>
      </c>
      <c r="AE23" s="8">
        <v>0</v>
      </c>
      <c r="AF23" s="110">
        <v>3245.1426763756904</v>
      </c>
      <c r="AG23" s="8">
        <v>0</v>
      </c>
      <c r="AH23" s="110">
        <v>3207.4997583465674</v>
      </c>
      <c r="AI23" s="8">
        <v>0</v>
      </c>
      <c r="AJ23" s="110">
        <v>3140.3885126027835</v>
      </c>
      <c r="AK23" s="8">
        <v>0</v>
      </c>
      <c r="AL23" s="110">
        <v>2998.7844063917237</v>
      </c>
      <c r="AM23" s="8">
        <v>0</v>
      </c>
      <c r="AN23" s="110">
        <v>2606.4552345154202</v>
      </c>
      <c r="AO23" s="8">
        <v>0</v>
      </c>
      <c r="AP23" s="110">
        <v>2440.7687201506801</v>
      </c>
      <c r="AQ23" s="8">
        <v>0</v>
      </c>
      <c r="AR23" s="110">
        <v>2204.5426482311445</v>
      </c>
      <c r="AS23" s="8">
        <v>0</v>
      </c>
      <c r="AT23" s="110">
        <v>1844.2401989492096</v>
      </c>
      <c r="AU23" s="8">
        <v>0</v>
      </c>
      <c r="AV23" s="110">
        <v>1234.7148917391078</v>
      </c>
      <c r="AW23" s="8">
        <v>0</v>
      </c>
    </row>
    <row r="24" spans="1:49" x14ac:dyDescent="0.2">
      <c r="A24" t="s">
        <v>8</v>
      </c>
      <c r="B24" s="93">
        <v>3196.3846373657216</v>
      </c>
      <c r="C24" s="8">
        <v>0</v>
      </c>
      <c r="D24" s="93">
        <v>3201.7215461129845</v>
      </c>
      <c r="E24" s="8">
        <v>0</v>
      </c>
      <c r="F24" s="93">
        <v>3206.7004113316225</v>
      </c>
      <c r="G24" s="8">
        <v>0</v>
      </c>
      <c r="H24" s="93">
        <v>3211.2630849720517</v>
      </c>
      <c r="I24" s="8">
        <v>0</v>
      </c>
      <c r="J24" s="93">
        <v>3215.3380161941259</v>
      </c>
      <c r="K24" s="8">
        <v>0</v>
      </c>
      <c r="L24" s="93">
        <v>3218.8364577960619</v>
      </c>
      <c r="M24" s="8">
        <v>0</v>
      </c>
      <c r="N24" s="93">
        <v>3221.6468166189798</v>
      </c>
      <c r="O24" s="8">
        <v>0</v>
      </c>
      <c r="P24" s="93">
        <v>3223.6272946568351</v>
      </c>
      <c r="Q24" s="8">
        <v>0</v>
      </c>
      <c r="R24" s="93">
        <v>3224.5952373542541</v>
      </c>
      <c r="S24" s="8">
        <v>0</v>
      </c>
      <c r="T24" s="93">
        <v>3224.3111631296806</v>
      </c>
      <c r="U24" s="8">
        <v>0</v>
      </c>
      <c r="V24" s="93">
        <v>3222.4547261651251</v>
      </c>
      <c r="W24" s="8">
        <v>0</v>
      </c>
      <c r="X24" s="93">
        <v>3218.5861574517321</v>
      </c>
      <c r="Y24" s="8">
        <v>0</v>
      </c>
      <c r="Z24" s="93">
        <v>3212.0802051440628</v>
      </c>
      <c r="AA24" s="8">
        <v>0</v>
      </c>
      <c r="AB24" s="93">
        <v>3202.0020759236772</v>
      </c>
      <c r="AC24" s="8">
        <v>0</v>
      </c>
      <c r="AD24" s="93">
        <v>3186.8432182047136</v>
      </c>
      <c r="AE24" s="8">
        <v>0</v>
      </c>
      <c r="AF24" s="93">
        <v>3163.8610573510673</v>
      </c>
      <c r="AG24" s="8">
        <v>0</v>
      </c>
      <c r="AH24" s="93">
        <v>3127.1609876411198</v>
      </c>
      <c r="AI24" s="8">
        <v>0</v>
      </c>
      <c r="AJ24" s="93">
        <v>3061.7306882376565</v>
      </c>
      <c r="AK24" s="8">
        <v>0</v>
      </c>
      <c r="AL24" s="93">
        <v>2923.6733632200726</v>
      </c>
      <c r="AM24" s="8">
        <v>0</v>
      </c>
      <c r="AN24" s="93">
        <v>2541.1709242370916</v>
      </c>
      <c r="AO24" s="8">
        <v>0</v>
      </c>
      <c r="AP24" s="93">
        <v>2379.6343870791893</v>
      </c>
      <c r="AQ24" s="8">
        <v>0</v>
      </c>
      <c r="AR24" s="93">
        <v>2149.3251081932203</v>
      </c>
      <c r="AS24" s="8">
        <v>0</v>
      </c>
      <c r="AT24" s="93">
        <v>1798.0472132490922</v>
      </c>
      <c r="AU24" s="8">
        <v>0</v>
      </c>
      <c r="AV24" s="93">
        <v>1203.7887860341486</v>
      </c>
      <c r="AW24" s="8">
        <v>0</v>
      </c>
    </row>
    <row r="25" spans="1:49" x14ac:dyDescent="0.2">
      <c r="A25" t="s">
        <v>0</v>
      </c>
      <c r="B25" s="39">
        <v>3195.0476040000012</v>
      </c>
      <c r="C25" s="40">
        <v>91.012690000004397</v>
      </c>
      <c r="D25" s="39">
        <v>3205.5517740338187</v>
      </c>
      <c r="E25" s="40">
        <v>80.976486219733687</v>
      </c>
      <c r="F25" s="39">
        <v>3215.9675209255915</v>
      </c>
      <c r="G25" s="40">
        <v>71.338911737444306</v>
      </c>
      <c r="H25" s="39">
        <v>3226.2806420947172</v>
      </c>
      <c r="I25" s="40">
        <v>62.136419096332276</v>
      </c>
      <c r="J25" s="39">
        <v>3236.4688471020818</v>
      </c>
      <c r="K25" s="40">
        <v>53.407694673270186</v>
      </c>
      <c r="L25" s="39">
        <v>3246.4958659811505</v>
      </c>
      <c r="M25" s="40">
        <v>45.193538586235839</v>
      </c>
      <c r="N25" s="39">
        <v>3256.301114243091</v>
      </c>
      <c r="O25" s="40">
        <v>37.536773406085779</v>
      </c>
      <c r="P25" s="39">
        <v>3265.782557039141</v>
      </c>
      <c r="Q25" s="40">
        <v>30.481885886769415</v>
      </c>
      <c r="R25" s="39">
        <v>3274.7670919614934</v>
      </c>
      <c r="S25" s="40">
        <v>24.074505230546229</v>
      </c>
      <c r="T25" s="39">
        <v>3282.9588140879787</v>
      </c>
      <c r="U25" s="40">
        <v>18.360599116884831</v>
      </c>
      <c r="V25" s="39">
        <v>3289.8475551503316</v>
      </c>
      <c r="W25" s="40">
        <v>13.385116814157232</v>
      </c>
      <c r="X25" s="39">
        <v>3294.5429443505645</v>
      </c>
      <c r="Y25" s="40">
        <v>9.1896203359914548</v>
      </c>
      <c r="Z25" s="39">
        <v>3295.4665405411238</v>
      </c>
      <c r="AA25" s="40">
        <v>5.8080257820553873</v>
      </c>
      <c r="AB25" s="39">
        <v>3289.7719103474406</v>
      </c>
      <c r="AC25" s="40">
        <v>3.2584190049466057</v>
      </c>
      <c r="AD25" s="39">
        <v>3272.2669125398993</v>
      </c>
      <c r="AE25" s="40">
        <v>1.5269511460359233</v>
      </c>
      <c r="AF25" s="39">
        <v>3233.6087286213242</v>
      </c>
      <c r="AG25" s="40">
        <v>0.53846808971185478</v>
      </c>
      <c r="AH25" s="39">
        <v>3158.203631158493</v>
      </c>
      <c r="AI25" s="40">
        <v>0.11986260797065937</v>
      </c>
      <c r="AJ25" s="39">
        <v>3023.1753508525035</v>
      </c>
      <c r="AK25" s="40">
        <v>1.2789422202576971E-2</v>
      </c>
      <c r="AL25" s="39">
        <v>2788.4959676511612</v>
      </c>
      <c r="AM25" s="40">
        <v>4.1573216084022063E-4</v>
      </c>
      <c r="AN25" s="39">
        <v>2304.4395414478026</v>
      </c>
      <c r="AO25" s="40">
        <v>1.3019817739064543E-6</v>
      </c>
      <c r="AP25" s="39">
        <v>2128.8207182309134</v>
      </c>
      <c r="AQ25" s="40">
        <v>2.3393708243967121E-7</v>
      </c>
      <c r="AR25" s="39">
        <v>1892.6232120689826</v>
      </c>
      <c r="AS25" s="40">
        <v>2.961854311958325E-8</v>
      </c>
      <c r="AT25" s="39">
        <v>1553.2777813291091</v>
      </c>
      <c r="AU25" s="40">
        <v>2.2126114232429339E-9</v>
      </c>
      <c r="AV25" s="39">
        <v>1014.6398363582208</v>
      </c>
      <c r="AW25" s="40">
        <v>6.5252337725120541E-11</v>
      </c>
    </row>
    <row r="26" spans="1:49" x14ac:dyDescent="0.2">
      <c r="A26" t="s">
        <v>27</v>
      </c>
      <c r="B26" s="31">
        <v>5036.2953101960647</v>
      </c>
      <c r="C26" s="32">
        <v>74.905331803938267</v>
      </c>
      <c r="D26" s="31">
        <v>5041.1950022899773</v>
      </c>
      <c r="E26" s="32">
        <v>70.005639710024582</v>
      </c>
      <c r="F26" s="31">
        <v>5046.1102722043242</v>
      </c>
      <c r="G26" s="32">
        <v>65.090369795686527</v>
      </c>
      <c r="H26" s="31">
        <v>5051.0432262745853</v>
      </c>
      <c r="I26" s="32">
        <v>60.157415725416925</v>
      </c>
      <c r="J26" s="31">
        <v>5055.9958008897183</v>
      </c>
      <c r="K26" s="32">
        <v>55.20484111028432</v>
      </c>
      <c r="L26" s="31">
        <v>5060.9694312765578</v>
      </c>
      <c r="M26" s="32">
        <v>50.231210723448484</v>
      </c>
      <c r="N26" s="31">
        <v>5065.9643509034622</v>
      </c>
      <c r="O26" s="32">
        <v>45.23629109654145</v>
      </c>
      <c r="P26" s="31">
        <v>5070.9785878054599</v>
      </c>
      <c r="Q26" s="32">
        <v>40.222054194541066</v>
      </c>
      <c r="R26" s="31">
        <v>5076.0062441580349</v>
      </c>
      <c r="S26" s="32">
        <v>35.194397841969909</v>
      </c>
      <c r="T26" s="31">
        <v>5081.0346117203544</v>
      </c>
      <c r="U26" s="32">
        <v>30.166030279651249</v>
      </c>
      <c r="V26" s="81">
        <v>5086.0394969518902</v>
      </c>
      <c r="W26" s="82">
        <v>25.16114504810886</v>
      </c>
      <c r="X26" s="31">
        <v>5090.9775456914103</v>
      </c>
      <c r="Y26" s="32">
        <v>20.223096308592382</v>
      </c>
      <c r="Z26" s="31">
        <v>5095.7737207238861</v>
      </c>
      <c r="AA26" s="32">
        <v>15.426921276118101</v>
      </c>
      <c r="AB26" s="31">
        <v>5100.3017129959944</v>
      </c>
      <c r="AC26" s="32">
        <v>10.898929004012267</v>
      </c>
      <c r="AD26" s="31">
        <v>5104.3576727543405</v>
      </c>
      <c r="AE26" s="32">
        <v>6.8429692456645341</v>
      </c>
      <c r="AF26" s="31">
        <v>5107.6448452927589</v>
      </c>
      <c r="AG26" s="32">
        <v>3.555796707244741</v>
      </c>
      <c r="AH26" s="31">
        <v>5109.8443591689784</v>
      </c>
      <c r="AI26" s="32">
        <v>1.356282831024316</v>
      </c>
      <c r="AJ26" s="31">
        <v>5110.8852140978152</v>
      </c>
      <c r="AK26" s="32">
        <v>0.31542790218739764</v>
      </c>
      <c r="AL26" s="31">
        <v>5111.1673694342126</v>
      </c>
      <c r="AM26" s="32">
        <v>3.3272565791082509E-2</v>
      </c>
      <c r="AN26" s="31">
        <v>5111.199880070084</v>
      </c>
      <c r="AO26" s="32">
        <v>7.6192992389553565E-4</v>
      </c>
      <c r="AP26" s="31">
        <v>5111.2003930788051</v>
      </c>
      <c r="AQ26" s="32">
        <v>2.4892119892484186E-4</v>
      </c>
      <c r="AR26" s="31">
        <v>5111.2005769677398</v>
      </c>
      <c r="AS26" s="32">
        <v>6.5032272611305027E-5</v>
      </c>
      <c r="AT26" s="31">
        <v>5111.200629826556</v>
      </c>
      <c r="AU26" s="32">
        <v>1.2173451208342243E-5</v>
      </c>
      <c r="AV26" s="31">
        <v>5111.2006407160643</v>
      </c>
      <c r="AW26" s="32">
        <v>1.2839387220933356E-6</v>
      </c>
    </row>
    <row r="27" spans="1:49" x14ac:dyDescent="0.2">
      <c r="A27" t="s">
        <v>2</v>
      </c>
      <c r="B27" s="33">
        <v>6425.1981590000414</v>
      </c>
      <c r="C27" s="34">
        <v>273.22915400000028</v>
      </c>
      <c r="D27" s="33">
        <v>6442.8444493602628</v>
      </c>
      <c r="E27" s="34">
        <v>255.58286387541671</v>
      </c>
      <c r="F27" s="33">
        <v>6460.5786551276024</v>
      </c>
      <c r="G27" s="34">
        <v>237.84865808911263</v>
      </c>
      <c r="H27" s="33">
        <v>6478.4087020048255</v>
      </c>
      <c r="I27" s="34">
        <v>220.01861117786729</v>
      </c>
      <c r="J27" s="33">
        <v>6496.3419326948278</v>
      </c>
      <c r="K27" s="34">
        <v>202.08538539217849</v>
      </c>
      <c r="L27" s="33">
        <v>6514.3839908170703</v>
      </c>
      <c r="M27" s="34">
        <v>184.04332199040473</v>
      </c>
      <c r="N27" s="33">
        <v>6532.5360994389202</v>
      </c>
      <c r="O27" s="34">
        <v>165.89121257584117</v>
      </c>
      <c r="P27" s="33">
        <v>6550.7914569974737</v>
      </c>
      <c r="Q27" s="34">
        <v>147.63586048983282</v>
      </c>
      <c r="R27" s="33">
        <v>6569.1289649344189</v>
      </c>
      <c r="S27" s="34">
        <v>129.29835006229968</v>
      </c>
      <c r="T27" s="33">
        <v>6587.5024030133227</v>
      </c>
      <c r="U27" s="34">
        <v>110.92491262729331</v>
      </c>
      <c r="V27" s="33">
        <v>6605.8231283225668</v>
      </c>
      <c r="W27" s="34">
        <v>92.604186924498265</v>
      </c>
      <c r="X27" s="33">
        <v>6623.9315431455198</v>
      </c>
      <c r="Y27" s="34">
        <v>74.495770746147954</v>
      </c>
      <c r="Z27" s="33">
        <v>6641.5504611237602</v>
      </c>
      <c r="AA27" s="34">
        <v>56.876862647727471</v>
      </c>
      <c r="AB27" s="33">
        <v>6658.2120079844908</v>
      </c>
      <c r="AC27" s="34">
        <v>40.215309756489901</v>
      </c>
      <c r="AD27" s="33">
        <v>6673.1595722485199</v>
      </c>
      <c r="AE27" s="34">
        <v>25.267739853263468</v>
      </c>
      <c r="AF27" s="33">
        <v>6685.2897949088538</v>
      </c>
      <c r="AG27" s="34">
        <v>13.137518320138197</v>
      </c>
      <c r="AH27" s="33">
        <v>6693.4143225344733</v>
      </c>
      <c r="AI27" s="34">
        <v>5.0129913198342129</v>
      </c>
      <c r="AJ27" s="33">
        <v>6697.2612360321691</v>
      </c>
      <c r="AK27" s="34">
        <v>1.1660772888655286</v>
      </c>
      <c r="AL27" s="33">
        <v>6698.3043044813867</v>
      </c>
      <c r="AM27" s="34">
        <v>0.12300855743135633</v>
      </c>
      <c r="AN27" s="33">
        <v>6698.4244961345485</v>
      </c>
      <c r="AO27" s="34">
        <v>2.8168683978770643E-3</v>
      </c>
      <c r="AP27" s="33">
        <v>6698.426393072069</v>
      </c>
      <c r="AQ27" s="34">
        <v>9.2026626106294577E-4</v>
      </c>
      <c r="AR27" s="33">
        <v>6698.4270725957185</v>
      </c>
      <c r="AS27" s="34">
        <v>2.4042554813515727E-4</v>
      </c>
      <c r="AT27" s="33">
        <v>6698.4272679959404</v>
      </c>
      <c r="AU27" s="34">
        <v>4.5005480055940143E-5</v>
      </c>
      <c r="AV27" s="33">
        <v>6698.4273086173389</v>
      </c>
      <c r="AW27" s="34">
        <v>4.7467448245121277E-6</v>
      </c>
    </row>
    <row r="28" spans="1:49" x14ac:dyDescent="0.2">
      <c r="A28" t="s">
        <v>35</v>
      </c>
      <c r="B28" s="39">
        <v>13763.097676000029</v>
      </c>
      <c r="C28" s="40">
        <v>382.36647899999997</v>
      </c>
      <c r="D28" s="39">
        <v>13787.864911174616</v>
      </c>
      <c r="E28" s="40">
        <v>357.58113014659142</v>
      </c>
      <c r="F28" s="39">
        <v>13812.706625645771</v>
      </c>
      <c r="G28" s="40">
        <v>332.68483861769522</v>
      </c>
      <c r="H28" s="39">
        <v>13837.63333648892</v>
      </c>
      <c r="I28" s="40">
        <v>307.66668745855156</v>
      </c>
      <c r="J28" s="39">
        <v>13862.654670702854</v>
      </c>
      <c r="K28" s="40">
        <v>282.5165963248358</v>
      </c>
      <c r="L28" s="39">
        <v>13887.777783148626</v>
      </c>
      <c r="M28" s="40">
        <v>257.22689655433527</v>
      </c>
      <c r="N28" s="39">
        <v>13913.003665428223</v>
      </c>
      <c r="O28" s="40">
        <v>231.79612239073481</v>
      </c>
      <c r="P28" s="39">
        <v>13938.32217614444</v>
      </c>
      <c r="Q28" s="40">
        <v>206.23403563503146</v>
      </c>
      <c r="R28" s="39">
        <v>13963.703446854506</v>
      </c>
      <c r="S28" s="40">
        <v>180.5704027081176</v>
      </c>
      <c r="T28" s="39">
        <v>13989.083203429136</v>
      </c>
      <c r="U28" s="40">
        <v>154.87006023839425</v>
      </c>
      <c r="V28" s="39">
        <v>14014.339267051002</v>
      </c>
      <c r="W28" s="40">
        <v>129.25698407134931</v>
      </c>
      <c r="X28" s="39">
        <v>14039.252910547093</v>
      </c>
      <c r="Y28" s="40">
        <v>103.95401570463396</v>
      </c>
      <c r="Z28" s="39">
        <v>14063.445808478024</v>
      </c>
      <c r="AA28" s="40">
        <v>79.347732720055959</v>
      </c>
      <c r="AB28" s="39">
        <v>14086.281367624</v>
      </c>
      <c r="AC28" s="40">
        <v>56.090007158601153</v>
      </c>
      <c r="AD28" s="39">
        <v>14106.732566353248</v>
      </c>
      <c r="AE28" s="40">
        <v>35.234362744316442</v>
      </c>
      <c r="AF28" s="39">
        <v>14123.304658744581</v>
      </c>
      <c r="AG28" s="40">
        <v>18.316266381470268</v>
      </c>
      <c r="AH28" s="39">
        <v>14134.392030790888</v>
      </c>
      <c r="AI28" s="40">
        <v>6.9882650498929015</v>
      </c>
      <c r="AJ28" s="39">
        <v>14139.638421117608</v>
      </c>
      <c r="AK28" s="40">
        <v>1.6254570830067463</v>
      </c>
      <c r="AL28" s="39">
        <v>14141.060572165334</v>
      </c>
      <c r="AM28" s="40">
        <v>0.17146557062784173</v>
      </c>
      <c r="AN28" s="39">
        <v>14141.224434757056</v>
      </c>
      <c r="AO28" s="40">
        <v>3.926516347793698E-3</v>
      </c>
      <c r="AP28" s="39">
        <v>14141.227020780774</v>
      </c>
      <c r="AQ28" s="40">
        <v>1.2827863376404431E-3</v>
      </c>
      <c r="AR28" s="39">
        <v>14141.227947329251</v>
      </c>
      <c r="AS28" s="40">
        <v>3.3513626103106822E-4</v>
      </c>
      <c r="AT28" s="39">
        <v>14141.228213733291</v>
      </c>
      <c r="AU28" s="40">
        <v>6.27344659404236E-5</v>
      </c>
      <c r="AV28" s="39">
        <v>14141.228268964922</v>
      </c>
      <c r="AW28" s="40">
        <v>6.6166280156464945E-6</v>
      </c>
    </row>
    <row r="29" spans="1:49" x14ac:dyDescent="0.2">
      <c r="A29" t="s">
        <v>53</v>
      </c>
      <c r="B29" s="33">
        <v>14362.768558000025</v>
      </c>
      <c r="C29" s="34">
        <v>817.26650999999993</v>
      </c>
      <c r="D29" s="33">
        <v>14366.822997769963</v>
      </c>
      <c r="E29" s="34">
        <v>756.82732261448405</v>
      </c>
      <c r="F29" s="33">
        <v>14368.897123714336</v>
      </c>
      <c r="G29" s="34">
        <v>696.70493157623662</v>
      </c>
      <c r="H29" s="33">
        <v>14368.6938916421</v>
      </c>
      <c r="I29" s="34">
        <v>636.94369594165187</v>
      </c>
      <c r="J29" s="33">
        <v>14365.847115570625</v>
      </c>
      <c r="K29" s="34">
        <v>577.60034251117804</v>
      </c>
      <c r="L29" s="33">
        <v>14359.898271339876</v>
      </c>
      <c r="M29" s="34">
        <v>518.748963114709</v>
      </c>
      <c r="N29" s="33">
        <v>14350.261262573746</v>
      </c>
      <c r="O29" s="34">
        <v>460.49052855189638</v>
      </c>
      <c r="P29" s="33">
        <v>14336.171078635987</v>
      </c>
      <c r="Q29" s="34">
        <v>402.96477201173991</v>
      </c>
      <c r="R29" s="33">
        <v>14316.603877806996</v>
      </c>
      <c r="S29" s="34">
        <v>346.3689748144572</v>
      </c>
      <c r="T29" s="33">
        <v>14290.148225421584</v>
      </c>
      <c r="U29" s="34">
        <v>290.98756663002729</v>
      </c>
      <c r="V29" s="33">
        <v>14254.792848761232</v>
      </c>
      <c r="W29" s="34">
        <v>237.23594486495233</v>
      </c>
      <c r="X29" s="33">
        <v>14207.55918851093</v>
      </c>
      <c r="Y29" s="34">
        <v>185.72718862394353</v>
      </c>
      <c r="Z29" s="33">
        <v>14143.836794257251</v>
      </c>
      <c r="AA29" s="34">
        <v>137.37139482666441</v>
      </c>
      <c r="AB29" s="33">
        <v>14056.123710464735</v>
      </c>
      <c r="AC29" s="34">
        <v>93.512044448516264</v>
      </c>
      <c r="AD29" s="33">
        <v>13931.538257576791</v>
      </c>
      <c r="AE29" s="34">
        <v>56.063106903258394</v>
      </c>
      <c r="AF29" s="33">
        <v>13746.806553352917</v>
      </c>
      <c r="AG29" s="34">
        <v>27.440140940063422</v>
      </c>
      <c r="AH29" s="33">
        <v>13458.236887089866</v>
      </c>
      <c r="AI29" s="34">
        <v>9.6489947852011699</v>
      </c>
      <c r="AJ29" s="33">
        <v>12979.69944816114</v>
      </c>
      <c r="AK29" s="34">
        <v>1.9984858452045171</v>
      </c>
      <c r="AL29" s="33">
        <v>12107.352350868023</v>
      </c>
      <c r="AM29" s="34">
        <v>0.17680847192482371</v>
      </c>
      <c r="AN29" s="33">
        <v>10110.073800807839</v>
      </c>
      <c r="AO29" s="34">
        <v>2.9516542020315679E-3</v>
      </c>
      <c r="AP29" s="33">
        <v>9351.4064079443524</v>
      </c>
      <c r="AQ29" s="34">
        <v>8.6891632132237047E-4</v>
      </c>
      <c r="AR29" s="33">
        <v>8319.3704686837318</v>
      </c>
      <c r="AS29" s="34">
        <v>1.9823225126171088E-4</v>
      </c>
      <c r="AT29" s="33">
        <v>6825.899809005974</v>
      </c>
      <c r="AU29" s="34">
        <v>3.0589590224963543E-5</v>
      </c>
      <c r="AV29" s="33">
        <v>4450.6573537093582</v>
      </c>
      <c r="AW29" s="34">
        <v>2.3080766402379116E-6</v>
      </c>
    </row>
    <row r="30" spans="1:49" x14ac:dyDescent="0.2">
      <c r="A30" t="s">
        <v>48</v>
      </c>
      <c r="B30" s="112">
        <v>2924829.9599999995</v>
      </c>
      <c r="D30" s="112">
        <v>2985837.5994013622</v>
      </c>
      <c r="F30" s="112">
        <v>3047883.3241221691</v>
      </c>
      <c r="H30" s="112">
        <v>3111109.3427924775</v>
      </c>
      <c r="J30" s="112">
        <v>3175686.7958532213</v>
      </c>
      <c r="L30" s="112">
        <v>3241827.8720336854</v>
      </c>
      <c r="N30" s="112">
        <v>3309805.8604856413</v>
      </c>
      <c r="P30" s="112">
        <v>3379988.1525408877</v>
      </c>
      <c r="R30" s="112">
        <v>3452893.4780674172</v>
      </c>
      <c r="T30" s="112">
        <v>3529293.3301381054</v>
      </c>
      <c r="V30" s="112">
        <v>3610393.4133957848</v>
      </c>
      <c r="X30" s="112">
        <v>3698173.6345527424</v>
      </c>
      <c r="Z30" s="112">
        <v>3796037.0530563397</v>
      </c>
      <c r="AB30" s="112">
        <v>3910073.6120557203</v>
      </c>
      <c r="AD30" s="112">
        <v>4051504.6661365079</v>
      </c>
      <c r="AF30" s="112">
        <v>4240942.026781816</v>
      </c>
      <c r="AH30" s="112">
        <v>4513199.0016089417</v>
      </c>
      <c r="AJ30" s="112">
        <v>4914547.2685449775</v>
      </c>
      <c r="AL30" s="112">
        <v>5483517.8382916208</v>
      </c>
      <c r="AN30" s="112">
        <v>6134968.7322052121</v>
      </c>
      <c r="AP30" s="112">
        <v>6188741.4226733949</v>
      </c>
      <c r="AR30" s="112">
        <v>6111749.1990493033</v>
      </c>
      <c r="AT30" s="112">
        <v>5713554.1756407646</v>
      </c>
      <c r="AV30" s="112">
        <v>4426486.4393470446</v>
      </c>
    </row>
    <row r="31" spans="1:49" x14ac:dyDescent="0.2">
      <c r="A31" t="s">
        <v>47</v>
      </c>
      <c r="B31" s="77">
        <v>1</v>
      </c>
      <c r="D31" s="77">
        <v>0.99789423855811932</v>
      </c>
      <c r="F31" s="77">
        <v>0.99537296485269977</v>
      </c>
      <c r="H31" s="77">
        <v>0.99237958567328621</v>
      </c>
      <c r="J31" s="77">
        <v>0.98884592823561812</v>
      </c>
      <c r="L31" s="77">
        <v>0.98468892393764018</v>
      </c>
      <c r="N31" s="77">
        <v>0.97980579842137949</v>
      </c>
      <c r="P31" s="77">
        <v>0.97406732611841051</v>
      </c>
      <c r="R31" s="77">
        <v>0.96730777633696396</v>
      </c>
      <c r="T31" s="77">
        <v>0.95930941199306152</v>
      </c>
      <c r="V31" s="77">
        <v>0.94977784258756459</v>
      </c>
      <c r="X31" s="77">
        <v>0.93830113707549367</v>
      </c>
      <c r="Z31" s="77">
        <v>0.92427860103316728</v>
      </c>
      <c r="AB31" s="77">
        <v>0.90679055884660875</v>
      </c>
      <c r="AD31" s="77">
        <v>0.88434963265085353</v>
      </c>
      <c r="AF31" s="77">
        <v>0.85441295093365555</v>
      </c>
      <c r="AH31" s="77">
        <v>0.81243162705890126</v>
      </c>
      <c r="AJ31" s="77">
        <v>0.74994186017707209</v>
      </c>
      <c r="AL31" s="77">
        <v>0.64948099060639797</v>
      </c>
      <c r="AN31" s="77">
        <v>0.46476536716926015</v>
      </c>
      <c r="AP31" s="77">
        <v>0.40734468798779588</v>
      </c>
      <c r="AR31" s="77">
        <v>0.3379880894319785</v>
      </c>
      <c r="AT31" s="77">
        <v>0.25229610600956093</v>
      </c>
      <c r="AV31" s="77">
        <v>0.14335126240857823</v>
      </c>
    </row>
    <row r="32" spans="1:49" x14ac:dyDescent="0.2">
      <c r="A32" t="s">
        <v>64</v>
      </c>
      <c r="B32" s="83">
        <v>14734457.915000005</v>
      </c>
      <c r="D32" s="83">
        <v>14736208.981707389</v>
      </c>
      <c r="F32" s="83">
        <v>14735504.379124427</v>
      </c>
      <c r="H32" s="83">
        <v>14731958.291938292</v>
      </c>
      <c r="J32" s="83">
        <v>14725107.342829457</v>
      </c>
      <c r="L32" s="83">
        <v>14714395.125553725</v>
      </c>
      <c r="N32" s="83">
        <v>14699152.209698744</v>
      </c>
      <c r="P32" s="83">
        <v>14678575.485159257</v>
      </c>
      <c r="R32" s="83">
        <v>14651705.829163734</v>
      </c>
      <c r="T32" s="83">
        <v>14617405.697654599</v>
      </c>
      <c r="V32" s="83">
        <v>14574344.875047915</v>
      </c>
      <c r="X32" s="83">
        <v>14521004.289485186</v>
      </c>
      <c r="Z32" s="83">
        <v>14455713.774600288</v>
      </c>
      <c r="AB32" s="83">
        <v>14376720.340644566</v>
      </c>
      <c r="AD32" s="83">
        <v>14282102.830942957</v>
      </c>
      <c r="AF32" s="83">
        <v>14168294.406456737</v>
      </c>
      <c r="AH32" s="83">
        <v>14021317.07773336</v>
      </c>
      <c r="AJ32" s="83">
        <v>13781569.206141429</v>
      </c>
      <c r="AL32" s="83">
        <v>13237174.78887661</v>
      </c>
      <c r="AN32" s="83">
        <v>11567508.076229781</v>
      </c>
      <c r="AP32" s="83">
        <v>10839284.508302994</v>
      </c>
      <c r="AR32" s="83">
        <v>9793591.1273291223</v>
      </c>
      <c r="AT32" s="83">
        <v>8191832.9381636018</v>
      </c>
      <c r="AV32" s="83">
        <v>5479191.0272547426</v>
      </c>
    </row>
    <row r="33" spans="1:49 16319:16384" x14ac:dyDescent="0.2">
      <c r="A33" t="s">
        <v>54</v>
      </c>
      <c r="B33" s="111">
        <v>7019665.6909999885</v>
      </c>
      <c r="D33" s="111">
        <v>7020499.924736917</v>
      </c>
      <c r="F33" s="111">
        <v>7020164.2448386271</v>
      </c>
      <c r="H33" s="111">
        <v>7018474.8503411943</v>
      </c>
      <c r="J33" s="111">
        <v>7015210.9991415758</v>
      </c>
      <c r="L33" s="111">
        <v>7010107.5597008746</v>
      </c>
      <c r="N33" s="111">
        <v>7002845.6711244406</v>
      </c>
      <c r="P33" s="111">
        <v>6993042.7364914119</v>
      </c>
      <c r="R33" s="111">
        <v>6980241.6832393166</v>
      </c>
      <c r="T33" s="111">
        <v>6963900.7243242832</v>
      </c>
      <c r="V33" s="111">
        <v>6943386.0477792267</v>
      </c>
      <c r="X33" s="111">
        <v>6917973.9239875246</v>
      </c>
      <c r="Z33" s="111">
        <v>6886868.7865665797</v>
      </c>
      <c r="AB33" s="111">
        <v>6849235.3807196636</v>
      </c>
      <c r="AD33" s="111">
        <v>6804158.5128576159</v>
      </c>
      <c r="AF33" s="111">
        <v>6749938.865860193</v>
      </c>
      <c r="AH33" s="111">
        <v>6679917.170886633</v>
      </c>
      <c r="AJ33" s="111">
        <v>6565698.5199032407</v>
      </c>
      <c r="AL33" s="111">
        <v>6306342.7407570183</v>
      </c>
      <c r="AN33" s="111">
        <v>5510894.2617028691</v>
      </c>
      <c r="AP33" s="111">
        <v>5163960.1549561555</v>
      </c>
      <c r="AR33" s="111">
        <v>4665779.7677244386</v>
      </c>
      <c r="AT33" s="111">
        <v>3902683.6924818493</v>
      </c>
      <c r="AV33" s="111">
        <v>2610349.7997912276</v>
      </c>
    </row>
    <row r="34" spans="1:49 16319:16384" x14ac:dyDescent="0.2">
      <c r="A34" t="s">
        <v>75</v>
      </c>
      <c r="B34" s="111">
        <v>1136879.4410000162</v>
      </c>
      <c r="D34" s="111">
        <v>1137014.5443358254</v>
      </c>
      <c r="F34" s="111">
        <v>1136960.1778294039</v>
      </c>
      <c r="H34" s="111">
        <v>1136686.5670150351</v>
      </c>
      <c r="J34" s="111">
        <v>1136157.9418381993</v>
      </c>
      <c r="L34" s="111">
        <v>1135331.4261989552</v>
      </c>
      <c r="N34" s="111">
        <v>1134155.3032400606</v>
      </c>
      <c r="P34" s="111">
        <v>1132567.5923542038</v>
      </c>
      <c r="R34" s="111">
        <v>1130494.4258613195</v>
      </c>
      <c r="T34" s="111">
        <v>1127847.8813798472</v>
      </c>
      <c r="V34" s="111">
        <v>1124525.4038282968</v>
      </c>
      <c r="X34" s="111">
        <v>1120409.8110658065</v>
      </c>
      <c r="Z34" s="111">
        <v>1115372.1166105526</v>
      </c>
      <c r="AB34" s="111">
        <v>1109277.1742319246</v>
      </c>
      <c r="AD34" s="111">
        <v>1101976.6834753996</v>
      </c>
      <c r="AF34" s="111">
        <v>1093195.46838978</v>
      </c>
      <c r="AH34" s="111">
        <v>1081855.0106455991</v>
      </c>
      <c r="AJ34" s="111">
        <v>1063356.5744984872</v>
      </c>
      <c r="AL34" s="111">
        <v>1021352.2588485726</v>
      </c>
      <c r="AN34" s="111">
        <v>892524.32572215213</v>
      </c>
      <c r="AP34" s="111">
        <v>836336.1437322956</v>
      </c>
      <c r="AR34" s="111">
        <v>755652.6660465512</v>
      </c>
      <c r="AT34" s="111">
        <v>632064.41018939868</v>
      </c>
      <c r="AV34" s="111">
        <v>422762.7285738489</v>
      </c>
    </row>
    <row r="35" spans="1:49 16319:16384" x14ac:dyDescent="0.2">
      <c r="A35" t="s">
        <v>78</v>
      </c>
      <c r="B35" s="192">
        <v>1</v>
      </c>
      <c r="D35" s="192">
        <v>1.0022304918598302</v>
      </c>
      <c r="F35" s="192">
        <v>1.004730370026389</v>
      </c>
      <c r="H35" s="192">
        <v>1.0075469227879903</v>
      </c>
      <c r="J35" s="192">
        <v>1.0107403013126486</v>
      </c>
      <c r="L35" s="192">
        <v>1.0143884878360736</v>
      </c>
      <c r="N35" s="192">
        <v>1.0185948696891751</v>
      </c>
      <c r="P35" s="192">
        <v>1.02349992471146</v>
      </c>
      <c r="R35" s="192">
        <v>1.0293000133142007</v>
      </c>
      <c r="T35" s="192">
        <v>1.0362787235612274</v>
      </c>
      <c r="V35" s="192">
        <v>1.044861102257618</v>
      </c>
      <c r="X35" s="192">
        <v>1.055712294975182</v>
      </c>
      <c r="Z35" s="192">
        <v>1.0699264616355928</v>
      </c>
      <c r="AB35" s="192">
        <v>1.0894098661399438</v>
      </c>
      <c r="AD35" s="192">
        <v>1.1177030433657531</v>
      </c>
      <c r="AF35" s="192">
        <v>1.1618211240880567</v>
      </c>
      <c r="AH35" s="192">
        <v>1.2364477066408865</v>
      </c>
      <c r="AJ35" s="192">
        <v>1.3741749176759419</v>
      </c>
      <c r="AL35" s="192">
        <v>1.6604526709714553</v>
      </c>
      <c r="AN35" s="192">
        <v>2.428473145120952</v>
      </c>
      <c r="AP35" s="192">
        <v>2.7480835824235221</v>
      </c>
      <c r="AR35" s="192">
        <v>3.2008357355034289</v>
      </c>
      <c r="AT35" s="192">
        <v>3.8863345765034971</v>
      </c>
      <c r="AV35" s="192">
        <v>5.0365886362818788</v>
      </c>
    </row>
    <row r="36" spans="1:49 16319:16384" x14ac:dyDescent="0.2">
      <c r="A36" t="s">
        <v>21</v>
      </c>
      <c r="B36" s="35">
        <v>0.47195767671988198</v>
      </c>
      <c r="C36" s="36">
        <v>0.31738834428178964</v>
      </c>
      <c r="D36" s="35">
        <v>0.47198189375750732</v>
      </c>
      <c r="E36" s="36">
        <v>0.32001433845423471</v>
      </c>
      <c r="F36" s="35">
        <v>0.47200728434139833</v>
      </c>
      <c r="G36" s="36">
        <v>0.32290495114308504</v>
      </c>
      <c r="H36" s="35">
        <v>0.47203402499767466</v>
      </c>
      <c r="I36" s="36">
        <v>0.3261007826899805</v>
      </c>
      <c r="J36" s="35">
        <v>0.47206232322239683</v>
      </c>
      <c r="K36" s="36">
        <v>0.32965141050589208</v>
      </c>
      <c r="L36" s="35">
        <v>0.47209241859364198</v>
      </c>
      <c r="M36" s="36">
        <v>0.33361818956185346</v>
      </c>
      <c r="N36" s="35">
        <v>0.47212458172664162</v>
      </c>
      <c r="O36" s="36">
        <v>0.33807832118453018</v>
      </c>
      <c r="P36" s="35">
        <v>0.47215910314728404</v>
      </c>
      <c r="Q36" s="36">
        <v>0.34313081580819271</v>
      </c>
      <c r="R36" s="35">
        <v>0.47219626732470626</v>
      </c>
      <c r="S36" s="36">
        <v>0.34890563164351496</v>
      </c>
      <c r="T36" s="35">
        <v>0.47223629673294032</v>
      </c>
      <c r="U36" s="36">
        <v>0.35557824356531187</v>
      </c>
      <c r="V36" s="35">
        <v>0.47227923028670632</v>
      </c>
      <c r="W36" s="36">
        <v>0.36339365942591495</v>
      </c>
      <c r="X36" s="35">
        <v>0.47232468261778499</v>
      </c>
      <c r="Y36" s="36">
        <v>0.37270807758964003</v>
      </c>
      <c r="Z36" s="35">
        <v>0.47237136183312889</v>
      </c>
      <c r="AA36" s="36">
        <v>0.38406464724237938</v>
      </c>
      <c r="AB36" s="35">
        <v>0.47241612531828364</v>
      </c>
      <c r="AC36" s="36">
        <v>0.39833837460216748</v>
      </c>
      <c r="AD36" s="35">
        <v>0.47245228328695127</v>
      </c>
      <c r="AE36" s="36">
        <v>0.41702593973565222</v>
      </c>
      <c r="AF36" s="35">
        <v>0.47246727969479385</v>
      </c>
      <c r="AG36" s="36">
        <v>0.44283698842152647</v>
      </c>
      <c r="AH36" s="35">
        <v>0.47244295190780128</v>
      </c>
      <c r="AI36" s="36">
        <v>0.48087591893658072</v>
      </c>
      <c r="AJ36" s="35">
        <v>0.47236793165422269</v>
      </c>
      <c r="AK36" s="36">
        <v>0.54108236890501671</v>
      </c>
      <c r="AL36" s="35">
        <v>0.47225979893521847</v>
      </c>
      <c r="AM36" s="36">
        <v>0.64570016739578551</v>
      </c>
      <c r="AN36" s="35">
        <v>0.47216440571964818</v>
      </c>
      <c r="AO36" s="36">
        <v>0.86700657600470366</v>
      </c>
      <c r="AP36" s="35">
        <v>0.47215309388215104</v>
      </c>
      <c r="AQ36" s="36">
        <v>0.94573783037075898</v>
      </c>
      <c r="AR36" s="35">
        <v>0.47214717424920122</v>
      </c>
      <c r="AS36" s="36">
        <v>1.0490436770646789</v>
      </c>
      <c r="AT36" s="35">
        <v>0.47214954282226634</v>
      </c>
      <c r="AU36" s="36">
        <v>1.1919760177127015</v>
      </c>
      <c r="AV36" s="35">
        <v>0.4721659928337944</v>
      </c>
      <c r="AW36" s="36">
        <v>1.4064410694281346</v>
      </c>
    </row>
    <row r="37" spans="1:49 16319:16384" x14ac:dyDescent="0.2">
      <c r="B37" s="37">
        <v>2.1403217525954466E-2</v>
      </c>
      <c r="C37" s="38">
        <v>0.3496246130199252</v>
      </c>
      <c r="D37" s="37">
        <v>2.0683246482541377E-2</v>
      </c>
      <c r="E37" s="38">
        <v>0.34532626049042103</v>
      </c>
      <c r="F37" s="37">
        <v>1.9951233082458032E-2</v>
      </c>
      <c r="G37" s="38">
        <v>0.34092874444032967</v>
      </c>
      <c r="H37" s="37">
        <v>1.9206477550149897E-2</v>
      </c>
      <c r="I37" s="38">
        <v>0.33642708676135952</v>
      </c>
      <c r="J37" s="37">
        <v>1.8448152404181531E-2</v>
      </c>
      <c r="K37" s="38">
        <v>0.33181567173653537</v>
      </c>
      <c r="L37" s="37">
        <v>1.7675252019864838E-2</v>
      </c>
      <c r="M37" s="38">
        <v>0.32708799428733171</v>
      </c>
      <c r="N37" s="37">
        <v>1.6886508408572826E-2</v>
      </c>
      <c r="O37" s="38">
        <v>0.32223622008806257</v>
      </c>
      <c r="P37" s="37">
        <v>1.6080276125905204E-2</v>
      </c>
      <c r="Q37" s="38">
        <v>0.31725057801342543</v>
      </c>
      <c r="R37" s="37">
        <v>1.5254353708796579E-2</v>
      </c>
      <c r="S37" s="38">
        <v>0.31211840049658374</v>
      </c>
      <c r="T37" s="37">
        <v>1.4405704177942255E-2</v>
      </c>
      <c r="U37" s="38">
        <v>0.30682260467606115</v>
      </c>
      <c r="V37" s="37">
        <v>1.3530040321726632E-2</v>
      </c>
      <c r="W37" s="38">
        <v>0.30133945187577726</v>
      </c>
      <c r="X37" s="37">
        <v>1.2621181287186685E-2</v>
      </c>
      <c r="Y37" s="38">
        <v>0.29563511826215944</v>
      </c>
      <c r="Z37" s="37">
        <v>1.1670088661083345E-2</v>
      </c>
      <c r="AA37" s="38">
        <v>0.28966075520550649</v>
      </c>
      <c r="AB37" s="37">
        <v>1.0663519178939573E-2</v>
      </c>
      <c r="AC37" s="38">
        <v>0.28334622579761642</v>
      </c>
      <c r="AD37" s="37">
        <v>9.5825780272365425E-3</v>
      </c>
      <c r="AE37" s="38">
        <v>0.27659562660967901</v>
      </c>
      <c r="AF37" s="37">
        <v>8.4030225185251183E-3</v>
      </c>
      <c r="AG37" s="38">
        <v>0.26929898545391023</v>
      </c>
      <c r="AH37" s="37">
        <v>7.1031295769752624E-3</v>
      </c>
      <c r="AI37" s="38">
        <v>0.26140052598988006</v>
      </c>
      <c r="AJ37" s="37">
        <v>5.6840893821573377E-3</v>
      </c>
      <c r="AK37" s="38">
        <v>0.25305344415344294</v>
      </c>
      <c r="AL37" s="37">
        <v>4.1768782304707043E-3</v>
      </c>
      <c r="AM37" s="38">
        <v>0.24469246656883387</v>
      </c>
      <c r="AN37" s="37">
        <v>2.6003306743261341E-3</v>
      </c>
      <c r="AO37" s="38">
        <v>0.23686315135773689</v>
      </c>
      <c r="AP37" s="37">
        <v>2.2742440844137858E-3</v>
      </c>
      <c r="AQ37" s="38">
        <v>0.23541658148606298</v>
      </c>
      <c r="AR37" s="37">
        <v>1.9428016447092251E-3</v>
      </c>
      <c r="AS37" s="38">
        <v>0.23402770938465542</v>
      </c>
      <c r="AT37" s="37">
        <v>1.6044037434493758E-3</v>
      </c>
      <c r="AU37" s="38">
        <v>0.23270980347931641</v>
      </c>
      <c r="AV37" s="37">
        <v>1.2563311855545867E-3</v>
      </c>
      <c r="AW37" s="38">
        <v>0.23148451478603463</v>
      </c>
    </row>
    <row r="38" spans="1:49 16319:16384" x14ac:dyDescent="0.2">
      <c r="A38" t="s">
        <v>22</v>
      </c>
      <c r="B38" s="35">
        <v>0.18079094942242827</v>
      </c>
      <c r="C38" s="36">
        <v>6.0565413429233668E-2</v>
      </c>
      <c r="D38" s="35">
        <v>0.18090713411063233</v>
      </c>
      <c r="E38" s="36">
        <v>6.0881517363537259E-2</v>
      </c>
      <c r="F38" s="35">
        <v>0.18104832656228545</v>
      </c>
      <c r="G38" s="36">
        <v>6.1231797171893622E-2</v>
      </c>
      <c r="H38" s="35">
        <v>0.1812183320147949</v>
      </c>
      <c r="I38" s="36">
        <v>6.1621598814309793E-2</v>
      </c>
      <c r="J38" s="35">
        <v>0.18142185092740037</v>
      </c>
      <c r="K38" s="36">
        <v>6.2057463407246799E-2</v>
      </c>
      <c r="L38" s="35">
        <v>0.18166478048977197</v>
      </c>
      <c r="M38" s="36">
        <v>6.2547531787188498E-2</v>
      </c>
      <c r="N38" s="35">
        <v>0.18195466811706079</v>
      </c>
      <c r="O38" s="36">
        <v>6.310205220189706E-2</v>
      </c>
      <c r="P38" s="35">
        <v>0.18230138264331391</v>
      </c>
      <c r="Q38" s="36">
        <v>6.3734217566658993E-2</v>
      </c>
      <c r="R38" s="35">
        <v>0.18271816464163451</v>
      </c>
      <c r="S38" s="36">
        <v>6.446144409717551E-2</v>
      </c>
      <c r="T38" s="35">
        <v>0.18322333547507452</v>
      </c>
      <c r="U38" s="36">
        <v>6.5307318340507861E-2</v>
      </c>
      <c r="V38" s="35">
        <v>0.18384316423205013</v>
      </c>
      <c r="W38" s="36">
        <v>6.6304929908503313E-2</v>
      </c>
      <c r="X38" s="35">
        <v>0.18461693338466287</v>
      </c>
      <c r="Y38" s="36">
        <v>6.7502638403530296E-2</v>
      </c>
      <c r="Z38" s="35">
        <v>0.18560635376606921</v>
      </c>
      <c r="AA38" s="36">
        <v>6.8974631515733062E-2</v>
      </c>
      <c r="AB38" s="35">
        <v>0.18691407118106351</v>
      </c>
      <c r="AC38" s="36">
        <v>7.0841296356954186E-2</v>
      </c>
      <c r="AD38" s="35">
        <v>0.18872213548059327</v>
      </c>
      <c r="AE38" s="36">
        <v>7.331044503313798E-2</v>
      </c>
      <c r="AF38" s="35">
        <v>0.19137573760511198</v>
      </c>
      <c r="AG38" s="36">
        <v>7.6763132483190416E-2</v>
      </c>
      <c r="AH38" s="35">
        <v>0.1955727259929943</v>
      </c>
      <c r="AI38" s="36">
        <v>8.1932480182200854E-2</v>
      </c>
      <c r="AJ38" s="35">
        <v>0.20285436734749451</v>
      </c>
      <c r="AK38" s="36">
        <v>9.0304135861480964E-2</v>
      </c>
      <c r="AL38" s="35">
        <v>0.217528516097758</v>
      </c>
      <c r="AM38" s="36">
        <v>0.1054848445301108</v>
      </c>
      <c r="AN38" s="35">
        <v>0.26055257274594928</v>
      </c>
      <c r="AO38" s="36">
        <v>0.14163435298620466</v>
      </c>
      <c r="AP38" s="35">
        <v>0.28169716479336382</v>
      </c>
      <c r="AQ38" s="36">
        <v>0.15651192347415618</v>
      </c>
      <c r="AR38" s="35">
        <v>0.31664601065337494</v>
      </c>
      <c r="AS38" s="36">
        <v>0.17847512907726165</v>
      </c>
      <c r="AT38" s="35">
        <v>0.38592468184623197</v>
      </c>
      <c r="AU38" s="36">
        <v>0.21559901579495747</v>
      </c>
      <c r="AV38" s="35">
        <v>0.59186715376409271</v>
      </c>
      <c r="AW38" s="36">
        <v>0.30013711790431191</v>
      </c>
    </row>
    <row r="39" spans="1:49 16319:16384" x14ac:dyDescent="0.2">
      <c r="A39" t="s">
        <v>23</v>
      </c>
      <c r="B39" s="37">
        <v>0.23064923795098771</v>
      </c>
      <c r="C39" s="38">
        <v>0.22092201281804777</v>
      </c>
      <c r="D39" s="37">
        <v>0.23120639537349832</v>
      </c>
      <c r="E39" s="38">
        <v>0.22227170024168183</v>
      </c>
      <c r="F39" s="37">
        <v>0.23179773945445623</v>
      </c>
      <c r="G39" s="38">
        <v>0.22374893299015725</v>
      </c>
      <c r="H39" s="37">
        <v>0.23242850367632656</v>
      </c>
      <c r="I39" s="38">
        <v>0.22537368712060293</v>
      </c>
      <c r="J39" s="37">
        <v>0.23310509424857179</v>
      </c>
      <c r="K39" s="38">
        <v>0.22717041036421334</v>
      </c>
      <c r="L39" s="37">
        <v>0.23383546448715919</v>
      </c>
      <c r="M39" s="38">
        <v>0.22916938227493155</v>
      </c>
      <c r="N39" s="37">
        <v>0.23462964908628869</v>
      </c>
      <c r="O39" s="38">
        <v>0.23140880257968519</v>
      </c>
      <c r="P39" s="37">
        <v>0.23550056844855735</v>
      </c>
      <c r="Q39" s="38">
        <v>0.23393772997245305</v>
      </c>
      <c r="R39" s="37">
        <v>0.23646527014194263</v>
      </c>
      <c r="S39" s="38">
        <v>0.23682059860273053</v>
      </c>
      <c r="T39" s="37">
        <v>0.23754692793196791</v>
      </c>
      <c r="U39" s="38">
        <v>0.24014457698566677</v>
      </c>
      <c r="V39" s="37">
        <v>0.23877821377437258</v>
      </c>
      <c r="W39" s="38">
        <v>0.24403158566602257</v>
      </c>
      <c r="X39" s="37">
        <v>0.2402072917175638</v>
      </c>
      <c r="Y39" s="38">
        <v>0.24865930511011511</v>
      </c>
      <c r="Z39" s="37">
        <v>0.24190908623537197</v>
      </c>
      <c r="AA39" s="38">
        <v>0.25429964752404111</v>
      </c>
      <c r="AB39" s="37">
        <v>0.24400782213097327</v>
      </c>
      <c r="AC39" s="38">
        <v>0.26139308509096937</v>
      </c>
      <c r="AD39" s="37">
        <v>0.24672505447643098</v>
      </c>
      <c r="AE39" s="38">
        <v>0.27069963156679544</v>
      </c>
      <c r="AF39" s="37">
        <v>0.25048771094249356</v>
      </c>
      <c r="AG39" s="38">
        <v>0.28361493705598884</v>
      </c>
      <c r="AH39" s="37">
        <v>0.25618183123517108</v>
      </c>
      <c r="AI39" s="38">
        <v>0.30283271495493691</v>
      </c>
      <c r="AJ39" s="37">
        <v>0.26581866625545458</v>
      </c>
      <c r="AK39" s="38">
        <v>0.33383730858451377</v>
      </c>
      <c r="AL39" s="37">
        <v>0.28507620479005241</v>
      </c>
      <c r="AM39" s="38">
        <v>0.38997709518384799</v>
      </c>
      <c r="AN39" s="37">
        <v>0.34146419172877551</v>
      </c>
      <c r="AO39" s="38">
        <v>0.52362470677199058</v>
      </c>
      <c r="AP39" s="37">
        <v>0.36917506229271951</v>
      </c>
      <c r="AQ39" s="38">
        <v>0.57862746624010986</v>
      </c>
      <c r="AR39" s="37">
        <v>0.41497690772454815</v>
      </c>
      <c r="AS39" s="38">
        <v>0.65982594508675108</v>
      </c>
      <c r="AT39" s="37">
        <v>0.50576930930593911</v>
      </c>
      <c r="AU39" s="38">
        <v>0.7970736514548068</v>
      </c>
      <c r="AV39" s="37">
        <v>0.77566493364885603</v>
      </c>
      <c r="AW39" s="38">
        <v>1.1096123876795987</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v>6.0999999999999999E-2</v>
      </c>
      <c r="C42" s="126"/>
      <c r="D42" s="167">
        <v>6.1000000000000311E-2</v>
      </c>
      <c r="E42" s="126"/>
      <c r="F42" s="167">
        <v>6.099999999999875E-2</v>
      </c>
      <c r="G42" s="126"/>
      <c r="H42" s="167">
        <v>6.1000000000000207E-2</v>
      </c>
      <c r="I42" s="126"/>
      <c r="J42" s="167">
        <v>6.1000000000000207E-2</v>
      </c>
      <c r="K42" s="126"/>
      <c r="L42" s="167">
        <v>6.0999999999999582E-2</v>
      </c>
      <c r="M42" s="126"/>
      <c r="N42" s="167">
        <v>6.0999999999999999E-2</v>
      </c>
      <c r="O42" s="126"/>
      <c r="P42" s="167">
        <v>6.1000000000000519E-2</v>
      </c>
      <c r="Q42" s="126"/>
      <c r="R42" s="167">
        <v>6.0999999999999791E-2</v>
      </c>
      <c r="S42" s="126"/>
      <c r="T42" s="167">
        <v>6.0999999999999582E-2</v>
      </c>
      <c r="U42" s="126"/>
      <c r="V42" s="167">
        <v>6.1000000000000831E-2</v>
      </c>
      <c r="W42" s="126"/>
      <c r="X42" s="167">
        <v>6.1000000000000207E-2</v>
      </c>
      <c r="Y42" s="152"/>
      <c r="Z42" s="167">
        <v>6.0999999999999791E-2</v>
      </c>
      <c r="AA42" s="126"/>
      <c r="AB42" s="167">
        <v>6.0999999999999374E-2</v>
      </c>
      <c r="AC42" s="126"/>
      <c r="AD42" s="167">
        <v>6.0999999999999582E-2</v>
      </c>
      <c r="AE42" s="126"/>
      <c r="AF42" s="167">
        <v>6.0999999999999999E-2</v>
      </c>
      <c r="AG42" s="126"/>
      <c r="AH42" s="167">
        <v>6.1000000000000207E-2</v>
      </c>
      <c r="AI42" s="126"/>
      <c r="AJ42" s="167">
        <v>6.1000000000000207E-2</v>
      </c>
      <c r="AK42" s="126"/>
      <c r="AL42" s="167">
        <v>6.0999999999999999E-2</v>
      </c>
      <c r="AM42" s="126"/>
      <c r="AN42" s="167">
        <v>6.0999999999999166E-2</v>
      </c>
      <c r="AO42" s="126"/>
      <c r="AP42" s="167">
        <v>6.0999999999999791E-2</v>
      </c>
      <c r="AQ42" s="126"/>
      <c r="AR42" s="167">
        <v>6.0999999999998333E-2</v>
      </c>
      <c r="AS42" s="126"/>
      <c r="AT42" s="167">
        <v>6.0999999999999374E-2</v>
      </c>
      <c r="AU42" s="126"/>
      <c r="AV42" s="167">
        <v>6.0999999999999999E-2</v>
      </c>
      <c r="XFD42" s="167"/>
    </row>
    <row r="43" spans="1:49 16319:16384" x14ac:dyDescent="0.2">
      <c r="A43" t="s">
        <v>95</v>
      </c>
      <c r="B43" s="152">
        <v>0.56058995943839207</v>
      </c>
      <c r="C43" s="126"/>
      <c r="D43" s="152">
        <v>0.56575140399704549</v>
      </c>
      <c r="E43" s="126"/>
      <c r="F43" s="152">
        <v>0.56429789774285555</v>
      </c>
      <c r="G43" s="126"/>
      <c r="H43" s="152">
        <v>0.56283942528978304</v>
      </c>
      <c r="I43" s="126"/>
      <c r="J43" s="152">
        <v>0.56137544875401135</v>
      </c>
      <c r="K43" s="126"/>
      <c r="L43" s="152">
        <v>0.55990556859423146</v>
      </c>
      <c r="M43" s="126"/>
      <c r="N43" s="152">
        <v>0.55842975568364195</v>
      </c>
      <c r="O43" s="126"/>
      <c r="P43" s="152">
        <v>0.55694863061421596</v>
      </c>
      <c r="Q43" s="126"/>
      <c r="R43" s="152">
        <v>0.55546396227914641</v>
      </c>
      <c r="S43" s="126"/>
      <c r="T43" s="152">
        <v>0.55397953599429961</v>
      </c>
      <c r="U43" s="126"/>
      <c r="V43" s="152">
        <v>0.55250252180668813</v>
      </c>
      <c r="W43" s="126"/>
      <c r="X43" s="152">
        <v>0.55104573013733149</v>
      </c>
      <c r="Y43" s="126"/>
      <c r="Z43" s="152">
        <v>0.54963129304834102</v>
      </c>
      <c r="AA43" s="126"/>
      <c r="AB43" s="152">
        <v>0.54829641954130037</v>
      </c>
      <c r="AC43" s="126"/>
      <c r="AD43" s="152">
        <v>0.54710111204737799</v>
      </c>
      <c r="AE43" s="126"/>
      <c r="AF43" s="152">
        <v>0.54613266562770335</v>
      </c>
      <c r="AG43" s="126"/>
      <c r="AH43" s="152">
        <v>0.5454848102941362</v>
      </c>
      <c r="AI43" s="126"/>
      <c r="AJ43" s="152">
        <v>0.54517827513390593</v>
      </c>
      <c r="AK43" s="126"/>
      <c r="AL43" s="152">
        <v>0.54509518430626702</v>
      </c>
      <c r="AM43" s="126"/>
      <c r="AN43" s="152">
        <v>0.54508561050959248</v>
      </c>
      <c r="AO43" s="126"/>
      <c r="AP43" s="152">
        <v>0.5450854594504333</v>
      </c>
      <c r="AQ43" s="126"/>
      <c r="AR43" s="152">
        <v>0.54508540528681482</v>
      </c>
      <c r="AS43" s="126"/>
      <c r="AT43" s="152">
        <v>0.54508538972013176</v>
      </c>
      <c r="AU43" s="126"/>
      <c r="AV43" s="152">
        <v>0.54508538652703453</v>
      </c>
    </row>
    <row r="44" spans="1:49 16319:16384" x14ac:dyDescent="0.2">
      <c r="A44" t="s">
        <v>129</v>
      </c>
      <c r="B44" s="183">
        <v>0.29754226190682465</v>
      </c>
      <c r="D44" s="183">
        <v>0.29754226154298941</v>
      </c>
      <c r="F44" s="183">
        <v>0.29754226148197732</v>
      </c>
      <c r="H44" s="183">
        <v>0.29754226132324435</v>
      </c>
      <c r="J44" s="183">
        <v>0.29754225996668737</v>
      </c>
      <c r="L44" s="183">
        <v>0.29754226102416154</v>
      </c>
      <c r="N44" s="183">
        <v>0.29754226018364088</v>
      </c>
      <c r="P44" s="183">
        <v>0.29754225648469312</v>
      </c>
      <c r="R44" s="183">
        <v>0.29754225915251808</v>
      </c>
      <c r="T44" s="183">
        <v>0.29754225782314786</v>
      </c>
      <c r="V44" s="183">
        <v>0.29754225808636037</v>
      </c>
      <c r="X44" s="183">
        <v>0.29754226176521442</v>
      </c>
      <c r="Z44" s="183">
        <v>0.29754226059546957</v>
      </c>
      <c r="AB44" s="183">
        <v>0.29754226217676061</v>
      </c>
      <c r="AD44" s="183">
        <v>0.2975422618261101</v>
      </c>
      <c r="AF44" s="183">
        <v>0.29754226189318</v>
      </c>
      <c r="AH44" s="183">
        <v>0.2975422619217431</v>
      </c>
      <c r="AJ44" s="183">
        <v>0.29754226190879846</v>
      </c>
      <c r="AL44" s="183">
        <v>0.29754226190680966</v>
      </c>
      <c r="AN44" s="183">
        <v>0.29754226190682181</v>
      </c>
      <c r="AP44" s="183">
        <v>0.29754226190672339</v>
      </c>
      <c r="AR44" s="183">
        <v>0.29754226190682392</v>
      </c>
      <c r="AT44" s="183">
        <v>0.29754226190682487</v>
      </c>
      <c r="AV44" s="183">
        <v>0.29754226190685645</v>
      </c>
    </row>
    <row r="45" spans="1:49 16319:16384" x14ac:dyDescent="0.2">
      <c r="A45" t="s">
        <v>82</v>
      </c>
      <c r="B45" s="183">
        <v>0.22038438833194082</v>
      </c>
      <c r="D45" s="183">
        <v>0.22038438832422294</v>
      </c>
      <c r="F45" s="183">
        <v>0.22038438832222865</v>
      </c>
      <c r="H45" s="183">
        <v>0.22038438831751778</v>
      </c>
      <c r="J45" s="183">
        <v>0.2203843883541953</v>
      </c>
      <c r="L45" s="183">
        <v>0.22038438830758048</v>
      </c>
      <c r="N45" s="183">
        <v>0.22038438828326515</v>
      </c>
      <c r="P45" s="183">
        <v>0.22038438830468587</v>
      </c>
      <c r="R45" s="183">
        <v>0.220384388318727</v>
      </c>
      <c r="T45" s="183">
        <v>0.22038438831414098</v>
      </c>
      <c r="V45" s="183">
        <v>0.22038438831798771</v>
      </c>
      <c r="X45" s="183">
        <v>0.22038438833375298</v>
      </c>
      <c r="Z45" s="183">
        <v>0.22038438835187679</v>
      </c>
      <c r="AB45" s="183">
        <v>0.22038438833985527</v>
      </c>
      <c r="AD45" s="183">
        <v>0.22038438833090557</v>
      </c>
      <c r="AF45" s="183">
        <v>0.22038438833208349</v>
      </c>
      <c r="AH45" s="183">
        <v>0.22038438833198984</v>
      </c>
      <c r="AJ45" s="183">
        <v>0.22038438833191812</v>
      </c>
      <c r="AL45" s="183">
        <v>0.22038438833194154</v>
      </c>
      <c r="AN45" s="183">
        <v>0.22038438833194079</v>
      </c>
      <c r="AP45" s="183">
        <v>0.22038438833198198</v>
      </c>
      <c r="AR45" s="183">
        <v>0.22038438833194149</v>
      </c>
      <c r="AT45" s="183">
        <v>0.22038438833194077</v>
      </c>
      <c r="AV45" s="183">
        <v>0.22038438833191978</v>
      </c>
      <c r="XCQ45" s="183"/>
    </row>
    <row r="46" spans="1:49 16319:16384" x14ac:dyDescent="0.2">
      <c r="A46" t="s">
        <v>126</v>
      </c>
      <c r="B46" s="183">
        <v>7.7157873574883795E-2</v>
      </c>
      <c r="D46" s="183">
        <v>7.7157873218766396E-2</v>
      </c>
      <c r="F46" s="183">
        <v>7.7157873159748688E-2</v>
      </c>
      <c r="H46" s="183">
        <v>7.715787300572656E-2</v>
      </c>
      <c r="J46" s="183">
        <v>7.715787161249206E-2</v>
      </c>
      <c r="L46" s="183">
        <v>7.7157872716581061E-2</v>
      </c>
      <c r="N46" s="183">
        <v>7.7157871900375735E-2</v>
      </c>
      <c r="P46" s="183">
        <v>7.7157868180007236E-2</v>
      </c>
      <c r="R46" s="183">
        <v>7.7157870833791095E-2</v>
      </c>
      <c r="T46" s="183">
        <v>7.7157869509006882E-2</v>
      </c>
      <c r="V46" s="183">
        <v>7.7157869768372675E-2</v>
      </c>
      <c r="X46" s="183">
        <v>7.7157873431461438E-2</v>
      </c>
      <c r="Z46" s="183">
        <v>7.7157872243592732E-2</v>
      </c>
      <c r="AB46" s="183">
        <v>7.7157873836905366E-2</v>
      </c>
      <c r="AD46" s="183">
        <v>7.715787349520456E-2</v>
      </c>
      <c r="AF46" s="183">
        <v>7.7157873561096518E-2</v>
      </c>
      <c r="AH46" s="183">
        <v>7.7157873589753248E-2</v>
      </c>
      <c r="AJ46" s="183">
        <v>7.7157873576880309E-2</v>
      </c>
      <c r="AL46" s="183">
        <v>7.7157873574868086E-2</v>
      </c>
      <c r="AN46" s="183">
        <v>7.7157873574880978E-2</v>
      </c>
      <c r="AP46" s="183">
        <v>7.7157873574741423E-2</v>
      </c>
      <c r="AR46" s="183">
        <v>7.7157873574882477E-2</v>
      </c>
      <c r="AT46" s="183">
        <v>7.7157873574884114E-2</v>
      </c>
      <c r="AV46" s="183">
        <v>7.7157873574936683E-2</v>
      </c>
      <c r="XCS46" s="183"/>
    </row>
    <row r="48" spans="1:49 16319:16384" x14ac:dyDescent="0.2">
      <c r="A48" t="s">
        <v>143</v>
      </c>
      <c r="B48" s="181">
        <v>1</v>
      </c>
      <c r="C48" s="181"/>
      <c r="D48" s="181">
        <v>1.0016696703784878</v>
      </c>
      <c r="E48" s="181"/>
      <c r="F48" s="181">
        <v>1.003227325599463</v>
      </c>
      <c r="G48" s="181"/>
      <c r="H48" s="181">
        <v>1.0046547738442992</v>
      </c>
      <c r="I48" s="181"/>
      <c r="J48" s="181">
        <v>1.0059296301849405</v>
      </c>
      <c r="K48" s="181"/>
      <c r="L48" s="181">
        <v>1.0070241297520577</v>
      </c>
      <c r="M48" s="181"/>
      <c r="N48" s="181">
        <v>1.007903360239548</v>
      </c>
      <c r="O48" s="181"/>
      <c r="P48" s="181">
        <v>1.008522959650302</v>
      </c>
      <c r="Q48" s="181"/>
      <c r="R48" s="181">
        <v>1.0088257838743031</v>
      </c>
      <c r="S48" s="181"/>
      <c r="T48" s="181">
        <v>1.0087369102696522</v>
      </c>
      <c r="U48" s="181"/>
      <c r="V48" s="181">
        <v>1.0081561175381224</v>
      </c>
      <c r="W48" s="181"/>
      <c r="X48" s="181">
        <v>1.0069458224227694</v>
      </c>
      <c r="Y48" s="181"/>
      <c r="Z48" s="181">
        <v>1.004910412719064</v>
      </c>
      <c r="AA48" s="181"/>
      <c r="AB48" s="181">
        <v>1.001757435100985</v>
      </c>
      <c r="AC48" s="181"/>
      <c r="AD48" s="181">
        <v>0.99701493398214069</v>
      </c>
      <c r="AE48" s="181"/>
      <c r="AF48" s="181">
        <v>0.98982488539256075</v>
      </c>
      <c r="AG48" s="181"/>
      <c r="AH48" s="181">
        <v>0.97834314152452817</v>
      </c>
      <c r="AI48" s="181"/>
      <c r="AJ48" s="181">
        <v>0.95787304582997901</v>
      </c>
      <c r="AK48" s="181"/>
      <c r="AL48" s="181">
        <v>0.91468133373009763</v>
      </c>
      <c r="AM48" s="181"/>
      <c r="AN48" s="181">
        <v>0.79501412143295125</v>
      </c>
      <c r="AO48" s="181"/>
      <c r="AP48" s="181">
        <v>0.74447685652761386</v>
      </c>
      <c r="AQ48" s="181"/>
      <c r="AR48" s="181">
        <v>0.67242380127460877</v>
      </c>
      <c r="AS48" s="181"/>
      <c r="AT48" s="181">
        <v>0.562525295682481</v>
      </c>
      <c r="AU48" s="181"/>
      <c r="AV48" s="181">
        <v>0.37660948934676486</v>
      </c>
    </row>
    <row r="49" spans="1:48 16321:16384" x14ac:dyDescent="0.2">
      <c r="A49" t="s">
        <v>144</v>
      </c>
      <c r="B49" s="181">
        <v>1</v>
      </c>
      <c r="C49" s="181"/>
      <c r="D49" s="181">
        <v>0.99609205097971065</v>
      </c>
      <c r="E49" s="181"/>
      <c r="F49" s="181">
        <v>0.99161552436365763</v>
      </c>
      <c r="G49" s="181"/>
      <c r="H49" s="181">
        <v>0.98648533336233613</v>
      </c>
      <c r="I49" s="181"/>
      <c r="J49" s="181">
        <v>0.98059714400568088</v>
      </c>
      <c r="K49" s="181"/>
      <c r="L49" s="181">
        <v>0.97382123910473284</v>
      </c>
      <c r="M49" s="181"/>
      <c r="N49" s="181">
        <v>0.96599345147887439</v>
      </c>
      <c r="O49" s="181"/>
      <c r="P49" s="181">
        <v>0.95690205704925124</v>
      </c>
      <c r="Q49" s="181"/>
      <c r="R49" s="181">
        <v>0.94626774162323102</v>
      </c>
      <c r="S49" s="181"/>
      <c r="T49" s="181">
        <v>0.93371190159468709</v>
      </c>
      <c r="U49" s="181"/>
      <c r="V49" s="181">
        <v>0.91870526874179348</v>
      </c>
      <c r="W49" s="181"/>
      <c r="X49" s="181">
        <v>0.90048080747428538</v>
      </c>
      <c r="Y49" s="181"/>
      <c r="Z49" s="181">
        <v>0.87788047165680572</v>
      </c>
      <c r="AA49" s="181"/>
      <c r="AB49" s="181">
        <v>0.84907659179059514</v>
      </c>
      <c r="AC49" s="181"/>
      <c r="AD49" s="181">
        <v>0.81105987728546669</v>
      </c>
      <c r="AE49" s="181"/>
      <c r="AF49" s="181">
        <v>0.75875255526232177</v>
      </c>
      <c r="AG49" s="181"/>
      <c r="AH49" s="181">
        <v>0.68382391556492417</v>
      </c>
      <c r="AI49" s="181"/>
      <c r="AJ49" s="181">
        <v>0.57418790100319095</v>
      </c>
      <c r="AK49" s="181"/>
      <c r="AL49" s="181">
        <v>0.4156020546506704</v>
      </c>
      <c r="AM49" s="181"/>
      <c r="AN49" s="181">
        <v>0.19910231957978661</v>
      </c>
      <c r="AO49" s="181"/>
      <c r="AP49" s="181">
        <v>0.15061929964453588</v>
      </c>
      <c r="AQ49" s="181"/>
      <c r="AR49" s="181">
        <v>0.10237848359850386</v>
      </c>
      <c r="AS49" s="181"/>
      <c r="AT49" s="181">
        <v>5.6756672264494087E-2</v>
      </c>
      <c r="AU49" s="181"/>
      <c r="AV49" s="181">
        <v>1.8602743282416553E-2</v>
      </c>
    </row>
    <row r="51" spans="1:48 16321:16384" x14ac:dyDescent="0.2">
      <c r="A51" t="s">
        <v>150</v>
      </c>
      <c r="B51" s="27">
        <v>-405838.32800000021</v>
      </c>
      <c r="D51" s="27">
        <v>-345226.51058178069</v>
      </c>
      <c r="F51" s="27">
        <v>-283021.51312136929</v>
      </c>
      <c r="H51" s="27">
        <v>-218993.91490158066</v>
      </c>
      <c r="J51" s="27">
        <v>-152867.83079712046</v>
      </c>
      <c r="L51" s="27">
        <v>-84305.298559007701</v>
      </c>
      <c r="N51" s="27">
        <v>-12881.706831538584</v>
      </c>
      <c r="P51" s="27">
        <v>61951.87570822658</v>
      </c>
      <c r="R51" s="27">
        <v>140930.98499049572</v>
      </c>
      <c r="T51" s="27">
        <v>225084.25160488486</v>
      </c>
      <c r="V51" s="27">
        <v>315918.07037822716</v>
      </c>
      <c r="X51" s="27">
        <v>415755.72845088318</v>
      </c>
      <c r="Z51" s="27">
        <v>528377.82003826927</v>
      </c>
      <c r="AB51" s="27">
        <v>660270.54496885091</v>
      </c>
      <c r="AD51" s="27">
        <v>823089.52800302533</v>
      </c>
      <c r="AF51" s="27">
        <v>1038252.8510509003</v>
      </c>
      <c r="AH51" s="27">
        <v>1343733.4931929628</v>
      </c>
      <c r="AJ51" s="27">
        <v>1799275.8565547541</v>
      </c>
      <c r="AL51" s="27">
        <v>2491304.7181101716</v>
      </c>
      <c r="AN51" s="27">
        <v>3520177.4353051386</v>
      </c>
      <c r="AP51" s="27">
        <v>3738562.299377535</v>
      </c>
      <c r="AQ51" s="27"/>
      <c r="AR51" s="27">
        <v>3897945.0956607284</v>
      </c>
      <c r="AT51" s="27">
        <v>3861821.431543042</v>
      </c>
      <c r="AV51" s="27">
        <v>3187936.1035526581</v>
      </c>
      <c r="XFD51" s="27"/>
    </row>
    <row r="52" spans="1:48 16321:16384" x14ac:dyDescent="0.2">
      <c r="A52" t="s">
        <v>151</v>
      </c>
      <c r="B52" s="27">
        <v>2073093.0976150823</v>
      </c>
      <c r="D52" s="27">
        <v>2069597.5023303945</v>
      </c>
      <c r="F52" s="27">
        <v>2065435.5741581798</v>
      </c>
      <c r="H52" s="27">
        <v>2060509.9656727072</v>
      </c>
      <c r="J52" s="27">
        <v>2054702.7982026031</v>
      </c>
      <c r="L52" s="27">
        <v>2047869.8861711873</v>
      </c>
      <c r="N52" s="27">
        <v>2039832.3377035207</v>
      </c>
      <c r="P52" s="27">
        <v>2030364.9558737746</v>
      </c>
      <c r="R52" s="27">
        <v>2019178.9926965055</v>
      </c>
      <c r="T52" s="27">
        <v>2005895.3968069854</v>
      </c>
      <c r="V52" s="27">
        <v>1990002.281883212</v>
      </c>
      <c r="X52" s="27">
        <v>1970783.1749708822</v>
      </c>
      <c r="Z52" s="27">
        <v>1947189.0680408818</v>
      </c>
      <c r="AB52" s="27">
        <v>1917595.3933811998</v>
      </c>
      <c r="AD52" s="27">
        <v>1879308.8404218815</v>
      </c>
      <c r="AF52" s="27">
        <v>1827503.5986077862</v>
      </c>
      <c r="AH52" s="27">
        <v>1752826.1528779767</v>
      </c>
      <c r="AJ52" s="27">
        <v>1635742.2070699055</v>
      </c>
      <c r="AL52" s="27">
        <v>1430615.7194607249</v>
      </c>
      <c r="AN52" s="27">
        <v>1002370.8549659426</v>
      </c>
      <c r="AP52" s="27">
        <v>858083.13653642742</v>
      </c>
      <c r="AQ52" s="27"/>
      <c r="AR52" s="27">
        <v>679345.78522550943</v>
      </c>
      <c r="AT52" s="27">
        <v>457273.37628733157</v>
      </c>
      <c r="AV52" s="27">
        <v>194237.14223739566</v>
      </c>
    </row>
    <row r="53" spans="1:48 16321:16384" x14ac:dyDescent="0.2">
      <c r="A53" t="s">
        <v>152</v>
      </c>
      <c r="B53" s="27">
        <v>2716869.1663849424</v>
      </c>
      <c r="D53" s="27">
        <v>2696330.4048177814</v>
      </c>
      <c r="F53" s="27">
        <v>2675040.9198918599</v>
      </c>
      <c r="H53" s="27">
        <v>2652883.8874636809</v>
      </c>
      <c r="J53" s="27">
        <v>2629719.8871346996</v>
      </c>
      <c r="L53" s="27">
        <v>2605381.1891259784</v>
      </c>
      <c r="N53" s="27">
        <v>2579664.4783955854</v>
      </c>
      <c r="P53" s="27">
        <v>2552320.2498813351</v>
      </c>
      <c r="R53" s="27">
        <v>2523037.6587337861</v>
      </c>
      <c r="T53" s="27">
        <v>2491421.5621327031</v>
      </c>
      <c r="V53" s="27">
        <v>2456955.2516373736</v>
      </c>
      <c r="X53" s="27">
        <v>2418936.0175288999</v>
      </c>
      <c r="Z53" s="27">
        <v>2376355.2590517341</v>
      </c>
      <c r="AB53" s="27">
        <v>2327656.3078205148</v>
      </c>
      <c r="AD53" s="27">
        <v>2270201.9895064021</v>
      </c>
      <c r="AF53" s="27">
        <v>2199011.3325344669</v>
      </c>
      <c r="AH53" s="27">
        <v>2103648.1577216443</v>
      </c>
      <c r="AJ53" s="27">
        <v>1960704.7470668857</v>
      </c>
      <c r="AL53" s="27">
        <v>1714252.5477151815</v>
      </c>
      <c r="AN53" s="27">
        <v>1201056.5989090439</v>
      </c>
      <c r="AP53" s="27">
        <v>1028168.1481549933</v>
      </c>
      <c r="AQ53" s="27"/>
      <c r="AR53" s="27">
        <v>814002.18188867788</v>
      </c>
      <c r="AT53" s="27">
        <v>547911.69790936715</v>
      </c>
      <c r="AV53" s="27">
        <v>232737.80313647658</v>
      </c>
      <c r="XFD53" s="27"/>
    </row>
    <row r="55" spans="1:48 16321:16384" x14ac:dyDescent="0.2">
      <c r="A55" t="s">
        <v>153</v>
      </c>
      <c r="B55" s="183">
        <v>0.19850271905982084</v>
      </c>
      <c r="D55" s="183">
        <v>0.20261911344415615</v>
      </c>
      <c r="F55" s="183">
        <v>0.20683942983587725</v>
      </c>
      <c r="H55" s="183">
        <v>0.21118097683557499</v>
      </c>
      <c r="J55" s="183">
        <v>0.21566476372069743</v>
      </c>
      <c r="L55" s="183">
        <v>0.22031676085711274</v>
      </c>
      <c r="N55" s="183">
        <v>0.2251698474352675</v>
      </c>
      <c r="P55" s="183">
        <v>0.23026676913970415</v>
      </c>
      <c r="R55" s="183">
        <v>0.23566494702579596</v>
      </c>
      <c r="T55" s="183">
        <v>0.241444576632664</v>
      </c>
      <c r="V55" s="183">
        <v>0.24772251818858618</v>
      </c>
      <c r="X55" s="183">
        <v>0.25467753888280503</v>
      </c>
      <c r="Z55" s="183">
        <v>0.26259769059112431</v>
      </c>
      <c r="AB55" s="183">
        <v>0.27197257228420263</v>
      </c>
      <c r="AD55" s="183">
        <v>0.28367704070570765</v>
      </c>
      <c r="AF55" s="183">
        <v>0.29932622128808573</v>
      </c>
      <c r="AH55" s="183">
        <v>0.32188124529158219</v>
      </c>
      <c r="AJ55" s="183">
        <v>0.35660287990680528</v>
      </c>
      <c r="AL55" s="183">
        <v>0.41425137355589658</v>
      </c>
      <c r="AN55" s="183">
        <v>0.5303621740979837</v>
      </c>
      <c r="AP55" s="183">
        <v>0.57095479115182934</v>
      </c>
      <c r="AR55" s="183">
        <v>0.62405598922691397</v>
      </c>
      <c r="AT55" s="183">
        <v>0.69746956740570398</v>
      </c>
      <c r="AV55" s="183">
        <v>0.80787226021664404</v>
      </c>
      <c r="XCS55" s="183"/>
      <c r="XFD55" s="183"/>
    </row>
    <row r="56" spans="1:48 16321:16384" x14ac:dyDescent="0.2">
      <c r="A56" t="s">
        <v>154</v>
      </c>
      <c r="B56" s="183">
        <v>2.9221206744340551E-2</v>
      </c>
      <c r="D56" s="183">
        <v>3.3705422555349973E-2</v>
      </c>
      <c r="F56" s="183">
        <v>3.831912651642496E-2</v>
      </c>
      <c r="H56" s="183">
        <v>4.308335606591164E-2</v>
      </c>
      <c r="J56" s="183">
        <v>4.8023711947254973E-2</v>
      </c>
      <c r="L56" s="183">
        <v>5.3171937414857096E-2</v>
      </c>
      <c r="N56" s="183">
        <v>5.8568348713334488E-2</v>
      </c>
      <c r="P56" s="183">
        <v>6.4265542096777262E-2</v>
      </c>
      <c r="R56" s="183">
        <v>7.0334402802355894E-2</v>
      </c>
      <c r="T56" s="183">
        <v>7.6874189394570552E-2</v>
      </c>
      <c r="V56" s="183">
        <v>8.4029812652465299E-2</v>
      </c>
      <c r="X56" s="183">
        <v>9.2023088508507295E-2</v>
      </c>
      <c r="Z56" s="183">
        <v>0.10121116846271991</v>
      </c>
      <c r="AB56" s="183">
        <v>0.11219979122085856</v>
      </c>
      <c r="AD56" s="183">
        <v>0.12606739577147713</v>
      </c>
      <c r="AF56" s="183">
        <v>0.14479475382747647</v>
      </c>
      <c r="AH56" s="183">
        <v>0.17198928554074591</v>
      </c>
      <c r="AJ56" s="183">
        <v>0.21401444351950458</v>
      </c>
      <c r="AL56" s="183">
        <v>0.28384859562026132</v>
      </c>
      <c r="AN56" s="183">
        <v>0.42444155999051519</v>
      </c>
      <c r="AP56" s="183">
        <v>0.47357528509449581</v>
      </c>
      <c r="AR56" s="183">
        <v>0.53783935571027031</v>
      </c>
      <c r="AT56" s="183">
        <v>0.62667026389845837</v>
      </c>
      <c r="AV56" s="183">
        <v>0.760231057202717</v>
      </c>
      <c r="XFD56" s="183"/>
    </row>
    <row r="57" spans="1:48 16321:16384" x14ac:dyDescent="0.2">
      <c r="A57" t="s">
        <v>155</v>
      </c>
      <c r="B57" s="183">
        <v>0.15852881819439493</v>
      </c>
      <c r="D57" s="183">
        <v>0.15824270523526524</v>
      </c>
      <c r="F57" s="183">
        <v>0.15793203305377235</v>
      </c>
      <c r="H57" s="183">
        <v>0.157593324679486</v>
      </c>
      <c r="J57" s="183">
        <v>0.15722229159341963</v>
      </c>
      <c r="L57" s="183">
        <v>0.15681352768975768</v>
      </c>
      <c r="N57" s="183">
        <v>0.1563600369660243</v>
      </c>
      <c r="P57" s="183">
        <v>0.15585250153608834</v>
      </c>
      <c r="R57" s="183">
        <v>0.15527809980577562</v>
      </c>
      <c r="T57" s="183">
        <v>0.15461853714499157</v>
      </c>
      <c r="V57" s="183">
        <v>0.15384667388042353</v>
      </c>
      <c r="X57" s="183">
        <v>0.1529205218087554</v>
      </c>
      <c r="Y57" s="183"/>
      <c r="Z57" s="183">
        <v>0.15177217614158703</v>
      </c>
      <c r="AB57" s="183">
        <v>0.15028676355268045</v>
      </c>
      <c r="AD57" s="183">
        <v>0.1482619063956491</v>
      </c>
      <c r="AF57" s="183">
        <v>0.14533300295248261</v>
      </c>
      <c r="AH57" s="183">
        <v>0.14085543622438826</v>
      </c>
      <c r="AJ57" s="183">
        <v>0.13373336383111159</v>
      </c>
      <c r="AL57" s="183">
        <v>0.12177307369547248</v>
      </c>
      <c r="AN57" s="183">
        <v>9.763649898447696E-2</v>
      </c>
      <c r="AP57" s="183">
        <v>8.9197427729087328E-2</v>
      </c>
      <c r="AR57" s="183">
        <v>7.8157830483015597E-2</v>
      </c>
      <c r="AT57" s="183">
        <v>6.2895331213080774E-2</v>
      </c>
      <c r="AV57" s="183">
        <v>3.9942883793459678E-2</v>
      </c>
      <c r="XFD57" s="183"/>
    </row>
    <row r="58" spans="1:48 16321:16384" x14ac:dyDescent="0.2">
      <c r="A58" t="s">
        <v>156</v>
      </c>
      <c r="B58" s="183">
        <v>1.075269412108535E-2</v>
      </c>
      <c r="D58" s="183">
        <v>1.0670985653540943E-2</v>
      </c>
      <c r="F58" s="183">
        <v>1.0588270265679921E-2</v>
      </c>
      <c r="H58" s="183">
        <v>1.050429609017735E-2</v>
      </c>
      <c r="J58" s="183">
        <v>1.04187601800228E-2</v>
      </c>
      <c r="L58" s="183">
        <v>1.0331295752498016E-2</v>
      </c>
      <c r="N58" s="183">
        <v>1.0241461755908725E-2</v>
      </c>
      <c r="P58" s="183">
        <v>1.0148725506838518E-2</v>
      </c>
      <c r="R58" s="183">
        <v>1.0052444417664464E-2</v>
      </c>
      <c r="T58" s="183">
        <v>9.9518500931019046E-3</v>
      </c>
      <c r="V58" s="183">
        <v>9.8460316556973487E-3</v>
      </c>
      <c r="X58" s="183">
        <v>9.7339285655423328E-3</v>
      </c>
      <c r="Y58" s="183"/>
      <c r="Z58" s="183">
        <v>9.614345986817336E-3</v>
      </c>
      <c r="AB58" s="183">
        <v>9.4860175106635976E-3</v>
      </c>
      <c r="AD58" s="183">
        <v>9.3477385385814446E-3</v>
      </c>
      <c r="AF58" s="183">
        <v>9.1984645081266327E-3</v>
      </c>
      <c r="AH58" s="183">
        <v>9.0365235264479767E-3</v>
      </c>
      <c r="AJ58" s="183">
        <v>8.8550725561890222E-3</v>
      </c>
      <c r="AL58" s="183">
        <v>8.6297042401627579E-3</v>
      </c>
      <c r="AN58" s="183">
        <v>8.2841151229915855E-3</v>
      </c>
      <c r="AP58" s="183">
        <v>8.18207832824616E-3</v>
      </c>
      <c r="AR58" s="183">
        <v>8.0588030336281088E-3</v>
      </c>
      <c r="AT58" s="183">
        <v>7.9039722941648613E-3</v>
      </c>
      <c r="AV58" s="183">
        <v>7.6983192204674164E-3</v>
      </c>
      <c r="XFD58" s="183"/>
    </row>
    <row r="59" spans="1:48 16321:16384" x14ac:dyDescent="0.2">
      <c r="A59" t="s">
        <v>157</v>
      </c>
      <c r="B59" s="183">
        <v>5.5174232040962052E-4</v>
      </c>
      <c r="D59" s="183">
        <v>5.0920548775887434E-3</v>
      </c>
      <c r="F59" s="183">
        <v>9.7629848002964183E-3</v>
      </c>
      <c r="H59" s="183">
        <v>1.4585741883194833E-2</v>
      </c>
      <c r="J59" s="183">
        <v>1.958613345688703E-2</v>
      </c>
      <c r="L59" s="183">
        <v>2.4796156322177403E-2</v>
      </c>
      <c r="N59" s="183">
        <v>3.0256445012295127E-2</v>
      </c>
      <c r="P59" s="183">
        <v>3.6020009441378106E-2</v>
      </c>
      <c r="R59" s="183">
        <v>4.2158293670515691E-2</v>
      </c>
      <c r="T59" s="183">
        <v>4.8771344502449021E-2</v>
      </c>
      <c r="V59" s="183">
        <v>5.6005240317984414E-2</v>
      </c>
      <c r="X59" s="183">
        <v>6.4083619440024248E-2</v>
      </c>
      <c r="Z59" s="183">
        <v>7.3366633163374356E-2</v>
      </c>
      <c r="AB59" s="183">
        <v>8.4465217227914377E-2</v>
      </c>
      <c r="AD59" s="183">
        <v>9.8467202526741196E-2</v>
      </c>
      <c r="AF59" s="183">
        <v>0.11737059622924259</v>
      </c>
      <c r="AH59" s="183">
        <v>0.14481302433098284</v>
      </c>
      <c r="AJ59" s="183">
        <v>0.18720509492874621</v>
      </c>
      <c r="AL59" s="183">
        <v>0.25760284970683051</v>
      </c>
      <c r="AN59" s="183">
        <v>0.39917580577208228</v>
      </c>
      <c r="AP59" s="183">
        <v>0.44861299317158893</v>
      </c>
      <c r="AR59" s="183">
        <v>0.51324917228768585</v>
      </c>
      <c r="AT59" s="183">
        <v>0.6025540044143044</v>
      </c>
      <c r="AV59" s="183">
        <v>0.73675252928504031</v>
      </c>
      <c r="XFD59" s="183"/>
    </row>
    <row r="60" spans="1:48 16321:16384" x14ac:dyDescent="0.2">
      <c r="A60" t="s">
        <v>158</v>
      </c>
      <c r="B60" s="183">
        <v>2.8669464423930927E-2</v>
      </c>
      <c r="D60" s="183">
        <v>2.8613367677761226E-2</v>
      </c>
      <c r="F60" s="183">
        <v>2.8556141716128539E-2</v>
      </c>
      <c r="H60" s="183">
        <v>2.8497614182716808E-2</v>
      </c>
      <c r="J60" s="183">
        <v>2.8437578490367942E-2</v>
      </c>
      <c r="L60" s="183">
        <v>2.8375781092679696E-2</v>
      </c>
      <c r="N60" s="183">
        <v>2.8311903701039365E-2</v>
      </c>
      <c r="P60" s="183">
        <v>2.8245532655399155E-2</v>
      </c>
      <c r="R60" s="183">
        <v>2.81761091318402E-2</v>
      </c>
      <c r="T60" s="183">
        <v>2.8102844892121521E-2</v>
      </c>
      <c r="V60" s="183">
        <v>2.8024572334480875E-2</v>
      </c>
      <c r="X60" s="183">
        <v>2.793946906848304E-2</v>
      </c>
      <c r="Z60" s="183">
        <v>2.7844535299345548E-2</v>
      </c>
      <c r="AB60" s="183">
        <v>2.7734573992944187E-2</v>
      </c>
      <c r="AD60" s="183">
        <v>2.7600193244735945E-2</v>
      </c>
      <c r="AF60" s="183">
        <v>2.742415759823388E-2</v>
      </c>
      <c r="AH60" s="183">
        <v>2.7176261209763072E-2</v>
      </c>
      <c r="AJ60" s="183">
        <v>2.6809348590758394E-2</v>
      </c>
      <c r="AL60" s="183">
        <v>2.6245745913430797E-2</v>
      </c>
      <c r="AN60" s="183">
        <v>2.5265754218432936E-2</v>
      </c>
      <c r="AP60" s="183">
        <v>2.4962291922906926E-2</v>
      </c>
      <c r="AR60" s="183">
        <v>2.4590183422584386E-2</v>
      </c>
      <c r="AT60" s="183">
        <v>2.4116259484154058E-2</v>
      </c>
      <c r="AV60" s="183">
        <v>2.3478527917676694E-2</v>
      </c>
      <c r="XFD60" s="183"/>
    </row>
    <row r="62" spans="1:48 16321:16384" x14ac:dyDescent="0.2">
      <c r="A62" t="s">
        <v>159</v>
      </c>
      <c r="B62">
        <v>1</v>
      </c>
      <c r="D62">
        <v>1.0059182836062646</v>
      </c>
      <c r="F62">
        <v>1.0118849636681972</v>
      </c>
      <c r="H62">
        <v>1.0179030055600569</v>
      </c>
      <c r="J62">
        <v>1.0239752068939378</v>
      </c>
      <c r="L62">
        <v>1.0301038395081035</v>
      </c>
      <c r="N62">
        <v>1.0362896680453806</v>
      </c>
      <c r="P62">
        <v>1.0425307231842513</v>
      </c>
      <c r="R62">
        <v>1.048820110066272</v>
      </c>
      <c r="T62">
        <v>1.0551421750027699</v>
      </c>
      <c r="V62">
        <v>1.0614663895589393</v>
      </c>
      <c r="X62">
        <v>1.0677372256278832</v>
      </c>
      <c r="Z62">
        <v>1.0738575519011682</v>
      </c>
      <c r="AB62">
        <v>1.079662563610809</v>
      </c>
      <c r="AD62">
        <v>1.084884679177196</v>
      </c>
      <c r="AF62">
        <v>1.0891324373566553</v>
      </c>
      <c r="AH62">
        <v>1.0919824524383519</v>
      </c>
      <c r="AJ62">
        <v>1.0933333082164904</v>
      </c>
      <c r="AL62">
        <v>1.0936997390944434</v>
      </c>
      <c r="AN62">
        <v>1.0937419667525159</v>
      </c>
      <c r="AP62">
        <v>1.0937426331039877</v>
      </c>
      <c r="AR62">
        <v>1.0937428719589748</v>
      </c>
      <c r="AT62">
        <v>1.0937429406178076</v>
      </c>
      <c r="AV62">
        <v>1.0937429547612518</v>
      </c>
    </row>
    <row r="65" spans="1:48 16384:16384" x14ac:dyDescent="0.2">
      <c r="A65" t="s">
        <v>160</v>
      </c>
      <c r="B65" s="181">
        <v>1</v>
      </c>
      <c r="C65" s="181"/>
      <c r="D65" s="181">
        <v>0.99859201583249058</v>
      </c>
      <c r="E65" s="181"/>
      <c r="F65" s="181">
        <v>0.9971404657110885</v>
      </c>
      <c r="G65" s="181"/>
      <c r="H65" s="181">
        <v>0.99563794094640756</v>
      </c>
      <c r="I65" s="181"/>
      <c r="J65" s="181">
        <v>0.99407598565409772</v>
      </c>
      <c r="K65" s="181"/>
      <c r="L65" s="181">
        <v>0.99244517278773703</v>
      </c>
      <c r="M65" s="181"/>
      <c r="N65" s="181">
        <v>0.99073540023465112</v>
      </c>
      <c r="O65" s="181"/>
      <c r="P65" s="181">
        <v>0.98893658112305316</v>
      </c>
      <c r="Q65" s="181"/>
      <c r="R65" s="181">
        <v>0.98704008906454754</v>
      </c>
      <c r="S65" s="181"/>
      <c r="T65" s="181">
        <v>0.98504158180908519</v>
      </c>
      <c r="U65" s="181"/>
      <c r="V65" s="181">
        <v>0.98294641339056621</v>
      </c>
      <c r="W65" s="181"/>
      <c r="X65" s="181">
        <v>0.98077995741671009</v>
      </c>
      <c r="Y65" s="181"/>
      <c r="Z65" s="181">
        <v>0.9786073415642953</v>
      </c>
      <c r="AA65" s="181"/>
      <c r="AB65" s="181">
        <v>0.9765709097049794</v>
      </c>
      <c r="AC65" s="181"/>
      <c r="AD65" s="181">
        <v>0.97495771892604088</v>
      </c>
      <c r="AE65" s="181"/>
      <c r="AF65" s="181">
        <v>0.9742957534633846</v>
      </c>
      <c r="AG65" s="181"/>
      <c r="AH65" s="181">
        <v>0.97536761662170901</v>
      </c>
      <c r="AI65" s="181"/>
      <c r="AJ65" s="181">
        <v>0.97875788413129694</v>
      </c>
      <c r="AK65" s="181"/>
      <c r="AL65" s="181">
        <v>0.98387935968713292</v>
      </c>
      <c r="AM65" s="181"/>
      <c r="AN65" s="181">
        <v>0.98865456863128442</v>
      </c>
      <c r="AO65" s="181"/>
      <c r="AP65" s="181">
        <v>0.98923833074003409</v>
      </c>
      <c r="AQ65" s="181"/>
      <c r="AR65" s="181">
        <v>0.98954537500122253</v>
      </c>
      <c r="AS65" s="181"/>
      <c r="AT65" s="181">
        <v>0.98942239012507349</v>
      </c>
      <c r="AU65" s="181"/>
      <c r="AV65" s="181">
        <v>0.98857297294583213</v>
      </c>
    </row>
    <row r="66" spans="1:48 16384:16384" x14ac:dyDescent="0.2">
      <c r="A66" t="s">
        <v>166</v>
      </c>
      <c r="B66" s="181">
        <v>1</v>
      </c>
      <c r="C66" s="181"/>
      <c r="D66" s="181">
        <v>0.9984517562536368</v>
      </c>
      <c r="E66" s="181"/>
      <c r="F66" s="181">
        <v>0.99685384956406742</v>
      </c>
      <c r="G66" s="181"/>
      <c r="H66" s="181">
        <v>0.99519793389691469</v>
      </c>
      <c r="I66" s="181"/>
      <c r="J66" s="181">
        <v>0.99347445818484592</v>
      </c>
      <c r="K66" s="181"/>
      <c r="L66" s="181">
        <v>0.99167273804700906</v>
      </c>
      <c r="M66" s="181"/>
      <c r="N66" s="181">
        <v>0.98978126990035897</v>
      </c>
      <c r="O66" s="181"/>
      <c r="P66" s="181">
        <v>0.98778848288022292</v>
      </c>
      <c r="Q66" s="181"/>
      <c r="R66" s="181">
        <v>0.98568433430930602</v>
      </c>
      <c r="S66" s="181"/>
      <c r="T66" s="181">
        <v>0.98346345370395039</v>
      </c>
      <c r="U66" s="181"/>
      <c r="V66" s="181">
        <v>0.98113120702614487</v>
      </c>
      <c r="W66" s="181"/>
      <c r="X66" s="181">
        <v>0.97871532031016806</v>
      </c>
      <c r="Y66" s="181"/>
      <c r="Z66" s="181">
        <v>0.97628818062295242</v>
      </c>
      <c r="AA66" s="181"/>
      <c r="AB66" s="181">
        <v>0.97400926431848045</v>
      </c>
      <c r="AC66" s="181"/>
      <c r="AD66" s="181">
        <v>0.97220159552117325</v>
      </c>
      <c r="AE66" s="181"/>
      <c r="AF66" s="181">
        <v>0.97146026497863902</v>
      </c>
      <c r="AG66" s="181"/>
      <c r="AH66" s="181">
        <v>0.97266534578012664</v>
      </c>
      <c r="AI66" s="181"/>
      <c r="AJ66" s="181">
        <v>0.97646471639466381</v>
      </c>
      <c r="AK66" s="181"/>
      <c r="AL66" s="181">
        <v>0.98218053841940811</v>
      </c>
      <c r="AM66" s="181"/>
      <c r="AN66" s="181">
        <v>0.98748567867796821</v>
      </c>
      <c r="AO66" s="181"/>
      <c r="AP66" s="181">
        <v>0.98813265481214052</v>
      </c>
      <c r="AQ66" s="181"/>
      <c r="AR66" s="181">
        <v>0.98847281220050909</v>
      </c>
      <c r="AS66" s="181"/>
      <c r="AT66" s="181">
        <v>0.98833657532353758</v>
      </c>
      <c r="AU66" s="181"/>
      <c r="AV66" s="181">
        <v>0.98739522054327267</v>
      </c>
      <c r="XFD66" s="181"/>
    </row>
    <row r="67" spans="1:48 16384:16384" x14ac:dyDescent="0.2">
      <c r="A67" t="s">
        <v>167</v>
      </c>
      <c r="B67" s="181">
        <v>1</v>
      </c>
      <c r="C67" s="181"/>
      <c r="D67" s="181">
        <v>1</v>
      </c>
      <c r="E67" s="181"/>
      <c r="F67" s="181">
        <v>1</v>
      </c>
      <c r="G67" s="181"/>
      <c r="H67" s="181">
        <v>1</v>
      </c>
      <c r="I67" s="181"/>
      <c r="J67" s="181">
        <v>1</v>
      </c>
      <c r="K67" s="181"/>
      <c r="L67" s="181">
        <v>1</v>
      </c>
      <c r="M67" s="181"/>
      <c r="N67" s="181">
        <v>1</v>
      </c>
      <c r="O67" s="181"/>
      <c r="P67" s="181">
        <v>1</v>
      </c>
      <c r="Q67" s="181"/>
      <c r="R67" s="181">
        <v>1</v>
      </c>
      <c r="S67" s="181"/>
      <c r="T67" s="181">
        <v>1</v>
      </c>
      <c r="U67" s="181"/>
      <c r="V67" s="181">
        <v>1</v>
      </c>
      <c r="W67" s="181"/>
      <c r="X67" s="181">
        <v>1</v>
      </c>
      <c r="Y67" s="181"/>
      <c r="Z67" s="181">
        <v>1</v>
      </c>
      <c r="AA67" s="181"/>
      <c r="AB67" s="181">
        <v>1</v>
      </c>
      <c r="AC67" s="181"/>
      <c r="AD67" s="181">
        <v>1</v>
      </c>
      <c r="AE67" s="181"/>
      <c r="AF67" s="181">
        <v>1</v>
      </c>
      <c r="AG67" s="181"/>
      <c r="AH67" s="181">
        <v>1</v>
      </c>
      <c r="AI67" s="181"/>
      <c r="AJ67" s="181">
        <v>1</v>
      </c>
      <c r="AK67" s="181"/>
      <c r="AL67" s="181">
        <v>1</v>
      </c>
      <c r="AM67" s="181"/>
      <c r="AN67" s="181">
        <v>1</v>
      </c>
      <c r="AO67" s="181"/>
      <c r="AP67" s="181">
        <v>1</v>
      </c>
      <c r="AQ67" s="181"/>
      <c r="AR67" s="181">
        <v>1</v>
      </c>
      <c r="AS67" s="181"/>
      <c r="AT67" s="181">
        <v>1</v>
      </c>
      <c r="AU67" s="181"/>
      <c r="AV67" s="181">
        <v>1</v>
      </c>
      <c r="XFD67" s="181"/>
    </row>
    <row r="68" spans="1:48 16384:16384" x14ac:dyDescent="0.2">
      <c r="A68" t="s">
        <v>165</v>
      </c>
      <c r="B68" s="181">
        <v>1</v>
      </c>
      <c r="C68" s="181"/>
      <c r="D68" s="181">
        <v>0.9984517562536368</v>
      </c>
      <c r="E68" s="181"/>
      <c r="F68" s="181">
        <v>0.99685384956406742</v>
      </c>
      <c r="G68" s="181"/>
      <c r="H68" s="181">
        <v>0.99519793389691469</v>
      </c>
      <c r="I68" s="181"/>
      <c r="J68" s="181">
        <v>0.99347445818484592</v>
      </c>
      <c r="K68" s="181"/>
      <c r="L68" s="181">
        <v>0.99167273804700906</v>
      </c>
      <c r="M68" s="181"/>
      <c r="N68" s="181">
        <v>0.98978126990035897</v>
      </c>
      <c r="O68" s="181"/>
      <c r="P68" s="181">
        <v>0.98778848288022292</v>
      </c>
      <c r="Q68" s="181"/>
      <c r="R68" s="181">
        <v>0.98568433430930602</v>
      </c>
      <c r="S68" s="181"/>
      <c r="T68" s="181">
        <v>0.98346345370395039</v>
      </c>
      <c r="U68" s="181"/>
      <c r="V68" s="181">
        <v>0.98113120702614487</v>
      </c>
      <c r="W68" s="181"/>
      <c r="X68" s="181">
        <v>0.97871532031016806</v>
      </c>
      <c r="Y68" s="181"/>
      <c r="Z68" s="181">
        <v>0.97628818062295242</v>
      </c>
      <c r="AA68" s="181"/>
      <c r="AB68" s="181">
        <v>0.97400926431848045</v>
      </c>
      <c r="AC68" s="181"/>
      <c r="AD68" s="181">
        <v>0.97220159552117325</v>
      </c>
      <c r="AE68" s="181"/>
      <c r="AF68" s="181">
        <v>0.97146026497863902</v>
      </c>
      <c r="AG68" s="181"/>
      <c r="AH68" s="181">
        <v>0.97266534578012664</v>
      </c>
      <c r="AI68" s="181"/>
      <c r="AJ68" s="181">
        <v>0.97646471639466381</v>
      </c>
      <c r="AK68" s="181"/>
      <c r="AL68" s="181">
        <v>0.98218053841940811</v>
      </c>
      <c r="AM68" s="181"/>
      <c r="AN68" s="181">
        <v>0.98748567867796821</v>
      </c>
      <c r="AO68" s="181"/>
      <c r="AP68" s="181">
        <v>0.98813265481214052</v>
      </c>
      <c r="AQ68" s="181"/>
      <c r="AR68" s="181">
        <v>0.98847281220050909</v>
      </c>
      <c r="AS68" s="181"/>
      <c r="AT68" s="181">
        <v>0.98833657532353758</v>
      </c>
      <c r="AU68" s="181"/>
      <c r="AV68" s="181">
        <v>0.98739522054327267</v>
      </c>
      <c r="XFD68" s="181"/>
    </row>
    <row r="69" spans="1:48 16384:16384" x14ac:dyDescent="0.2">
      <c r="A69" t="s">
        <v>161</v>
      </c>
      <c r="B69" s="181">
        <v>1</v>
      </c>
      <c r="C69" s="181"/>
      <c r="D69" s="181">
        <v>1.0015289785555348</v>
      </c>
      <c r="E69" s="181"/>
      <c r="F69" s="181">
        <v>1.0029389599012843</v>
      </c>
      <c r="G69" s="181"/>
      <c r="H69" s="181">
        <v>1.0042107820083273</v>
      </c>
      <c r="I69" s="181"/>
      <c r="J69" s="181">
        <v>1.005320929829697</v>
      </c>
      <c r="K69" s="181"/>
      <c r="L69" s="181">
        <v>1.0062403481049549</v>
      </c>
      <c r="M69" s="181"/>
      <c r="N69" s="181">
        <v>1.0069326964785943</v>
      </c>
      <c r="O69" s="181"/>
      <c r="P69" s="181">
        <v>1.0073521228780264</v>
      </c>
      <c r="Q69" s="181"/>
      <c r="R69" s="181">
        <v>1.0074401053094406</v>
      </c>
      <c r="S69" s="181"/>
      <c r="T69" s="181">
        <v>1.0071208201288337</v>
      </c>
      <c r="U69" s="181"/>
      <c r="V69" s="181">
        <v>1.0062943564966955</v>
      </c>
      <c r="W69" s="181"/>
      <c r="X69" s="181">
        <v>1.0048261036197557</v>
      </c>
      <c r="Y69" s="181"/>
      <c r="Z69" s="181">
        <v>1.002528917129883</v>
      </c>
      <c r="AA69" s="181"/>
      <c r="AB69" s="181">
        <v>0.99912972284624169</v>
      </c>
      <c r="AC69" s="181"/>
      <c r="AD69" s="181">
        <v>0.99419645669163381</v>
      </c>
      <c r="AE69" s="181"/>
      <c r="AF69" s="181">
        <v>0.98694420254539583</v>
      </c>
      <c r="AG69" s="181"/>
      <c r="AH69" s="181">
        <v>0.97563262694565345</v>
      </c>
      <c r="AI69" s="181"/>
      <c r="AJ69" s="181">
        <v>0.9556288099469229</v>
      </c>
      <c r="AK69" s="181"/>
      <c r="AL69" s="181">
        <v>0.91310199365386224</v>
      </c>
      <c r="AM69" s="181"/>
      <c r="AN69" s="181">
        <v>0.79407417329659269</v>
      </c>
      <c r="AO69" s="181"/>
      <c r="AP69" s="181">
        <v>0.74364475154977905</v>
      </c>
      <c r="AQ69" s="181"/>
      <c r="AR69" s="181">
        <v>0.6716949648070919</v>
      </c>
      <c r="AS69" s="181"/>
      <c r="AT69" s="181">
        <v>0.56190796753386985</v>
      </c>
      <c r="AU69" s="181"/>
      <c r="AV69" s="181">
        <v>0.3761608095396004</v>
      </c>
    </row>
    <row r="70" spans="1:48 16384:16384" x14ac:dyDescent="0.2">
      <c r="A70" t="s">
        <v>162</v>
      </c>
      <c r="B70" s="129">
        <v>1</v>
      </c>
      <c r="C70" s="129"/>
      <c r="D70" s="129">
        <v>1.0003300175692269</v>
      </c>
      <c r="E70" s="129"/>
      <c r="F70" s="129">
        <v>1.0005244815577077</v>
      </c>
      <c r="G70" s="129"/>
      <c r="H70" s="129">
        <v>1.0005630352122967</v>
      </c>
      <c r="I70" s="129"/>
      <c r="J70" s="129">
        <v>1.000420561061756</v>
      </c>
      <c r="K70" s="129"/>
      <c r="L70" s="129">
        <v>1.0000655648964187</v>
      </c>
      <c r="M70" s="129"/>
      <c r="N70" s="129">
        <v>0.99945771584545229</v>
      </c>
      <c r="O70" s="129"/>
      <c r="P70" s="129">
        <v>0.99854424277854881</v>
      </c>
      <c r="Q70" s="129"/>
      <c r="R70" s="129">
        <v>0.99725430844792773</v>
      </c>
      <c r="S70" s="129"/>
      <c r="T70" s="129">
        <v>0.99548991840958068</v>
      </c>
      <c r="U70" s="129"/>
      <c r="V70" s="129">
        <v>0.99311088039763462</v>
      </c>
      <c r="W70" s="129"/>
      <c r="X70" s="129">
        <v>0.98990871242262113</v>
      </c>
      <c r="Y70" s="129"/>
      <c r="Z70" s="129">
        <v>0.98555937505703251</v>
      </c>
      <c r="AA70" s="129"/>
      <c r="AB70" s="129">
        <v>0.97953366995952018</v>
      </c>
      <c r="AC70" s="129"/>
      <c r="AD70" s="129">
        <v>0.97092068661457243</v>
      </c>
      <c r="AE70" s="129"/>
      <c r="AF70" s="129">
        <v>0.95807456724848383</v>
      </c>
      <c r="AG70" s="129"/>
      <c r="AH70" s="129">
        <v>0.93791802175427386</v>
      </c>
      <c r="AI70" s="129"/>
      <c r="AJ70" s="129">
        <v>0.90443479661080683</v>
      </c>
      <c r="AK70" s="129"/>
      <c r="AL70" s="129">
        <v>0.84346953891989052</v>
      </c>
      <c r="AM70" s="129"/>
      <c r="AN70" s="129">
        <v>0.70419509696353189</v>
      </c>
      <c r="AO70" s="129"/>
      <c r="AP70" s="129">
        <v>0.65133727128317642</v>
      </c>
      <c r="AQ70" s="129"/>
      <c r="AR70" s="129">
        <v>0.5794479105146243</v>
      </c>
      <c r="AS70" s="129"/>
      <c r="AT70" s="129">
        <v>0.4754292217477305</v>
      </c>
      <c r="AU70" s="129"/>
      <c r="AV70" s="129">
        <v>0.31000178058104155</v>
      </c>
    </row>
    <row r="71" spans="1:48 16384:16384" x14ac:dyDescent="0.2">
      <c r="A71" t="s">
        <v>163</v>
      </c>
      <c r="B71" s="129">
        <v>1</v>
      </c>
      <c r="D71" s="129">
        <v>0.92973571562710022</v>
      </c>
      <c r="E71" s="129"/>
      <c r="F71" s="129">
        <v>0.8595114897265913</v>
      </c>
      <c r="G71" s="129"/>
      <c r="H71" s="129">
        <v>0.78934736426650587</v>
      </c>
      <c r="I71" s="129"/>
      <c r="J71" s="129">
        <v>0.71927521974770425</v>
      </c>
      <c r="K71" s="129"/>
      <c r="L71" s="129">
        <v>0.64934488458521855</v>
      </c>
      <c r="M71" s="129"/>
      <c r="N71" s="129">
        <v>0.57963614648398099</v>
      </c>
      <c r="O71" s="129"/>
      <c r="P71" s="129">
        <v>0.51027411983858351</v>
      </c>
      <c r="Q71" s="129"/>
      <c r="R71" s="129">
        <v>0.44145400628827386</v>
      </c>
      <c r="S71" s="129"/>
      <c r="T71" s="129">
        <v>0.37348078726326916</v>
      </c>
      <c r="U71" s="129"/>
      <c r="V71" s="129">
        <v>0.30682909213981363</v>
      </c>
      <c r="W71" s="129"/>
      <c r="X71" s="129">
        <v>0.24223609464936763</v>
      </c>
      <c r="Y71" s="129"/>
      <c r="Z71" s="129">
        <v>0.18084305220833738</v>
      </c>
      <c r="AA71" s="129"/>
      <c r="AB71" s="129">
        <v>0.12439681976296842</v>
      </c>
      <c r="AC71" s="129"/>
      <c r="AD71" s="129">
        <v>7.5472838903950401E-2</v>
      </c>
      <c r="AE71" s="129"/>
      <c r="AF71" s="129">
        <v>3.7453826013339131E-2</v>
      </c>
      <c r="AG71" s="129"/>
      <c r="AH71" s="129">
        <v>1.3384622181558007E-2</v>
      </c>
      <c r="AI71" s="129"/>
      <c r="AJ71" s="129">
        <v>2.8242583437964762E-3</v>
      </c>
      <c r="AK71" s="129"/>
      <c r="AL71" s="129">
        <v>2.5503992932173017E-4</v>
      </c>
      <c r="AM71" s="129"/>
      <c r="AN71" s="129">
        <v>4.3496907535054888E-6</v>
      </c>
      <c r="AO71" s="129"/>
      <c r="AP71" s="129">
        <v>1.28595688885735E-6</v>
      </c>
      <c r="AQ71" s="129"/>
      <c r="AR71" s="129">
        <v>2.9462064798951166E-7</v>
      </c>
      <c r="AS71" s="129"/>
      <c r="AT71" s="129">
        <v>4.5654006829210998E-8</v>
      </c>
      <c r="AU71" s="129"/>
      <c r="AV71" s="129">
        <v>3.458888345427421E-9</v>
      </c>
      <c r="XFD71" s="129"/>
    </row>
    <row r="72" spans="1:48 16384:16384" x14ac:dyDescent="0.2">
      <c r="A72" t="s">
        <v>164</v>
      </c>
      <c r="B72" s="129">
        <v>1</v>
      </c>
      <c r="D72" s="129">
        <v>1.0255545366377428</v>
      </c>
      <c r="E72" s="129"/>
      <c r="F72" s="129">
        <v>1.0547979874687159</v>
      </c>
      <c r="G72" s="129"/>
      <c r="H72" s="129">
        <v>1.0882003098299859</v>
      </c>
      <c r="I72" s="129"/>
      <c r="J72" s="129">
        <v>1.1262818478092005</v>
      </c>
      <c r="K72" s="129"/>
      <c r="L72" s="129">
        <v>1.1696033023552925</v>
      </c>
      <c r="M72" s="129"/>
      <c r="N72" s="129">
        <v>1.2187425089377226</v>
      </c>
      <c r="O72" s="129"/>
      <c r="P72" s="129">
        <v>1.2742429241611315</v>
      </c>
      <c r="Q72" s="129"/>
      <c r="R72" s="129">
        <v>1.3365135901359659</v>
      </c>
      <c r="S72" s="129"/>
      <c r="T72" s="129">
        <v>1.4056426798487716</v>
      </c>
      <c r="U72" s="129"/>
      <c r="V72" s="129">
        <v>1.4810426298299302</v>
      </c>
      <c r="W72" s="129"/>
      <c r="X72" s="129">
        <v>1.5607885936746517</v>
      </c>
      <c r="Y72" s="129"/>
      <c r="Z72" s="129">
        <v>1.6403696516052586</v>
      </c>
      <c r="AA72" s="129"/>
      <c r="AB72" s="129">
        <v>1.7103501564929051</v>
      </c>
      <c r="AC72" s="129"/>
      <c r="AD72" s="129">
        <v>1.7522385562463139</v>
      </c>
      <c r="AE72" s="129"/>
      <c r="AF72" s="129">
        <v>1.732778125381689</v>
      </c>
      <c r="AG72" s="129"/>
      <c r="AH72" s="129">
        <v>1.6035127287875528</v>
      </c>
      <c r="AI72" s="129"/>
      <c r="AJ72" s="129">
        <v>1.3270836972224656</v>
      </c>
      <c r="AK72" s="129"/>
      <c r="AL72" s="129">
        <v>0.92606336416065149</v>
      </c>
      <c r="AM72" s="129"/>
      <c r="AN72" s="129">
        <v>0.4685435371589351</v>
      </c>
      <c r="AO72" s="129"/>
      <c r="AP72" s="129">
        <v>0.37503512653668825</v>
      </c>
      <c r="AQ72" s="129"/>
      <c r="AR72" s="129">
        <v>0.28135609460924854</v>
      </c>
      <c r="AS72" s="129"/>
      <c r="AT72" s="129">
        <v>0.18759540041267833</v>
      </c>
      <c r="AU72" s="129"/>
      <c r="AV72" s="129">
        <v>9.3802400064121272E-2</v>
      </c>
      <c r="XFD72" s="129"/>
    </row>
    <row r="73" spans="1:48 16384:16384" x14ac:dyDescent="0.2">
      <c r="A73" t="s">
        <v>168</v>
      </c>
      <c r="B73" s="183">
        <v>0.47641153352875076</v>
      </c>
      <c r="D73" s="183">
        <v>0.47641153389258573</v>
      </c>
      <c r="E73" s="129"/>
      <c r="F73" s="183">
        <v>0.47641153395359798</v>
      </c>
      <c r="G73" s="129"/>
      <c r="H73" s="183">
        <v>0.47641153411233106</v>
      </c>
      <c r="I73" s="129"/>
      <c r="J73" s="183">
        <v>0.47641153546888776</v>
      </c>
      <c r="K73" s="129"/>
      <c r="L73" s="183">
        <v>0.47641153441141371</v>
      </c>
      <c r="M73" s="129"/>
      <c r="N73" s="183">
        <v>0.4764115352519343</v>
      </c>
      <c r="O73" s="129"/>
      <c r="P73" s="183">
        <v>0.4764115389508819</v>
      </c>
      <c r="Q73" s="129"/>
      <c r="R73" s="183">
        <v>0.47641153628305705</v>
      </c>
      <c r="S73" s="129"/>
      <c r="T73" s="183">
        <v>0.47641153761242727</v>
      </c>
      <c r="U73" s="129"/>
      <c r="V73" s="183">
        <v>0.47641153734921488</v>
      </c>
      <c r="W73" s="129"/>
      <c r="X73" s="183">
        <v>0.47641153367036093</v>
      </c>
      <c r="Y73" s="129"/>
      <c r="Z73" s="183">
        <v>0.47641153484010573</v>
      </c>
      <c r="AA73" s="129"/>
      <c r="AB73" s="183">
        <v>0.47641153325881447</v>
      </c>
      <c r="AC73" s="129"/>
      <c r="AD73" s="183">
        <v>0.47641153360946487</v>
      </c>
      <c r="AE73" s="129"/>
      <c r="AF73" s="183">
        <v>0.47641153354239513</v>
      </c>
      <c r="AG73" s="129"/>
      <c r="AH73" s="183">
        <v>0.47641153351383203</v>
      </c>
      <c r="AI73" s="129"/>
      <c r="AJ73" s="183">
        <v>0.47641153352677656</v>
      </c>
      <c r="AK73" s="129"/>
      <c r="AL73" s="183">
        <v>0.47641153352876564</v>
      </c>
      <c r="AM73" s="129"/>
      <c r="AN73" s="183">
        <v>0.47641153352875332</v>
      </c>
      <c r="AO73" s="129"/>
      <c r="AP73" s="183">
        <v>0.47641153352885185</v>
      </c>
      <c r="AQ73" s="129"/>
      <c r="AR73" s="183">
        <v>0.47641153352875104</v>
      </c>
      <c r="AS73" s="129"/>
      <c r="AT73" s="183">
        <v>0.4764115335287501</v>
      </c>
      <c r="AU73" s="129"/>
      <c r="AV73" s="183">
        <v>0.47641153352871879</v>
      </c>
      <c r="XFD73" s="183"/>
    </row>
    <row r="74" spans="1:48 16384:16384" x14ac:dyDescent="0.2">
      <c r="A74" t="s">
        <v>169</v>
      </c>
      <c r="B74" s="183">
        <v>0.22604620456442484</v>
      </c>
      <c r="D74" s="183">
        <v>0.22604620456442484</v>
      </c>
      <c r="E74" s="129"/>
      <c r="F74" s="183">
        <v>0.22604620456442484</v>
      </c>
      <c r="G74" s="129"/>
      <c r="H74" s="183">
        <v>0.22604620456442487</v>
      </c>
      <c r="I74" s="129"/>
      <c r="J74" s="183">
        <v>0.22604620456442484</v>
      </c>
      <c r="K74" s="129"/>
      <c r="L74" s="183">
        <v>0.22604620456442484</v>
      </c>
      <c r="M74" s="129"/>
      <c r="N74" s="183">
        <v>0.22604620456442484</v>
      </c>
      <c r="O74" s="129"/>
      <c r="P74" s="183">
        <v>0.22604620456442484</v>
      </c>
      <c r="Q74" s="129"/>
      <c r="R74" s="183">
        <v>0.22604620456442484</v>
      </c>
      <c r="S74" s="129"/>
      <c r="T74" s="183">
        <v>0.22604620456442484</v>
      </c>
      <c r="U74" s="129"/>
      <c r="V74" s="183">
        <v>0.22604620456442484</v>
      </c>
      <c r="W74" s="129"/>
      <c r="X74" s="183">
        <v>0.22604620456442484</v>
      </c>
      <c r="Y74" s="129"/>
      <c r="Z74" s="183">
        <v>0.22604620456442484</v>
      </c>
      <c r="AA74" s="129"/>
      <c r="AB74" s="183">
        <v>0.22604620456442484</v>
      </c>
      <c r="AC74" s="129"/>
      <c r="AD74" s="183">
        <v>0.22604620456442484</v>
      </c>
      <c r="AE74" s="129"/>
      <c r="AF74" s="183">
        <v>0.22604620456442484</v>
      </c>
      <c r="AG74" s="129"/>
      <c r="AH74" s="183">
        <v>0.22604620456442487</v>
      </c>
      <c r="AI74" s="129"/>
      <c r="AJ74" s="183">
        <v>0.22604620456442484</v>
      </c>
      <c r="AK74" s="129"/>
      <c r="AL74" s="183">
        <v>0.22604620456442484</v>
      </c>
      <c r="AM74" s="129"/>
      <c r="AN74" s="183">
        <v>0.22604620456442484</v>
      </c>
      <c r="AO74" s="129"/>
      <c r="AP74" s="183">
        <v>0.22604620456442487</v>
      </c>
      <c r="AQ74" s="129"/>
      <c r="AR74" s="183">
        <v>0.22604620456442484</v>
      </c>
      <c r="AS74" s="129"/>
      <c r="AT74" s="183">
        <v>0.22604620456442484</v>
      </c>
      <c r="AU74" s="129"/>
      <c r="AV74" s="183">
        <v>0.22604620456442484</v>
      </c>
      <c r="XFD74" s="183"/>
    </row>
    <row r="75" spans="1:48 16384:16384" x14ac:dyDescent="0.2">
      <c r="A75" t="s">
        <v>170</v>
      </c>
      <c r="B75" s="183">
        <v>0.22038438833194082</v>
      </c>
      <c r="D75" s="183">
        <v>0.22038438832422294</v>
      </c>
      <c r="E75" s="129"/>
      <c r="F75" s="183">
        <v>0.22038438832222865</v>
      </c>
      <c r="G75" s="129"/>
      <c r="H75" s="183">
        <v>0.22038438831751778</v>
      </c>
      <c r="I75" s="129"/>
      <c r="J75" s="183">
        <v>0.2203843883541953</v>
      </c>
      <c r="K75" s="129"/>
      <c r="L75" s="183">
        <v>0.22038438830758048</v>
      </c>
      <c r="M75" s="129"/>
      <c r="N75" s="183">
        <v>0.22038438828326515</v>
      </c>
      <c r="O75" s="129"/>
      <c r="P75" s="183">
        <v>0.22038438830468587</v>
      </c>
      <c r="Q75" s="129"/>
      <c r="R75" s="183">
        <v>0.220384388318727</v>
      </c>
      <c r="S75" s="129"/>
      <c r="T75" s="183">
        <v>0.22038438831414098</v>
      </c>
      <c r="U75" s="129"/>
      <c r="V75" s="183">
        <v>0.22038438831798771</v>
      </c>
      <c r="W75" s="129"/>
      <c r="X75" s="183">
        <v>0.22038438833375298</v>
      </c>
      <c r="Y75" s="129"/>
      <c r="Z75" s="183">
        <v>0.22038438835187679</v>
      </c>
      <c r="AA75" s="129"/>
      <c r="AB75" s="183">
        <v>0.22038438833985527</v>
      </c>
      <c r="AC75" s="129"/>
      <c r="AD75" s="183">
        <v>0.22038438833090557</v>
      </c>
      <c r="AE75" s="129"/>
      <c r="AF75" s="183">
        <v>0.22038438833208349</v>
      </c>
      <c r="AG75" s="129"/>
      <c r="AH75" s="183">
        <v>0.22038438833198984</v>
      </c>
      <c r="AI75" s="129"/>
      <c r="AJ75" s="183">
        <v>0.22038438833191812</v>
      </c>
      <c r="AK75" s="129"/>
      <c r="AL75" s="183">
        <v>0.22038438833194154</v>
      </c>
      <c r="AM75" s="129"/>
      <c r="AN75" s="183">
        <v>0.22038438833194079</v>
      </c>
      <c r="AO75" s="129"/>
      <c r="AP75" s="183">
        <v>0.22038438833198198</v>
      </c>
      <c r="AQ75" s="129"/>
      <c r="AR75" s="183">
        <v>0.22038438833194149</v>
      </c>
      <c r="AS75" s="129"/>
      <c r="AT75" s="183">
        <v>0.22038438833194077</v>
      </c>
      <c r="AU75" s="129"/>
      <c r="AV75" s="183">
        <v>0.22038438833191978</v>
      </c>
      <c r="XFD75" s="183"/>
    </row>
    <row r="76" spans="1:48 16384:16384" x14ac:dyDescent="0.2">
      <c r="A76" t="s">
        <v>171</v>
      </c>
      <c r="B76" s="183">
        <v>0.22301874374724867</v>
      </c>
      <c r="D76" s="183">
        <v>0.22302399920720747</v>
      </c>
      <c r="E76" s="129"/>
      <c r="F76" s="183">
        <v>0.22308747281973698</v>
      </c>
      <c r="G76" s="129"/>
      <c r="H76" s="183">
        <v>0.22321656062456791</v>
      </c>
      <c r="I76" s="129"/>
      <c r="J76" s="183">
        <v>0.2234195286445495</v>
      </c>
      <c r="K76" s="129"/>
      <c r="L76" s="183">
        <v>0.22370538350236907</v>
      </c>
      <c r="M76" s="129"/>
      <c r="N76" s="183">
        <v>0.22408352812863913</v>
      </c>
      <c r="O76" s="129"/>
      <c r="P76" s="183">
        <v>0.22456296568141723</v>
      </c>
      <c r="Q76" s="129"/>
      <c r="R76" s="183">
        <v>0.22515068454526332</v>
      </c>
      <c r="S76" s="129"/>
      <c r="T76" s="183">
        <v>0.22584851795791427</v>
      </c>
      <c r="U76" s="129"/>
      <c r="V76" s="183">
        <v>0.2266470774696574</v>
      </c>
      <c r="W76" s="129"/>
      <c r="X76" s="183">
        <v>0.22751405473234546</v>
      </c>
      <c r="Y76" s="129"/>
      <c r="Z76" s="183">
        <v>0.22837160570540294</v>
      </c>
      <c r="AA76" s="129"/>
      <c r="AB76" s="183">
        <v>0.22905295862524563</v>
      </c>
      <c r="AC76" s="129"/>
      <c r="AD76" s="183">
        <v>0.22922351858390783</v>
      </c>
      <c r="AE76" s="129"/>
      <c r="AF76" s="183">
        <v>0.22826651563911454</v>
      </c>
      <c r="AG76" s="129"/>
      <c r="AH76" s="183">
        <v>0.2252515563450212</v>
      </c>
      <c r="AI76" s="129"/>
      <c r="AJ76" s="183">
        <v>0.2193645799730479</v>
      </c>
      <c r="AK76" s="129"/>
      <c r="AL76" s="183">
        <v>0.21065646014786599</v>
      </c>
      <c r="AM76" s="129"/>
      <c r="AN76" s="183">
        <v>0.19921659250752602</v>
      </c>
      <c r="AO76" s="129"/>
      <c r="AP76" s="183">
        <v>0.19639863838191107</v>
      </c>
      <c r="AQ76" s="129"/>
      <c r="AR76" s="183">
        <v>0.19325119738940455</v>
      </c>
      <c r="AS76" s="129"/>
      <c r="AT76" s="183">
        <v>0.18961297099883564</v>
      </c>
      <c r="AU76" s="129"/>
      <c r="AV76" s="183">
        <v>0.18518059168063986</v>
      </c>
      <c r="XFD76" s="183"/>
    </row>
    <row r="77" spans="1:48 16384:16384" x14ac:dyDescent="0.2">
      <c r="A77" t="s">
        <v>172</v>
      </c>
      <c r="B77" s="183">
        <v>0.14586087017236485</v>
      </c>
      <c r="D77" s="183">
        <v>0.14586612598844109</v>
      </c>
      <c r="E77" s="129"/>
      <c r="F77" s="183">
        <v>0.14592959965998831</v>
      </c>
      <c r="G77" s="129"/>
      <c r="H77" s="183">
        <v>0.14605868761884133</v>
      </c>
      <c r="I77" s="129"/>
      <c r="J77" s="183">
        <v>0.14626165703205743</v>
      </c>
      <c r="K77" s="129"/>
      <c r="L77" s="183">
        <v>0.14654751078578798</v>
      </c>
      <c r="M77" s="129"/>
      <c r="N77" s="183">
        <v>0.14692565622826342</v>
      </c>
      <c r="O77" s="129"/>
      <c r="P77" s="183">
        <v>0.14740509750141001</v>
      </c>
      <c r="Q77" s="129"/>
      <c r="R77" s="183">
        <v>0.14799281371147222</v>
      </c>
      <c r="S77" s="129"/>
      <c r="T77" s="183">
        <v>0.14869064844890742</v>
      </c>
      <c r="U77" s="129"/>
      <c r="V77" s="183">
        <v>0.14948920770128471</v>
      </c>
      <c r="W77" s="129"/>
      <c r="X77" s="183">
        <v>0.15035618130088402</v>
      </c>
      <c r="Y77" s="129"/>
      <c r="Z77" s="183">
        <v>0.15121373346181022</v>
      </c>
      <c r="AA77" s="129"/>
      <c r="AB77" s="183">
        <v>0.15189508478834027</v>
      </c>
      <c r="AC77" s="129"/>
      <c r="AD77" s="183">
        <v>0.15206564508870327</v>
      </c>
      <c r="AE77" s="129"/>
      <c r="AF77" s="183">
        <v>0.15110864207801805</v>
      </c>
      <c r="AG77" s="129"/>
      <c r="AH77" s="183">
        <v>0.14809368275526794</v>
      </c>
      <c r="AI77" s="129"/>
      <c r="AJ77" s="183">
        <v>0.14220670639616761</v>
      </c>
      <c r="AK77" s="129"/>
      <c r="AL77" s="183">
        <v>0.13349858657299793</v>
      </c>
      <c r="AM77" s="129"/>
      <c r="AN77" s="183">
        <v>0.12205871893264501</v>
      </c>
      <c r="AO77" s="129"/>
      <c r="AP77" s="183">
        <v>0.11924076480716965</v>
      </c>
      <c r="AQ77" s="129"/>
      <c r="AR77" s="183">
        <v>0.11609332381452207</v>
      </c>
      <c r="AS77" s="129"/>
      <c r="AT77" s="183">
        <v>0.11245509742395156</v>
      </c>
      <c r="AU77" s="129"/>
      <c r="AV77" s="183">
        <v>0.10802271810570316</v>
      </c>
      <c r="XFD77" s="183"/>
    </row>
    <row r="78" spans="1:48 16384:16384" x14ac:dyDescent="0.2">
      <c r="A78" t="s">
        <v>173</v>
      </c>
      <c r="B78" s="183">
        <v>0.346887593115773</v>
      </c>
      <c r="D78" s="183">
        <v>0.34626153006375415</v>
      </c>
      <c r="E78" s="129"/>
      <c r="F78" s="183">
        <v>0.34558172732180759</v>
      </c>
      <c r="G78" s="129"/>
      <c r="H78" s="183">
        <v>0.34484057669656115</v>
      </c>
      <c r="I78" s="129"/>
      <c r="J78" s="183">
        <v>0.34402869419054233</v>
      </c>
      <c r="K78" s="129"/>
      <c r="L78" s="183">
        <v>0.34313425033920397</v>
      </c>
      <c r="M78" s="129"/>
      <c r="N78" s="183">
        <v>0.34214193671794618</v>
      </c>
      <c r="O78" s="129"/>
      <c r="P78" s="183">
        <v>0.34103136423203029</v>
      </c>
      <c r="Q78" s="129"/>
      <c r="R78" s="183">
        <v>0.33977447708697261</v>
      </c>
      <c r="S78" s="129"/>
      <c r="T78" s="183">
        <v>0.33833124356946886</v>
      </c>
      <c r="U78" s="129"/>
      <c r="V78" s="183">
        <v>0.33664227753092718</v>
      </c>
      <c r="W78" s="129"/>
      <c r="X78" s="183">
        <v>0.33461570175335337</v>
      </c>
      <c r="Y78" s="129"/>
      <c r="Z78" s="183">
        <v>0.33210292919196022</v>
      </c>
      <c r="AA78" s="129"/>
      <c r="AB78" s="183">
        <v>0.3288525977782874</v>
      </c>
      <c r="AC78" s="129"/>
      <c r="AD78" s="183">
        <v>0.32442187134251371</v>
      </c>
      <c r="AE78" s="129"/>
      <c r="AF78" s="183">
        <v>0.31801294028858601</v>
      </c>
      <c r="AG78" s="129"/>
      <c r="AH78" s="183">
        <v>0.30821527470945265</v>
      </c>
      <c r="AI78" s="129"/>
      <c r="AJ78" s="183">
        <v>0.29263098802492993</v>
      </c>
      <c r="AK78" s="129"/>
      <c r="AL78" s="183">
        <v>0.26645987096638574</v>
      </c>
      <c r="AM78" s="129"/>
      <c r="AN78" s="183">
        <v>0.21364500485611593</v>
      </c>
      <c r="AO78" s="129"/>
      <c r="AP78" s="183">
        <v>0.1951789041858587</v>
      </c>
      <c r="AQ78" s="129"/>
      <c r="AR78" s="183">
        <v>0.17102241730054393</v>
      </c>
      <c r="AS78" s="129"/>
      <c r="AT78" s="183">
        <v>0.13762551384172461</v>
      </c>
      <c r="AU78" s="129"/>
      <c r="AV78" s="183">
        <v>8.7401716476721569E-2</v>
      </c>
      <c r="XFD78" s="183"/>
    </row>
    <row r="79" spans="1:48 16384:16384" x14ac:dyDescent="0.2">
      <c r="A79" t="s">
        <v>174</v>
      </c>
      <c r="B79" s="183">
        <v>0.45460968782440875</v>
      </c>
      <c r="D79" s="183">
        <v>0.45111935556471272</v>
      </c>
      <c r="F79" s="183">
        <v>0.44757884163466427</v>
      </c>
      <c r="H79" s="183">
        <v>0.44397844460962027</v>
      </c>
      <c r="J79" s="183">
        <v>0.44030654927284696</v>
      </c>
      <c r="L79" s="183">
        <v>0.43654898546805165</v>
      </c>
      <c r="N79" s="183">
        <v>0.43268820893113963</v>
      </c>
      <c r="P79" s="183">
        <v>0.42870187167876878</v>
      </c>
      <c r="R79" s="183">
        <v>0.42456057846668743</v>
      </c>
      <c r="T79" s="183">
        <v>0.42022418353116925</v>
      </c>
      <c r="V79" s="183">
        <v>0.41563520767425871</v>
      </c>
      <c r="X79" s="183">
        <v>0.41070676027760061</v>
      </c>
      <c r="Z79" s="183">
        <v>0.4052993904314745</v>
      </c>
      <c r="AB79" s="183">
        <v>0.39917483438052243</v>
      </c>
      <c r="AD79" s="183">
        <v>0.39190108720811889</v>
      </c>
      <c r="AF79" s="183">
        <v>0.3826608385996903</v>
      </c>
      <c r="AH79" s="183">
        <v>0.36990348059311928</v>
      </c>
      <c r="AJ79" s="183">
        <v>0.35076613226672854</v>
      </c>
      <c r="AL79" s="183">
        <v>0.3192887555018406</v>
      </c>
      <c r="AN79" s="183">
        <v>0.25599282105534804</v>
      </c>
      <c r="AP79" s="183">
        <v>0.23386630494302463</v>
      </c>
      <c r="AR79" s="183">
        <v>0.20492159348321706</v>
      </c>
      <c r="AT79" s="183">
        <v>0.16490491875320998</v>
      </c>
      <c r="AV79" s="183">
        <v>0.10472602329727371</v>
      </c>
      <c r="XFD79" s="183"/>
    </row>
    <row r="80" spans="1:48 16384:16384" x14ac:dyDescent="0.2">
      <c r="A80" t="s">
        <v>153</v>
      </c>
      <c r="B80" s="195">
        <v>0.19850271905982084</v>
      </c>
      <c r="D80" s="195">
        <v>0.20261911344415615</v>
      </c>
      <c r="F80" s="195">
        <v>0.20683942983587725</v>
      </c>
      <c r="H80" s="195">
        <v>0.21118097683557499</v>
      </c>
      <c r="J80" s="195">
        <v>0.21566476372069743</v>
      </c>
      <c r="L80" s="195">
        <v>0.22031676085711274</v>
      </c>
      <c r="N80" s="195">
        <v>0.2251698474352675</v>
      </c>
      <c r="P80" s="195">
        <v>0.23026676913970415</v>
      </c>
      <c r="R80" s="195">
        <v>0.23566494702579596</v>
      </c>
      <c r="T80" s="195">
        <v>0.241444576632664</v>
      </c>
      <c r="V80" s="195">
        <v>0.24772251818858618</v>
      </c>
      <c r="X80" s="195">
        <v>0.25467753888280503</v>
      </c>
      <c r="Z80" s="195">
        <v>0.26259769059112431</v>
      </c>
      <c r="AB80" s="195">
        <v>0.27197257228420263</v>
      </c>
      <c r="AD80" s="195">
        <v>0.28367704070570765</v>
      </c>
      <c r="AF80" s="195">
        <v>0.29932622128808573</v>
      </c>
      <c r="AH80" s="195">
        <v>0.32188124529158219</v>
      </c>
      <c r="AJ80" s="195">
        <v>0.35660287990680528</v>
      </c>
      <c r="AL80" s="195">
        <v>0.41425137355589658</v>
      </c>
      <c r="AN80" s="195">
        <v>0.5303621740979837</v>
      </c>
      <c r="AP80" s="195">
        <v>0.57095479115182934</v>
      </c>
      <c r="AR80" s="195">
        <v>0.62405598922691397</v>
      </c>
      <c r="AT80" s="195">
        <v>0.69746956740570398</v>
      </c>
      <c r="AV80" s="195">
        <v>0.80787226021664404</v>
      </c>
      <c r="XFD80" s="195"/>
    </row>
    <row r="81" spans="1:48 16384:16384" x14ac:dyDescent="0.2">
      <c r="A81" t="s">
        <v>175</v>
      </c>
      <c r="B81" s="195">
        <v>-2.7543485504603994E-2</v>
      </c>
      <c r="D81" s="195">
        <v>-2.3427091120268678E-2</v>
      </c>
      <c r="F81" s="195">
        <v>-1.9206774728547583E-2</v>
      </c>
      <c r="H81" s="195">
        <v>-1.4865227728849855E-2</v>
      </c>
      <c r="J81" s="195">
        <v>-1.0381440843727434E-2</v>
      </c>
      <c r="L81" s="195">
        <v>-5.7294437073121046E-3</v>
      </c>
      <c r="N81" s="195">
        <v>-8.7635712915735508E-4</v>
      </c>
      <c r="P81" s="195">
        <v>4.2205645752793177E-3</v>
      </c>
      <c r="R81" s="195">
        <v>9.6187424613711041E-3</v>
      </c>
      <c r="T81" s="195">
        <v>1.5398372068239182E-2</v>
      </c>
      <c r="V81" s="195">
        <v>2.1676313624161343E-2</v>
      </c>
      <c r="X81" s="195">
        <v>2.8631334318380192E-2</v>
      </c>
      <c r="Z81" s="195">
        <v>3.6551486026699456E-2</v>
      </c>
      <c r="AB81" s="195">
        <v>4.5926367719777761E-2</v>
      </c>
      <c r="AD81" s="195">
        <v>5.7630836141282844E-2</v>
      </c>
      <c r="AF81" s="195">
        <v>7.3280016723660857E-2</v>
      </c>
      <c r="AH81" s="195">
        <v>9.5835040727157303E-2</v>
      </c>
      <c r="AJ81" s="195">
        <v>0.13055667534238041</v>
      </c>
      <c r="AL81" s="195">
        <v>0.18820516899147174</v>
      </c>
      <c r="AN81" s="195">
        <v>0.30431596953355888</v>
      </c>
      <c r="AP81" s="195">
        <v>0.34490858658740448</v>
      </c>
      <c r="AR81" s="195">
        <v>0.39800978466248915</v>
      </c>
      <c r="AT81" s="195">
        <v>0.47142336284127923</v>
      </c>
      <c r="AV81" s="195">
        <v>0.58182605565221923</v>
      </c>
      <c r="XFD81" s="195"/>
    </row>
    <row r="82" spans="1:48 16384:16384" x14ac:dyDescent="0.2">
      <c r="A82" t="s">
        <v>176</v>
      </c>
      <c r="B82" s="195">
        <v>0.14069693704202227</v>
      </c>
      <c r="D82" s="195">
        <v>0.14044300707864987</v>
      </c>
      <c r="F82" s="195">
        <v>0.14016728040095133</v>
      </c>
      <c r="H82" s="195">
        <v>0.1398666711404058</v>
      </c>
      <c r="J82" s="195">
        <v>0.13953737316578285</v>
      </c>
      <c r="L82" s="195">
        <v>0.13917458846913511</v>
      </c>
      <c r="N82" s="195">
        <v>0.13877210798304446</v>
      </c>
      <c r="P82" s="195">
        <v>0.13832166193010834</v>
      </c>
      <c r="R82" s="195">
        <v>0.13781187093433153</v>
      </c>
      <c r="T82" s="195">
        <v>0.1372264982102013</v>
      </c>
      <c r="V82" s="195">
        <v>0.13654145685067506</v>
      </c>
      <c r="X82" s="195">
        <v>0.13571948163378392</v>
      </c>
      <c r="Z82" s="195">
        <v>0.13470030594146315</v>
      </c>
      <c r="AB82" s="195">
        <v>0.13338197780476727</v>
      </c>
      <c r="AD82" s="195">
        <v>0.13158488372946428</v>
      </c>
      <c r="AF82" s="195">
        <v>0.12898543368600254</v>
      </c>
      <c r="AH82" s="195">
        <v>0.12501151947141706</v>
      </c>
      <c r="AJ82" s="195">
        <v>0.11869056292522739</v>
      </c>
      <c r="AL82" s="195">
        <v>0.10807560844953804</v>
      </c>
      <c r="AN82" s="195">
        <v>8.6654000875584183E-2</v>
      </c>
      <c r="AP82" s="195">
        <v>7.9164186148922247E-2</v>
      </c>
      <c r="AR82" s="195">
        <v>6.9366361776099436E-2</v>
      </c>
      <c r="AT82" s="195">
        <v>5.5820642307903373E-2</v>
      </c>
      <c r="AV82" s="195">
        <v>3.544996720705957E-2</v>
      </c>
    </row>
    <row r="83" spans="1:48 16384:16384" x14ac:dyDescent="0.2">
      <c r="A83" t="s">
        <v>177</v>
      </c>
      <c r="B83" s="195">
        <v>0.18438881036940691</v>
      </c>
      <c r="D83" s="195">
        <v>0.18297313835361848</v>
      </c>
      <c r="F83" s="195">
        <v>0.18153711274936413</v>
      </c>
      <c r="H83" s="195">
        <v>0.18007679867756668</v>
      </c>
      <c r="J83" s="195">
        <v>0.17858748502877766</v>
      </c>
      <c r="L83" s="195">
        <v>0.17706342441500353</v>
      </c>
      <c r="N83" s="195">
        <v>0.17549750091665015</v>
      </c>
      <c r="P83" s="195">
        <v>0.17388065023488505</v>
      </c>
      <c r="R83" s="195">
        <v>0.17220094971547706</v>
      </c>
      <c r="T83" s="195">
        <v>0.17044211631428266</v>
      </c>
      <c r="V83" s="195">
        <v>0.16858083657975029</v>
      </c>
      <c r="X83" s="195">
        <v>0.16658186784508267</v>
      </c>
      <c r="Z83" s="195">
        <v>0.16438864909093306</v>
      </c>
      <c r="AB83" s="195">
        <v>0.16190454099882398</v>
      </c>
      <c r="AD83" s="195">
        <v>0.15895432320987671</v>
      </c>
      <c r="AF83" s="195">
        <v>0.15520649624081354</v>
      </c>
      <c r="AH83" s="195">
        <v>0.15003213650038311</v>
      </c>
      <c r="AJ83" s="195">
        <v>0.14227006502228673</v>
      </c>
      <c r="AL83" s="195">
        <v>0.12950290186964161</v>
      </c>
      <c r="AN83" s="195">
        <v>0.10383019324422262</v>
      </c>
      <c r="AP83" s="195">
        <v>9.4855721091867906E-2</v>
      </c>
      <c r="AR83" s="195">
        <v>8.3115802089919394E-2</v>
      </c>
      <c r="AT83" s="195">
        <v>6.6885116193811794E-2</v>
      </c>
      <c r="AV83" s="195">
        <v>4.2476672556000655E-2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0"/>
  <dimension ref="A1:XFD85"/>
  <sheetViews>
    <sheetView showGridLines="0" workbookViewId="0">
      <pane xSplit="1" ySplit="1" topLeftCell="B52" activePane="bottomRight" state="frozen"/>
      <selection pane="topRight" activeCell="B1" sqref="B1"/>
      <selection pane="bottomLeft" activeCell="A2" sqref="A2"/>
      <selection pane="bottomRight" activeCell="A55" sqref="A55"/>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c r="AJ1" s="91"/>
      <c r="AL1" s="91"/>
      <c r="AN1" s="91"/>
      <c r="AP1" s="91"/>
      <c r="AR1" s="91"/>
      <c r="AT1" s="91"/>
      <c r="AV1" s="91"/>
    </row>
    <row r="2" spans="1:49" x14ac:dyDescent="0.2">
      <c r="A2" s="190" t="s">
        <v>139</v>
      </c>
      <c r="B2" s="188">
        <v>5.7716594496607888E-3</v>
      </c>
      <c r="C2" s="189"/>
      <c r="D2" s="188">
        <v>6.0471261654331691E-2</v>
      </c>
      <c r="E2" s="189"/>
      <c r="F2" s="188">
        <v>0.12095345317981721</v>
      </c>
      <c r="G2" s="189"/>
      <c r="H2" s="188">
        <v>0.18829531151179513</v>
      </c>
      <c r="I2" s="189"/>
      <c r="J2" s="188">
        <v>0.26390198519849517</v>
      </c>
      <c r="K2" s="189"/>
      <c r="L2" s="188">
        <v>0.3496548940442159</v>
      </c>
      <c r="M2" s="189"/>
      <c r="N2" s="188">
        <v>0.44814776611328538</v>
      </c>
      <c r="O2" s="189"/>
      <c r="P2" s="188">
        <v>0.56307817410465788</v>
      </c>
      <c r="Q2" s="189"/>
      <c r="R2" s="188">
        <v>0.69992436136584468</v>
      </c>
      <c r="S2" s="189"/>
      <c r="T2" s="188">
        <v>0.86717488759437344</v>
      </c>
      <c r="U2" s="189"/>
      <c r="V2" s="188">
        <v>1.0786936208042293</v>
      </c>
      <c r="W2" s="189"/>
      <c r="X2" s="188">
        <v>1.3585657211274431</v>
      </c>
      <c r="Y2" s="189"/>
      <c r="Z2" s="188">
        <v>1.7516996252942383</v>
      </c>
      <c r="AA2" s="189"/>
      <c r="AB2" s="188">
        <v>2.3483184573784062</v>
      </c>
      <c r="AC2" s="189"/>
      <c r="AD2" s="188">
        <v>3.3414401207452875</v>
      </c>
      <c r="AE2" s="189"/>
      <c r="AF2" s="188">
        <v>5.1569811900103169</v>
      </c>
      <c r="AG2" s="189"/>
      <c r="AH2" s="188"/>
      <c r="AI2" s="189"/>
      <c r="AJ2" s="188"/>
      <c r="AK2" s="189"/>
      <c r="AL2" s="188"/>
      <c r="AM2" s="189"/>
      <c r="AN2" s="188"/>
      <c r="AO2" s="189"/>
      <c r="AP2" s="188"/>
      <c r="AQ2" s="189"/>
      <c r="AR2" s="188"/>
      <c r="AS2" s="189"/>
      <c r="AT2" s="188"/>
      <c r="AU2" s="189"/>
      <c r="AV2" s="188"/>
      <c r="AW2" s="189"/>
    </row>
    <row r="3" spans="1:49" x14ac:dyDescent="0.2">
      <c r="A3" t="s">
        <v>12</v>
      </c>
      <c r="B3" s="81">
        <v>1000</v>
      </c>
      <c r="C3" s="82">
        <v>1000</v>
      </c>
      <c r="D3" s="81">
        <v>997.66844078136967</v>
      </c>
      <c r="E3" s="82">
        <v>1033.893239350972</v>
      </c>
      <c r="F3" s="81">
        <v>995.33646978477384</v>
      </c>
      <c r="G3" s="82">
        <v>1071.6571511484558</v>
      </c>
      <c r="H3" s="81">
        <v>992.9906491390683</v>
      </c>
      <c r="I3" s="82">
        <v>1114.0096736745863</v>
      </c>
      <c r="J3" s="81">
        <v>990.61862160787041</v>
      </c>
      <c r="K3" s="82">
        <v>1161.8727754985778</v>
      </c>
      <c r="L3" s="81">
        <v>988.21019939138068</v>
      </c>
      <c r="M3" s="82">
        <v>1216.4575870903586</v>
      </c>
      <c r="N3" s="81">
        <v>985.75921530537914</v>
      </c>
      <c r="O3" s="82">
        <v>1279.3983622753406</v>
      </c>
      <c r="P3" s="81">
        <v>983.26662440480868</v>
      </c>
      <c r="Q3" s="82">
        <v>1352.9701080969839</v>
      </c>
      <c r="R3" s="81">
        <v>980.74579408319926</v>
      </c>
      <c r="S3" s="82">
        <v>1440.4578128918681</v>
      </c>
      <c r="T3" s="81">
        <v>978.23167603899822</v>
      </c>
      <c r="U3" s="82">
        <v>1546.8132195074702</v>
      </c>
      <c r="V3" s="81">
        <v>975.79706358945032</v>
      </c>
      <c r="W3" s="82">
        <v>1679.8875861406977</v>
      </c>
      <c r="X3" s="81">
        <v>973.58164944688792</v>
      </c>
      <c r="Y3" s="82">
        <v>1852.8873463658617</v>
      </c>
      <c r="Z3" s="81">
        <v>971.84202275767609</v>
      </c>
      <c r="AA3" s="82">
        <v>2089.5699019909739</v>
      </c>
      <c r="AB3" s="81">
        <v>971.02183799276895</v>
      </c>
      <c r="AC3" s="82">
        <v>2435.7791090363448</v>
      </c>
      <c r="AD3" s="81">
        <v>971.76986916679914</v>
      </c>
      <c r="AE3" s="82">
        <v>2985.3482545319671</v>
      </c>
      <c r="AF3" s="81">
        <v>974.62983696867104</v>
      </c>
      <c r="AG3" s="82">
        <v>3937.7658717602908</v>
      </c>
      <c r="AH3" s="81"/>
      <c r="AI3" s="82"/>
      <c r="AJ3" s="81"/>
      <c r="AK3" s="82"/>
      <c r="AL3" s="81"/>
      <c r="AM3" s="82"/>
      <c r="AN3" s="81"/>
      <c r="AO3" s="82"/>
      <c r="AP3" s="81"/>
      <c r="AQ3" s="82"/>
      <c r="AR3" s="81"/>
      <c r="AS3" s="82"/>
      <c r="AT3" s="81"/>
      <c r="AU3" s="82"/>
      <c r="AV3" s="81"/>
      <c r="AW3" s="82"/>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c r="AI4" s="96"/>
      <c r="AJ4" s="95"/>
      <c r="AK4" s="96"/>
      <c r="AL4" s="95"/>
      <c r="AM4" s="96"/>
      <c r="AN4" s="95"/>
      <c r="AO4" s="96"/>
      <c r="AP4" s="95"/>
      <c r="AQ4" s="96"/>
      <c r="AR4" s="95"/>
      <c r="AS4" s="96"/>
      <c r="AT4" s="95"/>
      <c r="AU4" s="96"/>
      <c r="AV4" s="95"/>
      <c r="AW4" s="96"/>
    </row>
    <row r="5" spans="1:49" x14ac:dyDescent="0.2">
      <c r="A5" t="s">
        <v>115</v>
      </c>
      <c r="B5" s="39">
        <v>1000</v>
      </c>
      <c r="C5" s="40">
        <v>1000</v>
      </c>
      <c r="D5" s="39">
        <v>997.55231088714822</v>
      </c>
      <c r="E5" s="40">
        <v>1029.2761041363844</v>
      </c>
      <c r="F5" s="39">
        <v>995.10177688460135</v>
      </c>
      <c r="G5" s="40">
        <v>1060.7681573979485</v>
      </c>
      <c r="H5" s="39">
        <v>992.63423594610629</v>
      </c>
      <c r="I5" s="40">
        <v>1094.6953221004235</v>
      </c>
      <c r="J5" s="39">
        <v>990.13660694169823</v>
      </c>
      <c r="K5" s="40">
        <v>1131.2965691098054</v>
      </c>
      <c r="L5" s="39">
        <v>987.59804150806758</v>
      </c>
      <c r="M5" s="40">
        <v>1170.8294217983428</v>
      </c>
      <c r="N5" s="39">
        <v>985.01188755570877</v>
      </c>
      <c r="O5" s="40">
        <v>1213.5672226420065</v>
      </c>
      <c r="P5" s="39">
        <v>982.37898767080787</v>
      </c>
      <c r="Q5" s="40">
        <v>1259.7902461786516</v>
      </c>
      <c r="R5" s="39">
        <v>979.71331654644507</v>
      </c>
      <c r="S5" s="40">
        <v>1309.7654246379711</v>
      </c>
      <c r="T5" s="39">
        <v>977.05177094581325</v>
      </c>
      <c r="U5" s="40">
        <v>1363.7018252066644</v>
      </c>
      <c r="V5" s="39">
        <v>974.47153958868921</v>
      </c>
      <c r="W5" s="40">
        <v>1421.6528727308851</v>
      </c>
      <c r="X5" s="39">
        <v>972.12115699175968</v>
      </c>
      <c r="Y5" s="40">
        <v>1483.3033342001127</v>
      </c>
      <c r="Z5" s="39">
        <v>970.27389257734444</v>
      </c>
      <c r="AA5" s="40">
        <v>1547.5142726231052</v>
      </c>
      <c r="AB5" s="39">
        <v>969.40245169187517</v>
      </c>
      <c r="AC5" s="40">
        <v>1611.4383040355965</v>
      </c>
      <c r="AD5" s="39">
        <v>970.19724295108915</v>
      </c>
      <c r="AE5" s="40">
        <v>1669.3283972409449</v>
      </c>
      <c r="AF5" s="39">
        <v>973.23349607472903</v>
      </c>
      <c r="AG5" s="40">
        <v>1713.0552958749865</v>
      </c>
      <c r="AH5" s="39"/>
      <c r="AI5" s="40"/>
      <c r="AJ5" s="39"/>
      <c r="AK5" s="40"/>
      <c r="AL5" s="39"/>
      <c r="AM5" s="40"/>
      <c r="AN5" s="39"/>
      <c r="AO5" s="40"/>
      <c r="AP5" s="39"/>
      <c r="AQ5" s="40"/>
      <c r="AR5" s="39"/>
      <c r="AS5" s="40"/>
      <c r="AT5" s="39"/>
      <c r="AU5" s="40"/>
      <c r="AV5" s="39"/>
      <c r="AW5" s="40"/>
    </row>
    <row r="6" spans="1:49" x14ac:dyDescent="0.2">
      <c r="A6" t="s">
        <v>77</v>
      </c>
      <c r="B6" s="39">
        <v>999.99999999999943</v>
      </c>
      <c r="C6" s="40">
        <v>999.99999999999909</v>
      </c>
      <c r="D6" s="39">
        <v>997.36558034121606</v>
      </c>
      <c r="E6" s="40">
        <v>1036.4917077119655</v>
      </c>
      <c r="F6" s="39">
        <v>994.72908656900279</v>
      </c>
      <c r="G6" s="40">
        <v>1076.9509017148773</v>
      </c>
      <c r="H6" s="39">
        <v>992.07529340882832</v>
      </c>
      <c r="I6" s="40">
        <v>1122.1117087681914</v>
      </c>
      <c r="J6" s="39">
        <v>989.39016052056593</v>
      </c>
      <c r="K6" s="40">
        <v>1172.9175337416596</v>
      </c>
      <c r="L6" s="39">
        <v>986.66206829689509</v>
      </c>
      <c r="M6" s="40">
        <v>1230.6084912621359</v>
      </c>
      <c r="N6" s="39">
        <v>983.8839228234317</v>
      </c>
      <c r="O6" s="40">
        <v>1296.8589597356981</v>
      </c>
      <c r="P6" s="39">
        <v>981.05668866340204</v>
      </c>
      <c r="Q6" s="40">
        <v>1374.0009599339444</v>
      </c>
      <c r="R6" s="39">
        <v>978.19542272733634</v>
      </c>
      <c r="S6" s="40">
        <v>1465.4030144620451</v>
      </c>
      <c r="T6" s="39">
        <v>975.33974708843255</v>
      </c>
      <c r="U6" s="40">
        <v>1576.1438449797258</v>
      </c>
      <c r="V6" s="39">
        <v>972.5724244811945</v>
      </c>
      <c r="W6" s="40">
        <v>1714.2765477550547</v>
      </c>
      <c r="X6" s="39">
        <v>970.05256552935748</v>
      </c>
      <c r="Y6" s="40">
        <v>1893.3462327761545</v>
      </c>
      <c r="Z6" s="39">
        <v>968.07273696973891</v>
      </c>
      <c r="AA6" s="40">
        <v>2137.7159413966729</v>
      </c>
      <c r="AB6" s="39">
        <v>967.13895315716843</v>
      </c>
      <c r="AC6" s="40">
        <v>2494.3897566276046</v>
      </c>
      <c r="AD6" s="39">
        <v>967.99059884335088</v>
      </c>
      <c r="AE6" s="40">
        <v>3059.5637513985116</v>
      </c>
      <c r="AF6" s="39">
        <v>971.2449980761595</v>
      </c>
      <c r="AG6" s="40">
        <v>4037.7625129612074</v>
      </c>
      <c r="AH6" s="39"/>
      <c r="AI6" s="40"/>
      <c r="AJ6" s="39"/>
      <c r="AK6" s="40"/>
      <c r="AL6" s="39"/>
      <c r="AM6" s="40"/>
      <c r="AN6" s="39"/>
      <c r="AO6" s="40"/>
      <c r="AP6" s="39"/>
      <c r="AQ6" s="40"/>
      <c r="AR6" s="39"/>
      <c r="AS6" s="40"/>
      <c r="AT6" s="39"/>
      <c r="AU6" s="40"/>
      <c r="AV6" s="39"/>
      <c r="AW6" s="40"/>
    </row>
    <row r="7" spans="1:49" x14ac:dyDescent="0.2">
      <c r="A7" t="s">
        <v>13</v>
      </c>
      <c r="B7" s="31">
        <v>1015.9116825427475</v>
      </c>
      <c r="C7" s="32">
        <v>1015.9116825427475</v>
      </c>
      <c r="D7" s="31">
        <v>1013.4250465777686</v>
      </c>
      <c r="E7" s="32">
        <v>1013.4250465777686</v>
      </c>
      <c r="F7" s="31">
        <v>1010.9355204561131</v>
      </c>
      <c r="G7" s="32">
        <v>1010.9355204561131</v>
      </c>
      <c r="H7" s="31">
        <v>1008.4287167895434</v>
      </c>
      <c r="I7" s="32">
        <v>1008.4287167895434</v>
      </c>
      <c r="J7" s="31">
        <v>1005.8913463053076</v>
      </c>
      <c r="K7" s="32">
        <v>1005.8913463053076</v>
      </c>
      <c r="L7" s="31">
        <v>1003.312388024383</v>
      </c>
      <c r="M7" s="32">
        <v>1003.312388024383</v>
      </c>
      <c r="N7" s="31">
        <v>1000.6850840113276</v>
      </c>
      <c r="O7" s="32">
        <v>1000.6850840113276</v>
      </c>
      <c r="P7" s="31">
        <v>998.01029025929142</v>
      </c>
      <c r="Q7" s="32">
        <v>998.01029025929142</v>
      </c>
      <c r="R7" s="31">
        <v>995.30220382223433</v>
      </c>
      <c r="S7" s="32">
        <v>995.30220382223433</v>
      </c>
      <c r="T7" s="31">
        <v>992.59830855293217</v>
      </c>
      <c r="U7" s="32">
        <v>992.59830855293217</v>
      </c>
      <c r="V7" s="31">
        <v>989.9770213735668</v>
      </c>
      <c r="W7" s="32">
        <v>989.9770213735668</v>
      </c>
      <c r="X7" s="31">
        <v>987.5892402349009</v>
      </c>
      <c r="Y7" s="32">
        <v>987.5892402349009</v>
      </c>
      <c r="Z7" s="31">
        <v>985.712582735551</v>
      </c>
      <c r="AA7" s="32">
        <v>985.712582735551</v>
      </c>
      <c r="AB7" s="31">
        <v>984.82727575935735</v>
      </c>
      <c r="AC7" s="32">
        <v>984.82727575935735</v>
      </c>
      <c r="AD7" s="31">
        <v>985.63471348477572</v>
      </c>
      <c r="AE7" s="32">
        <v>985.63471348477572</v>
      </c>
      <c r="AF7" s="31">
        <v>988.71927850423833</v>
      </c>
      <c r="AG7" s="32">
        <v>988.71927850423833</v>
      </c>
      <c r="AH7" s="31"/>
      <c r="AI7" s="32"/>
      <c r="AJ7" s="31"/>
      <c r="AK7" s="32"/>
      <c r="AL7" s="31"/>
      <c r="AM7" s="32"/>
      <c r="AN7" s="31"/>
      <c r="AO7" s="32"/>
      <c r="AP7" s="31"/>
      <c r="AQ7" s="32"/>
      <c r="AR7" s="31"/>
      <c r="AS7" s="32"/>
      <c r="AT7" s="31"/>
      <c r="AU7" s="32"/>
      <c r="AV7" s="31"/>
      <c r="AW7" s="32"/>
    </row>
    <row r="8" spans="1:49" x14ac:dyDescent="0.2">
      <c r="B8" s="33">
        <v>1005.7716594496609</v>
      </c>
      <c r="C8" s="34">
        <v>1005.7716594496609</v>
      </c>
      <c r="D8" s="33">
        <v>1091.517728744167</v>
      </c>
      <c r="E8" s="34">
        <v>1091.517728744167</v>
      </c>
      <c r="F8" s="33">
        <v>1189.0717290584223</v>
      </c>
      <c r="G8" s="34">
        <v>1189.0717290584223</v>
      </c>
      <c r="H8" s="33">
        <v>1300.8213187858275</v>
      </c>
      <c r="I8" s="34">
        <v>1300.8213187858275</v>
      </c>
      <c r="J8" s="33">
        <v>1429.8479795461296</v>
      </c>
      <c r="K8" s="34">
        <v>1429.8479795461296</v>
      </c>
      <c r="L8" s="33">
        <v>1580.2156592210929</v>
      </c>
      <c r="M8" s="34">
        <v>1580.2156592210929</v>
      </c>
      <c r="N8" s="33">
        <v>1757.4246624973257</v>
      </c>
      <c r="O8" s="34">
        <v>1757.4246624973257</v>
      </c>
      <c r="P8" s="33">
        <v>1969.1506377517842</v>
      </c>
      <c r="Q8" s="34">
        <v>1969.1506377517842</v>
      </c>
      <c r="R8" s="33">
        <v>2226.5021530167674</v>
      </c>
      <c r="S8" s="34">
        <v>2226.5021530167674</v>
      </c>
      <c r="T8" s="33">
        <v>2546.2698021924953</v>
      </c>
      <c r="U8" s="34">
        <v>2546.2698021924953</v>
      </c>
      <c r="V8" s="33">
        <v>2955.1807575436974</v>
      </c>
      <c r="W8" s="34">
        <v>2955.1807575436974</v>
      </c>
      <c r="X8" s="33">
        <v>3498.4683980784293</v>
      </c>
      <c r="Y8" s="34">
        <v>3498.4683980784293</v>
      </c>
      <c r="Z8" s="33">
        <v>4258.2944441144837</v>
      </c>
      <c r="AA8" s="34">
        <v>4258.2944441144837</v>
      </c>
      <c r="AB8" s="33">
        <v>5395.6086163289438</v>
      </c>
      <c r="AC8" s="34">
        <v>5395.6086163289438</v>
      </c>
      <c r="AD8" s="33">
        <v>7247.2892784812657</v>
      </c>
      <c r="AE8" s="34">
        <v>7247.2892784812657</v>
      </c>
      <c r="AF8" s="33">
        <v>10547.249234149851</v>
      </c>
      <c r="AG8" s="34">
        <v>10547.249234149851</v>
      </c>
      <c r="AH8" s="33"/>
      <c r="AI8" s="34"/>
      <c r="AJ8" s="33"/>
      <c r="AK8" s="34"/>
      <c r="AL8" s="33"/>
      <c r="AM8" s="34"/>
      <c r="AN8" s="33"/>
      <c r="AO8" s="34"/>
      <c r="AP8" s="33"/>
      <c r="AQ8" s="34"/>
      <c r="AR8" s="33"/>
      <c r="AS8" s="34"/>
      <c r="AT8" s="33"/>
      <c r="AU8" s="34"/>
      <c r="AV8" s="33"/>
      <c r="AW8" s="34"/>
    </row>
    <row r="9" spans="1:49" x14ac:dyDescent="0.2">
      <c r="A9" t="s">
        <v>14</v>
      </c>
      <c r="B9" s="39">
        <v>1015.9116825427475</v>
      </c>
      <c r="C9" s="40">
        <v>1005.7716594496609</v>
      </c>
      <c r="D9" s="39">
        <v>1013.4250465777686</v>
      </c>
      <c r="E9" s="40">
        <v>1091.517728744167</v>
      </c>
      <c r="F9" s="39">
        <v>1010.9355204561131</v>
      </c>
      <c r="G9" s="40">
        <v>1189.0717290584223</v>
      </c>
      <c r="H9" s="39">
        <v>1008.4287167895434</v>
      </c>
      <c r="I9" s="40">
        <v>1300.8213187858275</v>
      </c>
      <c r="J9" s="39">
        <v>1005.8913463053076</v>
      </c>
      <c r="K9" s="40">
        <v>1429.8479795461296</v>
      </c>
      <c r="L9" s="39">
        <v>1003.312388024383</v>
      </c>
      <c r="M9" s="40">
        <v>1580.2156592210929</v>
      </c>
      <c r="N9" s="39">
        <v>1000.6850840113276</v>
      </c>
      <c r="O9" s="40">
        <v>1757.4246624973257</v>
      </c>
      <c r="P9" s="39">
        <v>998.01029025929142</v>
      </c>
      <c r="Q9" s="40">
        <v>1969.1506377517842</v>
      </c>
      <c r="R9" s="39">
        <v>995.30220382223433</v>
      </c>
      <c r="S9" s="40">
        <v>2226.5021530167674</v>
      </c>
      <c r="T9" s="39">
        <v>992.59830855293217</v>
      </c>
      <c r="U9" s="40">
        <v>2546.2698021924953</v>
      </c>
      <c r="V9" s="39">
        <v>989.9770213735668</v>
      </c>
      <c r="W9" s="40">
        <v>2955.1807575436974</v>
      </c>
      <c r="X9" s="39">
        <v>987.5892402349009</v>
      </c>
      <c r="Y9" s="40">
        <v>3498.4683980784293</v>
      </c>
      <c r="Z9" s="39">
        <v>985.712582735551</v>
      </c>
      <c r="AA9" s="40">
        <v>4258.2944441144837</v>
      </c>
      <c r="AB9" s="39">
        <v>984.82727575935735</v>
      </c>
      <c r="AC9" s="40">
        <v>5395.6086163289438</v>
      </c>
      <c r="AD9" s="39">
        <v>985.63471348477572</v>
      </c>
      <c r="AE9" s="40">
        <v>7247.2892784812657</v>
      </c>
      <c r="AF9" s="39">
        <v>988.71927850423833</v>
      </c>
      <c r="AG9" s="40">
        <v>10547.249234149851</v>
      </c>
      <c r="AH9" s="39"/>
      <c r="AI9" s="40"/>
      <c r="AJ9" s="39"/>
      <c r="AK9" s="40"/>
      <c r="AL9" s="39"/>
      <c r="AM9" s="40"/>
      <c r="AN9" s="39"/>
      <c r="AO9" s="40"/>
      <c r="AP9" s="39"/>
      <c r="AQ9" s="40"/>
      <c r="AR9" s="39"/>
      <c r="AS9" s="40"/>
      <c r="AT9" s="39"/>
      <c r="AU9" s="40"/>
      <c r="AV9" s="39"/>
      <c r="AW9" s="40"/>
    </row>
    <row r="10" spans="1:49" x14ac:dyDescent="0.2">
      <c r="A10" t="s">
        <v>15</v>
      </c>
      <c r="B10" s="39">
        <v>1015.9116825427475</v>
      </c>
      <c r="C10" s="40">
        <v>1005.7716594496609</v>
      </c>
      <c r="D10" s="39">
        <v>1013.4250465777686</v>
      </c>
      <c r="E10" s="40">
        <v>1091.517728744167</v>
      </c>
      <c r="F10" s="39">
        <v>1010.9355204561131</v>
      </c>
      <c r="G10" s="40">
        <v>1189.0717290584223</v>
      </c>
      <c r="H10" s="39">
        <v>1008.4287167895434</v>
      </c>
      <c r="I10" s="40">
        <v>1300.8213187858275</v>
      </c>
      <c r="J10" s="39">
        <v>1005.8913463053076</v>
      </c>
      <c r="K10" s="40">
        <v>1429.8479795461296</v>
      </c>
      <c r="L10" s="39">
        <v>1003.312388024383</v>
      </c>
      <c r="M10" s="40">
        <v>1580.2156592210929</v>
      </c>
      <c r="N10" s="39">
        <v>1000.6850840113276</v>
      </c>
      <c r="O10" s="40">
        <v>1757.4246624973257</v>
      </c>
      <c r="P10" s="39">
        <v>998.01029025929142</v>
      </c>
      <c r="Q10" s="40">
        <v>1969.1506377517842</v>
      </c>
      <c r="R10" s="39">
        <v>995.30220382223433</v>
      </c>
      <c r="S10" s="40">
        <v>2226.5021530167674</v>
      </c>
      <c r="T10" s="39">
        <v>992.59830855293217</v>
      </c>
      <c r="U10" s="40">
        <v>2546.2698021924953</v>
      </c>
      <c r="V10" s="39">
        <v>989.9770213735668</v>
      </c>
      <c r="W10" s="40">
        <v>2955.1807575436974</v>
      </c>
      <c r="X10" s="39">
        <v>987.5892402349009</v>
      </c>
      <c r="Y10" s="40">
        <v>3498.4683980784293</v>
      </c>
      <c r="Z10" s="39">
        <v>985.712582735551</v>
      </c>
      <c r="AA10" s="40">
        <v>4258.2944441144837</v>
      </c>
      <c r="AB10" s="39">
        <v>984.82727575935735</v>
      </c>
      <c r="AC10" s="40">
        <v>5395.6086163289438</v>
      </c>
      <c r="AD10" s="39">
        <v>985.63471348477572</v>
      </c>
      <c r="AE10" s="40">
        <v>7247.2892784812657</v>
      </c>
      <c r="AF10" s="39">
        <v>988.71927850423833</v>
      </c>
      <c r="AG10" s="40">
        <v>10547.249234149851</v>
      </c>
      <c r="AH10" s="39"/>
      <c r="AI10" s="40"/>
      <c r="AJ10" s="39"/>
      <c r="AK10" s="40"/>
      <c r="AL10" s="39"/>
      <c r="AM10" s="40"/>
      <c r="AN10" s="39"/>
      <c r="AO10" s="40"/>
      <c r="AP10" s="39"/>
      <c r="AQ10" s="40"/>
      <c r="AR10" s="39"/>
      <c r="AS10" s="40"/>
      <c r="AT10" s="39"/>
      <c r="AU10" s="40"/>
      <c r="AV10" s="39"/>
      <c r="AW10" s="40"/>
    </row>
    <row r="11" spans="1:49" x14ac:dyDescent="0.2">
      <c r="A11" t="s">
        <v>29</v>
      </c>
      <c r="B11" s="39">
        <v>1015.9116825427475</v>
      </c>
      <c r="C11" s="40">
        <v>1005.7716594496609</v>
      </c>
      <c r="D11" s="39">
        <v>1013.4250465777686</v>
      </c>
      <c r="E11" s="40">
        <v>1091.517728744167</v>
      </c>
      <c r="F11" s="39">
        <v>1010.9355204561131</v>
      </c>
      <c r="G11" s="40">
        <v>1189.0717290584223</v>
      </c>
      <c r="H11" s="39">
        <v>1008.4287167895434</v>
      </c>
      <c r="I11" s="40">
        <v>1300.8213187858275</v>
      </c>
      <c r="J11" s="39">
        <v>1005.8913463053076</v>
      </c>
      <c r="K11" s="40">
        <v>1429.8479795461296</v>
      </c>
      <c r="L11" s="39">
        <v>1003.312388024383</v>
      </c>
      <c r="M11" s="40">
        <v>1580.2156592210929</v>
      </c>
      <c r="N11" s="39">
        <v>1000.6850840113276</v>
      </c>
      <c r="O11" s="40">
        <v>1757.4246624973257</v>
      </c>
      <c r="P11" s="39">
        <v>998.01029025929142</v>
      </c>
      <c r="Q11" s="40">
        <v>1969.1506377517842</v>
      </c>
      <c r="R11" s="39">
        <v>995.30220382223433</v>
      </c>
      <c r="S11" s="40">
        <v>2226.5021530167674</v>
      </c>
      <c r="T11" s="39">
        <v>992.59830855293217</v>
      </c>
      <c r="U11" s="40">
        <v>2546.2698021924953</v>
      </c>
      <c r="V11" s="39">
        <v>989.9770213735668</v>
      </c>
      <c r="W11" s="40">
        <v>2955.1807575436974</v>
      </c>
      <c r="X11" s="39">
        <v>987.5892402349009</v>
      </c>
      <c r="Y11" s="40">
        <v>3498.4683980784293</v>
      </c>
      <c r="Z11" s="39">
        <v>985.712582735551</v>
      </c>
      <c r="AA11" s="40">
        <v>4258.2944441144837</v>
      </c>
      <c r="AB11" s="39">
        <v>984.82727575935735</v>
      </c>
      <c r="AC11" s="40">
        <v>5395.6086163289438</v>
      </c>
      <c r="AD11" s="39">
        <v>985.63471348477572</v>
      </c>
      <c r="AE11" s="40">
        <v>7247.2892784812657</v>
      </c>
      <c r="AF11" s="39">
        <v>988.71927850423833</v>
      </c>
      <c r="AG11" s="40">
        <v>10547.249234149851</v>
      </c>
      <c r="AH11" s="39"/>
      <c r="AI11" s="40"/>
      <c r="AJ11" s="39"/>
      <c r="AK11" s="40"/>
      <c r="AL11" s="39"/>
      <c r="AM11" s="40"/>
      <c r="AN11" s="39"/>
      <c r="AO11" s="40"/>
      <c r="AP11" s="39"/>
      <c r="AQ11" s="40"/>
      <c r="AR11" s="39"/>
      <c r="AS11" s="40"/>
      <c r="AT11" s="39"/>
      <c r="AU11" s="40"/>
      <c r="AV11" s="39"/>
      <c r="AW11" s="40"/>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c r="AI12" s="40"/>
      <c r="AJ12" s="39"/>
      <c r="AK12" s="40"/>
      <c r="AL12" s="39"/>
      <c r="AM12" s="40"/>
      <c r="AN12" s="39"/>
      <c r="AO12" s="40"/>
      <c r="AP12" s="39"/>
      <c r="AQ12" s="40"/>
      <c r="AR12" s="39"/>
      <c r="AS12" s="40"/>
      <c r="AT12" s="39"/>
      <c r="AU12" s="40"/>
      <c r="AV12" s="39"/>
      <c r="AW12" s="40"/>
    </row>
    <row r="13" spans="1:49" x14ac:dyDescent="0.2">
      <c r="A13" t="s">
        <v>17</v>
      </c>
      <c r="B13" s="93">
        <v>1000</v>
      </c>
      <c r="C13" s="94">
        <v>1000</v>
      </c>
      <c r="D13" s="93">
        <v>956.86559656814291</v>
      </c>
      <c r="E13" s="94">
        <v>956.86559656814291</v>
      </c>
      <c r="F13" s="93">
        <v>912.86048242230481</v>
      </c>
      <c r="G13" s="94">
        <v>912.86048242230481</v>
      </c>
      <c r="H13" s="93">
        <v>867.79863844447061</v>
      </c>
      <c r="I13" s="94">
        <v>867.79863844447061</v>
      </c>
      <c r="J13" s="93">
        <v>821.45813344059172</v>
      </c>
      <c r="K13" s="94">
        <v>821.45813344059172</v>
      </c>
      <c r="L13" s="93">
        <v>773.56343458976312</v>
      </c>
      <c r="M13" s="94">
        <v>773.56343458976312</v>
      </c>
      <c r="N13" s="93">
        <v>723.75747478965809</v>
      </c>
      <c r="O13" s="94">
        <v>723.75747478965809</v>
      </c>
      <c r="P13" s="93">
        <v>671.55793066418471</v>
      </c>
      <c r="Q13" s="94">
        <v>671.55793066418471</v>
      </c>
      <c r="R13" s="93">
        <v>616.28677299978938</v>
      </c>
      <c r="S13" s="94">
        <v>616.28677299978938</v>
      </c>
      <c r="T13" s="93">
        <v>556.95500276888265</v>
      </c>
      <c r="U13" s="94">
        <v>556.95500276888265</v>
      </c>
      <c r="V13" s="93">
        <v>492.07403832935682</v>
      </c>
      <c r="W13" s="94">
        <v>492.07403832935682</v>
      </c>
      <c r="X13" s="93">
        <v>419.35839506749784</v>
      </c>
      <c r="Y13" s="94">
        <v>419.35839506749784</v>
      </c>
      <c r="Z13" s="93">
        <v>335.3388323827852</v>
      </c>
      <c r="AA13" s="94">
        <v>335.3388323827852</v>
      </c>
      <c r="AB13" s="93">
        <v>235.33512768494407</v>
      </c>
      <c r="AC13" s="94">
        <v>235.33512768494407</v>
      </c>
      <c r="AD13" s="93">
        <v>116.60347064910142</v>
      </c>
      <c r="AE13" s="94">
        <v>116.60347064910142</v>
      </c>
      <c r="AF13" s="93">
        <v>3.1882215312348414</v>
      </c>
      <c r="AG13" s="94">
        <v>3.1882215312348414</v>
      </c>
      <c r="AH13" s="93"/>
      <c r="AI13" s="94"/>
      <c r="AJ13" s="93"/>
      <c r="AK13" s="94"/>
      <c r="AL13" s="93"/>
      <c r="AM13" s="94"/>
      <c r="AN13" s="93"/>
      <c r="AO13" s="94"/>
      <c r="AP13" s="93"/>
      <c r="AQ13" s="94"/>
      <c r="AR13" s="93"/>
      <c r="AS13" s="94"/>
      <c r="AT13" s="93"/>
      <c r="AU13" s="94"/>
      <c r="AV13" s="93"/>
      <c r="AW13" s="94"/>
    </row>
    <row r="14" spans="1:49" x14ac:dyDescent="0.2">
      <c r="A14" t="s">
        <v>36</v>
      </c>
      <c r="B14" s="39">
        <v>1457.0034251455234</v>
      </c>
      <c r="C14" s="40">
        <v>1457.0034251455236</v>
      </c>
      <c r="D14" s="39">
        <v>1394.1564516036988</v>
      </c>
      <c r="E14" s="40">
        <v>1394.156451603699</v>
      </c>
      <c r="F14" s="39">
        <v>1330.040849569293</v>
      </c>
      <c r="G14" s="40">
        <v>1330.040849569293</v>
      </c>
      <c r="H14" s="39">
        <v>1264.3855885502153</v>
      </c>
      <c r="I14" s="40">
        <v>1264.3855885502155</v>
      </c>
      <c r="J14" s="39">
        <v>1196.8673140365904</v>
      </c>
      <c r="K14" s="40">
        <v>1196.8673140365906</v>
      </c>
      <c r="L14" s="39">
        <v>1127.0845737646198</v>
      </c>
      <c r="M14" s="40">
        <v>1127.08457376462</v>
      </c>
      <c r="N14" s="39">
        <v>1054.5171197432066</v>
      </c>
      <c r="O14" s="40">
        <v>1054.5171197432066</v>
      </c>
      <c r="P14" s="39">
        <v>978.46220516135691</v>
      </c>
      <c r="Q14" s="40">
        <v>978.46220516135713</v>
      </c>
      <c r="R14" s="39">
        <v>897.93193913257471</v>
      </c>
      <c r="S14" s="40">
        <v>897.93193913257483</v>
      </c>
      <c r="T14" s="39">
        <v>811.48534668619641</v>
      </c>
      <c r="U14" s="40">
        <v>811.48534668619652</v>
      </c>
      <c r="V14" s="39">
        <v>716.95355927106243</v>
      </c>
      <c r="W14" s="40">
        <v>716.95355927106255</v>
      </c>
      <c r="X14" s="39">
        <v>611.00661797687383</v>
      </c>
      <c r="Y14" s="40">
        <v>611.00661797687394</v>
      </c>
      <c r="Z14" s="39">
        <v>488.58982736601854</v>
      </c>
      <c r="AA14" s="40">
        <v>488.58982736601865</v>
      </c>
      <c r="AB14" s="39">
        <v>342.88408709402256</v>
      </c>
      <c r="AC14" s="40">
        <v>342.88408709402262</v>
      </c>
      <c r="AD14" s="39">
        <v>169.89165611959626</v>
      </c>
      <c r="AE14" s="40">
        <v>169.89165611959629</v>
      </c>
      <c r="AF14" s="39">
        <v>4.6452496911318688</v>
      </c>
      <c r="AG14" s="40">
        <v>4.6452496911318697</v>
      </c>
      <c r="AH14" s="39"/>
      <c r="AI14" s="40"/>
      <c r="AJ14" s="39"/>
      <c r="AK14" s="40"/>
      <c r="AL14" s="39"/>
      <c r="AM14" s="40"/>
      <c r="AN14" s="39"/>
      <c r="AO14" s="40"/>
      <c r="AP14" s="39"/>
      <c r="AQ14" s="40"/>
      <c r="AR14" s="39"/>
      <c r="AS14" s="40"/>
      <c r="AT14" s="39"/>
      <c r="AU14" s="40"/>
      <c r="AV14" s="39"/>
      <c r="AW14" s="40"/>
    </row>
    <row r="15" spans="1:49" x14ac:dyDescent="0.2">
      <c r="A15" t="s">
        <v>18</v>
      </c>
      <c r="B15" s="144">
        <v>1000</v>
      </c>
      <c r="C15" s="145">
        <v>1000</v>
      </c>
      <c r="D15" s="144">
        <v>1037.0291607578092</v>
      </c>
      <c r="E15" s="145">
        <v>1037.0291607578092</v>
      </c>
      <c r="F15" s="144">
        <v>1075.484503919685</v>
      </c>
      <c r="G15" s="145">
        <v>1075.484503919685</v>
      </c>
      <c r="H15" s="144">
        <v>1115.5733800194109</v>
      </c>
      <c r="I15" s="145">
        <v>1115.5733800194109</v>
      </c>
      <c r="J15" s="144">
        <v>1157.559515142425</v>
      </c>
      <c r="K15" s="145">
        <v>1157.559515142425</v>
      </c>
      <c r="L15" s="144">
        <v>1201.7915034471389</v>
      </c>
      <c r="M15" s="145">
        <v>1201.7915034471389</v>
      </c>
      <c r="N15" s="144">
        <v>1248.749807437031</v>
      </c>
      <c r="O15" s="145">
        <v>1248.749807437031</v>
      </c>
      <c r="P15" s="144">
        <v>1299.1243771454374</v>
      </c>
      <c r="Q15" s="145">
        <v>1299.1243771454374</v>
      </c>
      <c r="R15" s="144">
        <v>1353.9480596193998</v>
      </c>
      <c r="S15" s="145">
        <v>1353.9480596193998</v>
      </c>
      <c r="T15" s="144">
        <v>1414.8335724891294</v>
      </c>
      <c r="U15" s="145">
        <v>1414.8335724891294</v>
      </c>
      <c r="V15" s="144">
        <v>1484.4097411546381</v>
      </c>
      <c r="W15" s="145">
        <v>1484.4097411546381</v>
      </c>
      <c r="X15" s="144">
        <v>1567.1531286431282</v>
      </c>
      <c r="Y15" s="145">
        <v>1567.1531286431282</v>
      </c>
      <c r="Z15" s="144">
        <v>1671.0034842442446</v>
      </c>
      <c r="AA15" s="145">
        <v>1671.0034842442446</v>
      </c>
      <c r="AB15" s="144">
        <v>1810.3955324852104</v>
      </c>
      <c r="AC15" s="145">
        <v>1810.3955324852104</v>
      </c>
      <c r="AD15" s="144">
        <v>2010.9655013879021</v>
      </c>
      <c r="AE15" s="145">
        <v>2010.9655013879021</v>
      </c>
      <c r="AF15" s="144">
        <v>2313.291634191331</v>
      </c>
      <c r="AG15" s="145">
        <v>2313.291634191331</v>
      </c>
      <c r="AH15" s="144"/>
      <c r="AI15" s="145"/>
      <c r="AJ15" s="144"/>
      <c r="AK15" s="145"/>
      <c r="AL15" s="144"/>
      <c r="AM15" s="145"/>
      <c r="AN15" s="144"/>
      <c r="AO15" s="145"/>
      <c r="AP15" s="144"/>
      <c r="AQ15" s="145"/>
      <c r="AR15" s="144"/>
      <c r="AS15" s="145"/>
      <c r="AT15" s="144"/>
      <c r="AU15" s="145"/>
      <c r="AV15" s="144"/>
      <c r="AW15" s="145"/>
    </row>
    <row r="16" spans="1:49" s="27" customFormat="1" x14ac:dyDescent="0.2">
      <c r="A16" t="s">
        <v>61</v>
      </c>
      <c r="B16" s="39">
        <v>1000</v>
      </c>
      <c r="C16" s="40">
        <v>1000</v>
      </c>
      <c r="D16" s="39">
        <v>994.04852091598832</v>
      </c>
      <c r="E16" s="40">
        <v>1014.0501592346352</v>
      </c>
      <c r="F16" s="39">
        <v>987.78487547850693</v>
      </c>
      <c r="G16" s="40">
        <v>1028.6632143169948</v>
      </c>
      <c r="H16" s="39">
        <v>981.14829063454329</v>
      </c>
      <c r="I16" s="40">
        <v>1043.913746978141</v>
      </c>
      <c r="J16" s="39">
        <v>974.06752653676426</v>
      </c>
      <c r="K16" s="40">
        <v>1059.9001229020673</v>
      </c>
      <c r="L16" s="39">
        <v>966.45742338399361</v>
      </c>
      <c r="M16" s="40">
        <v>1076.7572764336091</v>
      </c>
      <c r="N16" s="39">
        <v>958.2137237044293</v>
      </c>
      <c r="O16" s="40">
        <v>1094.6780946920928</v>
      </c>
      <c r="P16" s="39">
        <v>949.20505506493419</v>
      </c>
      <c r="Q16" s="40">
        <v>1113.9492088859963</v>
      </c>
      <c r="R16" s="39">
        <v>939.25994639398937</v>
      </c>
      <c r="S16" s="40">
        <v>1135.0133646347624</v>
      </c>
      <c r="T16" s="39">
        <v>928.14476629739329</v>
      </c>
      <c r="U16" s="40">
        <v>1158.5819012171189</v>
      </c>
      <c r="V16" s="39">
        <v>915.52432345165244</v>
      </c>
      <c r="W16" s="40">
        <v>1185.8456526960513</v>
      </c>
      <c r="X16" s="39">
        <v>900.88747424395785</v>
      </c>
      <c r="Y16" s="40">
        <v>1218.8869769964863</v>
      </c>
      <c r="Z16" s="39">
        <v>883.39879997027481</v>
      </c>
      <c r="AA16" s="40">
        <v>1261.5110757963885</v>
      </c>
      <c r="AB16" s="39">
        <v>861.59180809324266</v>
      </c>
      <c r="AC16" s="40">
        <v>1320.9264536589835</v>
      </c>
      <c r="AD16" s="39">
        <v>832.74880831992971</v>
      </c>
      <c r="AE16" s="40">
        <v>1410.9781350105295</v>
      </c>
      <c r="AF16" s="39">
        <v>791.81202292242961</v>
      </c>
      <c r="AG16" s="40">
        <v>1560.5445761716855</v>
      </c>
      <c r="AH16" s="39"/>
      <c r="AI16" s="40"/>
      <c r="AJ16" s="39"/>
      <c r="AK16" s="40"/>
      <c r="AL16" s="39"/>
      <c r="AM16" s="40"/>
      <c r="AN16" s="39"/>
      <c r="AO16" s="40"/>
      <c r="AP16" s="39"/>
      <c r="AQ16" s="40"/>
      <c r="AR16" s="39"/>
      <c r="AS16" s="40"/>
      <c r="AT16" s="39"/>
      <c r="AU16" s="40"/>
      <c r="AV16" s="39"/>
      <c r="AW16" s="40"/>
    </row>
    <row r="17" spans="1:49" x14ac:dyDescent="0.2">
      <c r="A17" t="s">
        <v>62</v>
      </c>
      <c r="B17" s="33">
        <v>1000.0000000000002</v>
      </c>
      <c r="C17" s="34">
        <v>999.99999999999977</v>
      </c>
      <c r="D17" s="33">
        <v>997.77644331839986</v>
      </c>
      <c r="E17" s="34">
        <v>1051.7902606596219</v>
      </c>
      <c r="F17" s="33">
        <v>995.55475525497309</v>
      </c>
      <c r="G17" s="34">
        <v>1109.727625075117</v>
      </c>
      <c r="H17" s="33">
        <v>993.32217300194384</v>
      </c>
      <c r="I17" s="34">
        <v>1174.9929442160856</v>
      </c>
      <c r="J17" s="33">
        <v>991.0670141427936</v>
      </c>
      <c r="K17" s="34">
        <v>1249.1053590277415</v>
      </c>
      <c r="L17" s="33">
        <v>988.77970853105501</v>
      </c>
      <c r="M17" s="34">
        <v>1334.0637164310549</v>
      </c>
      <c r="N17" s="33">
        <v>986.45454232787279</v>
      </c>
      <c r="O17" s="34">
        <v>1432.5694277178966</v>
      </c>
      <c r="P17" s="33">
        <v>984.09257799889735</v>
      </c>
      <c r="Q17" s="34">
        <v>1548.389340897975</v>
      </c>
      <c r="R17" s="33">
        <v>981.70662063330349</v>
      </c>
      <c r="S17" s="34">
        <v>1686.9730794670691</v>
      </c>
      <c r="T17" s="33">
        <v>979.32981291269027</v>
      </c>
      <c r="U17" s="34">
        <v>1856.5555391833936</v>
      </c>
      <c r="V17" s="33">
        <v>977.03085469249174</v>
      </c>
      <c r="W17" s="34">
        <v>2070.2365468556809</v>
      </c>
      <c r="X17" s="33">
        <v>974.94119892152162</v>
      </c>
      <c r="Y17" s="34">
        <v>2350.1504946242453</v>
      </c>
      <c r="Z17" s="33">
        <v>973.30188227637643</v>
      </c>
      <c r="AA17" s="34">
        <v>2736.3654893537328</v>
      </c>
      <c r="AB17" s="33">
        <v>972.52946978617797</v>
      </c>
      <c r="AC17" s="34">
        <v>3306.8824719349286</v>
      </c>
      <c r="AD17" s="33">
        <v>973.23391907253313</v>
      </c>
      <c r="AE17" s="34">
        <v>4223.3331485152194</v>
      </c>
      <c r="AF17" s="33">
        <v>975.92960936371037</v>
      </c>
      <c r="AG17" s="34">
        <v>5834.903869333486</v>
      </c>
      <c r="AH17" s="33"/>
      <c r="AI17" s="34"/>
      <c r="AJ17" s="33"/>
      <c r="AK17" s="34"/>
      <c r="AL17" s="33"/>
      <c r="AM17" s="34"/>
      <c r="AN17" s="33"/>
      <c r="AO17" s="34"/>
      <c r="AP17" s="33"/>
      <c r="AQ17" s="34"/>
      <c r="AR17" s="33"/>
      <c r="AS17" s="34"/>
      <c r="AT17" s="33"/>
      <c r="AU17" s="34"/>
      <c r="AV17" s="33"/>
      <c r="AW17" s="34"/>
    </row>
    <row r="18" spans="1:49" x14ac:dyDescent="0.2">
      <c r="A18" t="s">
        <v>19</v>
      </c>
      <c r="B18" s="31">
        <v>27857.010133999996</v>
      </c>
      <c r="C18" s="32">
        <v>1236.7674480000003</v>
      </c>
      <c r="D18" s="31">
        <v>28259.423622609076</v>
      </c>
      <c r="E18" s="32">
        <v>1136.8302276677116</v>
      </c>
      <c r="F18" s="31">
        <v>28664.745430056955</v>
      </c>
      <c r="G18" s="32">
        <v>1037.4060175068846</v>
      </c>
      <c r="H18" s="31">
        <v>29074.014065278159</v>
      </c>
      <c r="I18" s="32">
        <v>938.51535933801108</v>
      </c>
      <c r="J18" s="31">
        <v>29488.43639756837</v>
      </c>
      <c r="K18" s="32">
        <v>840.22615043601047</v>
      </c>
      <c r="L18" s="31">
        <v>29909.486235224987</v>
      </c>
      <c r="M18" s="32">
        <v>742.67417520810807</v>
      </c>
      <c r="N18" s="31">
        <v>30339.061595387157</v>
      </c>
      <c r="O18" s="32">
        <v>646.09526387928508</v>
      </c>
      <c r="P18" s="31">
        <v>30779.745673268488</v>
      </c>
      <c r="Q18" s="32">
        <v>550.86929732112435</v>
      </c>
      <c r="R18" s="31">
        <v>31235.243828854342</v>
      </c>
      <c r="S18" s="32">
        <v>457.58522763730053</v>
      </c>
      <c r="T18" s="31">
        <v>31711.143056179051</v>
      </c>
      <c r="U18" s="32">
        <v>367.1377792699588</v>
      </c>
      <c r="V18" s="31">
        <v>32216.251028102793</v>
      </c>
      <c r="W18" s="32">
        <v>280.87135964546979</v>
      </c>
      <c r="X18" s="31">
        <v>32764.979347132234</v>
      </c>
      <c r="Y18" s="32">
        <v>200.78822759726518</v>
      </c>
      <c r="Z18" s="31">
        <v>33381.437831878909</v>
      </c>
      <c r="AA18" s="32">
        <v>129.80771799932424</v>
      </c>
      <c r="AB18" s="31">
        <v>34105.29973348348</v>
      </c>
      <c r="AC18" s="32">
        <v>71.895335858237971</v>
      </c>
      <c r="AD18" s="31">
        <v>34994.393039300747</v>
      </c>
      <c r="AE18" s="32">
        <v>31.304688260333183</v>
      </c>
      <c r="AF18" s="31">
        <v>36103.919978281774</v>
      </c>
      <c r="AG18" s="32">
        <v>9.5272757105722103</v>
      </c>
      <c r="AH18" s="31"/>
      <c r="AI18" s="32"/>
      <c r="AJ18" s="31"/>
      <c r="AK18" s="32"/>
      <c r="AL18" s="31"/>
      <c r="AM18" s="32"/>
      <c r="AN18" s="31"/>
      <c r="AO18" s="32"/>
      <c r="AP18" s="31"/>
      <c r="AQ18" s="32"/>
      <c r="AR18" s="31"/>
      <c r="AS18" s="32"/>
      <c r="AT18" s="31"/>
      <c r="AU18" s="32"/>
      <c r="AV18" s="31"/>
      <c r="AW18" s="32"/>
    </row>
    <row r="19" spans="1:49" x14ac:dyDescent="0.2">
      <c r="A19" t="s">
        <v>3</v>
      </c>
      <c r="B19" s="39">
        <v>1886.3937399999918</v>
      </c>
      <c r="C19" s="40">
        <v>262.78711299999759</v>
      </c>
      <c r="D19" s="39">
        <v>1902.4190277050811</v>
      </c>
      <c r="E19" s="40">
        <v>280.19170356797434</v>
      </c>
      <c r="F19" s="39">
        <v>1918.3390532585906</v>
      </c>
      <c r="G19" s="40">
        <v>299.45291098607089</v>
      </c>
      <c r="H19" s="39">
        <v>1934.1540421550828</v>
      </c>
      <c r="I19" s="40">
        <v>320.77177805256696</v>
      </c>
      <c r="J19" s="39">
        <v>1949.8758581373786</v>
      </c>
      <c r="K19" s="40">
        <v>344.34987671681512</v>
      </c>
      <c r="L19" s="39">
        <v>1965.5398927979359</v>
      </c>
      <c r="M19" s="40">
        <v>370.37342011112941</v>
      </c>
      <c r="N19" s="39">
        <v>1981.224786692027</v>
      </c>
      <c r="O19" s="40">
        <v>398.98581955124081</v>
      </c>
      <c r="P19" s="39">
        <v>1997.0856351523842</v>
      </c>
      <c r="Q19" s="40">
        <v>430.23960736864336</v>
      </c>
      <c r="R19" s="39">
        <v>2013.4105566691258</v>
      </c>
      <c r="S19" s="40">
        <v>464.01220212892264</v>
      </c>
      <c r="T19" s="39">
        <v>2030.7197374410014</v>
      </c>
      <c r="U19" s="40">
        <v>499.85545945380898</v>
      </c>
      <c r="V19" s="39">
        <v>2049.9423059396931</v>
      </c>
      <c r="W19" s="40">
        <v>536.7206967340137</v>
      </c>
      <c r="X19" s="39">
        <v>2072.7363238205976</v>
      </c>
      <c r="Y19" s="40">
        <v>572.44854470410849</v>
      </c>
      <c r="Z19" s="39">
        <v>2102.0521851689045</v>
      </c>
      <c r="AA19" s="40">
        <v>602.84091720538697</v>
      </c>
      <c r="AB19" s="39">
        <v>2142.9755845072914</v>
      </c>
      <c r="AC19" s="40">
        <v>620.19298998738589</v>
      </c>
      <c r="AD19" s="39">
        <v>2203.2004375432471</v>
      </c>
      <c r="AE19" s="40">
        <v>612.19877188511737</v>
      </c>
      <c r="AF19" s="39">
        <v>2290.2768216003856</v>
      </c>
      <c r="AG19" s="40">
        <v>565.75656181133331</v>
      </c>
      <c r="AH19" s="39"/>
      <c r="AI19" s="40"/>
      <c r="AJ19" s="39"/>
      <c r="AK19" s="40"/>
      <c r="AL19" s="39"/>
      <c r="AM19" s="40"/>
      <c r="AN19" s="39"/>
      <c r="AO19" s="40"/>
      <c r="AP19" s="39"/>
      <c r="AQ19" s="40"/>
      <c r="AR19" s="39"/>
      <c r="AS19" s="40"/>
      <c r="AT19" s="39"/>
      <c r="AU19" s="40"/>
      <c r="AV19" s="39"/>
      <c r="AW19" s="40"/>
    </row>
    <row r="20" spans="1:49" x14ac:dyDescent="0.2">
      <c r="A20" t="s">
        <v>114</v>
      </c>
      <c r="B20" s="79">
        <v>26548.356269999993</v>
      </c>
      <c r="C20" s="80">
        <v>1408.5418709999938</v>
      </c>
      <c r="D20" s="79">
        <v>26905.44091902623</v>
      </c>
      <c r="E20" s="80">
        <v>1338.1147774499941</v>
      </c>
      <c r="F20" s="79">
        <v>27264.381829036414</v>
      </c>
      <c r="G20" s="80">
        <v>1267.6876838999945</v>
      </c>
      <c r="H20" s="79">
        <v>27625.990008748828</v>
      </c>
      <c r="I20" s="80">
        <v>1197.2605903499943</v>
      </c>
      <c r="J20" s="79">
        <v>27991.232269682205</v>
      </c>
      <c r="K20" s="80">
        <v>1126.8334967999951</v>
      </c>
      <c r="L20" s="79">
        <v>28361.337842127912</v>
      </c>
      <c r="M20" s="80">
        <v>1056.4064032499953</v>
      </c>
      <c r="N20" s="79">
        <v>28737.970834694301</v>
      </c>
      <c r="O20" s="80">
        <v>985.97930969999561</v>
      </c>
      <c r="P20" s="79">
        <v>29123.518956939373</v>
      </c>
      <c r="Q20" s="80">
        <v>915.55221614999596</v>
      </c>
      <c r="R20" s="79">
        <v>29521.58083857203</v>
      </c>
      <c r="S20" s="80">
        <v>845.12512259999642</v>
      </c>
      <c r="T20" s="79">
        <v>29937.816905399759</v>
      </c>
      <c r="U20" s="80">
        <v>774.69802904999653</v>
      </c>
      <c r="V20" s="79">
        <v>30381.457852127569</v>
      </c>
      <c r="W20" s="80">
        <v>704.27093549999688</v>
      </c>
      <c r="X20" s="79">
        <v>30868.004766091206</v>
      </c>
      <c r="Y20" s="80">
        <v>633.84384194999734</v>
      </c>
      <c r="Z20" s="79">
        <v>31423.900601720252</v>
      </c>
      <c r="AA20" s="80">
        <v>563.41674839999746</v>
      </c>
      <c r="AB20" s="79">
        <v>32093.293369423165</v>
      </c>
      <c r="AC20" s="80">
        <v>492.98965484999781</v>
      </c>
      <c r="AD20" s="79">
        <v>32941.185709290316</v>
      </c>
      <c r="AE20" s="80">
        <v>422.56256129999804</v>
      </c>
      <c r="AF20" s="79">
        <v>34029.782468134872</v>
      </c>
      <c r="AG20" s="80">
        <v>352.13546774999827</v>
      </c>
      <c r="AH20" s="79"/>
      <c r="AI20" s="80"/>
      <c r="AJ20" s="79"/>
      <c r="AK20" s="80"/>
      <c r="AL20" s="79"/>
      <c r="AM20" s="80"/>
      <c r="AN20" s="79"/>
      <c r="AO20" s="80"/>
      <c r="AP20" s="79"/>
      <c r="AQ20" s="80"/>
      <c r="AR20" s="79"/>
      <c r="AS20" s="80"/>
      <c r="AT20" s="79"/>
      <c r="AU20" s="80"/>
      <c r="AV20" s="79"/>
      <c r="AW20" s="80"/>
    </row>
    <row r="21" spans="1:49" x14ac:dyDescent="0.2">
      <c r="A21" t="s">
        <v>76</v>
      </c>
      <c r="B21" s="79">
        <v>24661.962529999968</v>
      </c>
      <c r="C21" s="80">
        <v>1145.7547579999991</v>
      </c>
      <c r="D21" s="79">
        <v>25003.034221158323</v>
      </c>
      <c r="E21" s="80">
        <v>1058.4724281180988</v>
      </c>
      <c r="F21" s="79">
        <v>25346.09281119176</v>
      </c>
      <c r="G21" s="80">
        <v>970.58265970279103</v>
      </c>
      <c r="H21" s="79">
        <v>25691.950612399549</v>
      </c>
      <c r="I21" s="80">
        <v>882.1437893262696</v>
      </c>
      <c r="J21" s="79">
        <v>26041.564706816414</v>
      </c>
      <c r="K21" s="80">
        <v>793.26377694803455</v>
      </c>
      <c r="L21" s="79">
        <v>26396.131615343886</v>
      </c>
      <c r="M21" s="80">
        <v>704.12179583434545</v>
      </c>
      <c r="N21" s="79">
        <v>26757.239852109717</v>
      </c>
      <c r="O21" s="80">
        <v>614.99853176681358</v>
      </c>
      <c r="P21" s="79">
        <v>27127.1250098364</v>
      </c>
      <c r="Q21" s="80">
        <v>526.31997125767293</v>
      </c>
      <c r="R21" s="79">
        <v>27509.099604351464</v>
      </c>
      <c r="S21" s="80">
        <v>438.72126433447363</v>
      </c>
      <c r="T21" s="79">
        <v>27908.303100996229</v>
      </c>
      <c r="U21" s="80">
        <v>353.14140790178988</v>
      </c>
      <c r="V21" s="79">
        <v>28333.030022797637</v>
      </c>
      <c r="W21" s="80">
        <v>270.96451059404757</v>
      </c>
      <c r="X21" s="79">
        <v>28797.103555069345</v>
      </c>
      <c r="Y21" s="80">
        <v>194.22445069308594</v>
      </c>
      <c r="Z21" s="79">
        <v>29323.972349934869</v>
      </c>
      <c r="AA21" s="80">
        <v>125.86075832937331</v>
      </c>
      <c r="AB21" s="79">
        <v>29952.616008395722</v>
      </c>
      <c r="AC21" s="80">
        <v>69.848518847429432</v>
      </c>
      <c r="AD21" s="79">
        <v>30740.223254963817</v>
      </c>
      <c r="AE21" s="80">
        <v>30.460850984537288</v>
      </c>
      <c r="AF21" s="79">
        <v>31741.370510623427</v>
      </c>
      <c r="AG21" s="80">
        <v>9.2801312533337796</v>
      </c>
      <c r="AH21" s="79"/>
      <c r="AI21" s="80"/>
      <c r="AJ21" s="79"/>
      <c r="AK21" s="80"/>
      <c r="AL21" s="79"/>
      <c r="AM21" s="80"/>
      <c r="AN21" s="79"/>
      <c r="AO21" s="80"/>
      <c r="AP21" s="79"/>
      <c r="AQ21" s="80"/>
      <c r="AR21" s="79"/>
      <c r="AS21" s="80"/>
      <c r="AT21" s="79"/>
      <c r="AU21" s="80"/>
      <c r="AV21" s="79"/>
      <c r="AW21" s="80"/>
    </row>
    <row r="22" spans="1:49" x14ac:dyDescent="0.2">
      <c r="A22" t="s">
        <v>28</v>
      </c>
      <c r="B22" s="39">
        <v>6533.6044688320662</v>
      </c>
      <c r="C22" s="40">
        <v>379.90788307663382</v>
      </c>
      <c r="D22" s="39">
        <v>6624.5115950547161</v>
      </c>
      <c r="E22" s="40">
        <v>366.20299980428314</v>
      </c>
      <c r="F22" s="39">
        <v>6715.0935504594809</v>
      </c>
      <c r="G22" s="40">
        <v>352.10552373990828</v>
      </c>
      <c r="H22" s="39">
        <v>6805.4301306656762</v>
      </c>
      <c r="I22" s="40">
        <v>337.6164849909012</v>
      </c>
      <c r="J22" s="39">
        <v>6895.6126393427276</v>
      </c>
      <c r="K22" s="40">
        <v>322.73131668648159</v>
      </c>
      <c r="L22" s="39">
        <v>6985.7626816777165</v>
      </c>
      <c r="M22" s="40">
        <v>307.43778686239898</v>
      </c>
      <c r="N22" s="39">
        <v>7076.0636839603403</v>
      </c>
      <c r="O22" s="40">
        <v>291.71293571802943</v>
      </c>
      <c r="P22" s="39">
        <v>7166.8164451473403</v>
      </c>
      <c r="Q22" s="40">
        <v>275.51893947030538</v>
      </c>
      <c r="R22" s="39">
        <v>7258.5356920896365</v>
      </c>
      <c r="S22" s="40">
        <v>258.79724794246084</v>
      </c>
      <c r="T22" s="39">
        <v>7352.1223538933646</v>
      </c>
      <c r="U22" s="40">
        <v>241.46029227577566</v>
      </c>
      <c r="V22" s="39">
        <v>7449.1727809025278</v>
      </c>
      <c r="W22" s="40">
        <v>223.37996333883081</v>
      </c>
      <c r="X22" s="39">
        <v>7552.5320433047782</v>
      </c>
      <c r="Y22" s="40">
        <v>204.37282232032646</v>
      </c>
      <c r="Z22" s="39">
        <v>7667.2271886717499</v>
      </c>
      <c r="AA22" s="40">
        <v>184.18685351981745</v>
      </c>
      <c r="AB22" s="39">
        <v>7801.6705655605519</v>
      </c>
      <c r="AC22" s="40">
        <v>162.51405031389291</v>
      </c>
      <c r="AD22" s="39">
        <v>7967.3837034105345</v>
      </c>
      <c r="AE22" s="40">
        <v>139.10780523693063</v>
      </c>
      <c r="AF22" s="39">
        <v>8170.8510715894072</v>
      </c>
      <c r="AG22" s="40">
        <v>114.11404504405452</v>
      </c>
      <c r="AH22" s="39"/>
      <c r="AI22" s="40"/>
      <c r="AJ22" s="39"/>
      <c r="AK22" s="40"/>
      <c r="AL22" s="39"/>
      <c r="AM22" s="40"/>
      <c r="AN22" s="39"/>
      <c r="AO22" s="40"/>
      <c r="AP22" s="39"/>
      <c r="AQ22" s="40"/>
      <c r="AR22" s="39"/>
      <c r="AS22" s="40"/>
      <c r="AT22" s="39"/>
      <c r="AU22" s="40"/>
      <c r="AV22" s="39"/>
      <c r="AW22" s="40"/>
    </row>
    <row r="23" spans="1:49" x14ac:dyDescent="0.2">
      <c r="A23" t="s">
        <v>7</v>
      </c>
      <c r="B23" s="110">
        <v>3278.5018080150408</v>
      </c>
      <c r="C23" s="8">
        <v>0</v>
      </c>
      <c r="D23" s="110">
        <v>3330.3208968600884</v>
      </c>
      <c r="E23" s="8">
        <v>0</v>
      </c>
      <c r="F23" s="110">
        <v>3382.6603362881733</v>
      </c>
      <c r="G23" s="8">
        <v>0</v>
      </c>
      <c r="H23" s="110">
        <v>3435.6569004370308</v>
      </c>
      <c r="I23" s="8">
        <v>0</v>
      </c>
      <c r="J23" s="110">
        <v>3489.4761319947993</v>
      </c>
      <c r="K23" s="8">
        <v>0</v>
      </c>
      <c r="L23" s="110">
        <v>3544.3304391003658</v>
      </c>
      <c r="M23" s="8">
        <v>0</v>
      </c>
      <c r="N23" s="110">
        <v>3600.5082169765224</v>
      </c>
      <c r="O23" s="8">
        <v>0</v>
      </c>
      <c r="P23" s="110">
        <v>3658.4229335192617</v>
      </c>
      <c r="Q23" s="8">
        <v>0</v>
      </c>
      <c r="R23" s="110">
        <v>3718.6964965359739</v>
      </c>
      <c r="S23" s="8">
        <v>0</v>
      </c>
      <c r="T23" s="110">
        <v>3782.3058209059086</v>
      </c>
      <c r="U23" s="8">
        <v>0</v>
      </c>
      <c r="V23" s="110">
        <v>3850.8460400433287</v>
      </c>
      <c r="W23" s="8">
        <v>0</v>
      </c>
      <c r="X23" s="110">
        <v>3927.0112430486715</v>
      </c>
      <c r="Y23" s="8">
        <v>0</v>
      </c>
      <c r="Z23" s="110">
        <v>4015.4576948362624</v>
      </c>
      <c r="AA23" s="8">
        <v>0</v>
      </c>
      <c r="AB23" s="110">
        <v>4124.1720596540481</v>
      </c>
      <c r="AC23" s="8">
        <v>0</v>
      </c>
      <c r="AD23" s="110">
        <v>4265.6560839316544</v>
      </c>
      <c r="AE23" s="8">
        <v>0</v>
      </c>
      <c r="AF23" s="110">
        <v>4454.4697958915394</v>
      </c>
      <c r="AG23" s="8">
        <v>0</v>
      </c>
      <c r="AH23" s="110"/>
      <c r="AI23" s="8"/>
      <c r="AJ23" s="110"/>
      <c r="AK23" s="8"/>
      <c r="AL23" s="110"/>
      <c r="AM23" s="8"/>
      <c r="AN23" s="110"/>
      <c r="AO23" s="8"/>
      <c r="AP23" s="110"/>
      <c r="AQ23" s="8"/>
      <c r="AR23" s="110"/>
      <c r="AS23" s="8"/>
      <c r="AT23" s="110"/>
      <c r="AU23" s="8"/>
      <c r="AV23" s="110"/>
      <c r="AW23" s="8"/>
    </row>
    <row r="24" spans="1:49" x14ac:dyDescent="0.2">
      <c r="A24" t="s">
        <v>8</v>
      </c>
      <c r="B24" s="93">
        <v>3196.3846373657216</v>
      </c>
      <c r="C24" s="8">
        <v>0</v>
      </c>
      <c r="D24" s="93">
        <v>3246.9058017189359</v>
      </c>
      <c r="E24" s="8">
        <v>0</v>
      </c>
      <c r="F24" s="93">
        <v>3297.9342856011067</v>
      </c>
      <c r="G24" s="8">
        <v>0</v>
      </c>
      <c r="H24" s="93">
        <v>3349.6034347498785</v>
      </c>
      <c r="I24" s="8">
        <v>0</v>
      </c>
      <c r="J24" s="93">
        <v>3402.0746529788812</v>
      </c>
      <c r="K24" s="8">
        <v>0</v>
      </c>
      <c r="L24" s="93">
        <v>3455.5550152402825</v>
      </c>
      <c r="M24" s="8">
        <v>0</v>
      </c>
      <c r="N24" s="93">
        <v>3510.3256988287035</v>
      </c>
      <c r="O24" s="8">
        <v>0</v>
      </c>
      <c r="P24" s="93">
        <v>3566.7898161319849</v>
      </c>
      <c r="Q24" s="8">
        <v>0</v>
      </c>
      <c r="R24" s="93">
        <v>3625.5536974295042</v>
      </c>
      <c r="S24" s="8">
        <v>0</v>
      </c>
      <c r="T24" s="93">
        <v>3687.5697887058764</v>
      </c>
      <c r="U24" s="8">
        <v>0</v>
      </c>
      <c r="V24" s="93">
        <v>3754.3932698126446</v>
      </c>
      <c r="W24" s="8">
        <v>0</v>
      </c>
      <c r="X24" s="93">
        <v>3828.6507505661971</v>
      </c>
      <c r="Y24" s="8">
        <v>0</v>
      </c>
      <c r="Z24" s="93">
        <v>3914.8818695955761</v>
      </c>
      <c r="AA24" s="8">
        <v>0</v>
      </c>
      <c r="AB24" s="93">
        <v>4020.8732479874529</v>
      </c>
      <c r="AC24" s="8">
        <v>0</v>
      </c>
      <c r="AD24" s="93">
        <v>4158.8134987411331</v>
      </c>
      <c r="AE24" s="8">
        <v>0</v>
      </c>
      <c r="AF24" s="93">
        <v>4342.8979628389516</v>
      </c>
      <c r="AG24" s="8">
        <v>0</v>
      </c>
      <c r="AH24" s="93"/>
      <c r="AI24" s="8"/>
      <c r="AJ24" s="93"/>
      <c r="AK24" s="8"/>
      <c r="AL24" s="93"/>
      <c r="AM24" s="8"/>
      <c r="AN24" s="93"/>
      <c r="AO24" s="8"/>
      <c r="AP24" s="93"/>
      <c r="AQ24" s="8"/>
      <c r="AR24" s="93"/>
      <c r="AS24" s="8"/>
      <c r="AT24" s="93"/>
      <c r="AU24" s="8"/>
      <c r="AV24" s="93"/>
      <c r="AW24" s="8"/>
    </row>
    <row r="25" spans="1:49" x14ac:dyDescent="0.2">
      <c r="A25" t="s">
        <v>0</v>
      </c>
      <c r="B25" s="39">
        <v>3195.0476040000012</v>
      </c>
      <c r="C25" s="40">
        <v>91.012690000004397</v>
      </c>
      <c r="D25" s="39">
        <v>3256.3693771329013</v>
      </c>
      <c r="E25" s="40">
        <v>78.263294655127353</v>
      </c>
      <c r="F25" s="39">
        <v>3318.5707870970996</v>
      </c>
      <c r="G25" s="40">
        <v>66.473865621706793</v>
      </c>
      <c r="H25" s="39">
        <v>3381.8746755297366</v>
      </c>
      <c r="I25" s="40">
        <v>55.651562841225555</v>
      </c>
      <c r="J25" s="39">
        <v>3446.5263320158124</v>
      </c>
      <c r="K25" s="40">
        <v>45.802896976319253</v>
      </c>
      <c r="L25" s="39">
        <v>3512.7975419636614</v>
      </c>
      <c r="M25" s="40">
        <v>36.933314514136818</v>
      </c>
      <c r="N25" s="39">
        <v>3580.9914431128964</v>
      </c>
      <c r="O25" s="40">
        <v>29.046839252735463</v>
      </c>
      <c r="P25" s="39">
        <v>3651.4491939522272</v>
      </c>
      <c r="Q25" s="40">
        <v>22.145529522229641</v>
      </c>
      <c r="R25" s="39">
        <v>3724.5586965962329</v>
      </c>
      <c r="S25" s="40">
        <v>16.228740402698278</v>
      </c>
      <c r="T25" s="39">
        <v>3800.7673331623564</v>
      </c>
      <c r="U25" s="40">
        <v>11.29190540516908</v>
      </c>
      <c r="V25" s="39">
        <v>3880.5994510739779</v>
      </c>
      <c r="W25" s="40">
        <v>7.3242122226186268</v>
      </c>
      <c r="X25" s="39">
        <v>3964.6784535403872</v>
      </c>
      <c r="Y25" s="40">
        <v>4.3038202031044674</v>
      </c>
      <c r="Z25" s="39">
        <v>4053.7458935804748</v>
      </c>
      <c r="AA25" s="40">
        <v>2.1877647052450802</v>
      </c>
      <c r="AB25" s="39">
        <v>4148.6491418269261</v>
      </c>
      <c r="AC25" s="40">
        <v>0.89174117253235818</v>
      </c>
      <c r="AD25" s="39">
        <v>4250.2496283426344</v>
      </c>
      <c r="AE25" s="40">
        <v>0.25848377420092622</v>
      </c>
      <c r="AF25" s="39">
        <v>4359.3103018415131</v>
      </c>
      <c r="AG25" s="40">
        <v>4.5215033490060882E-2</v>
      </c>
      <c r="AH25" s="39"/>
      <c r="AI25" s="40"/>
      <c r="AJ25" s="39"/>
      <c r="AK25" s="40"/>
      <c r="AL25" s="39"/>
      <c r="AM25" s="40"/>
      <c r="AN25" s="39"/>
      <c r="AO25" s="40"/>
      <c r="AP25" s="39"/>
      <c r="AQ25" s="40"/>
      <c r="AR25" s="39"/>
      <c r="AS25" s="40"/>
      <c r="AT25" s="39"/>
      <c r="AU25" s="40"/>
      <c r="AV25" s="39"/>
      <c r="AW25" s="40"/>
    </row>
    <row r="26" spans="1:49" x14ac:dyDescent="0.2">
      <c r="A26" t="s">
        <v>27</v>
      </c>
      <c r="B26" s="31">
        <v>5036.2953101960647</v>
      </c>
      <c r="C26" s="32">
        <v>74.905331803938267</v>
      </c>
      <c r="D26" s="31">
        <v>5177.1041028926784</v>
      </c>
      <c r="E26" s="32">
        <v>69.672326698377105</v>
      </c>
      <c r="F26" s="31">
        <v>5326.4381072771375</v>
      </c>
      <c r="G26" s="32">
        <v>64.399636326781177</v>
      </c>
      <c r="H26" s="31">
        <v>5485.9600369436203</v>
      </c>
      <c r="I26" s="32">
        <v>59.080536809000471</v>
      </c>
      <c r="J26" s="31">
        <v>5657.8173651616235</v>
      </c>
      <c r="K26" s="32">
        <v>53.709630567126084</v>
      </c>
      <c r="L26" s="31">
        <v>5844.871065528775</v>
      </c>
      <c r="M26" s="32">
        <v>48.283984585780878</v>
      </c>
      <c r="N26" s="31">
        <v>6051.0760263211259</v>
      </c>
      <c r="O26" s="32">
        <v>42.804959759649741</v>
      </c>
      <c r="P26" s="31">
        <v>6282.136612704041</v>
      </c>
      <c r="Q26" s="32">
        <v>37.280956016230647</v>
      </c>
      <c r="R26" s="31">
        <v>6546.7046027767783</v>
      </c>
      <c r="S26" s="32">
        <v>31.731713761757373</v>
      </c>
      <c r="T26" s="31">
        <v>6858.7159233814918</v>
      </c>
      <c r="U26" s="32">
        <v>26.195128361137659</v>
      </c>
      <c r="V26" s="31">
        <v>7242.3343672387991</v>
      </c>
      <c r="W26" s="32">
        <v>20.738189685814302</v>
      </c>
      <c r="X26" s="31">
        <v>7743.5811282798995</v>
      </c>
      <c r="Y26" s="32">
        <v>15.474490704242038</v>
      </c>
      <c r="Z26" s="31">
        <v>8461.9931103961408</v>
      </c>
      <c r="AA26" s="32">
        <v>10.590489546809927</v>
      </c>
      <c r="AB26" s="31">
        <v>9658.5505702261198</v>
      </c>
      <c r="AC26" s="32">
        <v>6.3747907793669123</v>
      </c>
      <c r="AD26" s="31">
        <v>12322.813236047341</v>
      </c>
      <c r="AE26" s="32">
        <v>3.2103919018372435</v>
      </c>
      <c r="AF26" s="31">
        <v>37865.71823659174</v>
      </c>
      <c r="AG26" s="32">
        <v>1.7703846114298414</v>
      </c>
      <c r="AH26" s="31"/>
      <c r="AI26" s="32"/>
      <c r="AJ26" s="31"/>
      <c r="AK26" s="32"/>
      <c r="AL26" s="31"/>
      <c r="AM26" s="32"/>
      <c r="AN26" s="31"/>
      <c r="AO26" s="32"/>
      <c r="AP26" s="31"/>
      <c r="AQ26" s="32"/>
      <c r="AR26" s="31"/>
      <c r="AS26" s="32"/>
      <c r="AT26" s="31"/>
      <c r="AU26" s="32"/>
      <c r="AV26" s="31"/>
      <c r="AW26" s="32"/>
    </row>
    <row r="27" spans="1:49" x14ac:dyDescent="0.2">
      <c r="A27" t="s">
        <v>2</v>
      </c>
      <c r="B27" s="33">
        <v>6425.1981590000414</v>
      </c>
      <c r="C27" s="34">
        <v>273.22915400000028</v>
      </c>
      <c r="D27" s="33">
        <v>6447.334971661995</v>
      </c>
      <c r="E27" s="34">
        <v>251.09241027747314</v>
      </c>
      <c r="F27" s="33">
        <v>6469.2257719514164</v>
      </c>
      <c r="G27" s="34">
        <v>229.20163452049107</v>
      </c>
      <c r="H27" s="33">
        <v>6490.8898423648316</v>
      </c>
      <c r="I27" s="34">
        <v>207.53759706950524</v>
      </c>
      <c r="J27" s="33">
        <v>6512.3374187191457</v>
      </c>
      <c r="K27" s="34">
        <v>186.08989294329288</v>
      </c>
      <c r="L27" s="33">
        <v>6533.5665239614455</v>
      </c>
      <c r="M27" s="34">
        <v>164.86081831236496</v>
      </c>
      <c r="N27" s="33">
        <v>6554.5553765674067</v>
      </c>
      <c r="O27" s="34">
        <v>143.87192405256181</v>
      </c>
      <c r="P27" s="33">
        <v>6575.2540938285192</v>
      </c>
      <c r="Q27" s="34">
        <v>123.17321146645854</v>
      </c>
      <c r="R27" s="33">
        <v>6595.5700442275693</v>
      </c>
      <c r="S27" s="34">
        <v>102.85726325254616</v>
      </c>
      <c r="T27" s="33">
        <v>6615.346244497402</v>
      </c>
      <c r="U27" s="34">
        <v>83.081064603713173</v>
      </c>
      <c r="V27" s="33">
        <v>6634.3275201648303</v>
      </c>
      <c r="W27" s="34">
        <v>64.09979515319354</v>
      </c>
      <c r="X27" s="33">
        <v>6652.1091060213657</v>
      </c>
      <c r="Y27" s="34">
        <v>46.318210109491908</v>
      </c>
      <c r="Z27" s="33">
        <v>6668.0670013077934</v>
      </c>
      <c r="AA27" s="34">
        <v>30.360316950924339</v>
      </c>
      <c r="AB27" s="33">
        <v>6681.3048245763539</v>
      </c>
      <c r="AC27" s="34">
        <v>17.122501464649744</v>
      </c>
      <c r="AD27" s="33">
        <v>6690.7877205673021</v>
      </c>
      <c r="AE27" s="34">
        <v>7.639560399279258</v>
      </c>
      <c r="AF27" s="33">
        <v>6696.023051448914</v>
      </c>
      <c r="AG27" s="34">
        <v>2.4042500853848154</v>
      </c>
      <c r="AH27" s="33"/>
      <c r="AI27" s="34"/>
      <c r="AJ27" s="33"/>
      <c r="AK27" s="34"/>
      <c r="AL27" s="33"/>
      <c r="AM27" s="34"/>
      <c r="AN27" s="33"/>
      <c r="AO27" s="34"/>
      <c r="AP27" s="33"/>
      <c r="AQ27" s="34"/>
      <c r="AR27" s="33"/>
      <c r="AS27" s="34"/>
      <c r="AT27" s="33"/>
      <c r="AU27" s="34"/>
      <c r="AV27" s="33"/>
      <c r="AW27" s="34"/>
    </row>
    <row r="28" spans="1:49" x14ac:dyDescent="0.2">
      <c r="A28" t="s">
        <v>35</v>
      </c>
      <c r="B28" s="39">
        <v>13763.097676000029</v>
      </c>
      <c r="C28" s="40">
        <v>382.36647899999997</v>
      </c>
      <c r="D28" s="39">
        <v>13987.010881056525</v>
      </c>
      <c r="E28" s="40">
        <v>352.57060247237456</v>
      </c>
      <c r="F28" s="39">
        <v>14215.577416998471</v>
      </c>
      <c r="G28" s="40">
        <v>322.90155712360485</v>
      </c>
      <c r="H28" s="39">
        <v>14449.836914352582</v>
      </c>
      <c r="I28" s="40">
        <v>293.34224159449479</v>
      </c>
      <c r="J28" s="39">
        <v>14691.050084095701</v>
      </c>
      <c r="K28" s="40">
        <v>263.88658843947553</v>
      </c>
      <c r="L28" s="39">
        <v>14940.801751437773</v>
      </c>
      <c r="M28" s="40">
        <v>234.54539896892476</v>
      </c>
      <c r="N28" s="39">
        <v>15201.163035247051</v>
      </c>
      <c r="O28" s="40">
        <v>205.35589544653956</v>
      </c>
      <c r="P28" s="39">
        <v>15474.95564769207</v>
      </c>
      <c r="Q28" s="40">
        <v>176.39523104459101</v>
      </c>
      <c r="R28" s="39">
        <v>15766.193887345402</v>
      </c>
      <c r="S28" s="40">
        <v>147.80117706137401</v>
      </c>
      <c r="T28" s="39">
        <v>16080.855027009795</v>
      </c>
      <c r="U28" s="40">
        <v>119.80408300409212</v>
      </c>
      <c r="V28" s="39">
        <v>16428.266750303748</v>
      </c>
      <c r="W28" s="40">
        <v>92.77655907021807</v>
      </c>
      <c r="X28" s="39">
        <v>16823.691467424214</v>
      </c>
      <c r="Y28" s="40">
        <v>67.309558363775068</v>
      </c>
      <c r="Z28" s="39">
        <v>17293.21678133243</v>
      </c>
      <c r="AA28" s="40">
        <v>44.317170055472275</v>
      </c>
      <c r="AB28" s="39">
        <v>17882.676654717328</v>
      </c>
      <c r="AC28" s="40">
        <v>25.122000083314578</v>
      </c>
      <c r="AD28" s="39">
        <v>18671.28027999304</v>
      </c>
      <c r="AE28" s="40">
        <v>11.274668831564068</v>
      </c>
      <c r="AF28" s="39">
        <v>19784.682936957088</v>
      </c>
      <c r="AG28" s="40">
        <v>3.5692383111265022</v>
      </c>
      <c r="AH28" s="39"/>
      <c r="AI28" s="40"/>
      <c r="AJ28" s="39"/>
      <c r="AK28" s="40"/>
      <c r="AL28" s="39"/>
      <c r="AM28" s="40"/>
      <c r="AN28" s="39"/>
      <c r="AO28" s="40"/>
      <c r="AP28" s="39"/>
      <c r="AQ28" s="40"/>
      <c r="AR28" s="39"/>
      <c r="AS28" s="40"/>
      <c r="AT28" s="39"/>
      <c r="AU28" s="40"/>
      <c r="AV28" s="39"/>
      <c r="AW28" s="40"/>
    </row>
    <row r="29" spans="1:49" x14ac:dyDescent="0.2">
      <c r="A29" t="s">
        <v>53</v>
      </c>
      <c r="B29" s="33">
        <v>14362.768558000025</v>
      </c>
      <c r="C29" s="34">
        <v>817.26650999999993</v>
      </c>
      <c r="D29" s="33">
        <v>14569.144525455757</v>
      </c>
      <c r="E29" s="34">
        <v>746.72821562964907</v>
      </c>
      <c r="F29" s="33">
        <v>14776.9595872639</v>
      </c>
      <c r="G29" s="34">
        <v>677.2020017829808</v>
      </c>
      <c r="H29" s="33">
        <v>14986.740125845845</v>
      </c>
      <c r="I29" s="34">
        <v>608.71756903061339</v>
      </c>
      <c r="J29" s="33">
        <v>15199.098561143253</v>
      </c>
      <c r="K29" s="34">
        <v>541.33695673748321</v>
      </c>
      <c r="L29" s="33">
        <v>15414.784720648118</v>
      </c>
      <c r="M29" s="34">
        <v>475.16683353883769</v>
      </c>
      <c r="N29" s="33">
        <v>15634.76802699303</v>
      </c>
      <c r="O29" s="34">
        <v>410.37770024389835</v>
      </c>
      <c r="P29" s="33">
        <v>15860.374078037978</v>
      </c>
      <c r="Q29" s="34">
        <v>347.22983542121574</v>
      </c>
      <c r="R29" s="33">
        <v>16093.513726055737</v>
      </c>
      <c r="S29" s="34">
        <v>286.11128595341188</v>
      </c>
      <c r="T29" s="33">
        <v>16337.081634833441</v>
      </c>
      <c r="U29" s="34">
        <v>227.59368559383256</v>
      </c>
      <c r="V29" s="33">
        <v>16595.659676626554</v>
      </c>
      <c r="W29" s="34">
        <v>172.51394266546322</v>
      </c>
      <c r="X29" s="33">
        <v>16876.769858600044</v>
      </c>
      <c r="Y29" s="34">
        <v>122.08929127935293</v>
      </c>
      <c r="Z29" s="33">
        <v>17193.028249759984</v>
      </c>
      <c r="AA29" s="34">
        <v>78.052200539880488</v>
      </c>
      <c r="AB29" s="33">
        <v>17565.231971648023</v>
      </c>
      <c r="AC29" s="34">
        <v>42.687731174557257</v>
      </c>
      <c r="AD29" s="33">
        <v>18023.721173535021</v>
      </c>
      <c r="AE29" s="34">
        <v>18.321200218363767</v>
      </c>
      <c r="AF29" s="33">
        <v>18597.427043622316</v>
      </c>
      <c r="AG29" s="34">
        <v>5.4861800314296181</v>
      </c>
      <c r="AH29" s="33"/>
      <c r="AI29" s="34"/>
      <c r="AJ29" s="33"/>
      <c r="AK29" s="34"/>
      <c r="AL29" s="33"/>
      <c r="AM29" s="34"/>
      <c r="AN29" s="33"/>
      <c r="AO29" s="34"/>
      <c r="AP29" s="33"/>
      <c r="AQ29" s="34"/>
      <c r="AR29" s="33"/>
      <c r="AS29" s="34"/>
      <c r="AT29" s="33"/>
      <c r="AU29" s="34"/>
      <c r="AV29" s="33"/>
      <c r="AW29" s="34"/>
    </row>
    <row r="30" spans="1:49" x14ac:dyDescent="0.2">
      <c r="A30" t="s">
        <v>48</v>
      </c>
      <c r="B30" s="112">
        <v>2924829.9599999995</v>
      </c>
      <c r="D30" s="112">
        <v>2963786.7901828545</v>
      </c>
      <c r="F30" s="112">
        <v>3002970.6687909635</v>
      </c>
      <c r="H30" s="112">
        <v>3042455.505182323</v>
      </c>
      <c r="J30" s="112">
        <v>3082340.0183809381</v>
      </c>
      <c r="L30" s="112">
        <v>3122767.2719207667</v>
      </c>
      <c r="N30" s="112">
        <v>3163956.3010151079</v>
      </c>
      <c r="P30" s="112">
        <v>3206255.8366826023</v>
      </c>
      <c r="R30" s="112">
        <v>3250236.3482251889</v>
      </c>
      <c r="T30" s="112">
        <v>3296851.7145598615</v>
      </c>
      <c r="V30" s="112">
        <v>3347730.6637906423</v>
      </c>
      <c r="X30" s="112">
        <v>3405710.5561615964</v>
      </c>
      <c r="Z30" s="112">
        <v>3475798.5283006281</v>
      </c>
      <c r="AB30" s="112">
        <v>3566695.8999719983</v>
      </c>
      <c r="AD30" s="112">
        <v>3692079.7454147469</v>
      </c>
      <c r="AF30" s="112">
        <v>3867570.7097848607</v>
      </c>
      <c r="AH30" s="112"/>
      <c r="AJ30" s="112"/>
      <c r="AL30" s="112"/>
      <c r="AN30" s="112"/>
      <c r="AP30" s="112"/>
      <c r="AR30" s="112"/>
      <c r="AT30" s="112"/>
      <c r="AV30" s="112"/>
    </row>
    <row r="31" spans="1:49" x14ac:dyDescent="0.2">
      <c r="A31" t="s">
        <v>47</v>
      </c>
      <c r="B31" s="77">
        <v>1</v>
      </c>
      <c r="D31" s="77">
        <v>1.0110824695187413</v>
      </c>
      <c r="F31" s="77">
        <v>1.0218181786199856</v>
      </c>
      <c r="H31" s="77">
        <v>1.032179696171124</v>
      </c>
      <c r="J31" s="77">
        <v>1.0421322517742855</v>
      </c>
      <c r="L31" s="77">
        <v>1.0516332404808972</v>
      </c>
      <c r="N31" s="77">
        <v>1.0606318497209446</v>
      </c>
      <c r="P31" s="77">
        <v>1.0690693524846639</v>
      </c>
      <c r="R31" s="77">
        <v>1.0768804230399354</v>
      </c>
      <c r="T31" s="77">
        <v>1.0839965383234167</v>
      </c>
      <c r="V31" s="77">
        <v>1.090352511170962</v>
      </c>
      <c r="X31" s="77">
        <v>1.0958958104021557</v>
      </c>
      <c r="Z31" s="77">
        <v>1.1005867761022399</v>
      </c>
      <c r="AB31" s="77">
        <v>1.1043198998500825</v>
      </c>
      <c r="AD31" s="77">
        <v>1.1064750305000075</v>
      </c>
      <c r="AF31" s="77">
        <v>1.1043462260899115</v>
      </c>
      <c r="AH31" s="77"/>
      <c r="AJ31" s="77"/>
      <c r="AL31" s="77"/>
      <c r="AN31" s="77"/>
      <c r="AP31" s="77"/>
      <c r="AR31" s="77"/>
      <c r="AT31" s="77"/>
      <c r="AV31" s="77"/>
    </row>
    <row r="32" spans="1:49" x14ac:dyDescent="0.2">
      <c r="A32" t="s">
        <v>64</v>
      </c>
      <c r="B32" s="83">
        <v>14734457.915000005</v>
      </c>
      <c r="D32" s="83">
        <v>14930711.252253929</v>
      </c>
      <c r="F32" s="83">
        <v>15128108.40677977</v>
      </c>
      <c r="H32" s="83">
        <v>15327021.686176615</v>
      </c>
      <c r="J32" s="83">
        <v>15527948.59385529</v>
      </c>
      <c r="L32" s="83">
        <v>15731609.57802232</v>
      </c>
      <c r="N32" s="83">
        <v>15939108.000204233</v>
      </c>
      <c r="P32" s="83">
        <v>16152201.010445207</v>
      </c>
      <c r="R32" s="83">
        <v>16373762.28227446</v>
      </c>
      <c r="T32" s="83">
        <v>16608597.200273311</v>
      </c>
      <c r="V32" s="83">
        <v>16864910.870041925</v>
      </c>
      <c r="X32" s="83">
        <v>17156996.983822457</v>
      </c>
      <c r="Z32" s="83">
        <v>17510080.219525695</v>
      </c>
      <c r="AB32" s="83">
        <v>17967995.269367013</v>
      </c>
      <c r="AD32" s="83">
        <v>18599643.025248352</v>
      </c>
      <c r="AF32" s="83">
        <v>19483716.48707585</v>
      </c>
      <c r="AH32" s="83"/>
      <c r="AJ32" s="83"/>
      <c r="AL32" s="83"/>
      <c r="AN32" s="83"/>
      <c r="AP32" s="83"/>
      <c r="AR32" s="83"/>
      <c r="AT32" s="83"/>
      <c r="AV32" s="83"/>
    </row>
    <row r="33" spans="1:49 16319:16384" x14ac:dyDescent="0.2">
      <c r="A33" t="s">
        <v>54</v>
      </c>
      <c r="B33" s="111">
        <v>7019665.6909999885</v>
      </c>
      <c r="D33" s="111">
        <v>7113163.0383789642</v>
      </c>
      <c r="F33" s="111">
        <v>7207205.3172696754</v>
      </c>
      <c r="H33" s="111">
        <v>7301969.8951177802</v>
      </c>
      <c r="J33" s="111">
        <v>7397693.8024887769</v>
      </c>
      <c r="L33" s="111">
        <v>7494720.2433619266</v>
      </c>
      <c r="N33" s="111">
        <v>7593574.88965372</v>
      </c>
      <c r="P33" s="111">
        <v>7695094.8560272045</v>
      </c>
      <c r="R33" s="111">
        <v>7800649.2005978655</v>
      </c>
      <c r="T33" s="111">
        <v>7912527.2633991353</v>
      </c>
      <c r="V33" s="111">
        <v>8034638.0506146587</v>
      </c>
      <c r="X33" s="111">
        <v>8173791.2428108677</v>
      </c>
      <c r="Z33" s="111">
        <v>8342004.1695882343</v>
      </c>
      <c r="AB33" s="111">
        <v>8560160.1796011161</v>
      </c>
      <c r="AD33" s="111">
        <v>8861084.4591809809</v>
      </c>
      <c r="AF33" s="111">
        <v>9282267.250464106</v>
      </c>
      <c r="AH33" s="111"/>
      <c r="AJ33" s="111"/>
      <c r="AL33" s="111"/>
      <c r="AN33" s="111"/>
      <c r="AP33" s="111"/>
      <c r="AR33" s="111"/>
      <c r="AT33" s="111"/>
      <c r="AV33" s="111"/>
    </row>
    <row r="34" spans="1:49 16319:16384" x14ac:dyDescent="0.2">
      <c r="A34" t="s">
        <v>75</v>
      </c>
      <c r="B34" s="111">
        <v>1136879.4410000162</v>
      </c>
      <c r="D34" s="111">
        <v>1152021.9405149734</v>
      </c>
      <c r="F34" s="111">
        <v>1167252.688474145</v>
      </c>
      <c r="H34" s="111">
        <v>1182600.4181633124</v>
      </c>
      <c r="J34" s="111">
        <v>1198103.4941379379</v>
      </c>
      <c r="L34" s="111">
        <v>1213817.5435687331</v>
      </c>
      <c r="N34" s="111">
        <v>1229827.6761223639</v>
      </c>
      <c r="P34" s="111">
        <v>1246269.4809534291</v>
      </c>
      <c r="R34" s="111">
        <v>1263364.6782008831</v>
      </c>
      <c r="T34" s="111">
        <v>1281484.0416727152</v>
      </c>
      <c r="V34" s="111">
        <v>1301260.6606228896</v>
      </c>
      <c r="X34" s="111">
        <v>1323797.4052187856</v>
      </c>
      <c r="Z34" s="111">
        <v>1351040.5559114283</v>
      </c>
      <c r="AB34" s="111">
        <v>1386372.3085047815</v>
      </c>
      <c r="AD34" s="111">
        <v>1435108.9026884707</v>
      </c>
      <c r="AF34" s="111">
        <v>1503322.1334632845</v>
      </c>
      <c r="AH34" s="111"/>
      <c r="AJ34" s="111"/>
      <c r="AL34" s="111"/>
      <c r="AN34" s="111"/>
      <c r="AP34" s="111"/>
      <c r="AR34" s="111"/>
      <c r="AT34" s="111"/>
      <c r="AV34" s="111"/>
    </row>
    <row r="35" spans="1:49 16319:16384" x14ac:dyDescent="0.2">
      <c r="A35" t="s">
        <v>78</v>
      </c>
      <c r="B35" s="192">
        <v>1</v>
      </c>
      <c r="D35" s="192">
        <v>1.0022145862520757</v>
      </c>
      <c r="F35" s="192">
        <v>1.0048129377397514</v>
      </c>
      <c r="H35" s="192">
        <v>1.0078573872137608</v>
      </c>
      <c r="J35" s="192">
        <v>1.0114325726455893</v>
      </c>
      <c r="L35" s="192">
        <v>1.0156552820344411</v>
      </c>
      <c r="N35" s="192">
        <v>1.0206899724898337</v>
      </c>
      <c r="P35" s="192">
        <v>1.0267738829448385</v>
      </c>
      <c r="R35" s="192">
        <v>1.0342593177727695</v>
      </c>
      <c r="T35" s="192">
        <v>1.0436879732954025</v>
      </c>
      <c r="V35" s="192">
        <v>1.0559280646555909</v>
      </c>
      <c r="X35" s="192">
        <v>1.0724406771424186</v>
      </c>
      <c r="Z35" s="192">
        <v>1.095821901934291</v>
      </c>
      <c r="AB35" s="192">
        <v>1.1309319957037549</v>
      </c>
      <c r="AD35" s="192">
        <v>1.1871559665797158</v>
      </c>
      <c r="AF35" s="192">
        <v>1.2824311453432655</v>
      </c>
      <c r="AH35" s="192"/>
      <c r="AJ35" s="192"/>
      <c r="AL35" s="192"/>
      <c r="AN35" s="192"/>
      <c r="AP35" s="192"/>
      <c r="AR35" s="192"/>
      <c r="AT35" s="192"/>
      <c r="AV35" s="192"/>
    </row>
    <row r="36" spans="1:49 16319:16384" x14ac:dyDescent="0.2">
      <c r="A36" t="s">
        <v>21</v>
      </c>
      <c r="B36" s="35">
        <v>0.47195767671988198</v>
      </c>
      <c r="C36" s="36">
        <v>0.31738834428178964</v>
      </c>
      <c r="D36" s="35">
        <v>0.47199613608135133</v>
      </c>
      <c r="E36" s="36">
        <v>0.32138823837643665</v>
      </c>
      <c r="F36" s="35">
        <v>0.47203559123113509</v>
      </c>
      <c r="G36" s="36">
        <v>0.32572935616053739</v>
      </c>
      <c r="H36" s="35">
        <v>0.47207629248237026</v>
      </c>
      <c r="I36" s="36">
        <v>0.33046530646373495</v>
      </c>
      <c r="J36" s="35">
        <v>0.47211849467110828</v>
      </c>
      <c r="K36" s="36">
        <v>0.33566277766611591</v>
      </c>
      <c r="L36" s="35">
        <v>0.47216243619996162</v>
      </c>
      <c r="M36" s="36">
        <v>0.34140654079467941</v>
      </c>
      <c r="N36" s="35">
        <v>0.47220830000101749</v>
      </c>
      <c r="O36" s="36">
        <v>0.34780713363850685</v>
      </c>
      <c r="P36" s="35">
        <v>0.47225614522652148</v>
      </c>
      <c r="Q36" s="36">
        <v>0.35501293070734463</v>
      </c>
      <c r="R36" s="35">
        <v>0.47230578480579577</v>
      </c>
      <c r="S36" s="36">
        <v>0.36322983227640643</v>
      </c>
      <c r="T36" s="35">
        <v>0.47235656565499617</v>
      </c>
      <c r="U36" s="36">
        <v>0.37275465736358515</v>
      </c>
      <c r="V36" s="35">
        <v>0.47240697107523844</v>
      </c>
      <c r="W36" s="36">
        <v>0.38403414973915062</v>
      </c>
      <c r="X36" s="35">
        <v>0.47245390581041541</v>
      </c>
      <c r="Y36" s="36">
        <v>0.39777363225217488</v>
      </c>
      <c r="Z36" s="35">
        <v>0.4724914829408452</v>
      </c>
      <c r="AA36" s="36">
        <v>0.41514314310995448</v>
      </c>
      <c r="AB36" s="35">
        <v>0.4725094220441079</v>
      </c>
      <c r="AC36" s="36">
        <v>0.43816511659666202</v>
      </c>
      <c r="AD36" s="35">
        <v>0.47249305535916869</v>
      </c>
      <c r="AE36" s="36">
        <v>0.47036847982574126</v>
      </c>
      <c r="AF36" s="35">
        <v>0.47243157167710531</v>
      </c>
      <c r="AG36" s="36">
        <v>0.51766936977848432</v>
      </c>
      <c r="AH36" s="35"/>
      <c r="AI36" s="36"/>
      <c r="AJ36" s="35"/>
      <c r="AK36" s="36"/>
      <c r="AL36" s="35"/>
      <c r="AM36" s="36"/>
      <c r="AN36" s="35"/>
      <c r="AO36" s="36"/>
      <c r="AP36" s="35"/>
      <c r="AQ36" s="36"/>
      <c r="AR36" s="35"/>
      <c r="AS36" s="36"/>
      <c r="AT36" s="35"/>
      <c r="AU36" s="36"/>
      <c r="AV36" s="35"/>
      <c r="AW36" s="36"/>
    </row>
    <row r="37" spans="1:49 16319:16384" x14ac:dyDescent="0.2">
      <c r="B37" s="37">
        <v>2.1403217525954466E-2</v>
      </c>
      <c r="C37" s="38">
        <v>0.3496246130199252</v>
      </c>
      <c r="D37" s="37">
        <v>2.0520931946468653E-2</v>
      </c>
      <c r="E37" s="38">
        <v>0.34482022206864793</v>
      </c>
      <c r="F37" s="37">
        <v>1.9637701185643328E-2</v>
      </c>
      <c r="G37" s="38">
        <v>0.33995602830262017</v>
      </c>
      <c r="H37" s="37">
        <v>1.8752687852107763E-2</v>
      </c>
      <c r="I37" s="38">
        <v>0.33502718312751101</v>
      </c>
      <c r="J37" s="37">
        <v>1.7864783863369784E-2</v>
      </c>
      <c r="K37" s="38">
        <v>0.33002738249074914</v>
      </c>
      <c r="L37" s="37">
        <v>1.6972476072118547E-2</v>
      </c>
      <c r="M37" s="38">
        <v>0.32494812856126004</v>
      </c>
      <c r="N37" s="37">
        <v>1.6073652709570205E-2</v>
      </c>
      <c r="O37" s="38">
        <v>0.31977766483965964</v>
      </c>
      <c r="P37" s="37">
        <v>1.5165335039714749E-2</v>
      </c>
      <c r="Q37" s="38">
        <v>0.31449950438588908</v>
      </c>
      <c r="R37" s="37">
        <v>1.4243291963813876E-2</v>
      </c>
      <c r="S37" s="38">
        <v>0.30909034721684248</v>
      </c>
      <c r="T37" s="37">
        <v>1.3301479901673286E-2</v>
      </c>
      <c r="U37" s="38">
        <v>0.30351712798967023</v>
      </c>
      <c r="V37" s="37">
        <v>1.2331239597359265E-2</v>
      </c>
      <c r="W37" s="38">
        <v>0.29773295977447073</v>
      </c>
      <c r="X37" s="37">
        <v>1.1320217357345362E-2</v>
      </c>
      <c r="Y37" s="38">
        <v>0.29167213901718808</v>
      </c>
      <c r="Z37" s="37">
        <v>1.0251286651266494E-2</v>
      </c>
      <c r="AA37" s="38">
        <v>0.28524657018804189</v>
      </c>
      <c r="AB37" s="37">
        <v>9.1030784711755453E-3</v>
      </c>
      <c r="AC37" s="38">
        <v>0.27835442307919028</v>
      </c>
      <c r="AD37" s="37">
        <v>7.8576361906572429E-3</v>
      </c>
      <c r="AE37" s="38">
        <v>0.27093534450028395</v>
      </c>
      <c r="AF37" s="37">
        <v>6.5232384038288668E-3</v>
      </c>
      <c r="AG37" s="38">
        <v>0.26313349623758192</v>
      </c>
      <c r="AH37" s="37"/>
      <c r="AI37" s="38"/>
      <c r="AJ37" s="37"/>
      <c r="AK37" s="38"/>
      <c r="AL37" s="37"/>
      <c r="AM37" s="38"/>
      <c r="AN37" s="37"/>
      <c r="AO37" s="38"/>
      <c r="AP37" s="37"/>
      <c r="AQ37" s="38"/>
      <c r="AR37" s="37"/>
      <c r="AS37" s="38"/>
      <c r="AT37" s="37"/>
      <c r="AU37" s="38"/>
      <c r="AV37" s="37"/>
      <c r="AW37" s="38"/>
    </row>
    <row r="38" spans="1:49 16319:16384" x14ac:dyDescent="0.2">
      <c r="A38" t="s">
        <v>22</v>
      </c>
      <c r="B38" s="35">
        <v>0.18079094942242827</v>
      </c>
      <c r="C38" s="36">
        <v>6.0565413429233668E-2</v>
      </c>
      <c r="D38" s="35">
        <v>0.1831992107139338</v>
      </c>
      <c r="E38" s="36">
        <v>6.128648324324984E-2</v>
      </c>
      <c r="F38" s="35">
        <v>0.18581843401588355</v>
      </c>
      <c r="G38" s="36">
        <v>6.2077561957417308E-2</v>
      </c>
      <c r="H38" s="35">
        <v>0.18868946078881021</v>
      </c>
      <c r="I38" s="36">
        <v>6.2951060119754862E-2</v>
      </c>
      <c r="J38" s="35">
        <v>0.19186562789840461</v>
      </c>
      <c r="K38" s="36">
        <v>6.3922826657150655E-2</v>
      </c>
      <c r="L38" s="35">
        <v>0.19541863807226337</v>
      </c>
      <c r="M38" s="36">
        <v>6.5013684597624535E-2</v>
      </c>
      <c r="N38" s="35">
        <v>0.19944835825908175</v>
      </c>
      <c r="O38" s="36">
        <v>6.6251777644430035E-2</v>
      </c>
      <c r="P38" s="35">
        <v>0.20409969203091677</v>
      </c>
      <c r="Q38" s="36">
        <v>6.767659079481797E-2</v>
      </c>
      <c r="R38" s="35">
        <v>0.20959351681862318</v>
      </c>
      <c r="S38" s="36">
        <v>6.9346018720056093E-2</v>
      </c>
      <c r="T38" s="35">
        <v>0.21628724991813381</v>
      </c>
      <c r="U38" s="36">
        <v>7.1349585469590721E-2</v>
      </c>
      <c r="V38" s="35">
        <v>0.2248037600936616</v>
      </c>
      <c r="W38" s="36">
        <v>7.3835188151583367E-2</v>
      </c>
      <c r="X38" s="35">
        <v>0.23633712831739231</v>
      </c>
      <c r="Y38" s="36">
        <v>7.7068715080648525E-2</v>
      </c>
      <c r="Z38" s="35">
        <v>0.25349396730643609</v>
      </c>
      <c r="AA38" s="36">
        <v>8.1585977398239598E-2</v>
      </c>
      <c r="AB38" s="35">
        <v>0.28319793831759432</v>
      </c>
      <c r="AC38" s="36">
        <v>8.8667654212459882E-2</v>
      </c>
      <c r="AD38" s="35">
        <v>0.35213679009114696</v>
      </c>
      <c r="AE38" s="36">
        <v>0.10255307049024978</v>
      </c>
      <c r="AF38" s="35">
        <v>1.0487979770443145</v>
      </c>
      <c r="AG38" s="36">
        <v>0.1858227540812411</v>
      </c>
      <c r="AH38" s="35"/>
      <c r="AI38" s="36"/>
      <c r="AJ38" s="35"/>
      <c r="AK38" s="36"/>
      <c r="AL38" s="35"/>
      <c r="AM38" s="36"/>
      <c r="AN38" s="35"/>
      <c r="AO38" s="36"/>
      <c r="AP38" s="35"/>
      <c r="AQ38" s="36"/>
      <c r="AR38" s="35"/>
      <c r="AS38" s="36"/>
      <c r="AT38" s="35"/>
      <c r="AU38" s="36"/>
      <c r="AV38" s="35"/>
      <c r="AW38" s="36"/>
    </row>
    <row r="39" spans="1:49 16319:16384" x14ac:dyDescent="0.2">
      <c r="A39" t="s">
        <v>23</v>
      </c>
      <c r="B39" s="37">
        <v>0.23064923795098771</v>
      </c>
      <c r="C39" s="38">
        <v>0.22092201281804777</v>
      </c>
      <c r="D39" s="37">
        <v>0.22814814122761429</v>
      </c>
      <c r="E39" s="38">
        <v>0.22087063148611658</v>
      </c>
      <c r="F39" s="37">
        <v>0.2256857918985036</v>
      </c>
      <c r="G39" s="38">
        <v>0.22093725181131407</v>
      </c>
      <c r="H39" s="37">
        <v>0.22325399677496274</v>
      </c>
      <c r="I39" s="38">
        <v>0.22113393777156024</v>
      </c>
      <c r="J39" s="37">
        <v>0.22084376841547815</v>
      </c>
      <c r="K39" s="38">
        <v>0.22147595959341071</v>
      </c>
      <c r="L39" s="37">
        <v>0.21844462564745551</v>
      </c>
      <c r="M39" s="38">
        <v>0.22198269956831146</v>
      </c>
      <c r="N39" s="37">
        <v>0.21604344471761716</v>
      </c>
      <c r="O39" s="38">
        <v>0.22267911884808755</v>
      </c>
      <c r="P39" s="37">
        <v>0.21362275580915469</v>
      </c>
      <c r="Q39" s="38">
        <v>0.22359788803886779</v>
      </c>
      <c r="R39" s="37">
        <v>0.21115794966629156</v>
      </c>
      <c r="S39" s="38">
        <v>0.22478274437232215</v>
      </c>
      <c r="T39" s="37">
        <v>0.20861267071886183</v>
      </c>
      <c r="U39" s="38">
        <v>0.22629396726459775</v>
      </c>
      <c r="V39" s="37">
        <v>0.20593108473042351</v>
      </c>
      <c r="W39" s="38">
        <v>0.22821762686698843</v>
      </c>
      <c r="X39" s="37">
        <v>0.2030249747922882</v>
      </c>
      <c r="Y39" s="38">
        <v>0.23068190134331751</v>
      </c>
      <c r="Z39" s="37">
        <v>0.19975373843663086</v>
      </c>
      <c r="AA39" s="38">
        <v>0.23388683984940242</v>
      </c>
      <c r="AB39" s="37">
        <v>0.19590224618424523</v>
      </c>
      <c r="AC39" s="38">
        <v>0.23815872421003231</v>
      </c>
      <c r="AD39" s="37">
        <v>0.19119599282814126</v>
      </c>
      <c r="AE39" s="38">
        <v>0.24403885883634568</v>
      </c>
      <c r="AF39" s="37">
        <v>0.185465264034401</v>
      </c>
      <c r="AG39" s="38">
        <v>0.25235441467458231</v>
      </c>
      <c r="AH39" s="37"/>
      <c r="AI39" s="38"/>
      <c r="AJ39" s="37"/>
      <c r="AK39" s="38"/>
      <c r="AL39" s="37"/>
      <c r="AM39" s="38"/>
      <c r="AN39" s="37"/>
      <c r="AO39" s="38"/>
      <c r="AP39" s="37"/>
      <c r="AQ39" s="38"/>
      <c r="AR39" s="37"/>
      <c r="AS39" s="38"/>
      <c r="AT39" s="37"/>
      <c r="AU39" s="38"/>
      <c r="AV39" s="37"/>
      <c r="AW39" s="38"/>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v>6.0999999999999999E-2</v>
      </c>
      <c r="C42" s="126"/>
      <c r="D42" s="167">
        <v>3.6092806276886151E-2</v>
      </c>
      <c r="E42" s="126"/>
      <c r="F42" s="167">
        <v>9.6267010830296262E-3</v>
      </c>
      <c r="G42" s="126"/>
      <c r="H42" s="167">
        <v>-1.8702544362708101E-2</v>
      </c>
      <c r="I42" s="126"/>
      <c r="J42" s="167">
        <v>-4.9288459724937492E-2</v>
      </c>
      <c r="K42" s="126"/>
      <c r="L42" s="167">
        <v>-8.2656107566196457E-2</v>
      </c>
      <c r="M42" s="126"/>
      <c r="N42" s="167">
        <v>-0.11953230693185626</v>
      </c>
      <c r="O42" s="126"/>
      <c r="P42" s="167">
        <v>-0.16096657373763323</v>
      </c>
      <c r="Q42" s="126"/>
      <c r="R42" s="167">
        <v>-0.20855198883614501</v>
      </c>
      <c r="S42" s="126"/>
      <c r="T42" s="167">
        <v>-0.26485574142059387</v>
      </c>
      <c r="U42" s="126"/>
      <c r="V42" s="167">
        <v>-0.33432936968084842</v>
      </c>
      <c r="W42" s="126"/>
      <c r="X42" s="167">
        <v>-0.42544848784789774</v>
      </c>
      <c r="Y42" s="152"/>
      <c r="Z42" s="167">
        <v>-0.5565336909242049</v>
      </c>
      <c r="AA42" s="126"/>
      <c r="AB42" s="167">
        <v>-0.77558377172862847</v>
      </c>
      <c r="AC42" s="126"/>
      <c r="AD42" s="167">
        <v>-1.2644652396418821</v>
      </c>
      <c r="AE42" s="126"/>
      <c r="AF42" s="167">
        <v>-5.9567943631725964</v>
      </c>
      <c r="AG42" s="126"/>
      <c r="AH42" s="167">
        <v>1</v>
      </c>
      <c r="AI42" s="126"/>
      <c r="AJ42" s="167">
        <v>1</v>
      </c>
      <c r="AK42" s="126"/>
      <c r="AL42" s="167">
        <v>1</v>
      </c>
      <c r="AM42" s="126"/>
      <c r="AN42" s="167">
        <v>1</v>
      </c>
      <c r="AO42" s="126"/>
      <c r="AP42" s="167">
        <v>1</v>
      </c>
      <c r="AQ42" s="126"/>
      <c r="AR42" s="167">
        <v>1</v>
      </c>
      <c r="AS42" s="126"/>
      <c r="AT42" s="167">
        <v>1</v>
      </c>
      <c r="AU42" s="126"/>
      <c r="AV42" s="167">
        <v>1</v>
      </c>
      <c r="XFD42" s="167"/>
    </row>
    <row r="43" spans="1:49 16319:16384" x14ac:dyDescent="0.2">
      <c r="A43" t="s">
        <v>95</v>
      </c>
      <c r="B43" s="152">
        <v>0.56058995943839207</v>
      </c>
      <c r="C43" s="126"/>
      <c r="D43" s="152">
        <v>0.58047199957242013</v>
      </c>
      <c r="E43" s="126"/>
      <c r="F43" s="152">
        <v>0.59414211222306346</v>
      </c>
      <c r="G43" s="126"/>
      <c r="H43" s="152">
        <v>0.60829070719806311</v>
      </c>
      <c r="I43" s="126"/>
      <c r="J43" s="152">
        <v>0.62301720511985326</v>
      </c>
      <c r="K43" s="126"/>
      <c r="L43" s="152">
        <v>0.6384498161913098</v>
      </c>
      <c r="M43" s="126"/>
      <c r="N43" s="152">
        <v>0.65476011461740602</v>
      </c>
      <c r="O43" s="126"/>
      <c r="P43" s="152">
        <v>0.67218654765011854</v>
      </c>
      <c r="Q43" s="126"/>
      <c r="R43" s="152">
        <v>0.69107362563306496</v>
      </c>
      <c r="S43" s="126"/>
      <c r="T43" s="152">
        <v>0.7119396809601678</v>
      </c>
      <c r="U43" s="126"/>
      <c r="V43" s="152">
        <v>0.73559800264479713</v>
      </c>
      <c r="W43" s="126"/>
      <c r="X43" s="152">
        <v>0.76338031161631159</v>
      </c>
      <c r="Y43" s="126"/>
      <c r="Z43" s="152">
        <v>0.79755385016725211</v>
      </c>
      <c r="AA43" s="126"/>
      <c r="AB43" s="152">
        <v>0.84206310912114535</v>
      </c>
      <c r="AC43" s="126"/>
      <c r="AD43" s="152">
        <v>0.9035887284565729</v>
      </c>
      <c r="AE43" s="126"/>
      <c r="AF43" s="152">
        <v>0.99226890269560331</v>
      </c>
      <c r="AG43" s="126"/>
      <c r="AH43" s="152" t="e">
        <v>#DIV/0!</v>
      </c>
      <c r="AI43" s="126"/>
      <c r="AJ43" s="152" t="e">
        <v>#DIV/0!</v>
      </c>
      <c r="AK43" s="126"/>
      <c r="AL43" s="152" t="e">
        <v>#DIV/0!</v>
      </c>
      <c r="AM43" s="126"/>
      <c r="AN43" s="152" t="e">
        <v>#DIV/0!</v>
      </c>
      <c r="AO43" s="126"/>
      <c r="AP43" s="152" t="e">
        <v>#DIV/0!</v>
      </c>
      <c r="AQ43" s="126"/>
      <c r="AR43" s="152" t="e">
        <v>#DIV/0!</v>
      </c>
      <c r="AS43" s="126"/>
      <c r="AT43" s="152" t="e">
        <v>#DIV/0!</v>
      </c>
      <c r="AU43" s="126"/>
      <c r="AV43" s="152" t="e">
        <v>#DIV/0!</v>
      </c>
    </row>
    <row r="44" spans="1:49 16319:16384" x14ac:dyDescent="0.2">
      <c r="A44" t="s">
        <v>129</v>
      </c>
      <c r="B44" s="183">
        <v>0.29754226190682465</v>
      </c>
      <c r="D44" s="183">
        <v>0.29754226230749553</v>
      </c>
      <c r="F44" s="183">
        <v>0.29754226244842952</v>
      </c>
      <c r="H44" s="183">
        <v>0.29754226261290023</v>
      </c>
      <c r="J44" s="183">
        <v>0.2975422618852781</v>
      </c>
      <c r="L44" s="183">
        <v>0.29754226194364647</v>
      </c>
      <c r="N44" s="183">
        <v>0.29754226164356995</v>
      </c>
      <c r="P44" s="183">
        <v>0.29754226173493664</v>
      </c>
      <c r="R44" s="183">
        <v>0.29754226178075249</v>
      </c>
      <c r="T44" s="183">
        <v>0.29754226181918242</v>
      </c>
      <c r="V44" s="183">
        <v>0.29754226189542282</v>
      </c>
      <c r="X44" s="183">
        <v>0.2975422619651179</v>
      </c>
      <c r="Z44" s="183">
        <v>0.29754226190724969</v>
      </c>
      <c r="AB44" s="183">
        <v>0.29754226196889932</v>
      </c>
      <c r="AD44" s="183">
        <v>0.29754226177590365</v>
      </c>
      <c r="AF44" s="183">
        <v>0.29754226190595723</v>
      </c>
      <c r="AH44" s="183" t="e">
        <v>#DIV/0!</v>
      </c>
      <c r="AJ44" s="183" t="e">
        <v>#DIV/0!</v>
      </c>
      <c r="AL44" s="183" t="e">
        <v>#DIV/0!</v>
      </c>
      <c r="AN44" s="183" t="e">
        <v>#DIV/0!</v>
      </c>
      <c r="AP44" s="183" t="e">
        <v>#DIV/0!</v>
      </c>
      <c r="AR44" s="183" t="e">
        <v>#DIV/0!</v>
      </c>
      <c r="AT44" s="183" t="e">
        <v>#DIV/0!</v>
      </c>
      <c r="AV44" s="183" t="e">
        <v>#DIV/0!</v>
      </c>
    </row>
    <row r="45" spans="1:49 16319:16384" x14ac:dyDescent="0.2">
      <c r="A45" t="s">
        <v>82</v>
      </c>
      <c r="B45" s="183">
        <v>0.22038438833194082</v>
      </c>
      <c r="D45" s="183">
        <v>0.22038438810769373</v>
      </c>
      <c r="F45" s="183">
        <v>0.22038438804087751</v>
      </c>
      <c r="H45" s="183">
        <v>0.22038438795353996</v>
      </c>
      <c r="J45" s="183">
        <v>0.22038438833255072</v>
      </c>
      <c r="L45" s="183">
        <v>0.22038438832946242</v>
      </c>
      <c r="N45" s="183">
        <v>0.22038438831046969</v>
      </c>
      <c r="P45" s="183">
        <v>0.22038438831895457</v>
      </c>
      <c r="R45" s="183">
        <v>0.22038438832313254</v>
      </c>
      <c r="T45" s="183">
        <v>0.22038438832631288</v>
      </c>
      <c r="V45" s="183">
        <v>0.22038438832880994</v>
      </c>
      <c r="X45" s="183">
        <v>0.22038438833099591</v>
      </c>
      <c r="Z45" s="183">
        <v>0.22038438832967078</v>
      </c>
      <c r="AB45" s="183">
        <v>0.22038438833185772</v>
      </c>
      <c r="AD45" s="183">
        <v>0.22038438832960353</v>
      </c>
      <c r="AF45" s="183">
        <v>0.22038438833186344</v>
      </c>
      <c r="AH45" s="183" t="e">
        <v>#DIV/0!</v>
      </c>
      <c r="AJ45" s="183" t="e">
        <v>#DIV/0!</v>
      </c>
      <c r="AL45" s="183" t="e">
        <v>#DIV/0!</v>
      </c>
      <c r="AN45" s="183" t="e">
        <v>#DIV/0!</v>
      </c>
      <c r="AP45" s="183" t="e">
        <v>#DIV/0!</v>
      </c>
      <c r="AR45" s="183" t="e">
        <v>#DIV/0!</v>
      </c>
      <c r="AT45" s="183" t="e">
        <v>#DIV/0!</v>
      </c>
      <c r="AV45" s="183" t="e">
        <v>#DIV/0!</v>
      </c>
      <c r="XCQ45" s="183"/>
    </row>
    <row r="46" spans="1:49 16319:16384" x14ac:dyDescent="0.2">
      <c r="A46" t="s">
        <v>126</v>
      </c>
      <c r="B46" s="183">
        <v>7.7157873574883795E-2</v>
      </c>
      <c r="D46" s="183">
        <v>7.715787419980176E-2</v>
      </c>
      <c r="F46" s="183">
        <v>7.7157874407551993E-2</v>
      </c>
      <c r="H46" s="183">
        <v>7.7157874659360304E-2</v>
      </c>
      <c r="J46" s="183">
        <v>7.7157873552727421E-2</v>
      </c>
      <c r="L46" s="183">
        <v>7.7157873614184039E-2</v>
      </c>
      <c r="N46" s="183">
        <v>7.7157873333100299E-2</v>
      </c>
      <c r="P46" s="183">
        <v>7.7157873415982084E-2</v>
      </c>
      <c r="R46" s="183">
        <v>7.7157873457619944E-2</v>
      </c>
      <c r="T46" s="183">
        <v>7.7157873492869539E-2</v>
      </c>
      <c r="V46" s="183">
        <v>7.7157873566612856E-2</v>
      </c>
      <c r="X46" s="183">
        <v>7.7157873634122007E-2</v>
      </c>
      <c r="Z46" s="183">
        <v>7.7157873577578889E-2</v>
      </c>
      <c r="AB46" s="183">
        <v>7.7157873637041616E-2</v>
      </c>
      <c r="AD46" s="183">
        <v>7.7157873446300096E-2</v>
      </c>
      <c r="AF46" s="183">
        <v>7.7157873574093747E-2</v>
      </c>
      <c r="AH46" s="183" t="e">
        <v>#DIV/0!</v>
      </c>
      <c r="AJ46" s="183" t="e">
        <v>#DIV/0!</v>
      </c>
      <c r="AL46" s="183" t="e">
        <v>#DIV/0!</v>
      </c>
      <c r="AN46" s="183" t="e">
        <v>#DIV/0!</v>
      </c>
      <c r="AP46" s="183" t="e">
        <v>#DIV/0!</v>
      </c>
      <c r="AR46" s="183" t="e">
        <v>#DIV/0!</v>
      </c>
      <c r="AT46" s="183" t="e">
        <v>#DIV/0!</v>
      </c>
      <c r="AV46" s="183" t="e">
        <v>#DIV/0!</v>
      </c>
      <c r="XCS46" s="183"/>
    </row>
    <row r="48" spans="1:49 16319:16384" x14ac:dyDescent="0.2">
      <c r="A48" t="s">
        <v>143</v>
      </c>
      <c r="B48" s="181">
        <v>1</v>
      </c>
      <c r="C48" s="181"/>
      <c r="D48" s="181">
        <v>1.0158057211771769</v>
      </c>
      <c r="E48" s="181"/>
      <c r="F48" s="181">
        <v>1.0317701590253783</v>
      </c>
      <c r="G48" s="181"/>
      <c r="H48" s="181">
        <v>1.0479350312202824</v>
      </c>
      <c r="I48" s="181"/>
      <c r="J48" s="181">
        <v>1.0643508335037792</v>
      </c>
      <c r="K48" s="181"/>
      <c r="L48" s="181">
        <v>1.0810823499915687</v>
      </c>
      <c r="M48" s="181"/>
      <c r="N48" s="181">
        <v>1.0982175479737364</v>
      </c>
      <c r="O48" s="181"/>
      <c r="P48" s="181">
        <v>1.1158825425564334</v>
      </c>
      <c r="Q48" s="181"/>
      <c r="R48" s="181">
        <v>1.1342670262667385</v>
      </c>
      <c r="S48" s="181"/>
      <c r="T48" s="181">
        <v>1.1536689751284006</v>
      </c>
      <c r="U48" s="181"/>
      <c r="V48" s="181">
        <v>1.1745749325421617</v>
      </c>
      <c r="W48" s="181"/>
      <c r="X48" s="181">
        <v>1.1978066424826623</v>
      </c>
      <c r="Y48" s="181"/>
      <c r="Z48" s="181">
        <v>1.2247843466116766</v>
      </c>
      <c r="AA48" s="181"/>
      <c r="AB48" s="181">
        <v>1.2579441162942229</v>
      </c>
      <c r="AC48" s="181"/>
      <c r="AD48" s="181">
        <v>1.3010992013053193</v>
      </c>
      <c r="AE48" s="181"/>
      <c r="AF48" s="181">
        <v>1.3586906632169653</v>
      </c>
      <c r="AG48" s="181"/>
      <c r="AH48" s="181">
        <v>0</v>
      </c>
      <c r="AI48" s="181"/>
      <c r="AJ48" s="181">
        <v>0</v>
      </c>
      <c r="AK48" s="181"/>
      <c r="AL48" s="181">
        <v>0</v>
      </c>
      <c r="AM48" s="181"/>
      <c r="AN48" s="181">
        <v>0</v>
      </c>
      <c r="AO48" s="181"/>
      <c r="AP48" s="181">
        <v>0</v>
      </c>
      <c r="AQ48" s="181"/>
      <c r="AR48" s="181">
        <v>0</v>
      </c>
      <c r="AS48" s="181"/>
      <c r="AT48" s="181">
        <v>0</v>
      </c>
      <c r="AU48" s="181"/>
      <c r="AV48" s="181">
        <v>0</v>
      </c>
    </row>
    <row r="49" spans="1:48 16321:16384" x14ac:dyDescent="0.2">
      <c r="A49" t="s">
        <v>144</v>
      </c>
      <c r="B49" s="181">
        <v>1</v>
      </c>
      <c r="C49" s="181"/>
      <c r="D49" s="181">
        <v>0.95475121764738846</v>
      </c>
      <c r="E49" s="181"/>
      <c r="F49" s="181">
        <v>0.90848798630689764</v>
      </c>
      <c r="G49" s="181"/>
      <c r="H49" s="181">
        <v>0.8610331674439724</v>
      </c>
      <c r="I49" s="181"/>
      <c r="J49" s="181">
        <v>0.81217290767284245</v>
      </c>
      <c r="K49" s="181"/>
      <c r="L49" s="181">
        <v>0.76163974950265789</v>
      </c>
      <c r="M49" s="181"/>
      <c r="N49" s="181">
        <v>0.70908649472096863</v>
      </c>
      <c r="O49" s="181"/>
      <c r="P49" s="181">
        <v>0.65404656450563703</v>
      </c>
      <c r="Q49" s="181"/>
      <c r="R49" s="181">
        <v>0.59587258476620253</v>
      </c>
      <c r="S49" s="181"/>
      <c r="T49" s="181">
        <v>0.53364129607656574</v>
      </c>
      <c r="U49" s="181"/>
      <c r="V49" s="181">
        <v>0.46601094790472802</v>
      </c>
      <c r="W49" s="181"/>
      <c r="X49" s="181">
        <v>0.39103178759024976</v>
      </c>
      <c r="Y49" s="181"/>
      <c r="Z49" s="181">
        <v>0.30601581497035379</v>
      </c>
      <c r="AA49" s="181"/>
      <c r="AB49" s="181">
        <v>0.20808954789408007</v>
      </c>
      <c r="AC49" s="181"/>
      <c r="AD49" s="181">
        <v>9.822085213036047E-2</v>
      </c>
      <c r="AE49" s="181"/>
      <c r="AF49" s="181">
        <v>2.4860761864774093E-3</v>
      </c>
      <c r="AG49" s="181"/>
      <c r="AH49" s="181" t="e">
        <v>#DIV/0!</v>
      </c>
      <c r="AI49" s="181"/>
      <c r="AJ49" s="181" t="e">
        <v>#DIV/0!</v>
      </c>
      <c r="AK49" s="181"/>
      <c r="AL49" s="181" t="e">
        <v>#DIV/0!</v>
      </c>
      <c r="AM49" s="181"/>
      <c r="AN49" s="181" t="e">
        <v>#DIV/0!</v>
      </c>
      <c r="AO49" s="181"/>
      <c r="AP49" s="181" t="e">
        <v>#DIV/0!</v>
      </c>
      <c r="AQ49" s="181"/>
      <c r="AR49" s="181" t="e">
        <v>#DIV/0!</v>
      </c>
      <c r="AS49" s="181"/>
      <c r="AT49" s="181" t="e">
        <v>#DIV/0!</v>
      </c>
      <c r="AU49" s="181"/>
      <c r="AV49" s="181" t="e">
        <v>#DIV/0!</v>
      </c>
    </row>
    <row r="51" spans="1:48 16321:16384" x14ac:dyDescent="0.2">
      <c r="A51" t="s">
        <v>150</v>
      </c>
      <c r="B51" s="27">
        <v>-405838.32800000021</v>
      </c>
      <c r="D51" s="27">
        <v>-411243.81983649684</v>
      </c>
      <c r="F51" s="27">
        <v>-416680.81880077161</v>
      </c>
      <c r="H51" s="27">
        <v>-422159.57425453188</v>
      </c>
      <c r="J51" s="27">
        <v>-427693.82593154768</v>
      </c>
      <c r="L51" s="27">
        <v>-433303.36488053156</v>
      </c>
      <c r="N51" s="27">
        <v>-439018.56657351879</v>
      </c>
      <c r="P51" s="27">
        <v>-444887.89709020453</v>
      </c>
      <c r="R51" s="27">
        <v>-450990.47012308752</v>
      </c>
      <c r="T51" s="27">
        <v>-457458.64570125286</v>
      </c>
      <c r="V51" s="27">
        <v>-464518.42869964708</v>
      </c>
      <c r="X51" s="27">
        <v>-472563.49375475477</v>
      </c>
      <c r="Z51" s="27">
        <v>-482288.64694176614</v>
      </c>
      <c r="AB51" s="27">
        <v>-494901.23429995589</v>
      </c>
      <c r="AD51" s="27">
        <v>-512298.96669581998</v>
      </c>
      <c r="AF51" s="27">
        <v>-536649.45292794425</v>
      </c>
      <c r="AH51" s="27">
        <v>0</v>
      </c>
      <c r="AJ51" s="27">
        <v>0</v>
      </c>
      <c r="AL51" s="27">
        <v>0</v>
      </c>
      <c r="AN51" s="27">
        <v>0</v>
      </c>
      <c r="AP51" s="27">
        <v>0</v>
      </c>
      <c r="AQ51" s="27"/>
      <c r="AR51" s="27">
        <v>0</v>
      </c>
      <c r="AT51" s="27">
        <v>0</v>
      </c>
      <c r="AV51" s="27">
        <v>0</v>
      </c>
      <c r="XFD51" s="27"/>
    </row>
    <row r="52" spans="1:48 16321:16384" x14ac:dyDescent="0.2">
      <c r="A52" t="s">
        <v>151</v>
      </c>
      <c r="B52" s="27">
        <v>2073093.0976150823</v>
      </c>
      <c r="D52" s="27">
        <v>2036288.8112229891</v>
      </c>
      <c r="F52" s="27">
        <v>1995981.6455000802</v>
      </c>
      <c r="H52" s="27">
        <v>1951729.2402864757</v>
      </c>
      <c r="J52" s="27">
        <v>1902977.0199023546</v>
      </c>
      <c r="L52" s="27">
        <v>1849011.7737698923</v>
      </c>
      <c r="N52" s="27">
        <v>1788886.9924588047</v>
      </c>
      <c r="P52" s="27">
        <v>1721299.3763787565</v>
      </c>
      <c r="R52" s="27">
        <v>1644377.0149603854</v>
      </c>
      <c r="T52" s="27">
        <v>1555300.5268398137</v>
      </c>
      <c r="V52" s="27">
        <v>1449595.0959298064</v>
      </c>
      <c r="X52" s="27">
        <v>1319745.1738266314</v>
      </c>
      <c r="Z52" s="27">
        <v>1152379.6663156908</v>
      </c>
      <c r="AB52" s="27">
        <v>922531.35978423781</v>
      </c>
      <c r="AD52" s="27">
        <v>582948.71466725599</v>
      </c>
      <c r="AF52" s="27">
        <v>48967.831262868851</v>
      </c>
      <c r="AH52" s="27">
        <v>0</v>
      </c>
      <c r="AJ52" s="27">
        <v>0</v>
      </c>
      <c r="AL52" s="27">
        <v>0</v>
      </c>
      <c r="AN52" s="27">
        <v>0</v>
      </c>
      <c r="AP52" s="27">
        <v>0</v>
      </c>
      <c r="AQ52" s="27"/>
      <c r="AR52" s="27">
        <v>0</v>
      </c>
      <c r="AT52" s="27">
        <v>0</v>
      </c>
      <c r="AV52" s="27">
        <v>0</v>
      </c>
    </row>
    <row r="53" spans="1:48 16321:16384" x14ac:dyDescent="0.2">
      <c r="A53" t="s">
        <v>152</v>
      </c>
      <c r="B53" s="27">
        <v>2716869.1663849424</v>
      </c>
      <c r="D53" s="27">
        <v>2817472.5805020421</v>
      </c>
      <c r="F53" s="27">
        <v>2921950.7283979757</v>
      </c>
      <c r="H53" s="27">
        <v>3030866.9762228522</v>
      </c>
      <c r="J53" s="27">
        <v>3144937.7543179486</v>
      </c>
      <c r="L53" s="27">
        <v>3265110.2944082674</v>
      </c>
      <c r="N53" s="27">
        <v>3392689.8420844148</v>
      </c>
      <c r="P53" s="27">
        <v>3529550.9595055114</v>
      </c>
      <c r="R53" s="27">
        <v>3678499.7330353535</v>
      </c>
      <c r="T53" s="27">
        <v>3843917.7064245576</v>
      </c>
      <c r="V53" s="27">
        <v>4032947.0574200866</v>
      </c>
      <c r="X53" s="27">
        <v>4257750.016204264</v>
      </c>
      <c r="Z53" s="27">
        <v>4539897.846829094</v>
      </c>
      <c r="AB53" s="27">
        <v>4918607.8107460039</v>
      </c>
      <c r="AD53" s="27">
        <v>5463530.1392567372</v>
      </c>
      <c r="AF53" s="27">
        <v>6284910.7030327385</v>
      </c>
      <c r="AH53" s="27">
        <v>0</v>
      </c>
      <c r="AJ53" s="27">
        <v>0</v>
      </c>
      <c r="AL53" s="27">
        <v>0</v>
      </c>
      <c r="AN53" s="27">
        <v>0</v>
      </c>
      <c r="AP53" s="27">
        <v>0</v>
      </c>
      <c r="AQ53" s="27"/>
      <c r="AR53" s="27">
        <v>0</v>
      </c>
      <c r="AT53" s="27">
        <v>0</v>
      </c>
      <c r="AV53" s="27">
        <v>0</v>
      </c>
      <c r="XFD53" s="27"/>
    </row>
    <row r="55" spans="1:48 16321:16384" x14ac:dyDescent="0.2">
      <c r="A55" t="s">
        <v>153</v>
      </c>
      <c r="B55" s="183">
        <v>0.19850271905982084</v>
      </c>
      <c r="D55" s="183">
        <v>0.19850271967019947</v>
      </c>
      <c r="F55" s="183">
        <v>0.19850272010512304</v>
      </c>
      <c r="H55" s="183">
        <v>0.19850272071620428</v>
      </c>
      <c r="J55" s="183">
        <v>0.19850271912934331</v>
      </c>
      <c r="L55" s="183">
        <v>0.19850271877350656</v>
      </c>
      <c r="N55" s="183">
        <v>0.19850272053960402</v>
      </c>
      <c r="P55" s="183">
        <v>0.19850272013140502</v>
      </c>
      <c r="R55" s="183">
        <v>0.1985027199120728</v>
      </c>
      <c r="T55" s="183">
        <v>0.19850271969420805</v>
      </c>
      <c r="V55" s="183">
        <v>0.19850271902340152</v>
      </c>
      <c r="X55" s="183">
        <v>0.19850271929131202</v>
      </c>
      <c r="Z55" s="183">
        <v>0.1985027187039797</v>
      </c>
      <c r="AB55" s="183">
        <v>0.1985027181108362</v>
      </c>
      <c r="AD55" s="183">
        <v>0.19850272074592401</v>
      </c>
      <c r="AF55" s="183">
        <v>0.19850271955816742</v>
      </c>
      <c r="AH55" s="183" t="e">
        <v>#DIV/0!</v>
      </c>
      <c r="AJ55" s="183" t="e">
        <v>#DIV/0!</v>
      </c>
      <c r="AL55" s="183" t="e">
        <v>#DIV/0!</v>
      </c>
      <c r="AN55" s="183" t="e">
        <v>#DIV/0!</v>
      </c>
      <c r="AP55" s="183" t="e">
        <v>#DIV/0!</v>
      </c>
      <c r="AR55" s="183" t="e">
        <v>#DIV/0!</v>
      </c>
      <c r="AT55" s="183" t="e">
        <v>#DIV/0!</v>
      </c>
      <c r="AV55" s="183" t="e">
        <v>#DIV/0!</v>
      </c>
      <c r="XCS55" s="183"/>
      <c r="XFD55" s="183"/>
    </row>
    <row r="56" spans="1:48 16321:16384" x14ac:dyDescent="0.2">
      <c r="A56" t="s">
        <v>154</v>
      </c>
      <c r="B56" s="183">
        <v>2.9221206744340551E-2</v>
      </c>
      <c r="D56" s="183">
        <v>3.4181184096667525E-2</v>
      </c>
      <c r="F56" s="183">
        <v>3.9287534973291773E-2</v>
      </c>
      <c r="H56" s="183">
        <v>4.4569957323693586E-2</v>
      </c>
      <c r="J56" s="183">
        <v>5.0065357569464695E-2</v>
      </c>
      <c r="L56" s="183">
        <v>5.5821251396940885E-2</v>
      </c>
      <c r="N56" s="183">
        <v>6.1901082904960762E-2</v>
      </c>
      <c r="P56" s="183">
        <v>6.8392847209912094E-2</v>
      </c>
      <c r="R56" s="183">
        <v>7.5423461912328668E-2</v>
      </c>
      <c r="T56" s="183">
        <v>8.3183574188955056E-2</v>
      </c>
      <c r="V56" s="183">
        <v>9.1971921543442248E-2</v>
      </c>
      <c r="X56" s="183">
        <v>0.10227715463132726</v>
      </c>
      <c r="Z56" s="183">
        <v>0.11493053084685487</v>
      </c>
      <c r="AB56" s="183">
        <v>0.13137749563775972</v>
      </c>
      <c r="AD56" s="183">
        <v>0.15406564613364176</v>
      </c>
      <c r="AF56" s="183">
        <v>0.18671031394276139</v>
      </c>
      <c r="AH56" s="183" t="e">
        <v>#DIV/0!</v>
      </c>
      <c r="AJ56" s="183" t="e">
        <v>#DIV/0!</v>
      </c>
      <c r="AL56" s="183" t="e">
        <v>#DIV/0!</v>
      </c>
      <c r="AN56" s="183" t="e">
        <v>#DIV/0!</v>
      </c>
      <c r="AP56" s="183" t="e">
        <v>#DIV/0!</v>
      </c>
      <c r="AR56" s="183" t="e">
        <v>#DIV/0!</v>
      </c>
      <c r="AT56" s="183" t="e">
        <v>#DIV/0!</v>
      </c>
      <c r="AV56" s="183" t="e">
        <v>#DIV/0!</v>
      </c>
      <c r="XFD56" s="183"/>
    </row>
    <row r="57" spans="1:48 16321:16384" x14ac:dyDescent="0.2">
      <c r="A57" t="s">
        <v>155</v>
      </c>
      <c r="B57" s="183">
        <v>0.15852881819439493</v>
      </c>
      <c r="D57" s="183">
        <v>0.15366765268666741</v>
      </c>
      <c r="F57" s="183">
        <v>0.14866046756371998</v>
      </c>
      <c r="H57" s="183">
        <v>0.14347802034758733</v>
      </c>
      <c r="J57" s="183">
        <v>0.13808389797651327</v>
      </c>
      <c r="L57" s="183">
        <v>0.13243113340170143</v>
      </c>
      <c r="N57" s="183">
        <v>0.12645688273894817</v>
      </c>
      <c r="P57" s="183">
        <v>0.12007380684023086</v>
      </c>
      <c r="R57" s="183">
        <v>0.11315571567025808</v>
      </c>
      <c r="T57" s="183">
        <v>0.10551275081867412</v>
      </c>
      <c r="V57" s="183">
        <v>9.6847015068867406E-2</v>
      </c>
      <c r="X57" s="183">
        <v>8.6670716456699201E-2</v>
      </c>
      <c r="Y57" s="183"/>
      <c r="Z57" s="183">
        <v>7.4153393387769051E-2</v>
      </c>
      <c r="AB57" s="183">
        <v>5.7850230354561473E-2</v>
      </c>
      <c r="AD57" s="183">
        <v>3.5314195670757352E-2</v>
      </c>
      <c r="AF57" s="183">
        <v>2.8318004576935773E-3</v>
      </c>
      <c r="AH57" s="183" t="e">
        <v>#DIV/0!</v>
      </c>
      <c r="AJ57" s="183" t="e">
        <v>#DIV/0!</v>
      </c>
      <c r="AL57" s="183" t="e">
        <v>#DIV/0!</v>
      </c>
      <c r="AN57" s="183" t="e">
        <v>#DIV/0!</v>
      </c>
      <c r="AP57" s="183" t="e">
        <v>#DIV/0!</v>
      </c>
      <c r="AR57" s="183" t="e">
        <v>#DIV/0!</v>
      </c>
      <c r="AT57" s="183" t="e">
        <v>#DIV/0!</v>
      </c>
      <c r="AV57" s="183" t="e">
        <v>#DIV/0!</v>
      </c>
      <c r="XFD57" s="183"/>
    </row>
    <row r="58" spans="1:48 16321:16384" x14ac:dyDescent="0.2">
      <c r="A58" t="s">
        <v>156</v>
      </c>
      <c r="B58" s="183">
        <v>1.075269412108535E-2</v>
      </c>
      <c r="D58" s="183">
        <v>1.0653882886864561E-2</v>
      </c>
      <c r="F58" s="183">
        <v>1.0554717568111265E-2</v>
      </c>
      <c r="H58" s="183">
        <v>1.045474304492338E-2</v>
      </c>
      <c r="J58" s="183">
        <v>1.0353463583365351E-2</v>
      </c>
      <c r="L58" s="183">
        <v>1.0250333974864252E-2</v>
      </c>
      <c r="N58" s="183">
        <v>1.01447548956951E-2</v>
      </c>
      <c r="P58" s="183">
        <v>1.0036066081262047E-2</v>
      </c>
      <c r="R58" s="183">
        <v>9.92354232948605E-3</v>
      </c>
      <c r="T58" s="183">
        <v>9.8063946865788801E-3</v>
      </c>
      <c r="V58" s="183">
        <v>9.6837824110918343E-3</v>
      </c>
      <c r="X58" s="183">
        <v>9.5548482032855545E-3</v>
      </c>
      <c r="Y58" s="183"/>
      <c r="Z58" s="183">
        <v>9.4187944693557776E-3</v>
      </c>
      <c r="AB58" s="183">
        <v>9.2749921185149749E-3</v>
      </c>
      <c r="AD58" s="183">
        <v>9.1228789415248538E-3</v>
      </c>
      <c r="AF58" s="183">
        <v>8.9606051577124663E-3</v>
      </c>
      <c r="AH58" s="183" t="e">
        <v>#DIV/0!</v>
      </c>
      <c r="AJ58" s="183" t="e">
        <v>#DIV/0!</v>
      </c>
      <c r="AL58" s="183" t="e">
        <v>#DIV/0!</v>
      </c>
      <c r="AN58" s="183" t="e">
        <v>#DIV/0!</v>
      </c>
      <c r="AP58" s="183" t="e">
        <v>#DIV/0!</v>
      </c>
      <c r="AR58" s="183" t="e">
        <v>#DIV/0!</v>
      </c>
      <c r="AT58" s="183" t="e">
        <v>#DIV/0!</v>
      </c>
      <c r="AV58" s="183" t="e">
        <v>#DIV/0!</v>
      </c>
      <c r="XFD58" s="183"/>
    </row>
    <row r="59" spans="1:48 16321:16384" x14ac:dyDescent="0.2">
      <c r="A59" t="s">
        <v>157</v>
      </c>
      <c r="B59" s="183">
        <v>5.5174232040962052E-4</v>
      </c>
      <c r="D59" s="183">
        <v>5.5781962595784608E-3</v>
      </c>
      <c r="F59" s="183">
        <v>1.0751433901773908E-2</v>
      </c>
      <c r="H59" s="183">
        <v>1.6101401663744224E-2</v>
      </c>
      <c r="J59" s="183">
        <v>2.1665304194120067E-2</v>
      </c>
      <c r="L59" s="183">
        <v>2.7491035832722752E-2</v>
      </c>
      <c r="N59" s="183">
        <v>3.3642546566400304E-2</v>
      </c>
      <c r="P59" s="183">
        <v>4.0208543599341277E-2</v>
      </c>
      <c r="R59" s="183">
        <v>4.7316995728084385E-2</v>
      </c>
      <c r="T59" s="183">
        <v>5.5160172165141623E-2</v>
      </c>
      <c r="V59" s="183">
        <v>6.4039420449647833E-2</v>
      </c>
      <c r="X59" s="183">
        <v>7.4447758395972563E-2</v>
      </c>
      <c r="Z59" s="183">
        <v>8.7223983596931287E-2</v>
      </c>
      <c r="AB59" s="183">
        <v>0.10382665334577565</v>
      </c>
      <c r="AD59" s="183">
        <v>0.12672487496714369</v>
      </c>
      <c r="AF59" s="183">
        <v>0.15966322527389115</v>
      </c>
      <c r="AH59" s="183" t="e">
        <v>#DIV/0!</v>
      </c>
      <c r="AJ59" s="183" t="e">
        <v>#DIV/0!</v>
      </c>
      <c r="AL59" s="183" t="e">
        <v>#DIV/0!</v>
      </c>
      <c r="AN59" s="183" t="e">
        <v>#DIV/0!</v>
      </c>
      <c r="AP59" s="183" t="e">
        <v>#DIV/0!</v>
      </c>
      <c r="AR59" s="183" t="e">
        <v>#DIV/0!</v>
      </c>
      <c r="AT59" s="183" t="e">
        <v>#DIV/0!</v>
      </c>
      <c r="AV59" s="183" t="e">
        <v>#DIV/0!</v>
      </c>
      <c r="XFD59" s="183"/>
    </row>
    <row r="60" spans="1:48 16321:16384" x14ac:dyDescent="0.2">
      <c r="A60" t="s">
        <v>158</v>
      </c>
      <c r="B60" s="183">
        <v>2.8669464423930927E-2</v>
      </c>
      <c r="D60" s="183">
        <v>2.8602987837089065E-2</v>
      </c>
      <c r="F60" s="183">
        <v>2.8536101071517862E-2</v>
      </c>
      <c r="H60" s="183">
        <v>2.8468555659949362E-2</v>
      </c>
      <c r="J60" s="183">
        <v>2.8400053375344628E-2</v>
      </c>
      <c r="L60" s="183">
        <v>2.8330215564218129E-2</v>
      </c>
      <c r="N60" s="183">
        <v>2.8258536338560462E-2</v>
      </c>
      <c r="P60" s="183">
        <v>2.8184303610570813E-2</v>
      </c>
      <c r="R60" s="183">
        <v>2.8106466184244283E-2</v>
      </c>
      <c r="T60" s="183">
        <v>2.8023402023813433E-2</v>
      </c>
      <c r="V60" s="183">
        <v>2.7932501093794415E-2</v>
      </c>
      <c r="X60" s="183">
        <v>2.7829396235354704E-2</v>
      </c>
      <c r="Z60" s="183">
        <v>2.7706547249923576E-2</v>
      </c>
      <c r="AB60" s="183">
        <v>2.7550842291984082E-2</v>
      </c>
      <c r="AD60" s="183">
        <v>2.7340771166498093E-2</v>
      </c>
      <c r="AF60" s="183">
        <v>2.7047088668870244E-2</v>
      </c>
      <c r="AH60" s="183" t="e">
        <v>#DIV/0!</v>
      </c>
      <c r="AJ60" s="183" t="e">
        <v>#DIV/0!</v>
      </c>
      <c r="AL60" s="183" t="e">
        <v>#DIV/0!</v>
      </c>
      <c r="AN60" s="183" t="e">
        <v>#DIV/0!</v>
      </c>
      <c r="AP60" s="183" t="e">
        <v>#DIV/0!</v>
      </c>
      <c r="AR60" s="183" t="e">
        <v>#DIV/0!</v>
      </c>
      <c r="AT60" s="183" t="e">
        <v>#DIV/0!</v>
      </c>
      <c r="AV60" s="183" t="e">
        <v>#DIV/0!</v>
      </c>
      <c r="XFD60" s="183"/>
    </row>
    <row r="62" spans="1:48 16321:16384" x14ac:dyDescent="0.2">
      <c r="A62" t="s">
        <v>159</v>
      </c>
      <c r="B62">
        <v>1</v>
      </c>
      <c r="D62">
        <v>0.92269883314458889</v>
      </c>
      <c r="F62">
        <v>0.84878999101829489</v>
      </c>
      <c r="H62">
        <v>0.77789471673245825</v>
      </c>
      <c r="J62">
        <v>0.70964656477254251</v>
      </c>
      <c r="L62">
        <v>0.64367524014849931</v>
      </c>
      <c r="N62">
        <v>0.57958565477188595</v>
      </c>
      <c r="P62">
        <v>0.51693120572473372</v>
      </c>
      <c r="R62">
        <v>0.45517755915469166</v>
      </c>
      <c r="T62">
        <v>0.39365407606848535</v>
      </c>
      <c r="V62">
        <v>0.33149475154117508</v>
      </c>
      <c r="X62">
        <v>0.26759248180845385</v>
      </c>
      <c r="Z62">
        <v>0.20068110901303776</v>
      </c>
      <c r="AB62">
        <v>0.1299910011166947</v>
      </c>
      <c r="AD62">
        <v>5.7983824470696069E-2</v>
      </c>
      <c r="AF62">
        <v>1.378218588660294E-3</v>
      </c>
      <c r="AH62" t="e">
        <v>#DIV/0!</v>
      </c>
      <c r="AJ62" t="e">
        <v>#DIV/0!</v>
      </c>
      <c r="AL62" t="e">
        <v>#DIV/0!</v>
      </c>
      <c r="AN62" t="e">
        <v>#DIV/0!</v>
      </c>
      <c r="AP62" t="e">
        <v>#DIV/0!</v>
      </c>
      <c r="AR62" t="e">
        <v>#DIV/0!</v>
      </c>
      <c r="AT62" t="e">
        <v>#DIV/0!</v>
      </c>
      <c r="AV62" t="e">
        <v>#DIV/0!</v>
      </c>
    </row>
    <row r="65" spans="1:48 16384:16384" x14ac:dyDescent="0.2">
      <c r="A65" t="s">
        <v>160</v>
      </c>
      <c r="B65" s="181">
        <v>1</v>
      </c>
      <c r="C65" s="181"/>
      <c r="D65" s="181">
        <v>0.99777480260245555</v>
      </c>
      <c r="E65" s="181"/>
      <c r="F65" s="181">
        <v>0.99555093025336305</v>
      </c>
      <c r="G65" s="181"/>
      <c r="H65" s="181">
        <v>0.99331558931714303</v>
      </c>
      <c r="I65" s="181"/>
      <c r="J65" s="181">
        <v>0.99105705955090073</v>
      </c>
      <c r="K65" s="181"/>
      <c r="L65" s="181">
        <v>0.9887657261248779</v>
      </c>
      <c r="M65" s="181"/>
      <c r="N65" s="181">
        <v>0.9864358305493397</v>
      </c>
      <c r="O65" s="181"/>
      <c r="P65" s="181">
        <v>0.98406839854200223</v>
      </c>
      <c r="Q65" s="181"/>
      <c r="R65" s="181">
        <v>0.98167622507962515</v>
      </c>
      <c r="S65" s="181"/>
      <c r="T65" s="181">
        <v>0.97929250567695669</v>
      </c>
      <c r="U65" s="181"/>
      <c r="V65" s="181">
        <v>0.97698612247543393</v>
      </c>
      <c r="W65" s="181"/>
      <c r="X65" s="181">
        <v>0.97488896076045684</v>
      </c>
      <c r="Y65" s="181"/>
      <c r="Z65" s="181">
        <v>0.97324294476473583</v>
      </c>
      <c r="AA65" s="181"/>
      <c r="AB65" s="181">
        <v>0.9724662395736493</v>
      </c>
      <c r="AC65" s="181"/>
      <c r="AD65" s="181">
        <v>0.97317109094604271</v>
      </c>
      <c r="AE65" s="181"/>
      <c r="AF65" s="181">
        <v>0.97587352479722067</v>
      </c>
      <c r="AG65" s="181"/>
      <c r="AH65" s="181" t="e">
        <v>#DIV/0!</v>
      </c>
      <c r="AI65" s="181"/>
      <c r="AJ65" s="181" t="e">
        <v>#DIV/0!</v>
      </c>
      <c r="AK65" s="181"/>
      <c r="AL65" s="181" t="e">
        <v>#DIV/0!</v>
      </c>
      <c r="AM65" s="181"/>
      <c r="AN65" s="181" t="e">
        <v>#DIV/0!</v>
      </c>
      <c r="AO65" s="181"/>
      <c r="AP65" s="181" t="e">
        <v>#DIV/0!</v>
      </c>
      <c r="AQ65" s="181"/>
      <c r="AR65" s="181" t="e">
        <v>#DIV/0!</v>
      </c>
      <c r="AS65" s="181"/>
      <c r="AT65" s="181" t="e">
        <v>#DIV/0!</v>
      </c>
      <c r="AU65" s="181"/>
      <c r="AV65" s="181" t="e">
        <v>#DIV/0!</v>
      </c>
    </row>
    <row r="66" spans="1:48 16384:16384" x14ac:dyDescent="0.2">
      <c r="A66" t="s">
        <v>166</v>
      </c>
      <c r="B66" s="181">
        <v>1</v>
      </c>
      <c r="C66" s="181"/>
      <c r="D66" s="181">
        <v>0.99755231088714824</v>
      </c>
      <c r="E66" s="181"/>
      <c r="F66" s="181">
        <v>0.99510177688460133</v>
      </c>
      <c r="G66" s="181"/>
      <c r="H66" s="181">
        <v>0.99263423594610622</v>
      </c>
      <c r="I66" s="181"/>
      <c r="J66" s="181">
        <v>0.99013660694169814</v>
      </c>
      <c r="K66" s="181"/>
      <c r="L66" s="181">
        <v>0.98759804150806751</v>
      </c>
      <c r="M66" s="181"/>
      <c r="N66" s="181">
        <v>0.98501188755570868</v>
      </c>
      <c r="O66" s="181"/>
      <c r="P66" s="181">
        <v>0.98237898767080789</v>
      </c>
      <c r="Q66" s="181"/>
      <c r="R66" s="181">
        <v>0.97971331654644511</v>
      </c>
      <c r="S66" s="181"/>
      <c r="T66" s="181">
        <v>0.97705177094581319</v>
      </c>
      <c r="U66" s="181"/>
      <c r="V66" s="181">
        <v>0.97447153958868915</v>
      </c>
      <c r="W66" s="181"/>
      <c r="X66" s="181">
        <v>0.97212115699175972</v>
      </c>
      <c r="Y66" s="181"/>
      <c r="Z66" s="181">
        <v>0.97027389257734442</v>
      </c>
      <c r="AA66" s="181"/>
      <c r="AB66" s="181">
        <v>0.96940245169187511</v>
      </c>
      <c r="AC66" s="181"/>
      <c r="AD66" s="181">
        <v>0.97019724295108911</v>
      </c>
      <c r="AE66" s="181"/>
      <c r="AF66" s="181">
        <v>0.97323349607472898</v>
      </c>
      <c r="AG66" s="181"/>
      <c r="AH66" s="181" t="e">
        <v>#DIV/0!</v>
      </c>
      <c r="AI66" s="181"/>
      <c r="AJ66" s="181" t="e">
        <v>#DIV/0!</v>
      </c>
      <c r="AK66" s="181"/>
      <c r="AL66" s="181" t="e">
        <v>#DIV/0!</v>
      </c>
      <c r="AM66" s="181"/>
      <c r="AN66" s="181" t="e">
        <v>#DIV/0!</v>
      </c>
      <c r="AO66" s="181"/>
      <c r="AP66" s="181" t="e">
        <v>#DIV/0!</v>
      </c>
      <c r="AQ66" s="181"/>
      <c r="AR66" s="181" t="e">
        <v>#DIV/0!</v>
      </c>
      <c r="AS66" s="181"/>
      <c r="AT66" s="181" t="e">
        <v>#DIV/0!</v>
      </c>
      <c r="AU66" s="181"/>
      <c r="AV66" s="181" t="e">
        <v>#DIV/0!</v>
      </c>
      <c r="XFD66" s="181"/>
    </row>
    <row r="67" spans="1:48 16384:16384" x14ac:dyDescent="0.2">
      <c r="A67" t="s">
        <v>167</v>
      </c>
      <c r="B67" s="181">
        <v>1</v>
      </c>
      <c r="C67" s="181"/>
      <c r="D67" s="181">
        <v>1</v>
      </c>
      <c r="E67" s="181"/>
      <c r="F67" s="181">
        <v>1</v>
      </c>
      <c r="G67" s="181"/>
      <c r="H67" s="181">
        <v>1</v>
      </c>
      <c r="I67" s="181"/>
      <c r="J67" s="181">
        <v>1</v>
      </c>
      <c r="K67" s="181"/>
      <c r="L67" s="181">
        <v>1</v>
      </c>
      <c r="M67" s="181"/>
      <c r="N67" s="181">
        <v>1</v>
      </c>
      <c r="O67" s="181"/>
      <c r="P67" s="181">
        <v>1</v>
      </c>
      <c r="Q67" s="181"/>
      <c r="R67" s="181">
        <v>1</v>
      </c>
      <c r="S67" s="181"/>
      <c r="T67" s="181">
        <v>1</v>
      </c>
      <c r="U67" s="181"/>
      <c r="V67" s="181">
        <v>1</v>
      </c>
      <c r="W67" s="181"/>
      <c r="X67" s="181">
        <v>1</v>
      </c>
      <c r="Y67" s="181"/>
      <c r="Z67" s="181">
        <v>1</v>
      </c>
      <c r="AA67" s="181"/>
      <c r="AB67" s="181">
        <v>1</v>
      </c>
      <c r="AC67" s="181"/>
      <c r="AD67" s="181">
        <v>1</v>
      </c>
      <c r="AE67" s="181"/>
      <c r="AF67" s="181">
        <v>1</v>
      </c>
      <c r="AG67" s="181"/>
      <c r="AH67" s="181" t="e">
        <v>#DIV/0!</v>
      </c>
      <c r="AI67" s="181"/>
      <c r="AJ67" s="181" t="e">
        <v>#DIV/0!</v>
      </c>
      <c r="AK67" s="181"/>
      <c r="AL67" s="181" t="e">
        <v>#DIV/0!</v>
      </c>
      <c r="AM67" s="181"/>
      <c r="AN67" s="181" t="e">
        <v>#DIV/0!</v>
      </c>
      <c r="AO67" s="181"/>
      <c r="AP67" s="181" t="e">
        <v>#DIV/0!</v>
      </c>
      <c r="AQ67" s="181"/>
      <c r="AR67" s="181" t="e">
        <v>#DIV/0!</v>
      </c>
      <c r="AS67" s="181"/>
      <c r="AT67" s="181" t="e">
        <v>#DIV/0!</v>
      </c>
      <c r="AU67" s="181"/>
      <c r="AV67" s="181" t="e">
        <v>#DIV/0!</v>
      </c>
      <c r="XFD67" s="181"/>
    </row>
    <row r="68" spans="1:48 16384:16384" x14ac:dyDescent="0.2">
      <c r="A68" t="s">
        <v>165</v>
      </c>
      <c r="B68" s="181">
        <v>1</v>
      </c>
      <c r="C68" s="181"/>
      <c r="D68" s="181">
        <v>0.99755231088714824</v>
      </c>
      <c r="E68" s="181"/>
      <c r="F68" s="181">
        <v>0.99510177688460133</v>
      </c>
      <c r="G68" s="181"/>
      <c r="H68" s="181">
        <v>0.99263423594610622</v>
      </c>
      <c r="I68" s="181"/>
      <c r="J68" s="181">
        <v>0.99013660694169814</v>
      </c>
      <c r="K68" s="181"/>
      <c r="L68" s="181">
        <v>0.98759804150806751</v>
      </c>
      <c r="M68" s="181"/>
      <c r="N68" s="181">
        <v>0.98501188755570868</v>
      </c>
      <c r="O68" s="181"/>
      <c r="P68" s="181">
        <v>0.98237898767080789</v>
      </c>
      <c r="Q68" s="181"/>
      <c r="R68" s="181">
        <v>0.97971331654644511</v>
      </c>
      <c r="S68" s="181"/>
      <c r="T68" s="181">
        <v>0.97705177094581319</v>
      </c>
      <c r="U68" s="181"/>
      <c r="V68" s="181">
        <v>0.97447153958868915</v>
      </c>
      <c r="W68" s="181"/>
      <c r="X68" s="181">
        <v>0.97212115699175972</v>
      </c>
      <c r="Y68" s="181"/>
      <c r="Z68" s="181">
        <v>0.97027389257734442</v>
      </c>
      <c r="AA68" s="181"/>
      <c r="AB68" s="181">
        <v>0.96940245169187511</v>
      </c>
      <c r="AC68" s="181"/>
      <c r="AD68" s="181">
        <v>0.97019724295108911</v>
      </c>
      <c r="AE68" s="181"/>
      <c r="AF68" s="181">
        <v>0.97323349607472898</v>
      </c>
      <c r="AG68" s="181"/>
      <c r="AH68" s="181" t="e">
        <v>#DIV/0!</v>
      </c>
      <c r="AI68" s="181"/>
      <c r="AJ68" s="181" t="e">
        <v>#DIV/0!</v>
      </c>
      <c r="AK68" s="181"/>
      <c r="AL68" s="181" t="e">
        <v>#DIV/0!</v>
      </c>
      <c r="AM68" s="181"/>
      <c r="AN68" s="181" t="e">
        <v>#DIV/0!</v>
      </c>
      <c r="AO68" s="181"/>
      <c r="AP68" s="181" t="e">
        <v>#DIV/0!</v>
      </c>
      <c r="AQ68" s="181"/>
      <c r="AR68" s="181" t="e">
        <v>#DIV/0!</v>
      </c>
      <c r="AS68" s="181"/>
      <c r="AT68" s="181" t="e">
        <v>#DIV/0!</v>
      </c>
      <c r="AU68" s="181"/>
      <c r="AV68" s="181" t="e">
        <v>#DIV/0!</v>
      </c>
      <c r="XFD68" s="181"/>
    </row>
    <row r="69" spans="1:48 16384:16384" x14ac:dyDescent="0.2">
      <c r="A69" t="s">
        <v>161</v>
      </c>
      <c r="B69" s="181">
        <v>1</v>
      </c>
      <c r="C69" s="181"/>
      <c r="D69" s="181">
        <v>1.0155792098184471</v>
      </c>
      <c r="E69" s="181"/>
      <c r="F69" s="181">
        <v>1.0313046663291843</v>
      </c>
      <c r="G69" s="181"/>
      <c r="H69" s="181">
        <v>1.0472162140711576</v>
      </c>
      <c r="I69" s="181"/>
      <c r="J69" s="181">
        <v>1.0633623086804298</v>
      </c>
      <c r="K69" s="181"/>
      <c r="L69" s="181">
        <v>1.0798056439081865</v>
      </c>
      <c r="M69" s="181"/>
      <c r="N69" s="181">
        <v>1.0966322455859898</v>
      </c>
      <c r="O69" s="181"/>
      <c r="P69" s="181">
        <v>1.1139668382857051</v>
      </c>
      <c r="Q69" s="181"/>
      <c r="R69" s="181">
        <v>1.1319990051784525</v>
      </c>
      <c r="S69" s="181"/>
      <c r="T69" s="181">
        <v>1.1510292468582031</v>
      </c>
      <c r="U69" s="181"/>
      <c r="V69" s="181">
        <v>1.1715517923558654</v>
      </c>
      <c r="W69" s="181"/>
      <c r="X69" s="181">
        <v>1.1944059539245977</v>
      </c>
      <c r="Y69" s="181"/>
      <c r="Z69" s="181">
        <v>1.2210479222679804</v>
      </c>
      <c r="AA69" s="181"/>
      <c r="AB69" s="181">
        <v>1.2539809206765722</v>
      </c>
      <c r="AC69" s="181"/>
      <c r="AD69" s="181">
        <v>1.297123259897228</v>
      </c>
      <c r="AE69" s="181"/>
      <c r="AF69" s="181">
        <v>1.3550150000451877</v>
      </c>
      <c r="AG69" s="181"/>
      <c r="AH69" s="181" t="e">
        <v>#DIV/0!</v>
      </c>
      <c r="AI69" s="181"/>
      <c r="AJ69" s="181" t="e">
        <v>#DIV/0!</v>
      </c>
      <c r="AK69" s="181"/>
      <c r="AL69" s="181" t="e">
        <v>#DIV/0!</v>
      </c>
      <c r="AM69" s="181"/>
      <c r="AN69" s="181" t="e">
        <v>#DIV/0!</v>
      </c>
      <c r="AO69" s="181"/>
      <c r="AP69" s="181" t="e">
        <v>#DIV/0!</v>
      </c>
      <c r="AQ69" s="181"/>
      <c r="AR69" s="181" t="e">
        <v>#DIV/0!</v>
      </c>
      <c r="AS69" s="181"/>
      <c r="AT69" s="181" t="e">
        <v>#DIV/0!</v>
      </c>
      <c r="AU69" s="181"/>
      <c r="AV69" s="181" t="e">
        <v>#DIV/0!</v>
      </c>
    </row>
    <row r="70" spans="1:48 16384:16384" x14ac:dyDescent="0.2">
      <c r="A70" t="s">
        <v>162</v>
      </c>
      <c r="B70" s="129">
        <v>1</v>
      </c>
      <c r="C70" s="129"/>
      <c r="D70" s="129">
        <v>1.014445681236908</v>
      </c>
      <c r="E70" s="129"/>
      <c r="F70" s="129">
        <v>1.0289957641603147</v>
      </c>
      <c r="G70" s="129"/>
      <c r="H70" s="129">
        <v>1.0436875287557434</v>
      </c>
      <c r="I70" s="129"/>
      <c r="J70" s="129">
        <v>1.0585642987427852</v>
      </c>
      <c r="K70" s="129"/>
      <c r="L70" s="129">
        <v>1.0736789803123885</v>
      </c>
      <c r="M70" s="129"/>
      <c r="N70" s="129">
        <v>1.089099707737758</v>
      </c>
      <c r="O70" s="129"/>
      <c r="P70" s="129">
        <v>1.1049192115452922</v>
      </c>
      <c r="Q70" s="129"/>
      <c r="R70" s="129">
        <v>1.1212705052912748</v>
      </c>
      <c r="S70" s="129"/>
      <c r="T70" s="129">
        <v>1.1383541486914639</v>
      </c>
      <c r="U70" s="129"/>
      <c r="V70" s="129">
        <v>1.1564863161241508</v>
      </c>
      <c r="W70" s="129"/>
      <c r="X70" s="129">
        <v>1.1761843496313329</v>
      </c>
      <c r="Y70" s="129"/>
      <c r="Z70" s="129">
        <v>1.1983137340046499</v>
      </c>
      <c r="AA70" s="129"/>
      <c r="AB70" s="129">
        <v>1.2242986440191344</v>
      </c>
      <c r="AC70" s="129"/>
      <c r="AD70" s="129">
        <v>1.2562149660343285</v>
      </c>
      <c r="AE70" s="129"/>
      <c r="AF70" s="129">
        <v>1.2960443279667071</v>
      </c>
      <c r="AG70" s="129"/>
      <c r="AH70" s="129">
        <v>0</v>
      </c>
      <c r="AI70" s="129"/>
      <c r="AJ70" s="129">
        <v>0</v>
      </c>
      <c r="AK70" s="129"/>
      <c r="AL70" s="129">
        <v>0</v>
      </c>
      <c r="AM70" s="129"/>
      <c r="AN70" s="129">
        <v>0</v>
      </c>
      <c r="AO70" s="129"/>
      <c r="AP70" s="129">
        <v>0</v>
      </c>
      <c r="AQ70" s="129"/>
      <c r="AR70" s="129">
        <v>0</v>
      </c>
      <c r="AS70" s="129"/>
      <c r="AT70" s="129">
        <v>0</v>
      </c>
      <c r="AU70" s="129"/>
      <c r="AV70" s="129">
        <v>0</v>
      </c>
    </row>
    <row r="71" spans="1:48 16384:16384" x14ac:dyDescent="0.2">
      <c r="A71" t="s">
        <v>163</v>
      </c>
      <c r="B71" s="129">
        <v>1</v>
      </c>
      <c r="D71" s="129">
        <v>0.91919481670228387</v>
      </c>
      <c r="E71" s="129"/>
      <c r="F71" s="129">
        <v>0.83880443262352455</v>
      </c>
      <c r="G71" s="129"/>
      <c r="H71" s="129">
        <v>0.75884545704667583</v>
      </c>
      <c r="I71" s="129"/>
      <c r="J71" s="129">
        <v>0.67937278895458952</v>
      </c>
      <c r="K71" s="129"/>
      <c r="L71" s="129">
        <v>0.60049621811206333</v>
      </c>
      <c r="M71" s="129"/>
      <c r="N71" s="129">
        <v>0.52240642727466491</v>
      </c>
      <c r="O71" s="129"/>
      <c r="P71" s="129">
        <v>0.44541057270867324</v>
      </c>
      <c r="Q71" s="129"/>
      <c r="R71" s="129">
        <v>0.36998485719952456</v>
      </c>
      <c r="S71" s="129"/>
      <c r="T71" s="129">
        <v>0.29685271864461193</v>
      </c>
      <c r="U71" s="129"/>
      <c r="V71" s="129">
        <v>0.22710119036498908</v>
      </c>
      <c r="W71" s="129"/>
      <c r="X71" s="129">
        <v>0.16234921764957799</v>
      </c>
      <c r="Y71" s="129"/>
      <c r="Z71" s="129">
        <v>0.10495725628066839</v>
      </c>
      <c r="AA71" s="129"/>
      <c r="AB71" s="129">
        <v>5.8131652781208999E-2</v>
      </c>
      <c r="AC71" s="129"/>
      <c r="AD71" s="129">
        <v>2.531170133152888E-2</v>
      </c>
      <c r="AE71" s="129"/>
      <c r="AF71" s="129">
        <v>7.7033687505108136E-3</v>
      </c>
      <c r="AG71" s="129"/>
      <c r="AH71" s="129">
        <v>0</v>
      </c>
      <c r="AI71" s="129"/>
      <c r="AJ71" s="129">
        <v>0</v>
      </c>
      <c r="AK71" s="129"/>
      <c r="AL71" s="129">
        <v>0</v>
      </c>
      <c r="AM71" s="129"/>
      <c r="AN71" s="129">
        <v>0</v>
      </c>
      <c r="AO71" s="129"/>
      <c r="AP71" s="129">
        <v>0</v>
      </c>
      <c r="AQ71" s="129"/>
      <c r="AR71" s="129">
        <v>0</v>
      </c>
      <c r="AS71" s="129"/>
      <c r="AT71" s="129">
        <v>0</v>
      </c>
      <c r="AU71" s="129"/>
      <c r="AV71" s="129">
        <v>0</v>
      </c>
      <c r="XFD71" s="129"/>
    </row>
    <row r="72" spans="1:48 16384:16384" x14ac:dyDescent="0.2">
      <c r="A72" t="s">
        <v>164</v>
      </c>
      <c r="B72" s="129">
        <v>1</v>
      </c>
      <c r="D72" s="129">
        <v>1.0662307613538755</v>
      </c>
      <c r="E72" s="129"/>
      <c r="F72" s="129">
        <v>1.1395266212543445</v>
      </c>
      <c r="G72" s="129"/>
      <c r="H72" s="129">
        <v>1.2206526202545172</v>
      </c>
      <c r="I72" s="129"/>
      <c r="J72" s="129">
        <v>1.3103758125186995</v>
      </c>
      <c r="K72" s="129"/>
      <c r="L72" s="129">
        <v>1.4094048063579616</v>
      </c>
      <c r="M72" s="129"/>
      <c r="N72" s="129">
        <v>1.5182853336923126</v>
      </c>
      <c r="O72" s="129"/>
      <c r="P72" s="129">
        <v>1.6372172990410201</v>
      </c>
      <c r="Q72" s="129"/>
      <c r="R72" s="129">
        <v>1.7657342357154588</v>
      </c>
      <c r="S72" s="129"/>
      <c r="T72" s="129">
        <v>1.9021307922881803</v>
      </c>
      <c r="U72" s="129"/>
      <c r="V72" s="129">
        <v>2.042416352182455</v>
      </c>
      <c r="W72" s="129"/>
      <c r="X72" s="129">
        <v>2.1783737344232468</v>
      </c>
      <c r="Y72" s="129"/>
      <c r="Z72" s="129">
        <v>2.294027702969561</v>
      </c>
      <c r="AA72" s="129"/>
      <c r="AB72" s="129">
        <v>2.3600586151551184</v>
      </c>
      <c r="AC72" s="129"/>
      <c r="AD72" s="129">
        <v>2.3296377242255519</v>
      </c>
      <c r="AE72" s="129"/>
      <c r="AF72" s="129">
        <v>2.1529083194096299</v>
      </c>
      <c r="AG72" s="129"/>
      <c r="AH72" s="129">
        <v>0</v>
      </c>
      <c r="AI72" s="129"/>
      <c r="AJ72" s="129">
        <v>0</v>
      </c>
      <c r="AK72" s="129"/>
      <c r="AL72" s="129">
        <v>0</v>
      </c>
      <c r="AM72" s="129"/>
      <c r="AN72" s="129">
        <v>0</v>
      </c>
      <c r="AO72" s="129"/>
      <c r="AP72" s="129">
        <v>0</v>
      </c>
      <c r="AQ72" s="129"/>
      <c r="AR72" s="129">
        <v>0</v>
      </c>
      <c r="AS72" s="129"/>
      <c r="AT72" s="129">
        <v>0</v>
      </c>
      <c r="AU72" s="129"/>
      <c r="AV72" s="129">
        <v>0</v>
      </c>
      <c r="XFD72" s="129"/>
    </row>
    <row r="73" spans="1:48 16384:16384" x14ac:dyDescent="0.2">
      <c r="A73" t="s">
        <v>168</v>
      </c>
      <c r="B73" s="183">
        <v>0.47641153352875076</v>
      </c>
      <c r="D73" s="183">
        <v>0.47641153312807971</v>
      </c>
      <c r="E73" s="129"/>
      <c r="F73" s="183">
        <v>0.47641153298714578</v>
      </c>
      <c r="G73" s="129"/>
      <c r="H73" s="183">
        <v>0.47641153282267501</v>
      </c>
      <c r="I73" s="129"/>
      <c r="J73" s="183">
        <v>0.47641153355029719</v>
      </c>
      <c r="K73" s="129"/>
      <c r="L73" s="183">
        <v>0.47641153349192877</v>
      </c>
      <c r="M73" s="129"/>
      <c r="N73" s="183">
        <v>0.47641153379200524</v>
      </c>
      <c r="O73" s="129"/>
      <c r="P73" s="183">
        <v>0.47641153370063871</v>
      </c>
      <c r="Q73" s="129"/>
      <c r="R73" s="183">
        <v>0.47641153365482269</v>
      </c>
      <c r="S73" s="129"/>
      <c r="T73" s="183">
        <v>0.47641153361639288</v>
      </c>
      <c r="U73" s="129"/>
      <c r="V73" s="183">
        <v>0.47641153354015259</v>
      </c>
      <c r="W73" s="129"/>
      <c r="X73" s="183">
        <v>0.47641153347045739</v>
      </c>
      <c r="Y73" s="129"/>
      <c r="Z73" s="183">
        <v>0.47641153352832555</v>
      </c>
      <c r="AA73" s="129"/>
      <c r="AB73" s="183">
        <v>0.47641153346667603</v>
      </c>
      <c r="AC73" s="129"/>
      <c r="AD73" s="183">
        <v>0.47641153365967154</v>
      </c>
      <c r="AE73" s="129"/>
      <c r="AF73" s="183">
        <v>0.47641153352961801</v>
      </c>
      <c r="AG73" s="129"/>
      <c r="AH73" s="183" t="e">
        <v>#DIV/0!</v>
      </c>
      <c r="AI73" s="129"/>
      <c r="AJ73" s="183" t="e">
        <v>#DIV/0!</v>
      </c>
      <c r="AK73" s="129"/>
      <c r="AL73" s="183" t="e">
        <v>#DIV/0!</v>
      </c>
      <c r="AM73" s="129"/>
      <c r="AN73" s="183" t="e">
        <v>#DIV/0!</v>
      </c>
      <c r="AO73" s="129"/>
      <c r="AP73" s="183" t="e">
        <v>#DIV/0!</v>
      </c>
      <c r="AQ73" s="129"/>
      <c r="AR73" s="183" t="e">
        <v>#DIV/0!</v>
      </c>
      <c r="AS73" s="129"/>
      <c r="AT73" s="183" t="e">
        <v>#DIV/0!</v>
      </c>
      <c r="AU73" s="129"/>
      <c r="AV73" s="183" t="e">
        <v>#DIV/0!</v>
      </c>
      <c r="XFD73" s="183"/>
    </row>
    <row r="74" spans="1:48 16384:16384" x14ac:dyDescent="0.2">
      <c r="A74" t="s">
        <v>169</v>
      </c>
      <c r="B74" s="183">
        <v>0.22604620456442484</v>
      </c>
      <c r="D74" s="183">
        <v>0.22604620456442484</v>
      </c>
      <c r="E74" s="129"/>
      <c r="F74" s="183">
        <v>0.22604620456442484</v>
      </c>
      <c r="G74" s="129"/>
      <c r="H74" s="183">
        <v>0.22604620456442484</v>
      </c>
      <c r="I74" s="129"/>
      <c r="J74" s="183">
        <v>0.22604620456442484</v>
      </c>
      <c r="K74" s="129"/>
      <c r="L74" s="183">
        <v>0.22604620456442484</v>
      </c>
      <c r="M74" s="129"/>
      <c r="N74" s="183">
        <v>0.22604620456442484</v>
      </c>
      <c r="O74" s="129"/>
      <c r="P74" s="183">
        <v>0.22604620456442484</v>
      </c>
      <c r="Q74" s="129"/>
      <c r="R74" s="183">
        <v>0.22604620456442484</v>
      </c>
      <c r="S74" s="129"/>
      <c r="T74" s="183">
        <v>0.22604620456442484</v>
      </c>
      <c r="U74" s="129"/>
      <c r="V74" s="183">
        <v>0.22604620456442484</v>
      </c>
      <c r="W74" s="129"/>
      <c r="X74" s="183">
        <v>0.22604620456442484</v>
      </c>
      <c r="Y74" s="129"/>
      <c r="Z74" s="183">
        <v>0.22604620456442484</v>
      </c>
      <c r="AA74" s="129"/>
      <c r="AB74" s="183">
        <v>0.22604620456442487</v>
      </c>
      <c r="AC74" s="129"/>
      <c r="AD74" s="183">
        <v>0.22604620456442484</v>
      </c>
      <c r="AE74" s="129"/>
      <c r="AF74" s="183">
        <v>0.22604620456442487</v>
      </c>
      <c r="AG74" s="129"/>
      <c r="AH74" s="183" t="e">
        <v>#DIV/0!</v>
      </c>
      <c r="AI74" s="129"/>
      <c r="AJ74" s="183" t="e">
        <v>#DIV/0!</v>
      </c>
      <c r="AK74" s="129"/>
      <c r="AL74" s="183" t="e">
        <v>#DIV/0!</v>
      </c>
      <c r="AM74" s="129"/>
      <c r="AN74" s="183" t="e">
        <v>#DIV/0!</v>
      </c>
      <c r="AO74" s="129"/>
      <c r="AP74" s="183" t="e">
        <v>#DIV/0!</v>
      </c>
      <c r="AQ74" s="129"/>
      <c r="AR74" s="183" t="e">
        <v>#DIV/0!</v>
      </c>
      <c r="AS74" s="129"/>
      <c r="AT74" s="183" t="e">
        <v>#DIV/0!</v>
      </c>
      <c r="AU74" s="129"/>
      <c r="AV74" s="183" t="e">
        <v>#DIV/0!</v>
      </c>
      <c r="XFD74" s="183"/>
    </row>
    <row r="75" spans="1:48 16384:16384" x14ac:dyDescent="0.2">
      <c r="A75" t="s">
        <v>170</v>
      </c>
      <c r="B75" s="183">
        <v>0.22038438833194082</v>
      </c>
      <c r="D75" s="183">
        <v>0.22038438810769373</v>
      </c>
      <c r="E75" s="129"/>
      <c r="F75" s="183">
        <v>0.22038438804087751</v>
      </c>
      <c r="G75" s="129"/>
      <c r="H75" s="183">
        <v>0.22038438795353996</v>
      </c>
      <c r="I75" s="129"/>
      <c r="J75" s="183">
        <v>0.22038438833255072</v>
      </c>
      <c r="K75" s="129"/>
      <c r="L75" s="183">
        <v>0.22038438832946242</v>
      </c>
      <c r="M75" s="129"/>
      <c r="N75" s="183">
        <v>0.22038438831046969</v>
      </c>
      <c r="O75" s="129"/>
      <c r="P75" s="183">
        <v>0.22038438831895457</v>
      </c>
      <c r="Q75" s="129"/>
      <c r="R75" s="183">
        <v>0.22038438832313254</v>
      </c>
      <c r="S75" s="129"/>
      <c r="T75" s="183">
        <v>0.22038438832631288</v>
      </c>
      <c r="U75" s="129"/>
      <c r="V75" s="183">
        <v>0.22038438832880994</v>
      </c>
      <c r="W75" s="129"/>
      <c r="X75" s="183">
        <v>0.22038438833099591</v>
      </c>
      <c r="Y75" s="129"/>
      <c r="Z75" s="183">
        <v>0.22038438832967078</v>
      </c>
      <c r="AA75" s="129"/>
      <c r="AB75" s="183">
        <v>0.22038438833185772</v>
      </c>
      <c r="AC75" s="129"/>
      <c r="AD75" s="183">
        <v>0.22038438832960353</v>
      </c>
      <c r="AE75" s="129"/>
      <c r="AF75" s="183">
        <v>0.22038438833186344</v>
      </c>
      <c r="AG75" s="129"/>
      <c r="AH75" s="183" t="e">
        <v>#DIV/0!</v>
      </c>
      <c r="AI75" s="129"/>
      <c r="AJ75" s="183" t="e">
        <v>#DIV/0!</v>
      </c>
      <c r="AK75" s="129"/>
      <c r="AL75" s="183" t="e">
        <v>#DIV/0!</v>
      </c>
      <c r="AM75" s="129"/>
      <c r="AN75" s="183" t="e">
        <v>#DIV/0!</v>
      </c>
      <c r="AO75" s="129"/>
      <c r="AP75" s="183" t="e">
        <v>#DIV/0!</v>
      </c>
      <c r="AQ75" s="129"/>
      <c r="AR75" s="183" t="e">
        <v>#DIV/0!</v>
      </c>
      <c r="AS75" s="129"/>
      <c r="AT75" s="183" t="e">
        <v>#DIV/0!</v>
      </c>
      <c r="AU75" s="129"/>
      <c r="AV75" s="183" t="e">
        <v>#DIV/0!</v>
      </c>
      <c r="XFD75" s="183"/>
    </row>
    <row r="76" spans="1:48 16384:16384" x14ac:dyDescent="0.2">
      <c r="A76" t="s">
        <v>171</v>
      </c>
      <c r="B76" s="183">
        <v>0.22301874374724867</v>
      </c>
      <c r="D76" s="183">
        <v>0.22334051040499731</v>
      </c>
      <c r="E76" s="129"/>
      <c r="F76" s="183">
        <v>0.22375861949811085</v>
      </c>
      <c r="G76" s="129"/>
      <c r="H76" s="183">
        <v>0.22427881350694862</v>
      </c>
      <c r="I76" s="129"/>
      <c r="J76" s="183">
        <v>0.22490602721174088</v>
      </c>
      <c r="K76" s="129"/>
      <c r="L76" s="183">
        <v>0.22564320827265588</v>
      </c>
      <c r="M76" s="129"/>
      <c r="N76" s="183">
        <v>0.22648935450587165</v>
      </c>
      <c r="O76" s="129"/>
      <c r="P76" s="183">
        <v>0.22743616929351229</v>
      </c>
      <c r="Q76" s="129"/>
      <c r="R76" s="183">
        <v>0.22846230282997015</v>
      </c>
      <c r="S76" s="129"/>
      <c r="T76" s="183">
        <v>0.22952325187974301</v>
      </c>
      <c r="U76" s="129"/>
      <c r="V76" s="183">
        <v>0.23053330629828175</v>
      </c>
      <c r="W76" s="129"/>
      <c r="X76" s="183">
        <v>0.23133315681560671</v>
      </c>
      <c r="Y76" s="129"/>
      <c r="Z76" s="183">
        <v>0.23163421340371135</v>
      </c>
      <c r="AA76" s="129"/>
      <c r="AB76" s="183">
        <v>0.23094067094250972</v>
      </c>
      <c r="AC76" s="129"/>
      <c r="AD76" s="183">
        <v>0.2285263274325707</v>
      </c>
      <c r="AE76" s="129"/>
      <c r="AF76" s="183">
        <v>0.22374353064348368</v>
      </c>
      <c r="AG76" s="129"/>
      <c r="AH76" s="183" t="e">
        <v>#DIV/0!</v>
      </c>
      <c r="AI76" s="129"/>
      <c r="AJ76" s="183" t="e">
        <v>#DIV/0!</v>
      </c>
      <c r="AK76" s="129"/>
      <c r="AL76" s="183" t="e">
        <v>#DIV/0!</v>
      </c>
      <c r="AM76" s="129"/>
      <c r="AN76" s="183" t="e">
        <v>#DIV/0!</v>
      </c>
      <c r="AO76" s="129"/>
      <c r="AP76" s="183" t="e">
        <v>#DIV/0!</v>
      </c>
      <c r="AQ76" s="129"/>
      <c r="AR76" s="183" t="e">
        <v>#DIV/0!</v>
      </c>
      <c r="AS76" s="129"/>
      <c r="AT76" s="183" t="e">
        <v>#DIV/0!</v>
      </c>
      <c r="AU76" s="129"/>
      <c r="AV76" s="183" t="e">
        <v>#DIV/0!</v>
      </c>
      <c r="XFD76" s="183"/>
    </row>
    <row r="77" spans="1:48 16384:16384" x14ac:dyDescent="0.2">
      <c r="A77" t="s">
        <v>172</v>
      </c>
      <c r="B77" s="183">
        <v>0.14586087017236485</v>
      </c>
      <c r="D77" s="183">
        <v>0.14618263620519553</v>
      </c>
      <c r="E77" s="129"/>
      <c r="F77" s="183">
        <v>0.14660074509055884</v>
      </c>
      <c r="G77" s="129"/>
      <c r="H77" s="183">
        <v>0.14712093884758831</v>
      </c>
      <c r="I77" s="129"/>
      <c r="J77" s="183">
        <v>0.1477481536590135</v>
      </c>
      <c r="K77" s="129"/>
      <c r="L77" s="183">
        <v>0.14848533465847186</v>
      </c>
      <c r="M77" s="129"/>
      <c r="N77" s="183">
        <v>0.14933148117277134</v>
      </c>
      <c r="O77" s="129"/>
      <c r="P77" s="183">
        <v>0.15027829587753022</v>
      </c>
      <c r="Q77" s="129"/>
      <c r="R77" s="183">
        <v>0.15130442937235025</v>
      </c>
      <c r="S77" s="129"/>
      <c r="T77" s="183">
        <v>0.15236537838687347</v>
      </c>
      <c r="U77" s="129"/>
      <c r="V77" s="183">
        <v>0.1533754327316689</v>
      </c>
      <c r="W77" s="129"/>
      <c r="X77" s="183">
        <v>0.15417528318148468</v>
      </c>
      <c r="Y77" s="129"/>
      <c r="Z77" s="183">
        <v>0.15447633982613249</v>
      </c>
      <c r="AA77" s="129"/>
      <c r="AB77" s="183">
        <v>0.15378279730546809</v>
      </c>
      <c r="AC77" s="129"/>
      <c r="AD77" s="183">
        <v>0.15136845398627061</v>
      </c>
      <c r="AE77" s="129"/>
      <c r="AF77" s="183">
        <v>0.14658565706938989</v>
      </c>
      <c r="AG77" s="129"/>
      <c r="AH77" s="183" t="e">
        <v>#DIV/0!</v>
      </c>
      <c r="AI77" s="129"/>
      <c r="AJ77" s="183" t="e">
        <v>#DIV/0!</v>
      </c>
      <c r="AK77" s="129"/>
      <c r="AL77" s="183" t="e">
        <v>#DIV/0!</v>
      </c>
      <c r="AM77" s="129"/>
      <c r="AN77" s="183" t="e">
        <v>#DIV/0!</v>
      </c>
      <c r="AO77" s="129"/>
      <c r="AP77" s="183" t="e">
        <v>#DIV/0!</v>
      </c>
      <c r="AQ77" s="129"/>
      <c r="AR77" s="183" t="e">
        <v>#DIV/0!</v>
      </c>
      <c r="AS77" s="129"/>
      <c r="AT77" s="183" t="e">
        <v>#DIV/0!</v>
      </c>
      <c r="AU77" s="129"/>
      <c r="AV77" s="183" t="e">
        <v>#DIV/0!</v>
      </c>
      <c r="XFD77" s="183"/>
    </row>
    <row r="78" spans="1:48 16384:16384" x14ac:dyDescent="0.2">
      <c r="A78" t="s">
        <v>173</v>
      </c>
      <c r="B78" s="183">
        <v>0.346887593115773</v>
      </c>
      <c r="D78" s="183">
        <v>0.3362505491895057</v>
      </c>
      <c r="E78" s="129"/>
      <c r="F78" s="183">
        <v>0.32529398990036479</v>
      </c>
      <c r="G78" s="129"/>
      <c r="H78" s="183">
        <v>0.31395392781115306</v>
      </c>
      <c r="I78" s="129"/>
      <c r="J78" s="183">
        <v>0.30215068504692999</v>
      </c>
      <c r="K78" s="129"/>
      <c r="L78" s="183">
        <v>0.28978148984229485</v>
      </c>
      <c r="M78" s="129"/>
      <c r="N78" s="183">
        <v>0.27670882925807522</v>
      </c>
      <c r="O78" s="129"/>
      <c r="P78" s="183">
        <v>0.26274159061717278</v>
      </c>
      <c r="Q78" s="129"/>
      <c r="R78" s="183">
        <v>0.24760364899721693</v>
      </c>
      <c r="S78" s="129"/>
      <c r="T78" s="183">
        <v>0.23087956241263563</v>
      </c>
      <c r="U78" s="129"/>
      <c r="V78" s="183">
        <v>0.21191748188326698</v>
      </c>
      <c r="W78" s="129"/>
      <c r="X78" s="183">
        <v>0.18965003693156282</v>
      </c>
      <c r="Y78" s="129"/>
      <c r="Z78" s="183">
        <v>0.16226003856351065</v>
      </c>
      <c r="AA78" s="129"/>
      <c r="AB78" s="183">
        <v>0.12658598857577547</v>
      </c>
      <c r="AC78" s="129"/>
      <c r="AD78" s="183">
        <v>7.7273371987337455E-2</v>
      </c>
      <c r="AE78" s="129"/>
      <c r="AF78" s="183">
        <v>6.1964534659490764E-3</v>
      </c>
      <c r="AG78" s="129"/>
      <c r="AH78" s="183" t="e">
        <v>#DIV/0!</v>
      </c>
      <c r="AI78" s="129"/>
      <c r="AJ78" s="183" t="e">
        <v>#DIV/0!</v>
      </c>
      <c r="AK78" s="129"/>
      <c r="AL78" s="183" t="e">
        <v>#DIV/0!</v>
      </c>
      <c r="AM78" s="129"/>
      <c r="AN78" s="183" t="e">
        <v>#DIV/0!</v>
      </c>
      <c r="AO78" s="129"/>
      <c r="AP78" s="183" t="e">
        <v>#DIV/0!</v>
      </c>
      <c r="AQ78" s="129"/>
      <c r="AR78" s="183" t="e">
        <v>#DIV/0!</v>
      </c>
      <c r="AS78" s="129"/>
      <c r="AT78" s="183" t="e">
        <v>#DIV/0!</v>
      </c>
      <c r="AU78" s="129"/>
      <c r="AV78" s="183" t="e">
        <v>#DIV/0!</v>
      </c>
      <c r="XFD78" s="183"/>
    </row>
    <row r="79" spans="1:48 16384:16384" x14ac:dyDescent="0.2">
      <c r="A79" t="s">
        <v>174</v>
      </c>
      <c r="B79" s="183">
        <v>0.45460968782440875</v>
      </c>
      <c r="D79" s="183">
        <v>0.46524672595494626</v>
      </c>
      <c r="F79" s="183">
        <v>0.47620328216731406</v>
      </c>
      <c r="H79" s="183">
        <v>0.48754333962768709</v>
      </c>
      <c r="J79" s="183">
        <v>0.49934659586476798</v>
      </c>
      <c r="L79" s="183">
        <v>0.51171579274691581</v>
      </c>
      <c r="N79" s="183">
        <v>0.52478845125291562</v>
      </c>
      <c r="P79" s="183">
        <v>0.53875569002750223</v>
      </c>
      <c r="R79" s="183">
        <v>0.5538936317209372</v>
      </c>
      <c r="T79" s="183">
        <v>0.570617718372887</v>
      </c>
      <c r="V79" s="183">
        <v>0.5895797987842949</v>
      </c>
      <c r="X79" s="183">
        <v>0.61184724432610504</v>
      </c>
      <c r="Z79" s="183">
        <v>0.63923724205932519</v>
      </c>
      <c r="AB79" s="183">
        <v>0.67491129221388624</v>
      </c>
      <c r="AD79" s="183">
        <v>0.72422390888329968</v>
      </c>
      <c r="AF79" s="183">
        <v>0.79530082718852391</v>
      </c>
      <c r="AH79" s="183" t="e">
        <v>#DIV/0!</v>
      </c>
      <c r="AJ79" s="183" t="e">
        <v>#DIV/0!</v>
      </c>
      <c r="AL79" s="183" t="e">
        <v>#DIV/0!</v>
      </c>
      <c r="AN79" s="183" t="e">
        <v>#DIV/0!</v>
      </c>
      <c r="AP79" s="183" t="e">
        <v>#DIV/0!</v>
      </c>
      <c r="AR79" s="183" t="e">
        <v>#DIV/0!</v>
      </c>
      <c r="AT79" s="183" t="e">
        <v>#DIV/0!</v>
      </c>
      <c r="AV79" s="183" t="e">
        <v>#DIV/0!</v>
      </c>
      <c r="XFD79" s="183"/>
    </row>
    <row r="80" spans="1:48 16384:16384" x14ac:dyDescent="0.2">
      <c r="A80" t="s">
        <v>153</v>
      </c>
      <c r="B80" s="195">
        <v>0.19850271905982084</v>
      </c>
      <c r="D80" s="195">
        <v>0.19850271967019947</v>
      </c>
      <c r="F80" s="195">
        <v>0.19850272010512304</v>
      </c>
      <c r="H80" s="195">
        <v>0.19850272071620428</v>
      </c>
      <c r="J80" s="195">
        <v>0.19850271912934331</v>
      </c>
      <c r="L80" s="195">
        <v>0.19850271877350656</v>
      </c>
      <c r="N80" s="195">
        <v>0.19850272053960402</v>
      </c>
      <c r="P80" s="195">
        <v>0.19850272013140502</v>
      </c>
      <c r="R80" s="195">
        <v>0.1985027199120728</v>
      </c>
      <c r="T80" s="195">
        <v>0.19850271969420805</v>
      </c>
      <c r="V80" s="195">
        <v>0.19850271902340152</v>
      </c>
      <c r="X80" s="195">
        <v>0.19850271929131202</v>
      </c>
      <c r="Z80" s="195">
        <v>0.1985027187039797</v>
      </c>
      <c r="AB80" s="195">
        <v>0.1985027181108362</v>
      </c>
      <c r="AD80" s="195">
        <v>0.19850272074592401</v>
      </c>
      <c r="AF80" s="195">
        <v>0.19850271955816742</v>
      </c>
      <c r="AH80" s="195" t="e">
        <v>#DIV/0!</v>
      </c>
      <c r="AJ80" s="195" t="e">
        <v>#DIV/0!</v>
      </c>
      <c r="AL80" s="195" t="e">
        <v>#DIV/0!</v>
      </c>
      <c r="AN80" s="195" t="e">
        <v>#DIV/0!</v>
      </c>
      <c r="AP80" s="195" t="e">
        <v>#DIV/0!</v>
      </c>
      <c r="AR80" s="195" t="e">
        <v>#DIV/0!</v>
      </c>
      <c r="AT80" s="195" t="e">
        <v>#DIV/0!</v>
      </c>
      <c r="AV80" s="195" t="e">
        <v>#DIV/0!</v>
      </c>
      <c r="XFD80" s="195"/>
    </row>
    <row r="81" spans="1:48 16384:16384" x14ac:dyDescent="0.2">
      <c r="A81" t="s">
        <v>175</v>
      </c>
      <c r="B81" s="195">
        <v>-2.7543485504603994E-2</v>
      </c>
      <c r="D81" s="195">
        <v>-2.7543484894225367E-2</v>
      </c>
      <c r="F81" s="195">
        <v>-2.7543484459301808E-2</v>
      </c>
      <c r="H81" s="195">
        <v>-2.7543483848220564E-2</v>
      </c>
      <c r="J81" s="195">
        <v>-2.7543485435081515E-2</v>
      </c>
      <c r="L81" s="195">
        <v>-2.7543485790918271E-2</v>
      </c>
      <c r="N81" s="195">
        <v>-2.7543484024820805E-2</v>
      </c>
      <c r="P81" s="195">
        <v>-2.7543484433019818E-2</v>
      </c>
      <c r="R81" s="195">
        <v>-2.7543484652352054E-2</v>
      </c>
      <c r="T81" s="195">
        <v>-2.7543484870216788E-2</v>
      </c>
      <c r="V81" s="195">
        <v>-2.7543485541023337E-2</v>
      </c>
      <c r="X81" s="195">
        <v>-2.754348527311281E-2</v>
      </c>
      <c r="Z81" s="195">
        <v>-2.7543485860445142E-2</v>
      </c>
      <c r="AB81" s="195">
        <v>-2.7543486453588683E-2</v>
      </c>
      <c r="AD81" s="195">
        <v>-2.7543483818500837E-2</v>
      </c>
      <c r="AF81" s="195">
        <v>-2.7543485006257425E-2</v>
      </c>
      <c r="AH81" s="195" t="e">
        <v>#DIV/0!</v>
      </c>
      <c r="AJ81" s="195" t="e">
        <v>#DIV/0!</v>
      </c>
      <c r="AL81" s="195" t="e">
        <v>#DIV/0!</v>
      </c>
      <c r="AN81" s="195" t="e">
        <v>#DIV/0!</v>
      </c>
      <c r="AP81" s="195" t="e">
        <v>#DIV/0!</v>
      </c>
      <c r="AR81" s="195" t="e">
        <v>#DIV/0!</v>
      </c>
      <c r="AT81" s="195" t="e">
        <v>#DIV/0!</v>
      </c>
      <c r="AV81" s="195" t="e">
        <v>#DIV/0!</v>
      </c>
      <c r="XFD81" s="195"/>
    </row>
    <row r="82" spans="1:48 16384:16384" x14ac:dyDescent="0.2">
      <c r="A82" t="s">
        <v>176</v>
      </c>
      <c r="B82" s="195">
        <v>0.14069693704202227</v>
      </c>
      <c r="D82" s="195">
        <v>0.13638257259282222</v>
      </c>
      <c r="F82" s="195">
        <v>0.13193861333024073</v>
      </c>
      <c r="H82" s="195">
        <v>0.12733910607347371</v>
      </c>
      <c r="J82" s="195">
        <v>0.1225517336305067</v>
      </c>
      <c r="L82" s="195">
        <v>0.11753481197200792</v>
      </c>
      <c r="N82" s="195">
        <v>0.11223256611573766</v>
      </c>
      <c r="P82" s="195">
        <v>0.10656748112939141</v>
      </c>
      <c r="R82" s="195">
        <v>0.100427561278358</v>
      </c>
      <c r="T82" s="195">
        <v>9.3644304096568709E-2</v>
      </c>
      <c r="V82" s="195">
        <v>8.5953320898054811E-2</v>
      </c>
      <c r="X82" s="195">
        <v>7.6921688280940731E-2</v>
      </c>
      <c r="Z82" s="195">
        <v>6.5812357902887211E-2</v>
      </c>
      <c r="AB82" s="195">
        <v>5.1343032205547617E-2</v>
      </c>
      <c r="AD82" s="195">
        <v>3.134193026586176E-2</v>
      </c>
      <c r="AF82" s="195">
        <v>2.5132695446143821E-3</v>
      </c>
      <c r="AH82" s="195" t="e">
        <v>#DIV/0!</v>
      </c>
      <c r="AJ82" s="195" t="e">
        <v>#DIV/0!</v>
      </c>
      <c r="AL82" s="195" t="e">
        <v>#DIV/0!</v>
      </c>
      <c r="AN82" s="195" t="e">
        <v>#DIV/0!</v>
      </c>
      <c r="AP82" s="195" t="e">
        <v>#DIV/0!</v>
      </c>
      <c r="AR82" s="195" t="e">
        <v>#DIV/0!</v>
      </c>
      <c r="AT82" s="195" t="e">
        <v>#DIV/0!</v>
      </c>
      <c r="AV82" s="195" t="e">
        <v>#DIV/0!</v>
      </c>
    </row>
    <row r="83" spans="1:48 16384:16384" x14ac:dyDescent="0.2">
      <c r="A83" t="s">
        <v>177</v>
      </c>
      <c r="B83" s="195">
        <v>0.18438881036940691</v>
      </c>
      <c r="D83" s="195">
        <v>0.18870317246787011</v>
      </c>
      <c r="F83" s="195">
        <v>0.19314713048251839</v>
      </c>
      <c r="H83" s="195">
        <v>0.19774663586183741</v>
      </c>
      <c r="J83" s="195">
        <v>0.20253401376936947</v>
      </c>
      <c r="L83" s="195">
        <v>0.20755093610826419</v>
      </c>
      <c r="N83" s="195">
        <v>0.21285318112161253</v>
      </c>
      <c r="P83" s="195">
        <v>0.21851826616218079</v>
      </c>
      <c r="R83" s="195">
        <v>0.22465818604301718</v>
      </c>
      <c r="T83" s="195">
        <v>0.23144144325213101</v>
      </c>
      <c r="V83" s="195">
        <v>0.23913242640280025</v>
      </c>
      <c r="X83" s="195">
        <v>0.24816405925926016</v>
      </c>
      <c r="Z83" s="195">
        <v>0.25927338937982713</v>
      </c>
      <c r="AB83" s="195">
        <v>0.27374271514483095</v>
      </c>
      <c r="AD83" s="195">
        <v>0.29374381711736025</v>
      </c>
      <c r="AF83" s="195">
        <v>0.32257247775093184</v>
      </c>
      <c r="AH83" s="195" t="e">
        <v>#DIV/0!</v>
      </c>
      <c r="AJ83" s="195" t="e">
        <v>#DIV/0!</v>
      </c>
      <c r="AL83" s="195" t="e">
        <v>#DIV/0!</v>
      </c>
      <c r="AN83" s="195" t="e">
        <v>#DIV/0!</v>
      </c>
      <c r="AP83" s="195" t="e">
        <v>#DIV/0!</v>
      </c>
      <c r="AR83" s="195" t="e">
        <v>#DIV/0!</v>
      </c>
      <c r="AT83" s="195" t="e">
        <v>#DIV/0!</v>
      </c>
      <c r="AV83" s="195" t="e">
        <v>#DIV/0!</v>
      </c>
    </row>
    <row r="85" spans="1:48 16384:16384" x14ac:dyDescent="0.2">
      <c r="A85" t="s">
        <v>181</v>
      </c>
      <c r="B85" s="202">
        <f>SUM(B26:C26)/SUM($B$26:$C$26)</f>
        <v>1</v>
      </c>
      <c r="C85" s="202"/>
      <c r="D85" s="202">
        <f>SUM(D26:E26)/SUM($B$26:$C$26)</f>
        <v>1.0265252329319636</v>
      </c>
      <c r="E85" s="202"/>
      <c r="F85" s="203">
        <f>SUM(F26:G26)/SUM($B$26:$C$26)</f>
        <v>1.0547106484738769</v>
      </c>
      <c r="G85" s="202"/>
      <c r="H85" s="202">
        <f>SUM(H26:I26)/SUM($B$26:$C$26)</f>
        <v>1.0848802389379213</v>
      </c>
      <c r="I85" s="202"/>
      <c r="J85" s="202">
        <f>SUM(J26:K26)/SUM($B$26:$C$26)</f>
        <v>1.1174530987486022</v>
      </c>
      <c r="K85" s="202"/>
      <c r="L85" s="202">
        <f>SUM(L26:M26)/SUM($B$26:$C$26)</f>
        <v>1.1529883999640005</v>
      </c>
      <c r="M85" s="202"/>
      <c r="N85" s="202">
        <f>SUM(N26:O26)/SUM($B$26:$C$26)</f>
        <v>1.1922601777762047</v>
      </c>
      <c r="O85" s="202"/>
      <c r="P85" s="202">
        <f>SUM(P26:Q26)/SUM($B$26:$C$26)</f>
        <v>1.2363861275161163</v>
      </c>
      <c r="Q85" s="202"/>
      <c r="R85" s="202">
        <f>SUM(R26:S26)/SUM($B$26:$C$26)</f>
        <v>1.2870628209117625</v>
      </c>
      <c r="S85" s="202"/>
      <c r="T85" s="202">
        <f>SUM(T26:U26)/SUM($B$26:$C$26)</f>
        <v>1.3470242187652757</v>
      </c>
      <c r="U85" s="202"/>
      <c r="V85" s="202">
        <f>SUM(V26:W26)/SUM($B$26:$C$26)</f>
        <v>1.4210110433235872</v>
      </c>
      <c r="W85" s="202"/>
      <c r="X85" s="202">
        <f>SUM(X26:Y26)/SUM($B$26:$C$26)</f>
        <v>1.5180495078252372</v>
      </c>
      <c r="Y85" s="202"/>
      <c r="Z85" s="202">
        <f>SUM(Z26:AA26)/SUM($B$26:$C$26)</f>
        <v>1.6576503630715707</v>
      </c>
      <c r="AA85" s="202"/>
      <c r="AB85" s="202">
        <f>SUM(AB26:AC26)/SUM($B$26:$C$26)</f>
        <v>1.890930534322288</v>
      </c>
      <c r="AC85" s="202"/>
      <c r="AD85" s="202">
        <f>SUM(AD26:AE26)/SUM($B$26:$C$26)</f>
        <v>2.4115710752309711</v>
      </c>
      <c r="AE85" s="202"/>
      <c r="AF85" s="202">
        <f>SUM(AF26:AG26)/SUM($B$26:$C$26)</f>
        <v>7.4087266913446177</v>
      </c>
      <c r="AG85" s="202"/>
      <c r="AH85" s="202">
        <f>SUM(AH26:AI26)/SUM($B$26:$C$26)</f>
        <v>0</v>
      </c>
      <c r="AI85" s="202"/>
      <c r="AJ85" s="202">
        <f>SUM(AJ26:AK26)/SUM($B$26:$C$26)</f>
        <v>0</v>
      </c>
      <c r="AK85" s="202"/>
      <c r="AL85" s="202">
        <f>SUM(AL26:AM26)/SUM($B$26:$C$26)</f>
        <v>0</v>
      </c>
      <c r="AM85" s="202"/>
      <c r="AN85" s="202">
        <f>SUM(AN26:AO26)/SUM($B$26:$C$26)</f>
        <v>0</v>
      </c>
      <c r="AO85" s="202"/>
      <c r="AP85" s="202">
        <f>SUM(AP26:AQ26)/SUM($B$26:$C$26)</f>
        <v>0</v>
      </c>
      <c r="AQ85" s="202"/>
      <c r="AR85" s="202">
        <f>SUM(AR26:AS26)/SUM($B$26:$C$26)</f>
        <v>0</v>
      </c>
      <c r="AS85" s="202"/>
      <c r="AT85" s="202">
        <f>SUM(AT26:AU26)/SUM($B$26:$C$26)</f>
        <v>0</v>
      </c>
      <c r="AU85" s="202"/>
      <c r="AV85" s="202">
        <f>SUM(AV26:AW26)/SUM($B$26:$C$26)</f>
        <v>0</v>
      </c>
      <c r="XFD85" s="27"/>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5"/>
  <dimension ref="A1:XFD83"/>
  <sheetViews>
    <sheetView showGridLines="0" workbookViewId="0">
      <pane xSplit="1" ySplit="1" topLeftCell="B16" activePane="bottomRight" state="frozen"/>
      <selection pane="topRight" activeCell="B1" sqref="B1"/>
      <selection pane="bottomLeft" activeCell="A2" sqref="A2"/>
      <selection pane="bottomRight" activeCell="A16" sqref="A1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c r="AF1" s="91"/>
      <c r="AH1" s="91"/>
      <c r="AJ1" s="91"/>
      <c r="AL1" s="91"/>
      <c r="AN1" s="91"/>
      <c r="AP1" s="91"/>
      <c r="AR1" s="91"/>
      <c r="AT1" s="91"/>
      <c r="AV1" s="91"/>
    </row>
    <row r="2" spans="1:49" x14ac:dyDescent="0.2">
      <c r="A2" s="190" t="s">
        <v>139</v>
      </c>
      <c r="B2" s="188">
        <v>5.7716594496607888E-3</v>
      </c>
      <c r="C2" s="189"/>
      <c r="D2" s="188">
        <v>3.5074944807207187E-2</v>
      </c>
      <c r="E2" s="189"/>
      <c r="F2" s="188">
        <v>6.5450917189868188E-2</v>
      </c>
      <c r="G2" s="189"/>
      <c r="H2" s="188">
        <v>9.6813906878356962E-2</v>
      </c>
      <c r="I2" s="189"/>
      <c r="J2" s="188">
        <v>0.12902967722351788</v>
      </c>
      <c r="K2" s="189"/>
      <c r="L2" s="188">
        <v>0.16190373369802477</v>
      </c>
      <c r="M2" s="189"/>
      <c r="N2" s="188">
        <v>0.19516581074901948</v>
      </c>
      <c r="O2" s="189"/>
      <c r="P2" s="188">
        <v>0.22845370229541914</v>
      </c>
      <c r="Q2" s="189"/>
      <c r="R2" s="188">
        <v>0.2612902252197572</v>
      </c>
      <c r="S2" s="189"/>
      <c r="T2" s="188">
        <v>0.29304242272201791</v>
      </c>
      <c r="U2" s="189"/>
      <c r="V2" s="188">
        <v>0.32282099290967115</v>
      </c>
      <c r="W2" s="189"/>
      <c r="X2" s="188">
        <v>0.34913325965877384</v>
      </c>
      <c r="Y2" s="189"/>
      <c r="Z2" s="188">
        <v>0.36833406901092186</v>
      </c>
      <c r="AA2" s="189"/>
      <c r="AB2" s="188">
        <v>0.3692943055570726</v>
      </c>
      <c r="AC2" s="189"/>
      <c r="AD2" s="188"/>
      <c r="AE2" s="189"/>
      <c r="AF2" s="188"/>
      <c r="AG2" s="189"/>
      <c r="AH2" s="188"/>
      <c r="AI2" s="189"/>
      <c r="AJ2" s="188"/>
      <c r="AK2" s="189"/>
      <c r="AL2" s="188"/>
      <c r="AM2" s="189"/>
      <c r="AN2" s="188"/>
      <c r="AO2" s="189"/>
      <c r="AP2" s="188"/>
      <c r="AQ2" s="189"/>
      <c r="AR2" s="188"/>
      <c r="AS2" s="189"/>
      <c r="AT2" s="188"/>
      <c r="AU2" s="189"/>
      <c r="AV2" s="188"/>
      <c r="AW2" s="189"/>
    </row>
    <row r="3" spans="1:49" x14ac:dyDescent="0.2">
      <c r="A3" t="s">
        <v>12</v>
      </c>
      <c r="B3" s="81">
        <v>1000</v>
      </c>
      <c r="C3" s="82">
        <v>1000</v>
      </c>
      <c r="D3" s="81">
        <v>999.16674834503738</v>
      </c>
      <c r="E3" s="82">
        <v>1012.4748198307923</v>
      </c>
      <c r="F3" s="81">
        <v>998.36638647179473</v>
      </c>
      <c r="G3" s="82">
        <v>1025.1372254769403</v>
      </c>
      <c r="H3" s="81">
        <v>997.60215793831503</v>
      </c>
      <c r="I3" s="82">
        <v>1037.9140379425862</v>
      </c>
      <c r="J3" s="81">
        <v>996.87734502215619</v>
      </c>
      <c r="K3" s="82">
        <v>1050.7179036985578</v>
      </c>
      <c r="L3" s="81">
        <v>996.19470644252306</v>
      </c>
      <c r="M3" s="82">
        <v>1063.4530611956595</v>
      </c>
      <c r="N3" s="81">
        <v>995.55531532367183</v>
      </c>
      <c r="O3" s="82">
        <v>1076.031989920768</v>
      </c>
      <c r="P3" s="81">
        <v>994.95619491345496</v>
      </c>
      <c r="Q3" s="82">
        <v>1088.4128528916513</v>
      </c>
      <c r="R3" s="81">
        <v>994.38522026923499</v>
      </c>
      <c r="S3" s="82">
        <v>1100.6852293511834</v>
      </c>
      <c r="T3" s="81">
        <v>993.80928465431634</v>
      </c>
      <c r="U3" s="82">
        <v>1113.2740619198464</v>
      </c>
      <c r="V3" s="81">
        <v>993.14279724907567</v>
      </c>
      <c r="W3" s="82">
        <v>1127.4885452542155</v>
      </c>
      <c r="X3" s="81">
        <v>992.14480040392993</v>
      </c>
      <c r="Y3" s="82">
        <v>1147.3353694772843</v>
      </c>
      <c r="Z3" s="81">
        <v>989.97443344810119</v>
      </c>
      <c r="AA3" s="82">
        <v>1187.600091091879</v>
      </c>
      <c r="AB3" s="81">
        <v>983.45341144345844</v>
      </c>
      <c r="AC3" s="82">
        <v>1310.0730793841456</v>
      </c>
      <c r="AD3" s="81"/>
      <c r="AE3" s="82"/>
      <c r="AF3" s="81"/>
      <c r="AG3" s="82"/>
      <c r="AH3" s="81"/>
      <c r="AI3" s="82"/>
      <c r="AJ3" s="81"/>
      <c r="AK3" s="82"/>
      <c r="AL3" s="81"/>
      <c r="AM3" s="82"/>
      <c r="AN3" s="81"/>
      <c r="AO3" s="82"/>
      <c r="AP3" s="81"/>
      <c r="AQ3" s="82"/>
      <c r="AR3" s="81"/>
      <c r="AS3" s="82"/>
      <c r="AT3" s="81"/>
      <c r="AU3" s="82"/>
      <c r="AV3" s="81"/>
      <c r="AW3" s="82"/>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c r="AE4" s="96"/>
      <c r="AF4" s="95"/>
      <c r="AG4" s="96"/>
      <c r="AH4" s="95"/>
      <c r="AI4" s="96"/>
      <c r="AJ4" s="95"/>
      <c r="AK4" s="96"/>
      <c r="AL4" s="95"/>
      <c r="AM4" s="96"/>
      <c r="AN4" s="95"/>
      <c r="AO4" s="96"/>
      <c r="AP4" s="95"/>
      <c r="AQ4" s="96"/>
      <c r="AR4" s="95"/>
      <c r="AS4" s="96"/>
      <c r="AT4" s="95"/>
      <c r="AU4" s="96"/>
      <c r="AV4" s="95"/>
      <c r="AW4" s="96"/>
    </row>
    <row r="5" spans="1:49" x14ac:dyDescent="0.2">
      <c r="A5" t="s">
        <v>115</v>
      </c>
      <c r="B5" s="39">
        <v>1000</v>
      </c>
      <c r="C5" s="40">
        <v>1000</v>
      </c>
      <c r="D5" s="39">
        <v>999.12552163235955</v>
      </c>
      <c r="E5" s="40">
        <v>1010.8877453900295</v>
      </c>
      <c r="F5" s="39">
        <v>998.28527177747412</v>
      </c>
      <c r="G5" s="40">
        <v>1021.8052388237935</v>
      </c>
      <c r="H5" s="39">
        <v>997.48269145980464</v>
      </c>
      <c r="I5" s="40">
        <v>1032.6853631554629</v>
      </c>
      <c r="J5" s="39">
        <v>996.72126525759109</v>
      </c>
      <c r="K5" s="40">
        <v>1043.452255193778</v>
      </c>
      <c r="L5" s="39">
        <v>996.0039301077129</v>
      </c>
      <c r="M5" s="40">
        <v>1054.026765838272</v>
      </c>
      <c r="N5" s="39">
        <v>995.33185213742843</v>
      </c>
      <c r="O5" s="40">
        <v>1064.3404773462519</v>
      </c>
      <c r="P5" s="39">
        <v>994.70193783825778</v>
      </c>
      <c r="Q5" s="40">
        <v>1074.3652169803986</v>
      </c>
      <c r="R5" s="39">
        <v>994.10146641842084</v>
      </c>
      <c r="S5" s="40">
        <v>1084.1788088512651</v>
      </c>
      <c r="T5" s="39">
        <v>993.4956296095794</v>
      </c>
      <c r="U5" s="40">
        <v>1094.1185392733657</v>
      </c>
      <c r="V5" s="39">
        <v>992.79435370196927</v>
      </c>
      <c r="W5" s="40">
        <v>1105.188130540663</v>
      </c>
      <c r="X5" s="39">
        <v>991.74389043976873</v>
      </c>
      <c r="Y5" s="40">
        <v>1120.3729737945412</v>
      </c>
      <c r="Z5" s="39">
        <v>989.45786792984745</v>
      </c>
      <c r="AA5" s="40">
        <v>1150.2194944252394</v>
      </c>
      <c r="AB5" s="39">
        <v>982.57638898611708</v>
      </c>
      <c r="AC5" s="40">
        <v>1233.3193082372597</v>
      </c>
      <c r="AD5" s="39"/>
      <c r="AE5" s="40"/>
      <c r="AF5" s="39"/>
      <c r="AG5" s="40"/>
      <c r="AH5" s="39"/>
      <c r="AI5" s="40"/>
      <c r="AJ5" s="39"/>
      <c r="AK5" s="40"/>
      <c r="AL5" s="39"/>
      <c r="AM5" s="40"/>
      <c r="AN5" s="39"/>
      <c r="AO5" s="40"/>
      <c r="AP5" s="39"/>
      <c r="AQ5" s="40"/>
      <c r="AR5" s="39"/>
      <c r="AS5" s="40"/>
      <c r="AT5" s="39"/>
      <c r="AU5" s="40"/>
      <c r="AV5" s="39"/>
      <c r="AW5" s="40"/>
    </row>
    <row r="6" spans="1:49" x14ac:dyDescent="0.2">
      <c r="A6" t="s">
        <v>77</v>
      </c>
      <c r="B6" s="39">
        <v>999.99999999999943</v>
      </c>
      <c r="C6" s="40">
        <v>999.99999999999909</v>
      </c>
      <c r="D6" s="39">
        <v>999.05869580531748</v>
      </c>
      <c r="E6" s="40">
        <v>1013.4526495131145</v>
      </c>
      <c r="F6" s="39">
        <v>998.15435433227458</v>
      </c>
      <c r="G6" s="40">
        <v>1027.081740557039</v>
      </c>
      <c r="H6" s="39">
        <v>997.29066418595528</v>
      </c>
      <c r="I6" s="40">
        <v>1040.8089716254233</v>
      </c>
      <c r="J6" s="39">
        <v>996.47135975615709</v>
      </c>
      <c r="K6" s="40">
        <v>1054.5413966448698</v>
      </c>
      <c r="L6" s="39">
        <v>995.69958514505083</v>
      </c>
      <c r="M6" s="40">
        <v>1068.1776527521927</v>
      </c>
      <c r="N6" s="39">
        <v>994.97657915991942</v>
      </c>
      <c r="O6" s="40">
        <v>1081.6257363007642</v>
      </c>
      <c r="P6" s="39">
        <v>994.29899933804472</v>
      </c>
      <c r="Q6" s="40">
        <v>1094.8427990398256</v>
      </c>
      <c r="R6" s="39">
        <v>993.65315109510209</v>
      </c>
      <c r="S6" s="40">
        <v>1107.9260918298635</v>
      </c>
      <c r="T6" s="39">
        <v>993.00159210437164</v>
      </c>
      <c r="U6" s="40">
        <v>1121.3290599910349</v>
      </c>
      <c r="V6" s="39">
        <v>992.24746664902932</v>
      </c>
      <c r="W6" s="40">
        <v>1136.4423340843164</v>
      </c>
      <c r="X6" s="39">
        <v>991.11798963848162</v>
      </c>
      <c r="Y6" s="40">
        <v>1157.5098369771879</v>
      </c>
      <c r="Z6" s="39">
        <v>988.66064384694403</v>
      </c>
      <c r="AA6" s="40">
        <v>1200.1391436311035</v>
      </c>
      <c r="AB6" s="39">
        <v>981.2686207327971</v>
      </c>
      <c r="AC6" s="40">
        <v>1329.0574818207679</v>
      </c>
      <c r="AD6" s="39"/>
      <c r="AE6" s="40"/>
      <c r="AF6" s="39"/>
      <c r="AG6" s="40"/>
      <c r="AH6" s="39"/>
      <c r="AI6" s="40"/>
      <c r="AJ6" s="39"/>
      <c r="AK6" s="40"/>
      <c r="AL6" s="39"/>
      <c r="AM6" s="40"/>
      <c r="AN6" s="39"/>
      <c r="AO6" s="40"/>
      <c r="AP6" s="39"/>
      <c r="AQ6" s="40"/>
      <c r="AR6" s="39"/>
      <c r="AS6" s="40"/>
      <c r="AT6" s="39"/>
      <c r="AU6" s="40"/>
      <c r="AV6" s="39"/>
      <c r="AW6" s="40"/>
    </row>
    <row r="7" spans="1:49" x14ac:dyDescent="0.2">
      <c r="A7" t="s">
        <v>13</v>
      </c>
      <c r="B7" s="31">
        <v>1015.9116825427475</v>
      </c>
      <c r="C7" s="32">
        <v>1015.9116825427475</v>
      </c>
      <c r="D7" s="31">
        <v>1015.0232897529306</v>
      </c>
      <c r="E7" s="32">
        <v>1015.0232897529306</v>
      </c>
      <c r="F7" s="31">
        <v>1014.1696701090976</v>
      </c>
      <c r="G7" s="32">
        <v>1014.1696701090976</v>
      </c>
      <c r="H7" s="31">
        <v>1013.3543193881983</v>
      </c>
      <c r="I7" s="32">
        <v>1013.3543193881983</v>
      </c>
      <c r="J7" s="31">
        <v>1012.5807776139754</v>
      </c>
      <c r="K7" s="32">
        <v>1012.5807776139754</v>
      </c>
      <c r="L7" s="31">
        <v>1011.8520284549156</v>
      </c>
      <c r="M7" s="32">
        <v>1011.8520284549156</v>
      </c>
      <c r="N7" s="31">
        <v>1011.169256593324</v>
      </c>
      <c r="O7" s="32">
        <v>1011.169256593324</v>
      </c>
      <c r="P7" s="31">
        <v>1010.5293192977958</v>
      </c>
      <c r="Q7" s="32">
        <v>1010.5293192977958</v>
      </c>
      <c r="R7" s="31">
        <v>1009.9192933673504</v>
      </c>
      <c r="S7" s="32">
        <v>1009.9192933673504</v>
      </c>
      <c r="T7" s="31">
        <v>1009.303816675534</v>
      </c>
      <c r="U7" s="32">
        <v>1009.303816675534</v>
      </c>
      <c r="V7" s="31">
        <v>1008.5913822883072</v>
      </c>
      <c r="W7" s="32">
        <v>1008.5913822883072</v>
      </c>
      <c r="X7" s="31">
        <v>1007.5242043881557</v>
      </c>
      <c r="Y7" s="32">
        <v>1007.5242043881557</v>
      </c>
      <c r="Z7" s="31">
        <v>1005.2018074137709</v>
      </c>
      <c r="AA7" s="32">
        <v>1005.2018074137709</v>
      </c>
      <c r="AB7" s="31">
        <v>998.21083256166332</v>
      </c>
      <c r="AC7" s="32">
        <v>998.21083256166332</v>
      </c>
      <c r="AD7" s="31"/>
      <c r="AE7" s="32"/>
      <c r="AF7" s="31"/>
      <c r="AG7" s="32"/>
      <c r="AH7" s="31"/>
      <c r="AI7" s="32"/>
      <c r="AJ7" s="31"/>
      <c r="AK7" s="32"/>
      <c r="AL7" s="31"/>
      <c r="AM7" s="32"/>
      <c r="AN7" s="31"/>
      <c r="AO7" s="32"/>
      <c r="AP7" s="31"/>
      <c r="AQ7" s="32"/>
      <c r="AR7" s="31"/>
      <c r="AS7" s="32"/>
      <c r="AT7" s="31"/>
      <c r="AU7" s="32"/>
      <c r="AV7" s="31"/>
      <c r="AW7" s="32"/>
    </row>
    <row r="8" spans="1:49" x14ac:dyDescent="0.2">
      <c r="B8" s="33">
        <v>1005.7716594496609</v>
      </c>
      <c r="C8" s="34">
        <v>1005.7716594496609</v>
      </c>
      <c r="D8" s="33">
        <v>1046.344577265867</v>
      </c>
      <c r="E8" s="34">
        <v>1046.344577265867</v>
      </c>
      <c r="F8" s="33">
        <v>1088.6833288942232</v>
      </c>
      <c r="G8" s="34">
        <v>1088.6833288942232</v>
      </c>
      <c r="H8" s="33">
        <v>1132.6636677386382</v>
      </c>
      <c r="I8" s="34">
        <v>1132.6636677386382</v>
      </c>
      <c r="J8" s="33">
        <v>1178.0885628795829</v>
      </c>
      <c r="K8" s="34">
        <v>1178.0885628795829</v>
      </c>
      <c r="L8" s="33">
        <v>1224.6776346451418</v>
      </c>
      <c r="M8" s="34">
        <v>1224.6776346451418</v>
      </c>
      <c r="N8" s="33">
        <v>1272.0633495205316</v>
      </c>
      <c r="O8" s="34">
        <v>1272.0633495205316</v>
      </c>
      <c r="P8" s="33">
        <v>1319.8079284169919</v>
      </c>
      <c r="Q8" s="34">
        <v>1319.8079284169919</v>
      </c>
      <c r="R8" s="33">
        <v>1367.4641339945003</v>
      </c>
      <c r="S8" s="34">
        <v>1367.4641339945003</v>
      </c>
      <c r="T8" s="33">
        <v>1414.7416867671081</v>
      </c>
      <c r="U8" s="34">
        <v>1414.7416867671081</v>
      </c>
      <c r="V8" s="33">
        <v>1461.9660601937831</v>
      </c>
      <c r="W8" s="34">
        <v>1461.9660601937831</v>
      </c>
      <c r="X8" s="33">
        <v>1511.5324421690232</v>
      </c>
      <c r="Y8" s="34">
        <v>1511.5324421690232</v>
      </c>
      <c r="Z8" s="33">
        <v>1573.8845210625732</v>
      </c>
      <c r="AA8" s="34">
        <v>1573.8845210625732</v>
      </c>
      <c r="AB8" s="33">
        <v>1688.7771057028676</v>
      </c>
      <c r="AC8" s="34">
        <v>1688.7771057028676</v>
      </c>
      <c r="AD8" s="33"/>
      <c r="AE8" s="34"/>
      <c r="AF8" s="33"/>
      <c r="AG8" s="34"/>
      <c r="AH8" s="33"/>
      <c r="AI8" s="34"/>
      <c r="AJ8" s="33"/>
      <c r="AK8" s="34"/>
      <c r="AL8" s="33"/>
      <c r="AM8" s="34"/>
      <c r="AN8" s="33"/>
      <c r="AO8" s="34"/>
      <c r="AP8" s="33"/>
      <c r="AQ8" s="34"/>
      <c r="AR8" s="33"/>
      <c r="AS8" s="34"/>
      <c r="AT8" s="33"/>
      <c r="AU8" s="34"/>
      <c r="AV8" s="33"/>
      <c r="AW8" s="34"/>
    </row>
    <row r="9" spans="1:49" x14ac:dyDescent="0.2">
      <c r="A9" t="s">
        <v>14</v>
      </c>
      <c r="B9" s="39">
        <v>1015.9116825427475</v>
      </c>
      <c r="C9" s="40">
        <v>1005.7716594496609</v>
      </c>
      <c r="D9" s="39">
        <v>1015.0232897529306</v>
      </c>
      <c r="E9" s="40">
        <v>1046.344577265867</v>
      </c>
      <c r="F9" s="39">
        <v>1014.1696701090976</v>
      </c>
      <c r="G9" s="40">
        <v>1088.6833288942232</v>
      </c>
      <c r="H9" s="39">
        <v>1013.3543193881983</v>
      </c>
      <c r="I9" s="40">
        <v>1132.6636677386382</v>
      </c>
      <c r="J9" s="39">
        <v>1012.5807776139754</v>
      </c>
      <c r="K9" s="40">
        <v>1178.0885628795829</v>
      </c>
      <c r="L9" s="39">
        <v>1011.8520284549156</v>
      </c>
      <c r="M9" s="40">
        <v>1224.6776346451418</v>
      </c>
      <c r="N9" s="39">
        <v>1011.169256593324</v>
      </c>
      <c r="O9" s="40">
        <v>1272.0633495205316</v>
      </c>
      <c r="P9" s="39">
        <v>1010.5293192977958</v>
      </c>
      <c r="Q9" s="40">
        <v>1319.8079284169919</v>
      </c>
      <c r="R9" s="39">
        <v>1009.9192933673504</v>
      </c>
      <c r="S9" s="40">
        <v>1367.4641339945003</v>
      </c>
      <c r="T9" s="39">
        <v>1009.303816675534</v>
      </c>
      <c r="U9" s="40">
        <v>1414.7416867671081</v>
      </c>
      <c r="V9" s="39">
        <v>1008.5913822883072</v>
      </c>
      <c r="W9" s="40">
        <v>1461.9660601937831</v>
      </c>
      <c r="X9" s="39">
        <v>1007.5242043881557</v>
      </c>
      <c r="Y9" s="40">
        <v>1511.5324421690232</v>
      </c>
      <c r="Z9" s="39">
        <v>1005.2018074137709</v>
      </c>
      <c r="AA9" s="40">
        <v>1573.8845210625732</v>
      </c>
      <c r="AB9" s="39">
        <v>998.21083256166332</v>
      </c>
      <c r="AC9" s="40">
        <v>1688.7771057028676</v>
      </c>
      <c r="AD9" s="39"/>
      <c r="AE9" s="40"/>
      <c r="AF9" s="39"/>
      <c r="AG9" s="40"/>
      <c r="AH9" s="39"/>
      <c r="AI9" s="40"/>
      <c r="AJ9" s="39"/>
      <c r="AK9" s="40"/>
      <c r="AL9" s="39"/>
      <c r="AM9" s="40"/>
      <c r="AN9" s="39"/>
      <c r="AO9" s="40"/>
      <c r="AP9" s="39"/>
      <c r="AQ9" s="40"/>
      <c r="AR9" s="39"/>
      <c r="AS9" s="40"/>
      <c r="AT9" s="39"/>
      <c r="AU9" s="40"/>
      <c r="AV9" s="39"/>
      <c r="AW9" s="40"/>
    </row>
    <row r="10" spans="1:49" x14ac:dyDescent="0.2">
      <c r="A10" t="s">
        <v>15</v>
      </c>
      <c r="B10" s="39">
        <v>1015.9116825427475</v>
      </c>
      <c r="C10" s="40">
        <v>1005.7716594496609</v>
      </c>
      <c r="D10" s="39">
        <v>1015.0232897529306</v>
      </c>
      <c r="E10" s="40">
        <v>1046.344577265867</v>
      </c>
      <c r="F10" s="39">
        <v>1014.1696701090976</v>
      </c>
      <c r="G10" s="40">
        <v>1088.6833288942232</v>
      </c>
      <c r="H10" s="39">
        <v>1013.3543193881983</v>
      </c>
      <c r="I10" s="40">
        <v>1132.6636677386382</v>
      </c>
      <c r="J10" s="39">
        <v>1012.5807776139754</v>
      </c>
      <c r="K10" s="40">
        <v>1178.0885628795829</v>
      </c>
      <c r="L10" s="39">
        <v>1011.8520284549156</v>
      </c>
      <c r="M10" s="40">
        <v>1224.6776346451418</v>
      </c>
      <c r="N10" s="39">
        <v>1011.169256593324</v>
      </c>
      <c r="O10" s="40">
        <v>1272.0633495205316</v>
      </c>
      <c r="P10" s="39">
        <v>1010.5293192977958</v>
      </c>
      <c r="Q10" s="40">
        <v>1319.8079284169919</v>
      </c>
      <c r="R10" s="39">
        <v>1009.9192933673504</v>
      </c>
      <c r="S10" s="40">
        <v>1367.4641339945003</v>
      </c>
      <c r="T10" s="39">
        <v>1009.303816675534</v>
      </c>
      <c r="U10" s="40">
        <v>1414.7416867671081</v>
      </c>
      <c r="V10" s="39">
        <v>1008.5913822883072</v>
      </c>
      <c r="W10" s="40">
        <v>1461.9660601937831</v>
      </c>
      <c r="X10" s="39">
        <v>1007.5242043881557</v>
      </c>
      <c r="Y10" s="40">
        <v>1511.5324421690232</v>
      </c>
      <c r="Z10" s="39">
        <v>1005.2018074137709</v>
      </c>
      <c r="AA10" s="40">
        <v>1573.8845210625732</v>
      </c>
      <c r="AB10" s="39">
        <v>998.21083256166332</v>
      </c>
      <c r="AC10" s="40">
        <v>1688.7771057028676</v>
      </c>
      <c r="AD10" s="39"/>
      <c r="AE10" s="40"/>
      <c r="AF10" s="39"/>
      <c r="AG10" s="40"/>
      <c r="AH10" s="39"/>
      <c r="AI10" s="40"/>
      <c r="AJ10" s="39"/>
      <c r="AK10" s="40"/>
      <c r="AL10" s="39"/>
      <c r="AM10" s="40"/>
      <c r="AN10" s="39"/>
      <c r="AO10" s="40"/>
      <c r="AP10" s="39"/>
      <c r="AQ10" s="40"/>
      <c r="AR10" s="39"/>
      <c r="AS10" s="40"/>
      <c r="AT10" s="39"/>
      <c r="AU10" s="40"/>
      <c r="AV10" s="39"/>
      <c r="AW10" s="40"/>
    </row>
    <row r="11" spans="1:49" x14ac:dyDescent="0.2">
      <c r="A11" t="s">
        <v>29</v>
      </c>
      <c r="B11" s="39">
        <v>1015.9116825427475</v>
      </c>
      <c r="C11" s="40">
        <v>1005.7716594496609</v>
      </c>
      <c r="D11" s="39">
        <v>1015.0232897529306</v>
      </c>
      <c r="E11" s="40">
        <v>1046.344577265867</v>
      </c>
      <c r="F11" s="39">
        <v>1014.1696701090976</v>
      </c>
      <c r="G11" s="40">
        <v>1088.6833288942232</v>
      </c>
      <c r="H11" s="39">
        <v>1013.3543193881983</v>
      </c>
      <c r="I11" s="40">
        <v>1132.6636677386382</v>
      </c>
      <c r="J11" s="39">
        <v>1012.5807776139754</v>
      </c>
      <c r="K11" s="40">
        <v>1178.0885628795829</v>
      </c>
      <c r="L11" s="39">
        <v>1011.8520284549156</v>
      </c>
      <c r="M11" s="40">
        <v>1224.6776346451418</v>
      </c>
      <c r="N11" s="39">
        <v>1011.169256593324</v>
      </c>
      <c r="O11" s="40">
        <v>1272.0633495205316</v>
      </c>
      <c r="P11" s="39">
        <v>1010.5293192977958</v>
      </c>
      <c r="Q11" s="40">
        <v>1319.8079284169919</v>
      </c>
      <c r="R11" s="39">
        <v>1009.9192933673504</v>
      </c>
      <c r="S11" s="40">
        <v>1367.4641339945003</v>
      </c>
      <c r="T11" s="39">
        <v>1009.303816675534</v>
      </c>
      <c r="U11" s="40">
        <v>1414.7416867671081</v>
      </c>
      <c r="V11" s="39">
        <v>1008.5913822883072</v>
      </c>
      <c r="W11" s="40">
        <v>1461.9660601937831</v>
      </c>
      <c r="X11" s="39">
        <v>1007.5242043881557</v>
      </c>
      <c r="Y11" s="40">
        <v>1511.5324421690232</v>
      </c>
      <c r="Z11" s="39">
        <v>1005.2018074137709</v>
      </c>
      <c r="AA11" s="40">
        <v>1573.8845210625732</v>
      </c>
      <c r="AB11" s="39">
        <v>998.21083256166332</v>
      </c>
      <c r="AC11" s="40">
        <v>1688.7771057028676</v>
      </c>
      <c r="AD11" s="39"/>
      <c r="AE11" s="40"/>
      <c r="AF11" s="39"/>
      <c r="AG11" s="40"/>
      <c r="AH11" s="39"/>
      <c r="AI11" s="40"/>
      <c r="AJ11" s="39"/>
      <c r="AK11" s="40"/>
      <c r="AL11" s="39"/>
      <c r="AM11" s="40"/>
      <c r="AN11" s="39"/>
      <c r="AO11" s="40"/>
      <c r="AP11" s="39"/>
      <c r="AQ11" s="40"/>
      <c r="AR11" s="39"/>
      <c r="AS11" s="40"/>
      <c r="AT11" s="39"/>
      <c r="AU11" s="40"/>
      <c r="AV11" s="39"/>
      <c r="AW11" s="40"/>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c r="AE12" s="40"/>
      <c r="AF12" s="39"/>
      <c r="AG12" s="40"/>
      <c r="AH12" s="39"/>
      <c r="AI12" s="40"/>
      <c r="AJ12" s="39"/>
      <c r="AK12" s="40"/>
      <c r="AL12" s="39"/>
      <c r="AM12" s="40"/>
      <c r="AN12" s="39"/>
      <c r="AO12" s="40"/>
      <c r="AP12" s="39"/>
      <c r="AQ12" s="40"/>
      <c r="AR12" s="39"/>
      <c r="AS12" s="40"/>
      <c r="AT12" s="39"/>
      <c r="AU12" s="40"/>
      <c r="AV12" s="39"/>
      <c r="AW12" s="40"/>
    </row>
    <row r="13" spans="1:49" x14ac:dyDescent="0.2">
      <c r="A13" t="s">
        <v>17</v>
      </c>
      <c r="B13" s="93">
        <v>1000</v>
      </c>
      <c r="C13" s="94">
        <v>1000</v>
      </c>
      <c r="D13" s="93">
        <v>1001.3434989011929</v>
      </c>
      <c r="E13" s="94">
        <v>1001.3434989011929</v>
      </c>
      <c r="F13" s="93">
        <v>1002.762913502509</v>
      </c>
      <c r="G13" s="94">
        <v>1002.762913502509</v>
      </c>
      <c r="H13" s="93">
        <v>1004.2537307256287</v>
      </c>
      <c r="I13" s="94">
        <v>1004.2537307256287</v>
      </c>
      <c r="J13" s="93">
        <v>1005.8086347387167</v>
      </c>
      <c r="K13" s="94">
        <v>1005.8086347387167</v>
      </c>
      <c r="L13" s="93">
        <v>1007.4166871987704</v>
      </c>
      <c r="M13" s="94">
        <v>1007.4166871987704</v>
      </c>
      <c r="N13" s="93">
        <v>1009.0622065158556</v>
      </c>
      <c r="O13" s="94">
        <v>1009.0622065158556</v>
      </c>
      <c r="P13" s="93">
        <v>1010.7233679461666</v>
      </c>
      <c r="Q13" s="94">
        <v>1010.7233679461666</v>
      </c>
      <c r="R13" s="93">
        <v>1012.3699151647111</v>
      </c>
      <c r="S13" s="94">
        <v>1012.3699151647111</v>
      </c>
      <c r="T13" s="93">
        <v>1013.9585724162763</v>
      </c>
      <c r="U13" s="94">
        <v>1013.9585724162763</v>
      </c>
      <c r="V13" s="93">
        <v>1015.4210691867042</v>
      </c>
      <c r="W13" s="94">
        <v>1015.4210691867042</v>
      </c>
      <c r="X13" s="93">
        <v>1016.622416336564</v>
      </c>
      <c r="Y13" s="94">
        <v>1016.622416336564</v>
      </c>
      <c r="Z13" s="93">
        <v>1017.1640631916079</v>
      </c>
      <c r="AA13" s="94">
        <v>1017.1640631916079</v>
      </c>
      <c r="AB13" s="93">
        <v>1015.4740699340374</v>
      </c>
      <c r="AC13" s="94">
        <v>1015.4740699340374</v>
      </c>
      <c r="AD13" s="93"/>
      <c r="AE13" s="94"/>
      <c r="AF13" s="93"/>
      <c r="AG13" s="94"/>
      <c r="AH13" s="93"/>
      <c r="AI13" s="94"/>
      <c r="AJ13" s="93"/>
      <c r="AK13" s="94"/>
      <c r="AL13" s="93"/>
      <c r="AM13" s="94"/>
      <c r="AN13" s="93"/>
      <c r="AO13" s="94"/>
      <c r="AP13" s="93"/>
      <c r="AQ13" s="94"/>
      <c r="AR13" s="93"/>
      <c r="AS13" s="94"/>
      <c r="AT13" s="93"/>
      <c r="AU13" s="94"/>
      <c r="AV13" s="93"/>
      <c r="AW13" s="94"/>
    </row>
    <row r="14" spans="1:49" x14ac:dyDescent="0.2">
      <c r="A14" t="s">
        <v>36</v>
      </c>
      <c r="B14" s="39">
        <v>1457.0034251455234</v>
      </c>
      <c r="C14" s="40">
        <v>1457.0034251455236</v>
      </c>
      <c r="D14" s="39">
        <v>1458.9609076462407</v>
      </c>
      <c r="E14" s="40">
        <v>1458.9609076462409</v>
      </c>
      <c r="F14" s="39">
        <v>1461.0289995820597</v>
      </c>
      <c r="G14" s="40">
        <v>1461.0289995820599</v>
      </c>
      <c r="H14" s="39">
        <v>1463.201125382411</v>
      </c>
      <c r="I14" s="40">
        <v>1463.2011253824112</v>
      </c>
      <c r="J14" s="39">
        <v>1465.4666258552527</v>
      </c>
      <c r="K14" s="40">
        <v>1465.4666258552529</v>
      </c>
      <c r="L14" s="39">
        <v>1467.8095637973647</v>
      </c>
      <c r="M14" s="40">
        <v>1467.8095637973649</v>
      </c>
      <c r="N14" s="39">
        <v>1470.207091078501</v>
      </c>
      <c r="O14" s="40">
        <v>1470.2070910785012</v>
      </c>
      <c r="P14" s="39">
        <v>1472.6274089721837</v>
      </c>
      <c r="Q14" s="40">
        <v>1472.627408972184</v>
      </c>
      <c r="R14" s="39">
        <v>1475.0264339092669</v>
      </c>
      <c r="S14" s="40">
        <v>1475.0264339092671</v>
      </c>
      <c r="T14" s="39">
        <v>1477.3411129661797</v>
      </c>
      <c r="U14" s="40">
        <v>1477.3411129661799</v>
      </c>
      <c r="V14" s="39">
        <v>1479.4719757699575</v>
      </c>
      <c r="W14" s="40">
        <v>1479.4719757699577</v>
      </c>
      <c r="X14" s="39">
        <v>1481.2223426820919</v>
      </c>
      <c r="Y14" s="40">
        <v>1481.2223426820922</v>
      </c>
      <c r="Z14" s="39">
        <v>1482.0115240051102</v>
      </c>
      <c r="AA14" s="40">
        <v>1482.0115240051105</v>
      </c>
      <c r="AB14" s="39">
        <v>1479.5491980403572</v>
      </c>
      <c r="AC14" s="40">
        <v>1479.5491980403574</v>
      </c>
      <c r="AD14" s="39"/>
      <c r="AE14" s="40"/>
      <c r="AF14" s="39"/>
      <c r="AG14" s="40"/>
      <c r="AH14" s="39"/>
      <c r="AI14" s="40"/>
      <c r="AJ14" s="39"/>
      <c r="AK14" s="40"/>
      <c r="AL14" s="39"/>
      <c r="AM14" s="40"/>
      <c r="AN14" s="39"/>
      <c r="AO14" s="40"/>
      <c r="AP14" s="39"/>
      <c r="AQ14" s="40"/>
      <c r="AR14" s="39"/>
      <c r="AS14" s="40"/>
      <c r="AT14" s="39"/>
      <c r="AU14" s="40"/>
      <c r="AV14" s="39"/>
      <c r="AW14" s="40"/>
    </row>
    <row r="15" spans="1:49" x14ac:dyDescent="0.2">
      <c r="A15" t="s">
        <v>18</v>
      </c>
      <c r="B15" s="144">
        <v>1000</v>
      </c>
      <c r="C15" s="145">
        <v>1000</v>
      </c>
      <c r="D15" s="144">
        <v>991.69910908839631</v>
      </c>
      <c r="E15" s="145">
        <v>991.69910908839631</v>
      </c>
      <c r="F15" s="144">
        <v>980.52208100901703</v>
      </c>
      <c r="G15" s="145">
        <v>980.52208100901703</v>
      </c>
      <c r="H15" s="144">
        <v>966.08803708931907</v>
      </c>
      <c r="I15" s="145">
        <v>966.08803708931907</v>
      </c>
      <c r="J15" s="144">
        <v>947.9851431327063</v>
      </c>
      <c r="K15" s="145">
        <v>947.9851431327063</v>
      </c>
      <c r="L15" s="144">
        <v>925.78499362030368</v>
      </c>
      <c r="M15" s="145">
        <v>925.78499362030368</v>
      </c>
      <c r="N15" s="144">
        <v>899.05896896797981</v>
      </c>
      <c r="O15" s="145">
        <v>899.05896896797981</v>
      </c>
      <c r="P15" s="144">
        <v>867.41428827614823</v>
      </c>
      <c r="Q15" s="145">
        <v>867.41428827614823</v>
      </c>
      <c r="R15" s="144">
        <v>830.54784803761856</v>
      </c>
      <c r="S15" s="145">
        <v>830.54784803761856</v>
      </c>
      <c r="T15" s="144">
        <v>788.33947766952315</v>
      </c>
      <c r="U15" s="145">
        <v>788.33947766952315</v>
      </c>
      <c r="V15" s="144">
        <v>741.0425772071427</v>
      </c>
      <c r="W15" s="145">
        <v>741.0425772071427</v>
      </c>
      <c r="X15" s="144">
        <v>689.78712729592542</v>
      </c>
      <c r="Y15" s="145">
        <v>689.78712729592542</v>
      </c>
      <c r="Z15" s="144">
        <v>638.50761078980815</v>
      </c>
      <c r="AA15" s="145">
        <v>638.50761078980815</v>
      </c>
      <c r="AB15" s="144">
        <v>600.11911764626427</v>
      </c>
      <c r="AC15" s="145">
        <v>600.11911764626427</v>
      </c>
      <c r="AD15" s="144"/>
      <c r="AE15" s="145"/>
      <c r="AF15" s="144"/>
      <c r="AG15" s="145"/>
      <c r="AH15" s="144"/>
      <c r="AI15" s="145"/>
      <c r="AJ15" s="144"/>
      <c r="AK15" s="145"/>
      <c r="AL15" s="144"/>
      <c r="AM15" s="145"/>
      <c r="AN15" s="144"/>
      <c r="AO15" s="145"/>
      <c r="AP15" s="144"/>
      <c r="AQ15" s="145"/>
      <c r="AR15" s="144"/>
      <c r="AS15" s="145"/>
      <c r="AT15" s="144"/>
      <c r="AU15" s="145"/>
      <c r="AV15" s="144"/>
      <c r="AW15" s="145"/>
    </row>
    <row r="16" spans="1:49" s="27" customFormat="1" x14ac:dyDescent="0.2">
      <c r="A16" t="s">
        <v>61</v>
      </c>
      <c r="B16" s="39">
        <v>1000</v>
      </c>
      <c r="C16" s="40">
        <v>1000</v>
      </c>
      <c r="D16" s="39">
        <v>997.43166222613593</v>
      </c>
      <c r="E16" s="40">
        <v>994.88657582404142</v>
      </c>
      <c r="F16" s="39">
        <v>994.85923565370126</v>
      </c>
      <c r="G16" s="40">
        <v>988.72802116965113</v>
      </c>
      <c r="H16" s="39">
        <v>992.29333183538836</v>
      </c>
      <c r="I16" s="40">
        <v>981.4631978211022</v>
      </c>
      <c r="J16" s="39">
        <v>989.74692045790323</v>
      </c>
      <c r="K16" s="40">
        <v>973.06220987257348</v>
      </c>
      <c r="L16" s="39">
        <v>987.23491483057444</v>
      </c>
      <c r="M16" s="40">
        <v>963.55309785527277</v>
      </c>
      <c r="N16" s="39">
        <v>984.7729071801167</v>
      </c>
      <c r="O16" s="40">
        <v>953.0744583210153</v>
      </c>
      <c r="P16" s="39">
        <v>982.37396838962877</v>
      </c>
      <c r="Q16" s="40">
        <v>941.97021952329214</v>
      </c>
      <c r="R16" s="39">
        <v>980.04128576967844</v>
      </c>
      <c r="S16" s="40">
        <v>930.98824006799236</v>
      </c>
      <c r="T16" s="39">
        <v>977.75067178376696</v>
      </c>
      <c r="U16" s="40">
        <v>921.73641205454305</v>
      </c>
      <c r="V16" s="39">
        <v>975.40404634608649</v>
      </c>
      <c r="W16" s="40">
        <v>917.9116355520589</v>
      </c>
      <c r="X16" s="39">
        <v>972.67991835494013</v>
      </c>
      <c r="Y16" s="40">
        <v>929.46698209158126</v>
      </c>
      <c r="Z16" s="39">
        <v>968.40141118445081</v>
      </c>
      <c r="AA16" s="40">
        <v>992.03159444687026</v>
      </c>
      <c r="AB16" s="39">
        <v>958.18926806328057</v>
      </c>
      <c r="AC16" s="40">
        <v>1264.5573153971757</v>
      </c>
      <c r="AD16" s="39"/>
      <c r="AE16" s="40"/>
      <c r="AF16" s="39"/>
      <c r="AG16" s="40"/>
      <c r="AH16" s="39"/>
      <c r="AI16" s="40"/>
      <c r="AJ16" s="39"/>
      <c r="AK16" s="40"/>
      <c r="AL16" s="39"/>
      <c r="AM16" s="40"/>
      <c r="AN16" s="39"/>
      <c r="AO16" s="40"/>
      <c r="AP16" s="39"/>
      <c r="AQ16" s="40"/>
      <c r="AR16" s="39"/>
      <c r="AS16" s="40"/>
      <c r="AT16" s="39"/>
      <c r="AU16" s="40"/>
      <c r="AV16" s="39"/>
      <c r="AW16" s="40"/>
    </row>
    <row r="17" spans="1:49" x14ac:dyDescent="0.2">
      <c r="A17" t="s">
        <v>62</v>
      </c>
      <c r="B17" s="33">
        <v>1000.0000000000002</v>
      </c>
      <c r="C17" s="34">
        <v>999.99999999999977</v>
      </c>
      <c r="D17" s="33">
        <v>999.20508866441253</v>
      </c>
      <c r="E17" s="34">
        <v>1019.0110233343794</v>
      </c>
      <c r="F17" s="33">
        <v>998.44182321848302</v>
      </c>
      <c r="G17" s="34">
        <v>1038.3298222400665</v>
      </c>
      <c r="H17" s="33">
        <v>997.71326348992511</v>
      </c>
      <c r="I17" s="34">
        <v>1057.8456379569723</v>
      </c>
      <c r="J17" s="33">
        <v>997.02250509245744</v>
      </c>
      <c r="K17" s="34">
        <v>1077.4253775228888</v>
      </c>
      <c r="L17" s="33">
        <v>996.37213950054343</v>
      </c>
      <c r="M17" s="34">
        <v>1096.9224555255357</v>
      </c>
      <c r="N17" s="33">
        <v>995.76315417777164</v>
      </c>
      <c r="O17" s="34">
        <v>1116.2024407688982</v>
      </c>
      <c r="P17" s="33">
        <v>995.1926799791537</v>
      </c>
      <c r="Q17" s="34">
        <v>1135.2010965138795</v>
      </c>
      <c r="R17" s="33">
        <v>994.64914531969907</v>
      </c>
      <c r="S17" s="34">
        <v>1154.0576373447948</v>
      </c>
      <c r="T17" s="33">
        <v>994.10102715657206</v>
      </c>
      <c r="U17" s="34">
        <v>1173.4322226077409</v>
      </c>
      <c r="V17" s="33">
        <v>993.46690586625016</v>
      </c>
      <c r="W17" s="34">
        <v>1195.3618066120991</v>
      </c>
      <c r="X17" s="33">
        <v>992.51772481293722</v>
      </c>
      <c r="Y17" s="34">
        <v>1226.0948834853079</v>
      </c>
      <c r="Z17" s="33">
        <v>990.45497826172209</v>
      </c>
      <c r="AA17" s="34">
        <v>1288.7947912022703</v>
      </c>
      <c r="AB17" s="33">
        <v>984.26948209690488</v>
      </c>
      <c r="AC17" s="34">
        <v>1481.500789342128</v>
      </c>
      <c r="AD17" s="33"/>
      <c r="AE17" s="34"/>
      <c r="AF17" s="33"/>
      <c r="AG17" s="34"/>
      <c r="AH17" s="33"/>
      <c r="AI17" s="34"/>
      <c r="AJ17" s="33"/>
      <c r="AK17" s="34"/>
      <c r="AL17" s="33"/>
      <c r="AM17" s="34"/>
      <c r="AN17" s="33"/>
      <c r="AO17" s="34"/>
      <c r="AP17" s="33"/>
      <c r="AQ17" s="34"/>
      <c r="AR17" s="33"/>
      <c r="AS17" s="34"/>
      <c r="AT17" s="33"/>
      <c r="AU17" s="34"/>
      <c r="AV17" s="33"/>
      <c r="AW17" s="34"/>
    </row>
    <row r="18" spans="1:49" x14ac:dyDescent="0.2">
      <c r="A18" t="s">
        <v>19</v>
      </c>
      <c r="B18" s="31">
        <v>27857.010133999996</v>
      </c>
      <c r="C18" s="32">
        <v>1236.7674480000003</v>
      </c>
      <c r="D18" s="31">
        <v>27278.778112768494</v>
      </c>
      <c r="E18" s="32">
        <v>1160.8368490642401</v>
      </c>
      <c r="F18" s="31">
        <v>26636.64419438706</v>
      </c>
      <c r="G18" s="32">
        <v>1086.2683456620773</v>
      </c>
      <c r="H18" s="31">
        <v>25923.869652172307</v>
      </c>
      <c r="I18" s="32">
        <v>1013.1544587598854</v>
      </c>
      <c r="J18" s="31">
        <v>25133.406678135405</v>
      </c>
      <c r="K18" s="32">
        <v>941.58345921108787</v>
      </c>
      <c r="L18" s="31">
        <v>24258.225211567151</v>
      </c>
      <c r="M18" s="32">
        <v>871.62879103257478</v>
      </c>
      <c r="N18" s="31">
        <v>23291.761412787746</v>
      </c>
      <c r="O18" s="32">
        <v>803.33499146149131</v>
      </c>
      <c r="P18" s="31">
        <v>22228.743303738051</v>
      </c>
      <c r="Q18" s="32">
        <v>736.69188902690598</v>
      </c>
      <c r="R18" s="31">
        <v>21066.514567021444</v>
      </c>
      <c r="S18" s="32">
        <v>671.59041344981927</v>
      </c>
      <c r="T18" s="31">
        <v>19807.441267802922</v>
      </c>
      <c r="U18" s="32">
        <v>607.73460112992996</v>
      </c>
      <c r="V18" s="31">
        <v>18464.185276891414</v>
      </c>
      <c r="W18" s="32">
        <v>544.43091562831023</v>
      </c>
      <c r="X18" s="31">
        <v>17074.842717435062</v>
      </c>
      <c r="Y18" s="32">
        <v>479.93642825538114</v>
      </c>
      <c r="Z18" s="31">
        <v>15764.286725918275</v>
      </c>
      <c r="AA18" s="32">
        <v>408.71613119070196</v>
      </c>
      <c r="AB18" s="31">
        <v>14954.827178967547</v>
      </c>
      <c r="AC18" s="32">
        <v>311.87938665108419</v>
      </c>
      <c r="AD18" s="31"/>
      <c r="AE18" s="32"/>
      <c r="AF18" s="31"/>
      <c r="AG18" s="32"/>
      <c r="AH18" s="31"/>
      <c r="AI18" s="32"/>
      <c r="AJ18" s="31"/>
      <c r="AK18" s="32"/>
      <c r="AL18" s="31"/>
      <c r="AM18" s="32"/>
      <c r="AN18" s="31"/>
      <c r="AO18" s="32"/>
      <c r="AP18" s="31"/>
      <c r="AQ18" s="32"/>
      <c r="AR18" s="31"/>
      <c r="AS18" s="32"/>
      <c r="AT18" s="31"/>
      <c r="AU18" s="32"/>
      <c r="AV18" s="31"/>
      <c r="AW18" s="32"/>
    </row>
    <row r="19" spans="1:49" x14ac:dyDescent="0.2">
      <c r="A19" t="s">
        <v>3</v>
      </c>
      <c r="B19" s="39">
        <v>1886.3937399999918</v>
      </c>
      <c r="C19" s="40">
        <v>262.78711299999759</v>
      </c>
      <c r="D19" s="39">
        <v>1843.3628437310936</v>
      </c>
      <c r="E19" s="40">
        <v>260.69900776874471</v>
      </c>
      <c r="F19" s="39">
        <v>1796.3389027596377</v>
      </c>
      <c r="G19" s="40">
        <v>257.82145896475834</v>
      </c>
      <c r="H19" s="39">
        <v>1744.8975303290649</v>
      </c>
      <c r="I19" s="40">
        <v>254.03589428522099</v>
      </c>
      <c r="J19" s="39">
        <v>1688.5931911029068</v>
      </c>
      <c r="K19" s="40">
        <v>249.22085826745939</v>
      </c>
      <c r="L19" s="39">
        <v>1626.9781243719312</v>
      </c>
      <c r="M19" s="40">
        <v>243.26067086817901</v>
      </c>
      <c r="N19" s="39">
        <v>1559.6272629780478</v>
      </c>
      <c r="O19" s="40">
        <v>236.06109805253917</v>
      </c>
      <c r="P19" s="39">
        <v>1486.1848966458072</v>
      </c>
      <c r="Q19" s="40">
        <v>227.57532775514824</v>
      </c>
      <c r="R19" s="39">
        <v>1406.4375971710651</v>
      </c>
      <c r="S19" s="40">
        <v>217.85070591224724</v>
      </c>
      <c r="T19" s="39">
        <v>1320.4437371354845</v>
      </c>
      <c r="U19" s="40">
        <v>207.12106065680348</v>
      </c>
      <c r="V19" s="39">
        <v>1228.8095972156677</v>
      </c>
      <c r="W19" s="40">
        <v>196.02837141523722</v>
      </c>
      <c r="X19" s="39">
        <v>1133.4591462438616</v>
      </c>
      <c r="Y19" s="40">
        <v>186.32326729430815</v>
      </c>
      <c r="Z19" s="39">
        <v>1040.6703884210515</v>
      </c>
      <c r="AA19" s="40">
        <v>183.9869220267714</v>
      </c>
      <c r="AB19" s="39">
        <v>970.78555371059053</v>
      </c>
      <c r="AC19" s="40">
        <v>212.80127775583219</v>
      </c>
      <c r="AD19" s="39"/>
      <c r="AE19" s="40"/>
      <c r="AF19" s="39"/>
      <c r="AG19" s="40"/>
      <c r="AH19" s="39"/>
      <c r="AI19" s="40"/>
      <c r="AJ19" s="39"/>
      <c r="AK19" s="40"/>
      <c r="AL19" s="39"/>
      <c r="AM19" s="40"/>
      <c r="AN19" s="39"/>
      <c r="AO19" s="40"/>
      <c r="AP19" s="39"/>
      <c r="AQ19" s="40"/>
      <c r="AR19" s="39"/>
      <c r="AS19" s="40"/>
      <c r="AT19" s="39"/>
      <c r="AU19" s="40"/>
      <c r="AV19" s="39"/>
      <c r="AW19" s="40"/>
    </row>
    <row r="20" spans="1:49" x14ac:dyDescent="0.2">
      <c r="A20" t="s">
        <v>114</v>
      </c>
      <c r="B20" s="79">
        <v>26548.356269999993</v>
      </c>
      <c r="C20" s="80">
        <v>1408.5418709999938</v>
      </c>
      <c r="D20" s="79">
        <v>25988.188867829733</v>
      </c>
      <c r="E20" s="80">
        <v>1338.1147774499941</v>
      </c>
      <c r="F20" s="79">
        <v>25367.883718701371</v>
      </c>
      <c r="G20" s="80">
        <v>1267.6876838999945</v>
      </c>
      <c r="H20" s="79">
        <v>24681.098292536037</v>
      </c>
      <c r="I20" s="80">
        <v>1197.2605903499946</v>
      </c>
      <c r="J20" s="79">
        <v>23921.195258761443</v>
      </c>
      <c r="K20" s="80">
        <v>1126.8334967999949</v>
      </c>
      <c r="L20" s="79">
        <v>23081.546293947278</v>
      </c>
      <c r="M20" s="80">
        <v>1056.4064032499953</v>
      </c>
      <c r="N20" s="79">
        <v>22155.946308805316</v>
      </c>
      <c r="O20" s="80">
        <v>985.97930969999561</v>
      </c>
      <c r="P20" s="79">
        <v>21139.378068403294</v>
      </c>
      <c r="Q20" s="80">
        <v>915.55221614999596</v>
      </c>
      <c r="R20" s="79">
        <v>20029.233483525866</v>
      </c>
      <c r="S20" s="80">
        <v>845.12512259999642</v>
      </c>
      <c r="T20" s="79">
        <v>18827.526590208625</v>
      </c>
      <c r="U20" s="80">
        <v>774.69802904999653</v>
      </c>
      <c r="V20" s="79">
        <v>17545.723781201163</v>
      </c>
      <c r="W20" s="80">
        <v>704.27093549999688</v>
      </c>
      <c r="X20" s="79">
        <v>16218.552627086385</v>
      </c>
      <c r="Y20" s="80">
        <v>633.84384194999723</v>
      </c>
      <c r="Z20" s="79">
        <v>14959.7341318658</v>
      </c>
      <c r="AA20" s="80">
        <v>563.41674839999757</v>
      </c>
      <c r="AB20" s="79">
        <v>14151.287282700121</v>
      </c>
      <c r="AC20" s="80">
        <v>492.98965484999775</v>
      </c>
      <c r="AD20" s="79"/>
      <c r="AE20" s="80"/>
      <c r="AF20" s="79"/>
      <c r="AG20" s="80"/>
      <c r="AH20" s="79"/>
      <c r="AI20" s="80"/>
      <c r="AJ20" s="79"/>
      <c r="AK20" s="80"/>
      <c r="AL20" s="79"/>
      <c r="AM20" s="80"/>
      <c r="AN20" s="79"/>
      <c r="AO20" s="80"/>
      <c r="AP20" s="79"/>
      <c r="AQ20" s="80"/>
      <c r="AR20" s="79"/>
      <c r="AS20" s="80"/>
      <c r="AT20" s="79"/>
      <c r="AU20" s="80"/>
      <c r="AV20" s="79"/>
      <c r="AW20" s="80"/>
    </row>
    <row r="21" spans="1:49" x14ac:dyDescent="0.2">
      <c r="A21" t="s">
        <v>76</v>
      </c>
      <c r="B21" s="79">
        <v>24661.962529999968</v>
      </c>
      <c r="C21" s="80">
        <v>1145.7547579999991</v>
      </c>
      <c r="D21" s="79">
        <v>24144.827544221887</v>
      </c>
      <c r="E21" s="80">
        <v>1077.4897171807836</v>
      </c>
      <c r="F21" s="79">
        <v>23571.550521255249</v>
      </c>
      <c r="G21" s="80">
        <v>1010.1517806308011</v>
      </c>
      <c r="H21" s="79">
        <v>22936.212725261776</v>
      </c>
      <c r="I21" s="80">
        <v>943.8404421136147</v>
      </c>
      <c r="J21" s="79">
        <v>22232.621737468049</v>
      </c>
      <c r="K21" s="80">
        <v>878.65313194878013</v>
      </c>
      <c r="L21" s="79">
        <v>21454.596362216555</v>
      </c>
      <c r="M21" s="80">
        <v>814.67718526751901</v>
      </c>
      <c r="N21" s="79">
        <v>20596.355976245373</v>
      </c>
      <c r="O21" s="80">
        <v>751.97599872630576</v>
      </c>
      <c r="P21" s="79">
        <v>19653.238558709454</v>
      </c>
      <c r="Q21" s="80">
        <v>690.566835336694</v>
      </c>
      <c r="R21" s="79">
        <v>18622.849190030087</v>
      </c>
      <c r="S21" s="80">
        <v>630.38143781302324</v>
      </c>
      <c r="T21" s="79">
        <v>17507.143779893035</v>
      </c>
      <c r="U21" s="80">
        <v>571.18863519326919</v>
      </c>
      <c r="V21" s="79">
        <v>16316.983866189708</v>
      </c>
      <c r="W21" s="80">
        <v>512.40920608040574</v>
      </c>
      <c r="X21" s="79">
        <v>15085.178041373354</v>
      </c>
      <c r="Y21" s="80">
        <v>452.53891874188224</v>
      </c>
      <c r="Z21" s="79">
        <v>13919.190913685419</v>
      </c>
      <c r="AA21" s="80">
        <v>386.67683587058173</v>
      </c>
      <c r="AB21" s="79">
        <v>13180.830336128392</v>
      </c>
      <c r="AC21" s="80">
        <v>297.36289660775532</v>
      </c>
      <c r="AD21" s="79"/>
      <c r="AE21" s="80"/>
      <c r="AF21" s="79"/>
      <c r="AG21" s="80"/>
      <c r="AH21" s="79"/>
      <c r="AI21" s="80"/>
      <c r="AJ21" s="79"/>
      <c r="AK21" s="80"/>
      <c r="AL21" s="79"/>
      <c r="AM21" s="80"/>
      <c r="AN21" s="79"/>
      <c r="AO21" s="80"/>
      <c r="AP21" s="79"/>
      <c r="AQ21" s="80"/>
      <c r="AR21" s="79"/>
      <c r="AS21" s="80"/>
      <c r="AT21" s="79"/>
      <c r="AU21" s="80"/>
      <c r="AV21" s="79"/>
      <c r="AW21" s="80"/>
    </row>
    <row r="22" spans="1:49" x14ac:dyDescent="0.2">
      <c r="A22" t="s">
        <v>28</v>
      </c>
      <c r="B22" s="39">
        <v>6533.6044688320662</v>
      </c>
      <c r="C22" s="40">
        <v>379.90788307663382</v>
      </c>
      <c r="D22" s="39">
        <v>6397.5533896448187</v>
      </c>
      <c r="E22" s="40">
        <v>363.08325130966597</v>
      </c>
      <c r="F22" s="39">
        <v>6246.4321112026737</v>
      </c>
      <c r="G22" s="40">
        <v>345.99432930332057</v>
      </c>
      <c r="H22" s="39">
        <v>6078.6794112738253</v>
      </c>
      <c r="I22" s="40">
        <v>328.63739577340499</v>
      </c>
      <c r="J22" s="39">
        <v>5892.6648594026283</v>
      </c>
      <c r="K22" s="40">
        <v>311.00997205207318</v>
      </c>
      <c r="L22" s="39">
        <v>5686.7638124301147</v>
      </c>
      <c r="M22" s="40">
        <v>293.11217111211306</v>
      </c>
      <c r="N22" s="39">
        <v>5459.4591995601559</v>
      </c>
      <c r="O22" s="40">
        <v>274.94778424361812</v>
      </c>
      <c r="P22" s="39">
        <v>5209.5288267808837</v>
      </c>
      <c r="Q22" s="40">
        <v>256.52688417030379</v>
      </c>
      <c r="R22" s="39">
        <v>4936.3432797212436</v>
      </c>
      <c r="S22" s="40">
        <v>237.86980550212365</v>
      </c>
      <c r="T22" s="39">
        <v>4640.4044083096778</v>
      </c>
      <c r="U22" s="40">
        <v>219.01518097797742</v>
      </c>
      <c r="V22" s="39">
        <v>4324.518690834554</v>
      </c>
      <c r="W22" s="40">
        <v>200.03964967068924</v>
      </c>
      <c r="X22" s="39">
        <v>3997.1460808580027</v>
      </c>
      <c r="Y22" s="40">
        <v>181.11914479293912</v>
      </c>
      <c r="Z22" s="39">
        <v>3685.8859857253387</v>
      </c>
      <c r="AA22" s="40">
        <v>162.78772897585037</v>
      </c>
      <c r="AB22" s="39">
        <v>3482.8761178394952</v>
      </c>
      <c r="AC22" s="40">
        <v>146.83835957154886</v>
      </c>
      <c r="AD22" s="39"/>
      <c r="AE22" s="40"/>
      <c r="AF22" s="39"/>
      <c r="AG22" s="40"/>
      <c r="AH22" s="39"/>
      <c r="AI22" s="40"/>
      <c r="AJ22" s="39"/>
      <c r="AK22" s="40"/>
      <c r="AL22" s="39"/>
      <c r="AM22" s="40"/>
      <c r="AN22" s="39"/>
      <c r="AO22" s="40"/>
      <c r="AP22" s="39"/>
      <c r="AQ22" s="40"/>
      <c r="AR22" s="39"/>
      <c r="AS22" s="40"/>
      <c r="AT22" s="39"/>
      <c r="AU22" s="40"/>
      <c r="AV22" s="39"/>
      <c r="AW22" s="40"/>
    </row>
    <row r="23" spans="1:49" x14ac:dyDescent="0.2">
      <c r="A23" t="s">
        <v>7</v>
      </c>
      <c r="B23" s="110">
        <v>3278.5018080150408</v>
      </c>
      <c r="C23" s="8">
        <v>0</v>
      </c>
      <c r="D23" s="110">
        <v>3213.0809805651033</v>
      </c>
      <c r="E23" s="8">
        <v>0</v>
      </c>
      <c r="F23" s="110">
        <v>3140.0148698218213</v>
      </c>
      <c r="G23" s="8">
        <v>0</v>
      </c>
      <c r="H23" s="110">
        <v>3058.4818033327037</v>
      </c>
      <c r="I23" s="8">
        <v>0</v>
      </c>
      <c r="J23" s="110">
        <v>2967.6196238513121</v>
      </c>
      <c r="K23" s="8">
        <v>0</v>
      </c>
      <c r="L23" s="110">
        <v>2866.5642439851563</v>
      </c>
      <c r="M23" s="8">
        <v>0</v>
      </c>
      <c r="N23" s="110">
        <v>2754.5022318710335</v>
      </c>
      <c r="O23" s="8">
        <v>0</v>
      </c>
      <c r="P23" s="110">
        <v>2630.7683770351482</v>
      </c>
      <c r="Q23" s="8">
        <v>0</v>
      </c>
      <c r="R23" s="110">
        <v>2495.0013842083804</v>
      </c>
      <c r="S23" s="8">
        <v>0</v>
      </c>
      <c r="T23" s="110">
        <v>2347.4254620624456</v>
      </c>
      <c r="U23" s="8">
        <v>0</v>
      </c>
      <c r="V23" s="110">
        <v>2189.4629404772568</v>
      </c>
      <c r="W23" s="8">
        <v>0</v>
      </c>
      <c r="X23" s="110">
        <v>2025.4791770712875</v>
      </c>
      <c r="Y23" s="8">
        <v>0</v>
      </c>
      <c r="Z23" s="110">
        <v>1869.8034407395858</v>
      </c>
      <c r="AA23" s="8">
        <v>0</v>
      </c>
      <c r="AB23" s="110">
        <v>1770.4141413707362</v>
      </c>
      <c r="AC23" s="8">
        <v>0</v>
      </c>
      <c r="AD23" s="110"/>
      <c r="AE23" s="8"/>
      <c r="AF23" s="110"/>
      <c r="AG23" s="8"/>
      <c r="AH23" s="110"/>
      <c r="AI23" s="8"/>
      <c r="AJ23" s="110"/>
      <c r="AK23" s="8"/>
      <c r="AL23" s="110"/>
      <c r="AM23" s="8"/>
      <c r="AN23" s="110"/>
      <c r="AO23" s="8"/>
      <c r="AP23" s="110"/>
      <c r="AQ23" s="8"/>
      <c r="AR23" s="110"/>
      <c r="AS23" s="8"/>
      <c r="AT23" s="110"/>
      <c r="AU23" s="8"/>
      <c r="AV23" s="110"/>
      <c r="AW23" s="8"/>
    </row>
    <row r="24" spans="1:49" x14ac:dyDescent="0.2">
      <c r="A24" t="s">
        <v>8</v>
      </c>
      <c r="B24" s="93">
        <v>3196.3846373657216</v>
      </c>
      <c r="C24" s="8">
        <v>0</v>
      </c>
      <c r="D24" s="93">
        <v>3132.6024205666845</v>
      </c>
      <c r="E24" s="8">
        <v>0</v>
      </c>
      <c r="F24" s="93">
        <v>3061.3664065021858</v>
      </c>
      <c r="G24" s="8">
        <v>0</v>
      </c>
      <c r="H24" s="93">
        <v>2981.8755081553518</v>
      </c>
      <c r="I24" s="8">
        <v>0</v>
      </c>
      <c r="J24" s="93">
        <v>2893.2891684845581</v>
      </c>
      <c r="K24" s="8">
        <v>0</v>
      </c>
      <c r="L24" s="93">
        <v>2794.764937843232</v>
      </c>
      <c r="M24" s="8">
        <v>0</v>
      </c>
      <c r="N24" s="93">
        <v>2685.50976347403</v>
      </c>
      <c r="O24" s="8">
        <v>0</v>
      </c>
      <c r="P24" s="93">
        <v>2564.8750928183281</v>
      </c>
      <c r="Q24" s="8">
        <v>0</v>
      </c>
      <c r="R24" s="93">
        <v>2432.5086758493076</v>
      </c>
      <c r="S24" s="8">
        <v>0</v>
      </c>
      <c r="T24" s="93">
        <v>2288.6291095808724</v>
      </c>
      <c r="U24" s="8">
        <v>0</v>
      </c>
      <c r="V24" s="93">
        <v>2134.6231007438505</v>
      </c>
      <c r="W24" s="8">
        <v>0</v>
      </c>
      <c r="X24" s="93">
        <v>1974.7466659266991</v>
      </c>
      <c r="Y24" s="8">
        <v>0</v>
      </c>
      <c r="Z24" s="93">
        <v>1822.9701681073557</v>
      </c>
      <c r="AA24" s="8">
        <v>0</v>
      </c>
      <c r="AB24" s="93">
        <v>1726.0702890338371</v>
      </c>
      <c r="AC24" s="8">
        <v>0</v>
      </c>
      <c r="AD24" s="93"/>
      <c r="AE24" s="8"/>
      <c r="AF24" s="93"/>
      <c r="AG24" s="8"/>
      <c r="AH24" s="93"/>
      <c r="AI24" s="8"/>
      <c r="AJ24" s="93"/>
      <c r="AK24" s="8"/>
      <c r="AL24" s="93"/>
      <c r="AM24" s="8"/>
      <c r="AN24" s="93"/>
      <c r="AO24" s="8"/>
      <c r="AP24" s="93"/>
      <c r="AQ24" s="8"/>
      <c r="AR24" s="93"/>
      <c r="AS24" s="8"/>
      <c r="AT24" s="93"/>
      <c r="AU24" s="8"/>
      <c r="AV24" s="93"/>
      <c r="AW24" s="8"/>
    </row>
    <row r="25" spans="1:49" x14ac:dyDescent="0.2">
      <c r="A25" t="s">
        <v>0</v>
      </c>
      <c r="B25" s="39">
        <v>3195.0476040000012</v>
      </c>
      <c r="C25" s="40">
        <v>91.012690000004397</v>
      </c>
      <c r="D25" s="39">
        <v>3133.9480939536897</v>
      </c>
      <c r="E25" s="40">
        <v>83.332925420383916</v>
      </c>
      <c r="F25" s="39">
        <v>3065.08441280138</v>
      </c>
      <c r="G25" s="40">
        <v>76.065376721463281</v>
      </c>
      <c r="H25" s="39">
        <v>2987.6374890185671</v>
      </c>
      <c r="I25" s="40">
        <v>69.209672309928877</v>
      </c>
      <c r="J25" s="39">
        <v>2900.7529116971982</v>
      </c>
      <c r="K25" s="40">
        <v>62.762532664196378</v>
      </c>
      <c r="L25" s="39">
        <v>2803.5828549107318</v>
      </c>
      <c r="M25" s="40">
        <v>56.716421366343489</v>
      </c>
      <c r="N25" s="39">
        <v>2695.345067601349</v>
      </c>
      <c r="O25" s="40">
        <v>51.057579611069123</v>
      </c>
      <c r="P25" s="39">
        <v>2575.4304186356239</v>
      </c>
      <c r="Q25" s="40">
        <v>45.762787436553388</v>
      </c>
      <c r="R25" s="39">
        <v>2443.5779506087815</v>
      </c>
      <c r="S25" s="40">
        <v>40.79360777802151</v>
      </c>
      <c r="T25" s="39">
        <v>2300.1974002189681</v>
      </c>
      <c r="U25" s="40">
        <v>36.08474885005522</v>
      </c>
      <c r="V25" s="39">
        <v>2147.0867208932391</v>
      </c>
      <c r="W25" s="40">
        <v>31.516095423319214</v>
      </c>
      <c r="X25" s="39">
        <v>1989.5250953638017</v>
      </c>
      <c r="Y25" s="40">
        <v>26.829764201840341</v>
      </c>
      <c r="Z25" s="39">
        <v>1844.8845702147</v>
      </c>
      <c r="AA25" s="40">
        <v>21.325304397354827</v>
      </c>
      <c r="AB25" s="39">
        <v>1773.4406025145418</v>
      </c>
      <c r="AC25" s="40">
        <v>13.372405308277081</v>
      </c>
      <c r="AD25" s="39"/>
      <c r="AE25" s="40"/>
      <c r="AF25" s="39"/>
      <c r="AG25" s="40"/>
      <c r="AH25" s="39"/>
      <c r="AI25" s="40"/>
      <c r="AJ25" s="39"/>
      <c r="AK25" s="40"/>
      <c r="AL25" s="39"/>
      <c r="AM25" s="40"/>
      <c r="AN25" s="39"/>
      <c r="AO25" s="40"/>
      <c r="AP25" s="39"/>
      <c r="AQ25" s="40"/>
      <c r="AR25" s="39"/>
      <c r="AS25" s="40"/>
      <c r="AT25" s="39"/>
      <c r="AU25" s="40"/>
      <c r="AV25" s="39"/>
      <c r="AW25" s="40"/>
    </row>
    <row r="26" spans="1:49" x14ac:dyDescent="0.2">
      <c r="A26" t="s">
        <v>27</v>
      </c>
      <c r="B26" s="31">
        <v>5036.2953101960647</v>
      </c>
      <c r="C26" s="32">
        <v>74.905331803938267</v>
      </c>
      <c r="D26" s="31">
        <v>4845.1526538527423</v>
      </c>
      <c r="E26" s="32">
        <v>69.270956073036146</v>
      </c>
      <c r="F26" s="31">
        <v>4646.5489071673528</v>
      </c>
      <c r="G26" s="32">
        <v>63.863065877915133</v>
      </c>
      <c r="H26" s="31">
        <v>4440.2585377099167</v>
      </c>
      <c r="I26" s="32">
        <v>58.6852296682221</v>
      </c>
      <c r="J26" s="31">
        <v>4226.1277651878818</v>
      </c>
      <c r="K26" s="32">
        <v>53.74006320743301</v>
      </c>
      <c r="L26" s="31">
        <v>4004.1161878044727</v>
      </c>
      <c r="M26" s="32">
        <v>49.028162894491537</v>
      </c>
      <c r="N26" s="31">
        <v>3774.3535539923992</v>
      </c>
      <c r="O26" s="32">
        <v>44.547279644781234</v>
      </c>
      <c r="P26" s="31">
        <v>3537.228696260494</v>
      </c>
      <c r="Q26" s="32">
        <v>40.290293234538872</v>
      </c>
      <c r="R26" s="31">
        <v>3293.5407386563315</v>
      </c>
      <c r="S26" s="32">
        <v>36.242157038067333</v>
      </c>
      <c r="T26" s="31">
        <v>3044.7986633577138</v>
      </c>
      <c r="U26" s="32">
        <v>32.373781566122744</v>
      </c>
      <c r="V26" s="31">
        <v>2793.9521179926414</v>
      </c>
      <c r="W26" s="32">
        <v>28.627502196577442</v>
      </c>
      <c r="X26" s="31">
        <v>2547.7010461167142</v>
      </c>
      <c r="Y26" s="32">
        <v>24.873351439755233</v>
      </c>
      <c r="Z26" s="31">
        <v>2326.2766310448706</v>
      </c>
      <c r="AA26" s="32">
        <v>20.734783724540364</v>
      </c>
      <c r="AB26" s="31">
        <v>2196.9822576891261</v>
      </c>
      <c r="AC26" s="32">
        <v>15.100775111177292</v>
      </c>
      <c r="AD26" s="31"/>
      <c r="AE26" s="32"/>
      <c r="AF26" s="31"/>
      <c r="AG26" s="32"/>
      <c r="AH26" s="31"/>
      <c r="AI26" s="32"/>
      <c r="AJ26" s="31"/>
      <c r="AK26" s="32"/>
      <c r="AL26" s="31"/>
      <c r="AM26" s="32"/>
      <c r="AN26" s="31"/>
      <c r="AO26" s="32"/>
      <c r="AP26" s="31"/>
      <c r="AQ26" s="32"/>
      <c r="AR26" s="31"/>
      <c r="AS26" s="32"/>
      <c r="AT26" s="31"/>
      <c r="AU26" s="32"/>
      <c r="AV26" s="31"/>
      <c r="AW26" s="32"/>
    </row>
    <row r="27" spans="1:49" x14ac:dyDescent="0.2">
      <c r="A27" t="s">
        <v>2</v>
      </c>
      <c r="B27" s="33">
        <v>6425.1981590000414</v>
      </c>
      <c r="C27" s="34">
        <v>273.22915400000028</v>
      </c>
      <c r="D27" s="33">
        <v>6438.9421490009763</v>
      </c>
      <c r="E27" s="34">
        <v>259.48326565991789</v>
      </c>
      <c r="F27" s="33">
        <v>6452.2976601989303</v>
      </c>
      <c r="G27" s="34">
        <v>246.12713023252502</v>
      </c>
      <c r="H27" s="33">
        <v>6465.2254359168674</v>
      </c>
      <c r="I27" s="34">
        <v>233.20258203079368</v>
      </c>
      <c r="J27" s="33">
        <v>6477.6700445364877</v>
      </c>
      <c r="K27" s="34">
        <v>220.75834717028721</v>
      </c>
      <c r="L27" s="33">
        <v>6489.5785006513761</v>
      </c>
      <c r="M27" s="34">
        <v>208.85245416471304</v>
      </c>
      <c r="N27" s="33">
        <v>6500.8738690377504</v>
      </c>
      <c r="O27" s="34">
        <v>197.55511679275321</v>
      </c>
      <c r="P27" s="33">
        <v>6511.4691843114961</v>
      </c>
      <c r="Q27" s="34">
        <v>186.95624726415701</v>
      </c>
      <c r="R27" s="33">
        <v>6521.248413577182</v>
      </c>
      <c r="S27" s="34">
        <v>177.18073073662021</v>
      </c>
      <c r="T27" s="33">
        <v>6530.0081809178682</v>
      </c>
      <c r="U27" s="34">
        <v>168.42537284550878</v>
      </c>
      <c r="V27" s="33">
        <v>6537.3709621875123</v>
      </c>
      <c r="W27" s="34">
        <v>161.05948155288687</v>
      </c>
      <c r="X27" s="33">
        <v>6542.4855595326762</v>
      </c>
      <c r="Y27" s="34">
        <v>155.93877181480315</v>
      </c>
      <c r="Z27" s="33">
        <v>6542.8695392203063</v>
      </c>
      <c r="AA27" s="34">
        <v>155.5578173810041</v>
      </c>
      <c r="AB27" s="33">
        <v>6533.1790328485959</v>
      </c>
      <c r="AC27" s="34">
        <v>165.24817037970516</v>
      </c>
      <c r="AD27" s="33"/>
      <c r="AE27" s="34"/>
      <c r="AF27" s="33"/>
      <c r="AG27" s="34"/>
      <c r="AH27" s="33"/>
      <c r="AI27" s="34"/>
      <c r="AJ27" s="33"/>
      <c r="AK27" s="34"/>
      <c r="AL27" s="33"/>
      <c r="AM27" s="34"/>
      <c r="AN27" s="33"/>
      <c r="AO27" s="34"/>
      <c r="AP27" s="33"/>
      <c r="AQ27" s="34"/>
      <c r="AR27" s="33"/>
      <c r="AS27" s="34"/>
      <c r="AT27" s="33"/>
      <c r="AU27" s="34"/>
      <c r="AV27" s="33"/>
      <c r="AW27" s="34"/>
    </row>
    <row r="28" spans="1:49" x14ac:dyDescent="0.2">
      <c r="A28" t="s">
        <v>35</v>
      </c>
      <c r="B28" s="39">
        <v>13763.097676000029</v>
      </c>
      <c r="C28" s="40">
        <v>382.36647899999997</v>
      </c>
      <c r="D28" s="39">
        <v>13489.028786792538</v>
      </c>
      <c r="E28" s="40">
        <v>360.23520296443115</v>
      </c>
      <c r="F28" s="39">
        <v>13183.137869615068</v>
      </c>
      <c r="G28" s="40">
        <v>338.45415274030785</v>
      </c>
      <c r="H28" s="39">
        <v>12841.935942960265</v>
      </c>
      <c r="I28" s="40">
        <v>317.03935510914249</v>
      </c>
      <c r="J28" s="39">
        <v>12461.754318070727</v>
      </c>
      <c r="K28" s="40">
        <v>296.00351003364597</v>
      </c>
      <c r="L28" s="39">
        <v>12038.908287128987</v>
      </c>
      <c r="M28" s="40">
        <v>275.35200357897293</v>
      </c>
      <c r="N28" s="39">
        <v>11569.924981983555</v>
      </c>
      <c r="O28" s="40">
        <v>255.07697594168576</v>
      </c>
      <c r="P28" s="39">
        <v>11051.965369271804</v>
      </c>
      <c r="Q28" s="40">
        <v>235.14668600503751</v>
      </c>
      <c r="R28" s="39">
        <v>10483.504159537564</v>
      </c>
      <c r="S28" s="40">
        <v>215.48624524949776</v>
      </c>
      <c r="T28" s="39">
        <v>9865.5666632677912</v>
      </c>
      <c r="U28" s="40">
        <v>195.93813676736931</v>
      </c>
      <c r="V28" s="39">
        <v>9204.4336177706482</v>
      </c>
      <c r="W28" s="40">
        <v>176.16662586952899</v>
      </c>
      <c r="X28" s="39">
        <v>8519.3863786607162</v>
      </c>
      <c r="Y28" s="40">
        <v>155.3660822603467</v>
      </c>
      <c r="Z28" s="39">
        <v>7874.0495933092216</v>
      </c>
      <c r="AA28" s="40">
        <v>131.09869522404563</v>
      </c>
      <c r="AB28" s="39">
        <v>7484.146621777697</v>
      </c>
      <c r="AC28" s="40">
        <v>96.089747448982422</v>
      </c>
      <c r="AD28" s="39"/>
      <c r="AE28" s="40"/>
      <c r="AF28" s="39"/>
      <c r="AG28" s="40"/>
      <c r="AH28" s="39"/>
      <c r="AI28" s="40"/>
      <c r="AJ28" s="39"/>
      <c r="AK28" s="40"/>
      <c r="AL28" s="39"/>
      <c r="AM28" s="40"/>
      <c r="AN28" s="39"/>
      <c r="AO28" s="40"/>
      <c r="AP28" s="39"/>
      <c r="AQ28" s="40"/>
      <c r="AR28" s="39"/>
      <c r="AS28" s="40"/>
      <c r="AT28" s="39"/>
      <c r="AU28" s="40"/>
      <c r="AV28" s="39"/>
      <c r="AW28" s="40"/>
    </row>
    <row r="29" spans="1:49" x14ac:dyDescent="0.2">
      <c r="A29" t="s">
        <v>53</v>
      </c>
      <c r="B29" s="33">
        <v>14362.768558000025</v>
      </c>
      <c r="C29" s="34">
        <v>817.26650999999993</v>
      </c>
      <c r="D29" s="33">
        <v>14064.260708712432</v>
      </c>
      <c r="E29" s="34">
        <v>765.36520384008202</v>
      </c>
      <c r="F29" s="33">
        <v>13732.83493206315</v>
      </c>
      <c r="G29" s="34">
        <v>714.61004510421481</v>
      </c>
      <c r="H29" s="33">
        <v>13365.020619665584</v>
      </c>
      <c r="I29" s="34">
        <v>665.058727024267</v>
      </c>
      <c r="J29" s="33">
        <v>12957.187818169919</v>
      </c>
      <c r="K29" s="34">
        <v>616.76412344338667</v>
      </c>
      <c r="L29" s="33">
        <v>12505.715422873467</v>
      </c>
      <c r="M29" s="34">
        <v>569.76669957993852</v>
      </c>
      <c r="N29" s="33">
        <v>12007.221801180289</v>
      </c>
      <c r="O29" s="34">
        <v>524.08425953380845</v>
      </c>
      <c r="P29" s="33">
        <v>11458.989514770656</v>
      </c>
      <c r="Q29" s="34">
        <v>479.69351364014682</v>
      </c>
      <c r="R29" s="33">
        <v>10859.646061050002</v>
      </c>
      <c r="S29" s="34">
        <v>436.49836229894203</v>
      </c>
      <c r="T29" s="33">
        <v>10210.401170433177</v>
      </c>
      <c r="U29" s="34">
        <v>394.2666550263379</v>
      </c>
      <c r="V29" s="33">
        <v>9517.757039697166</v>
      </c>
      <c r="W29" s="34">
        <v>352.47871951154065</v>
      </c>
      <c r="X29" s="33">
        <v>8801.2858151701093</v>
      </c>
      <c r="Y29" s="34">
        <v>309.86147018682743</v>
      </c>
      <c r="Z29" s="33">
        <v>8125.1325247165232</v>
      </c>
      <c r="AA29" s="34">
        <v>262.46276100084253</v>
      </c>
      <c r="AB29" s="33">
        <v>7706.0690951480137</v>
      </c>
      <c r="AC29" s="34">
        <v>197.41043275540574</v>
      </c>
      <c r="AD29" s="33"/>
      <c r="AE29" s="34"/>
      <c r="AF29" s="33"/>
      <c r="AG29" s="34"/>
      <c r="AH29" s="33"/>
      <c r="AI29" s="34"/>
      <c r="AJ29" s="33"/>
      <c r="AK29" s="34"/>
      <c r="AL29" s="33"/>
      <c r="AM29" s="34"/>
      <c r="AN29" s="33"/>
      <c r="AO29" s="34"/>
      <c r="AP29" s="33"/>
      <c r="AQ29" s="34"/>
      <c r="AR29" s="33"/>
      <c r="AS29" s="34"/>
      <c r="AT29" s="33"/>
      <c r="AU29" s="34"/>
      <c r="AV29" s="33"/>
      <c r="AW29" s="34"/>
    </row>
    <row r="30" spans="1:49" x14ac:dyDescent="0.2">
      <c r="A30" t="s">
        <v>48</v>
      </c>
      <c r="B30" s="112">
        <v>2924829.9599999995</v>
      </c>
      <c r="D30" s="112">
        <v>2863960.0179820317</v>
      </c>
      <c r="F30" s="112">
        <v>2796479.2351287785</v>
      </c>
      <c r="H30" s="112">
        <v>2721676.1899262592</v>
      </c>
      <c r="J30" s="112">
        <v>2638804.0357301128</v>
      </c>
      <c r="L30" s="112">
        <v>2547111.0905517866</v>
      </c>
      <c r="N30" s="112">
        <v>2445885.9965691981</v>
      </c>
      <c r="P30" s="112">
        <v>2334537.1371588605</v>
      </c>
      <c r="R30" s="112">
        <v>2212721.1575057451</v>
      </c>
      <c r="T30" s="112">
        <v>2080572.8772347057</v>
      </c>
      <c r="V30" s="112">
        <v>1939197.6322696386</v>
      </c>
      <c r="X30" s="112">
        <v>1792059.8933842278</v>
      </c>
      <c r="Z30" s="112">
        <v>1650511.1250210633</v>
      </c>
      <c r="AB30" s="112">
        <v>1551909.4908484858</v>
      </c>
      <c r="AD30" s="112"/>
      <c r="AF30" s="112"/>
      <c r="AH30" s="112"/>
      <c r="AJ30" s="112"/>
      <c r="AL30" s="112"/>
      <c r="AN30" s="112"/>
      <c r="AP30" s="112"/>
      <c r="AR30" s="112"/>
      <c r="AT30" s="112"/>
      <c r="AV30" s="112"/>
    </row>
    <row r="31" spans="1:49" x14ac:dyDescent="0.2">
      <c r="A31" t="s">
        <v>47</v>
      </c>
      <c r="B31" s="77">
        <v>1</v>
      </c>
      <c r="D31" s="77">
        <v>0.97787495790268164</v>
      </c>
      <c r="F31" s="77">
        <v>0.95348428104338312</v>
      </c>
      <c r="H31" s="77">
        <v>0.92660638681738461</v>
      </c>
      <c r="J31" s="77">
        <v>0.89701157114703278</v>
      </c>
      <c r="L31" s="77">
        <v>0.86447313770647982</v>
      </c>
      <c r="N31" s="77">
        <v>0.82878219391947927</v>
      </c>
      <c r="P31" s="77">
        <v>0.78977473492312456</v>
      </c>
      <c r="R31" s="77">
        <v>0.74737443803428261</v>
      </c>
      <c r="T31" s="77">
        <v>0.70166999085340565</v>
      </c>
      <c r="V31" s="77">
        <v>0.65308406822730747</v>
      </c>
      <c r="X31" s="77">
        <v>0.60285714982857719</v>
      </c>
      <c r="Z31" s="77">
        <v>0.55499855572189494</v>
      </c>
      <c r="AB31" s="77">
        <v>0.52283398020189853</v>
      </c>
      <c r="AD31" s="77"/>
      <c r="AF31" s="77"/>
      <c r="AH31" s="77"/>
      <c r="AJ31" s="77"/>
      <c r="AL31" s="77"/>
      <c r="AN31" s="77"/>
      <c r="AP31" s="77"/>
      <c r="AR31" s="77"/>
      <c r="AT31" s="77"/>
      <c r="AV31" s="77"/>
    </row>
    <row r="32" spans="1:49" x14ac:dyDescent="0.2">
      <c r="A32" t="s">
        <v>64</v>
      </c>
      <c r="B32" s="83">
        <v>14734457.915000005</v>
      </c>
      <c r="D32" s="83">
        <v>14427811.488452813</v>
      </c>
      <c r="F32" s="83">
        <v>14087862.482810453</v>
      </c>
      <c r="H32" s="83">
        <v>13711027.584601937</v>
      </c>
      <c r="J32" s="83">
        <v>13293541.434027577</v>
      </c>
      <c r="L32" s="83">
        <v>12831619.31677573</v>
      </c>
      <c r="N32" s="83">
        <v>12321675.470962675</v>
      </c>
      <c r="P32" s="83">
        <v>11760730.875345496</v>
      </c>
      <c r="R32" s="83">
        <v>11147057.47767661</v>
      </c>
      <c r="T32" s="83">
        <v>10481332.711541712</v>
      </c>
      <c r="V32" s="83">
        <v>9769124.2277664691</v>
      </c>
      <c r="X32" s="83">
        <v>9027885.6940590888</v>
      </c>
      <c r="Z32" s="83">
        <v>8314803.6117732711</v>
      </c>
      <c r="AB32" s="83">
        <v>7818076.7398505304</v>
      </c>
      <c r="AD32" s="83"/>
      <c r="AF32" s="83"/>
      <c r="AH32" s="83"/>
      <c r="AJ32" s="83"/>
      <c r="AL32" s="83"/>
      <c r="AN32" s="83"/>
      <c r="AP32" s="83"/>
      <c r="AR32" s="83"/>
      <c r="AT32" s="83"/>
      <c r="AV32" s="83"/>
    </row>
    <row r="33" spans="1:49 16319:16384" x14ac:dyDescent="0.2">
      <c r="A33" t="s">
        <v>54</v>
      </c>
      <c r="B33" s="111">
        <v>7019665.6909999885</v>
      </c>
      <c r="D33" s="111">
        <v>6873575.8790312242</v>
      </c>
      <c r="F33" s="111">
        <v>6711620.2517817523</v>
      </c>
      <c r="H33" s="111">
        <v>6532091.6756432205</v>
      </c>
      <c r="J33" s="111">
        <v>6333196.4565685075</v>
      </c>
      <c r="L33" s="111">
        <v>6113131.4193547033</v>
      </c>
      <c r="N33" s="111">
        <v>5870188.29958901</v>
      </c>
      <c r="P33" s="111">
        <v>5602947.8347692024</v>
      </c>
      <c r="R33" s="111">
        <v>5310586.7444591485</v>
      </c>
      <c r="T33" s="111">
        <v>4993427.7867893176</v>
      </c>
      <c r="V33" s="111">
        <v>4654123.4626320451</v>
      </c>
      <c r="X33" s="111">
        <v>4300988.8881921303</v>
      </c>
      <c r="Z33" s="111">
        <v>3961268.3416262195</v>
      </c>
      <c r="AB33" s="111">
        <v>3724621.929181092</v>
      </c>
      <c r="AD33" s="111"/>
      <c r="AF33" s="111"/>
      <c r="AH33" s="111"/>
      <c r="AJ33" s="111"/>
      <c r="AL33" s="111"/>
      <c r="AN33" s="111"/>
      <c r="AP33" s="111"/>
      <c r="AR33" s="111"/>
      <c r="AT33" s="111"/>
      <c r="AV33" s="111"/>
    </row>
    <row r="34" spans="1:49 16319:16384" x14ac:dyDescent="0.2">
      <c r="A34" t="s">
        <v>75</v>
      </c>
      <c r="B34" s="111">
        <v>1136879.4410000162</v>
      </c>
      <c r="D34" s="111">
        <v>1113219.1678742352</v>
      </c>
      <c r="F34" s="111">
        <v>1086989.4277984474</v>
      </c>
      <c r="H34" s="111">
        <v>1057913.7367142099</v>
      </c>
      <c r="J34" s="111">
        <v>1025701.3949910284</v>
      </c>
      <c r="L34" s="111">
        <v>990060.48103696504</v>
      </c>
      <c r="N34" s="111">
        <v>950714.28618183127</v>
      </c>
      <c r="P34" s="111">
        <v>907432.98167122202</v>
      </c>
      <c r="R34" s="111">
        <v>860083.25530349067</v>
      </c>
      <c r="T34" s="111">
        <v>808717.35127673543</v>
      </c>
      <c r="V34" s="111">
        <v>753764.84768565325</v>
      </c>
      <c r="X34" s="111">
        <v>696572.44602747238</v>
      </c>
      <c r="Z34" s="111">
        <v>641552.564164232</v>
      </c>
      <c r="AB34" s="111">
        <v>603226.17635639606</v>
      </c>
      <c r="AD34" s="111"/>
      <c r="AF34" s="111"/>
      <c r="AH34" s="111"/>
      <c r="AJ34" s="111"/>
      <c r="AL34" s="111"/>
      <c r="AN34" s="111"/>
      <c r="AP34" s="111"/>
      <c r="AR34" s="111"/>
      <c r="AT34" s="111"/>
      <c r="AV34" s="111"/>
    </row>
    <row r="35" spans="1:49 16319:16384" x14ac:dyDescent="0.2">
      <c r="A35" t="s">
        <v>78</v>
      </c>
      <c r="B35" s="192">
        <v>1</v>
      </c>
      <c r="D35" s="192">
        <v>1.0013435002893567</v>
      </c>
      <c r="F35" s="192">
        <v>1.0027629146338224</v>
      </c>
      <c r="H35" s="192">
        <v>1.0042537304712496</v>
      </c>
      <c r="J35" s="192">
        <v>1.0058086344457187</v>
      </c>
      <c r="L35" s="192">
        <v>1.0074166864911096</v>
      </c>
      <c r="N35" s="192">
        <v>1.0090622062851393</v>
      </c>
      <c r="P35" s="192">
        <v>1.0107233681418077</v>
      </c>
      <c r="R35" s="192">
        <v>1.0123699150424887</v>
      </c>
      <c r="T35" s="192">
        <v>1.013958572106199</v>
      </c>
      <c r="V35" s="192">
        <v>1.0154210690288834</v>
      </c>
      <c r="X35" s="192">
        <v>1.0166224162593516</v>
      </c>
      <c r="Z35" s="192">
        <v>1.0171640632276686</v>
      </c>
      <c r="AB35" s="192">
        <v>1.0154740699459548</v>
      </c>
      <c r="AD35" s="192"/>
      <c r="AF35" s="192"/>
      <c r="AH35" s="192"/>
      <c r="AJ35" s="192"/>
      <c r="AL35" s="192"/>
      <c r="AN35" s="192"/>
      <c r="AP35" s="192"/>
      <c r="AR35" s="192"/>
      <c r="AT35" s="192"/>
      <c r="AV35" s="192"/>
    </row>
    <row r="36" spans="1:49 16319:16384" x14ac:dyDescent="0.2">
      <c r="A36" t="s">
        <v>21</v>
      </c>
      <c r="B36" s="35">
        <v>0.47195767671988198</v>
      </c>
      <c r="C36" s="36">
        <v>0.31738834428178964</v>
      </c>
      <c r="D36" s="35">
        <v>0.47197130878556337</v>
      </c>
      <c r="E36" s="36">
        <v>0.31886616269008583</v>
      </c>
      <c r="F36" s="35">
        <v>0.47198452044061934</v>
      </c>
      <c r="G36" s="36">
        <v>0.32035060010513317</v>
      </c>
      <c r="H36" s="35">
        <v>0.47199724376416741</v>
      </c>
      <c r="I36" s="36">
        <v>0.32183300445043656</v>
      </c>
      <c r="J36" s="35">
        <v>0.4720094092152346</v>
      </c>
      <c r="K36" s="36">
        <v>0.32330343317883103</v>
      </c>
      <c r="L36" s="35">
        <v>0.47202095451614418</v>
      </c>
      <c r="M36" s="36">
        <v>0.32475139040988943</v>
      </c>
      <c r="N36" s="35">
        <v>0.47203184604688497</v>
      </c>
      <c r="O36" s="36">
        <v>0.32616775309099405</v>
      </c>
      <c r="P36" s="35">
        <v>0.47204211992256317</v>
      </c>
      <c r="Q36" s="36">
        <v>0.32754895484618485</v>
      </c>
      <c r="R36" s="35">
        <v>0.47205197275793825</v>
      </c>
      <c r="S36" s="36">
        <v>0.3289063984103997</v>
      </c>
      <c r="T36" s="35">
        <v>0.4720619724662477</v>
      </c>
      <c r="U36" s="36">
        <v>0.3302886264829889</v>
      </c>
      <c r="V36" s="35">
        <v>0.47207362152545468</v>
      </c>
      <c r="W36" s="36">
        <v>0.33184055975426285</v>
      </c>
      <c r="X36" s="35">
        <v>0.47209122002057569</v>
      </c>
      <c r="Y36" s="36">
        <v>0.33399715713176625</v>
      </c>
      <c r="Z36" s="35">
        <v>0.47213013943261001</v>
      </c>
      <c r="AA36" s="36">
        <v>0.3383268727282564</v>
      </c>
      <c r="AB36" s="35">
        <v>0.47225251736998181</v>
      </c>
      <c r="AC36" s="36">
        <v>0.35100733599714778</v>
      </c>
      <c r="AD36" s="35"/>
      <c r="AE36" s="36"/>
      <c r="AF36" s="35"/>
      <c r="AG36" s="36"/>
      <c r="AH36" s="35"/>
      <c r="AI36" s="36"/>
      <c r="AJ36" s="35"/>
      <c r="AK36" s="36"/>
      <c r="AL36" s="35"/>
      <c r="AM36" s="36"/>
      <c r="AN36" s="35"/>
      <c r="AO36" s="36"/>
      <c r="AP36" s="35"/>
      <c r="AQ36" s="36"/>
      <c r="AR36" s="35"/>
      <c r="AS36" s="36"/>
      <c r="AT36" s="35"/>
      <c r="AU36" s="36"/>
      <c r="AV36" s="35"/>
      <c r="AW36" s="36"/>
    </row>
    <row r="37" spans="1:49 16319:16384" x14ac:dyDescent="0.2">
      <c r="B37" s="37">
        <v>2.1403217525954466E-2</v>
      </c>
      <c r="C37" s="38">
        <v>0.3496246130199252</v>
      </c>
      <c r="D37" s="37">
        <v>2.0975245463082517E-2</v>
      </c>
      <c r="E37" s="38">
        <v>0.34703618230738259</v>
      </c>
      <c r="F37" s="37">
        <v>2.0554948290766883E-2</v>
      </c>
      <c r="G37" s="38">
        <v>0.34446224022129135</v>
      </c>
      <c r="H37" s="37">
        <v>2.0144073347865339E-2</v>
      </c>
      <c r="I37" s="38">
        <v>0.3419131936241156</v>
      </c>
      <c r="J37" s="37">
        <v>1.9744584934580724E-2</v>
      </c>
      <c r="K37" s="38">
        <v>0.33940152416008545</v>
      </c>
      <c r="L37" s="37">
        <v>1.9358625332390873E-2</v>
      </c>
      <c r="M37" s="38">
        <v>0.33694205587715442</v>
      </c>
      <c r="N37" s="37">
        <v>1.8988425659836911E-2</v>
      </c>
      <c r="O37" s="38">
        <v>0.33455242278385738</v>
      </c>
      <c r="P37" s="37">
        <v>1.8636087186637274E-2</v>
      </c>
      <c r="Q37" s="38">
        <v>0.33225357715461273</v>
      </c>
      <c r="R37" s="37">
        <v>1.8303117586528934E-2</v>
      </c>
      <c r="S37" s="38">
        <v>0.33007087887519854</v>
      </c>
      <c r="T37" s="37">
        <v>1.7989380893563611E-2</v>
      </c>
      <c r="U37" s="38">
        <v>0.32803674214308653</v>
      </c>
      <c r="V37" s="37">
        <v>1.7690398830279744E-2</v>
      </c>
      <c r="W37" s="38">
        <v>0.32619840640060421</v>
      </c>
      <c r="X37" s="37">
        <v>1.7389012276341872E-2</v>
      </c>
      <c r="Y37" s="38">
        <v>0.32464723191619449</v>
      </c>
      <c r="Z37" s="37">
        <v>1.7022061983943414E-2</v>
      </c>
      <c r="AA37" s="38">
        <v>0.32366805033123291</v>
      </c>
      <c r="AB37" s="37">
        <v>1.6377493880401522E-2</v>
      </c>
      <c r="AC37" s="38">
        <v>0.32457645166349092</v>
      </c>
      <c r="AD37" s="37"/>
      <c r="AE37" s="38"/>
      <c r="AF37" s="37"/>
      <c r="AG37" s="38"/>
      <c r="AH37" s="37"/>
      <c r="AI37" s="38"/>
      <c r="AJ37" s="37"/>
      <c r="AK37" s="38"/>
      <c r="AL37" s="37"/>
      <c r="AM37" s="38"/>
      <c r="AN37" s="37"/>
      <c r="AO37" s="38"/>
      <c r="AP37" s="37"/>
      <c r="AQ37" s="38"/>
      <c r="AR37" s="37"/>
      <c r="AS37" s="38"/>
      <c r="AT37" s="37"/>
      <c r="AU37" s="38"/>
      <c r="AV37" s="37"/>
      <c r="AW37" s="38"/>
    </row>
    <row r="38" spans="1:49 16319:16384" x14ac:dyDescent="0.2">
      <c r="A38" t="s">
        <v>22</v>
      </c>
      <c r="B38" s="35">
        <v>0.18079094942242827</v>
      </c>
      <c r="C38" s="36">
        <v>6.0565413429233668E-2</v>
      </c>
      <c r="D38" s="35">
        <v>0.17761619064546191</v>
      </c>
      <c r="E38" s="36">
        <v>5.9673291840172039E-2</v>
      </c>
      <c r="F38" s="35">
        <v>0.17444197824838931</v>
      </c>
      <c r="G38" s="36">
        <v>5.8791242636266623E-2</v>
      </c>
      <c r="H38" s="35">
        <v>0.1712806998833927</v>
      </c>
      <c r="I38" s="36">
        <v>5.7923280266716295E-2</v>
      </c>
      <c r="J38" s="35">
        <v>0.16814782887607377</v>
      </c>
      <c r="K38" s="36">
        <v>5.7074136850767843E-2</v>
      </c>
      <c r="L38" s="35">
        <v>0.16506220685490106</v>
      </c>
      <c r="M38" s="36">
        <v>5.6248902513202137E-2</v>
      </c>
      <c r="N38" s="35">
        <v>0.16204672060225497</v>
      </c>
      <c r="O38" s="36">
        <v>5.545293074279916E-2</v>
      </c>
      <c r="P38" s="35">
        <v>0.15912859525736947</v>
      </c>
      <c r="Q38" s="36">
        <v>5.4690833216255709E-2</v>
      </c>
      <c r="R38" s="35">
        <v>0.1563400878763401</v>
      </c>
      <c r="S38" s="36">
        <v>5.3964672979620071E-2</v>
      </c>
      <c r="T38" s="35">
        <v>0.15371993899621184</v>
      </c>
      <c r="U38" s="36">
        <v>5.3269604044153193E-2</v>
      </c>
      <c r="V38" s="35">
        <v>0.15131737881169186</v>
      </c>
      <c r="W38" s="36">
        <v>5.2582433096289842E-2</v>
      </c>
      <c r="X38" s="35">
        <v>0.14920787782807896</v>
      </c>
      <c r="Y38" s="36">
        <v>5.1826346106238388E-2</v>
      </c>
      <c r="Z38" s="35">
        <v>0.14756624714394517</v>
      </c>
      <c r="AA38" s="36">
        <v>5.0731503217488046E-2</v>
      </c>
      <c r="AB38" s="35">
        <v>0.14690790013133415</v>
      </c>
      <c r="AC38" s="36">
        <v>4.8418637965552111E-2</v>
      </c>
      <c r="AD38" s="35"/>
      <c r="AE38" s="36"/>
      <c r="AF38" s="35"/>
      <c r="AG38" s="36"/>
      <c r="AH38" s="35"/>
      <c r="AI38" s="36"/>
      <c r="AJ38" s="35"/>
      <c r="AK38" s="36"/>
      <c r="AL38" s="35"/>
      <c r="AM38" s="36"/>
      <c r="AN38" s="35"/>
      <c r="AO38" s="36"/>
      <c r="AP38" s="35"/>
      <c r="AQ38" s="36"/>
      <c r="AR38" s="35"/>
      <c r="AS38" s="36"/>
      <c r="AT38" s="35"/>
      <c r="AU38" s="36"/>
      <c r="AV38" s="35"/>
      <c r="AW38" s="36"/>
    </row>
    <row r="39" spans="1:49 16319:16384" x14ac:dyDescent="0.2">
      <c r="A39" t="s">
        <v>23</v>
      </c>
      <c r="B39" s="37">
        <v>0.23064923795098771</v>
      </c>
      <c r="C39" s="38">
        <v>0.22092201281804777</v>
      </c>
      <c r="D39" s="37">
        <v>0.23604217617016626</v>
      </c>
      <c r="E39" s="38">
        <v>0.22353121015161556</v>
      </c>
      <c r="F39" s="37">
        <v>0.24223387950493308</v>
      </c>
      <c r="G39" s="38">
        <v>0.22658041285600683</v>
      </c>
      <c r="H39" s="37">
        <v>0.24939276129152693</v>
      </c>
      <c r="I39" s="38">
        <v>0.23017475767341217</v>
      </c>
      <c r="J39" s="37">
        <v>0.25773147776945343</v>
      </c>
      <c r="K39" s="38">
        <v>0.23445435984533022</v>
      </c>
      <c r="L39" s="37">
        <v>0.26752074581107127</v>
      </c>
      <c r="M39" s="38">
        <v>0.23961169744897487</v>
      </c>
      <c r="N39" s="37">
        <v>0.2791061506180727</v>
      </c>
      <c r="O39" s="38">
        <v>0.24591872493110892</v>
      </c>
      <c r="P39" s="37">
        <v>0.29293015333064321</v>
      </c>
      <c r="Q39" s="38">
        <v>0.2537780720120415</v>
      </c>
      <c r="R39" s="37">
        <v>0.30955516598772653</v>
      </c>
      <c r="S39" s="38">
        <v>0.26382260256884832</v>
      </c>
      <c r="T39" s="37">
        <v>0.32967449417772215</v>
      </c>
      <c r="U39" s="38">
        <v>0.2771363890296259</v>
      </c>
      <c r="V39" s="37">
        <v>0.3540568329526711</v>
      </c>
      <c r="W39" s="38">
        <v>0.29583088860230006</v>
      </c>
      <c r="X39" s="37">
        <v>0.38316520203446253</v>
      </c>
      <c r="Y39" s="38">
        <v>0.32491547345480071</v>
      </c>
      <c r="Z39" s="37">
        <v>0.41504380458032947</v>
      </c>
      <c r="AA39" s="38">
        <v>0.38060112021471137</v>
      </c>
      <c r="AB39" s="37">
        <v>0.43686088476079826</v>
      </c>
      <c r="AC39" s="38">
        <v>0.52984640041176223</v>
      </c>
      <c r="AD39" s="37"/>
      <c r="AE39" s="38"/>
      <c r="AF39" s="37"/>
      <c r="AG39" s="38"/>
      <c r="AH39" s="37"/>
      <c r="AI39" s="38"/>
      <c r="AJ39" s="37"/>
      <c r="AK39" s="38"/>
      <c r="AL39" s="37"/>
      <c r="AM39" s="38"/>
      <c r="AN39" s="37"/>
      <c r="AO39" s="38"/>
      <c r="AP39" s="37"/>
      <c r="AQ39" s="38"/>
      <c r="AR39" s="37"/>
      <c r="AS39" s="38"/>
      <c r="AT39" s="37"/>
      <c r="AU39" s="38"/>
      <c r="AV39" s="37"/>
      <c r="AW39" s="38"/>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v>6.0999999999999999E-2</v>
      </c>
      <c r="C42" s="126"/>
      <c r="D42" s="167">
        <v>9.7150729752098985E-2</v>
      </c>
      <c r="E42" s="126"/>
      <c r="F42" s="167">
        <v>0.13463055894460749</v>
      </c>
      <c r="G42" s="126"/>
      <c r="H42" s="167">
        <v>0.17348026550665208</v>
      </c>
      <c r="I42" s="126"/>
      <c r="J42" s="167">
        <v>0.21372762050470923</v>
      </c>
      <c r="K42" s="126"/>
      <c r="L42" s="167">
        <v>0.25537993675453036</v>
      </c>
      <c r="M42" s="126"/>
      <c r="N42" s="167">
        <v>0.29841379081879726</v>
      </c>
      <c r="O42" s="126"/>
      <c r="P42" s="167">
        <v>0.34275905674065821</v>
      </c>
      <c r="Q42" s="126"/>
      <c r="R42" s="167">
        <v>0.38827168838482889</v>
      </c>
      <c r="S42" s="126"/>
      <c r="T42" s="167">
        <v>0.43467980848960752</v>
      </c>
      <c r="U42" s="126"/>
      <c r="V42" s="167">
        <v>0.48145211878816419</v>
      </c>
      <c r="W42" s="126"/>
      <c r="X42" s="167">
        <v>0.52738162155960944</v>
      </c>
      <c r="Y42" s="152"/>
      <c r="Z42" s="167">
        <v>0.56882073844666836</v>
      </c>
      <c r="AA42" s="126"/>
      <c r="AB42" s="167">
        <v>0.59360899458122196</v>
      </c>
      <c r="AC42" s="126"/>
      <c r="AD42" s="167">
        <v>1</v>
      </c>
      <c r="AE42" s="126"/>
      <c r="AF42" s="167">
        <v>1</v>
      </c>
      <c r="AG42" s="126"/>
      <c r="AH42" s="167">
        <v>1</v>
      </c>
      <c r="AI42" s="126"/>
      <c r="AJ42" s="167">
        <v>1</v>
      </c>
      <c r="AK42" s="126"/>
      <c r="AL42" s="167">
        <v>1</v>
      </c>
      <c r="AM42" s="126"/>
      <c r="AN42" s="167">
        <v>1</v>
      </c>
      <c r="AO42" s="126"/>
      <c r="AP42" s="167">
        <v>1</v>
      </c>
      <c r="AQ42" s="126"/>
      <c r="AR42" s="167">
        <v>1</v>
      </c>
      <c r="AS42" s="126"/>
      <c r="AT42" s="167">
        <v>1</v>
      </c>
      <c r="AU42" s="126"/>
      <c r="AV42" s="167">
        <v>1</v>
      </c>
      <c r="XFD42" s="167"/>
    </row>
    <row r="43" spans="1:49 16319:16384" x14ac:dyDescent="0.2">
      <c r="A43" t="s">
        <v>95</v>
      </c>
      <c r="B43" s="152">
        <v>0.56058995943839207</v>
      </c>
      <c r="C43" s="126"/>
      <c r="D43" s="152">
        <v>0.57444737628800124</v>
      </c>
      <c r="E43" s="126"/>
      <c r="F43" s="152">
        <v>0.58167854619161252</v>
      </c>
      <c r="G43" s="126"/>
      <c r="H43" s="152">
        <v>0.58886739047033787</v>
      </c>
      <c r="I43" s="126"/>
      <c r="J43" s="152">
        <v>0.59597995099820023</v>
      </c>
      <c r="K43" s="126"/>
      <c r="L43" s="152">
        <v>0.60297530796399212</v>
      </c>
      <c r="M43" s="126"/>
      <c r="N43" s="152">
        <v>0.60980255257803151</v>
      </c>
      <c r="O43" s="126"/>
      <c r="P43" s="152">
        <v>0.61640055142479422</v>
      </c>
      <c r="Q43" s="126"/>
      <c r="R43" s="152">
        <v>0.62269481513124858</v>
      </c>
      <c r="S43" s="126"/>
      <c r="T43" s="152">
        <v>0.62859032675299265</v>
      </c>
      <c r="U43" s="126"/>
      <c r="V43" s="152">
        <v>0.63395494072514635</v>
      </c>
      <c r="W43" s="126"/>
      <c r="X43" s="152">
        <v>0.63855714056465773</v>
      </c>
      <c r="Y43" s="126"/>
      <c r="Z43" s="152">
        <v>0.64177807894779559</v>
      </c>
      <c r="AA43" s="126"/>
      <c r="AB43" s="152">
        <v>0.6415172313973001</v>
      </c>
      <c r="AC43" s="126"/>
      <c r="AD43" s="152" t="e">
        <v>#DIV/0!</v>
      </c>
      <c r="AE43" s="126"/>
      <c r="AF43" s="152" t="e">
        <v>#DIV/0!</v>
      </c>
      <c r="AG43" s="126"/>
      <c r="AH43" s="152" t="e">
        <v>#DIV/0!</v>
      </c>
      <c r="AI43" s="126"/>
      <c r="AJ43" s="152" t="e">
        <v>#DIV/0!</v>
      </c>
      <c r="AK43" s="126"/>
      <c r="AL43" s="152" t="e">
        <v>#DIV/0!</v>
      </c>
      <c r="AM43" s="126"/>
      <c r="AN43" s="152" t="e">
        <v>#DIV/0!</v>
      </c>
      <c r="AO43" s="126"/>
      <c r="AP43" s="152" t="e">
        <v>#DIV/0!</v>
      </c>
      <c r="AQ43" s="126"/>
      <c r="AR43" s="152" t="e">
        <v>#DIV/0!</v>
      </c>
      <c r="AS43" s="126"/>
      <c r="AT43" s="152" t="e">
        <v>#DIV/0!</v>
      </c>
      <c r="AU43" s="126"/>
      <c r="AV43" s="152" t="e">
        <v>#DIV/0!</v>
      </c>
    </row>
    <row r="44" spans="1:49 16319:16384" x14ac:dyDescent="0.2">
      <c r="A44" t="s">
        <v>129</v>
      </c>
      <c r="B44" s="183">
        <v>0.29754226190682465</v>
      </c>
      <c r="D44" s="183">
        <v>0.29754225619884217</v>
      </c>
      <c r="F44" s="183">
        <v>0.29754225607173973</v>
      </c>
      <c r="H44" s="183">
        <v>0.29754226206669504</v>
      </c>
      <c r="J44" s="183">
        <v>0.29754226221107438</v>
      </c>
      <c r="L44" s="183">
        <v>0.29754226323226618</v>
      </c>
      <c r="N44" s="183">
        <v>0.29754226248920534</v>
      </c>
      <c r="P44" s="183">
        <v>0.29754226164944858</v>
      </c>
      <c r="R44" s="183">
        <v>0.29754226215925816</v>
      </c>
      <c r="T44" s="183">
        <v>0.297542262263776</v>
      </c>
      <c r="V44" s="183">
        <v>0.29754226108290732</v>
      </c>
      <c r="X44" s="183">
        <v>0.29754225967339232</v>
      </c>
      <c r="Z44" s="183">
        <v>0.29754226167219222</v>
      </c>
      <c r="AB44" s="183">
        <v>0.29754226186801114</v>
      </c>
      <c r="AD44" s="183" t="e">
        <v>#DIV/0!</v>
      </c>
      <c r="AF44" s="183" t="e">
        <v>#DIV/0!</v>
      </c>
      <c r="AH44" s="183" t="e">
        <v>#DIV/0!</v>
      </c>
      <c r="AJ44" s="183" t="e">
        <v>#DIV/0!</v>
      </c>
      <c r="AL44" s="183" t="e">
        <v>#DIV/0!</v>
      </c>
      <c r="AN44" s="183" t="e">
        <v>#DIV/0!</v>
      </c>
      <c r="AP44" s="183" t="e">
        <v>#DIV/0!</v>
      </c>
      <c r="AR44" s="183" t="e">
        <v>#DIV/0!</v>
      </c>
      <c r="AT44" s="183" t="e">
        <v>#DIV/0!</v>
      </c>
      <c r="AV44" s="183" t="e">
        <v>#DIV/0!</v>
      </c>
    </row>
    <row r="45" spans="1:49 16319:16384" x14ac:dyDescent="0.2">
      <c r="A45" t="s">
        <v>82</v>
      </c>
      <c r="B45" s="183">
        <v>0.22038438833194082</v>
      </c>
      <c r="D45" s="183">
        <v>0.22038438864802257</v>
      </c>
      <c r="F45" s="183">
        <v>0.22038438850135733</v>
      </c>
      <c r="H45" s="183">
        <v>0.22038438821759773</v>
      </c>
      <c r="J45" s="183">
        <v>0.22038438821028078</v>
      </c>
      <c r="L45" s="183">
        <v>0.22038438809622737</v>
      </c>
      <c r="N45" s="183">
        <v>0.22038438826809886</v>
      </c>
      <c r="P45" s="183">
        <v>0.220384388445028</v>
      </c>
      <c r="R45" s="183">
        <v>0.22038438825164477</v>
      </c>
      <c r="T45" s="183">
        <v>0.22038438801881466</v>
      </c>
      <c r="V45" s="183">
        <v>0.22038438796023255</v>
      </c>
      <c r="X45" s="183">
        <v>0.22038438798192189</v>
      </c>
      <c r="Z45" s="183">
        <v>0.22038438830332138</v>
      </c>
      <c r="AB45" s="183">
        <v>0.22038438833607024</v>
      </c>
      <c r="AD45" s="183" t="e">
        <v>#DIV/0!</v>
      </c>
      <c r="AF45" s="183" t="e">
        <v>#DIV/0!</v>
      </c>
      <c r="AH45" s="183" t="e">
        <v>#DIV/0!</v>
      </c>
      <c r="AJ45" s="183" t="e">
        <v>#DIV/0!</v>
      </c>
      <c r="AL45" s="183" t="e">
        <v>#DIV/0!</v>
      </c>
      <c r="AN45" s="183" t="e">
        <v>#DIV/0!</v>
      </c>
      <c r="AP45" s="183" t="e">
        <v>#DIV/0!</v>
      </c>
      <c r="AR45" s="183" t="e">
        <v>#DIV/0!</v>
      </c>
      <c r="AT45" s="183" t="e">
        <v>#DIV/0!</v>
      </c>
      <c r="AV45" s="183" t="e">
        <v>#DIV/0!</v>
      </c>
      <c r="XCQ45" s="183"/>
    </row>
    <row r="46" spans="1:49 16319:16384" x14ac:dyDescent="0.2">
      <c r="A46" t="s">
        <v>126</v>
      </c>
      <c r="B46" s="183">
        <v>7.7157873574883795E-2</v>
      </c>
      <c r="D46" s="183">
        <v>7.7157867550819575E-2</v>
      </c>
      <c r="F46" s="183">
        <v>7.7157867570382399E-2</v>
      </c>
      <c r="H46" s="183">
        <v>7.7157873849097322E-2</v>
      </c>
      <c r="J46" s="183">
        <v>7.7157874000793561E-2</v>
      </c>
      <c r="L46" s="183">
        <v>7.7157875136038778E-2</v>
      </c>
      <c r="N46" s="183">
        <v>7.7157874221106496E-2</v>
      </c>
      <c r="P46" s="183">
        <v>7.715787320442058E-2</v>
      </c>
      <c r="R46" s="183">
        <v>7.7157873907613375E-2</v>
      </c>
      <c r="T46" s="183">
        <v>7.7157874244961372E-2</v>
      </c>
      <c r="V46" s="183">
        <v>7.7157873122674761E-2</v>
      </c>
      <c r="X46" s="183">
        <v>7.7157871691470398E-2</v>
      </c>
      <c r="Z46" s="183">
        <v>7.7157873368870852E-2</v>
      </c>
      <c r="AB46" s="183">
        <v>7.7157873531940896E-2</v>
      </c>
      <c r="AD46" s="183" t="e">
        <v>#DIV/0!</v>
      </c>
      <c r="AF46" s="183" t="e">
        <v>#DIV/0!</v>
      </c>
      <c r="AH46" s="183" t="e">
        <v>#DIV/0!</v>
      </c>
      <c r="AJ46" s="183" t="e">
        <v>#DIV/0!</v>
      </c>
      <c r="AL46" s="183" t="e">
        <v>#DIV/0!</v>
      </c>
      <c r="AN46" s="183" t="e">
        <v>#DIV/0!</v>
      </c>
      <c r="AP46" s="183" t="e">
        <v>#DIV/0!</v>
      </c>
      <c r="AR46" s="183" t="e">
        <v>#DIV/0!</v>
      </c>
      <c r="AT46" s="183" t="e">
        <v>#DIV/0!</v>
      </c>
      <c r="AV46" s="183" t="e">
        <v>#DIV/0!</v>
      </c>
      <c r="XCS46" s="183"/>
    </row>
    <row r="48" spans="1:49 16319:16384" x14ac:dyDescent="0.2">
      <c r="A48" t="s">
        <v>143</v>
      </c>
      <c r="B48" s="181">
        <v>1</v>
      </c>
      <c r="C48" s="181"/>
      <c r="D48" s="181">
        <v>0.98004551265407069</v>
      </c>
      <c r="E48" s="181"/>
      <c r="F48" s="181">
        <v>0.95775907902785751</v>
      </c>
      <c r="G48" s="181"/>
      <c r="H48" s="181">
        <v>0.9328900762746889</v>
      </c>
      <c r="I48" s="181"/>
      <c r="J48" s="181">
        <v>0.9051755332140009</v>
      </c>
      <c r="K48" s="181"/>
      <c r="L48" s="181">
        <v>0.87435188655721929</v>
      </c>
      <c r="M48" s="181"/>
      <c r="N48" s="181">
        <v>0.84017102700358193</v>
      </c>
      <c r="O48" s="181"/>
      <c r="P48" s="181">
        <v>0.80243005263976996</v>
      </c>
      <c r="Q48" s="181"/>
      <c r="R48" s="181">
        <v>0.7610187608253689</v>
      </c>
      <c r="S48" s="181"/>
      <c r="T48" s="181">
        <v>0.71600554039298303</v>
      </c>
      <c r="U48" s="181"/>
      <c r="V48" s="181">
        <v>0.66782422734426772</v>
      </c>
      <c r="W48" s="181"/>
      <c r="X48" s="181">
        <v>0.61780633120367301</v>
      </c>
      <c r="Y48" s="181"/>
      <c r="Z48" s="181">
        <v>0.57032252839562636</v>
      </c>
      <c r="AA48" s="181"/>
      <c r="AB48" s="181">
        <v>0.54000706575049928</v>
      </c>
      <c r="AC48" s="181"/>
      <c r="AD48" s="181">
        <v>0</v>
      </c>
      <c r="AE48" s="181"/>
      <c r="AF48" s="181">
        <v>0</v>
      </c>
      <c r="AG48" s="181"/>
      <c r="AH48" s="181">
        <v>0</v>
      </c>
      <c r="AI48" s="181"/>
      <c r="AJ48" s="181">
        <v>0</v>
      </c>
      <c r="AK48" s="181"/>
      <c r="AL48" s="181">
        <v>0</v>
      </c>
      <c r="AM48" s="181"/>
      <c r="AN48" s="181">
        <v>0</v>
      </c>
      <c r="AO48" s="181"/>
      <c r="AP48" s="181">
        <v>0</v>
      </c>
      <c r="AQ48" s="181"/>
      <c r="AR48" s="181">
        <v>0</v>
      </c>
      <c r="AS48" s="181"/>
      <c r="AT48" s="181">
        <v>0</v>
      </c>
      <c r="AU48" s="181"/>
      <c r="AV48" s="181">
        <v>0</v>
      </c>
    </row>
    <row r="49" spans="1:48 16321:16384" x14ac:dyDescent="0.2">
      <c r="A49" t="s">
        <v>144</v>
      </c>
      <c r="B49" s="181">
        <v>1</v>
      </c>
      <c r="C49" s="181"/>
      <c r="D49" s="181">
        <v>0.9999999986136987</v>
      </c>
      <c r="E49" s="181"/>
      <c r="F49" s="181">
        <v>0.9999999988718038</v>
      </c>
      <c r="G49" s="181"/>
      <c r="H49" s="181">
        <v>1.0000000002533016</v>
      </c>
      <c r="I49" s="181"/>
      <c r="J49" s="181">
        <v>1.0000000002913059</v>
      </c>
      <c r="K49" s="181"/>
      <c r="L49" s="181">
        <v>1.000000000702451</v>
      </c>
      <c r="M49" s="181"/>
      <c r="N49" s="181">
        <v>1.0000000002286442</v>
      </c>
      <c r="O49" s="181"/>
      <c r="P49" s="181">
        <v>0.9999999998064345</v>
      </c>
      <c r="Q49" s="181"/>
      <c r="R49" s="181">
        <v>1.000000000120729</v>
      </c>
      <c r="S49" s="181"/>
      <c r="T49" s="181">
        <v>1.0000000003058087</v>
      </c>
      <c r="U49" s="181"/>
      <c r="V49" s="181">
        <v>1.0000000001554239</v>
      </c>
      <c r="W49" s="181"/>
      <c r="X49" s="181">
        <v>1.0000000000759499</v>
      </c>
      <c r="Y49" s="181"/>
      <c r="Z49" s="181">
        <v>0.9999999999645478</v>
      </c>
      <c r="AA49" s="181"/>
      <c r="AB49" s="181">
        <v>0.99999999998826428</v>
      </c>
      <c r="AC49" s="181"/>
      <c r="AD49" s="181" t="e">
        <v>#DIV/0!</v>
      </c>
      <c r="AE49" s="181"/>
      <c r="AF49" s="181" t="e">
        <v>#DIV/0!</v>
      </c>
      <c r="AG49" s="181"/>
      <c r="AH49" s="181" t="e">
        <v>#DIV/0!</v>
      </c>
      <c r="AI49" s="181"/>
      <c r="AJ49" s="181" t="e">
        <v>#DIV/0!</v>
      </c>
      <c r="AK49" s="181"/>
      <c r="AL49" s="181" t="e">
        <v>#DIV/0!</v>
      </c>
      <c r="AM49" s="181"/>
      <c r="AN49" s="181" t="e">
        <v>#DIV/0!</v>
      </c>
      <c r="AO49" s="181"/>
      <c r="AP49" s="181" t="e">
        <v>#DIV/0!</v>
      </c>
      <c r="AQ49" s="181"/>
      <c r="AR49" s="181" t="e">
        <v>#DIV/0!</v>
      </c>
      <c r="AS49" s="181"/>
      <c r="AT49" s="181" t="e">
        <v>#DIV/0!</v>
      </c>
      <c r="AU49" s="181"/>
      <c r="AV49" s="181" t="e">
        <v>#DIV/0!</v>
      </c>
    </row>
    <row r="51" spans="1:48 16321:16384" x14ac:dyDescent="0.2">
      <c r="A51" t="s">
        <v>150</v>
      </c>
      <c r="B51" s="27">
        <v>-405838.32800000021</v>
      </c>
      <c r="D51" s="27">
        <v>-397392.00915373163</v>
      </c>
      <c r="F51" s="27">
        <v>-388028.60953607922</v>
      </c>
      <c r="H51" s="27">
        <v>-377649.55625114217</v>
      </c>
      <c r="J51" s="27">
        <v>-366150.55065174215</v>
      </c>
      <c r="L51" s="27">
        <v>-353427.7544209254</v>
      </c>
      <c r="N51" s="27">
        <v>-339381.97751648678</v>
      </c>
      <c r="P51" s="27">
        <v>-323931.44011663506</v>
      </c>
      <c r="R51" s="27">
        <v>-307028.87738454342</v>
      </c>
      <c r="T51" s="27">
        <v>-288692.60098624974</v>
      </c>
      <c r="V51" s="27">
        <v>-269075.82133533945</v>
      </c>
      <c r="X51" s="27">
        <v>-248659.40299929748</v>
      </c>
      <c r="Z51" s="27">
        <v>-229018.67311885604</v>
      </c>
      <c r="AB51" s="27">
        <v>-215337.0831881389</v>
      </c>
      <c r="AD51" s="27">
        <v>0</v>
      </c>
      <c r="AF51" s="27">
        <v>0</v>
      </c>
      <c r="AH51" s="27">
        <v>0</v>
      </c>
      <c r="AJ51" s="27">
        <v>0</v>
      </c>
      <c r="AL51" s="27">
        <v>0</v>
      </c>
      <c r="AN51" s="27">
        <v>0</v>
      </c>
      <c r="AP51" s="27">
        <v>0</v>
      </c>
      <c r="AQ51" s="27"/>
      <c r="AR51" s="27">
        <v>0</v>
      </c>
      <c r="AT51" s="27">
        <v>0</v>
      </c>
      <c r="AV51" s="27">
        <v>0</v>
      </c>
      <c r="XFD51" s="27"/>
    </row>
    <row r="52" spans="1:48 16321:16384" x14ac:dyDescent="0.2">
      <c r="A52" t="s">
        <v>151</v>
      </c>
      <c r="B52" s="27">
        <v>2073093.0976150823</v>
      </c>
      <c r="D52" s="27">
        <v>1995958.684333578</v>
      </c>
      <c r="F52" s="27">
        <v>1915812.6285870387</v>
      </c>
      <c r="H52" s="27">
        <v>1832524.9430852705</v>
      </c>
      <c r="J52" s="27">
        <v>1745989.360411169</v>
      </c>
      <c r="L52" s="27">
        <v>1656140.1561371409</v>
      </c>
      <c r="N52" s="27">
        <v>1562975.5973063156</v>
      </c>
      <c r="P52" s="27">
        <v>1466594.7647149162</v>
      </c>
      <c r="R52" s="27">
        <v>1367259.7364522386</v>
      </c>
      <c r="T52" s="27">
        <v>1265516.8209282521</v>
      </c>
      <c r="V52" s="27">
        <v>1162487.3827163263</v>
      </c>
      <c r="X52" s="27">
        <v>1060775.5492874316</v>
      </c>
      <c r="Z52" s="27">
        <v>968282.50657279824</v>
      </c>
      <c r="AB52" s="27">
        <v>911100.19335147273</v>
      </c>
      <c r="AD52" s="27">
        <v>0</v>
      </c>
      <c r="AF52" s="27">
        <v>0</v>
      </c>
      <c r="AH52" s="27">
        <v>0</v>
      </c>
      <c r="AJ52" s="27">
        <v>0</v>
      </c>
      <c r="AL52" s="27">
        <v>0</v>
      </c>
      <c r="AN52" s="27">
        <v>0</v>
      </c>
      <c r="AP52" s="27">
        <v>0</v>
      </c>
      <c r="AQ52" s="27"/>
      <c r="AR52" s="27">
        <v>0</v>
      </c>
      <c r="AT52" s="27">
        <v>0</v>
      </c>
      <c r="AV52" s="27">
        <v>0</v>
      </c>
    </row>
    <row r="53" spans="1:48 16321:16384" x14ac:dyDescent="0.2">
      <c r="A53" t="s">
        <v>152</v>
      </c>
      <c r="B53" s="27">
        <v>2716869.1663849424</v>
      </c>
      <c r="D53" s="27">
        <v>2694315.9682423705</v>
      </c>
      <c r="F53" s="27">
        <v>2663949.2056328682</v>
      </c>
      <c r="H53" s="27">
        <v>2624735.0762104238</v>
      </c>
      <c r="J53" s="27">
        <v>2575552.0203320207</v>
      </c>
      <c r="L53" s="27">
        <v>2515238.0713584395</v>
      </c>
      <c r="N53" s="27">
        <v>2442626.2015595757</v>
      </c>
      <c r="P53" s="27">
        <v>2356650.4723735475</v>
      </c>
      <c r="R53" s="27">
        <v>2256490.4564528777</v>
      </c>
      <c r="T53" s="27">
        <v>2141817.2150019733</v>
      </c>
      <c r="V53" s="27">
        <v>2013316.6699848613</v>
      </c>
      <c r="X53" s="27">
        <v>1874060.5433237485</v>
      </c>
      <c r="Z53" s="27">
        <v>1734741.6515486927</v>
      </c>
      <c r="AB53" s="27">
        <v>1630445.1001720466</v>
      </c>
      <c r="AD53" s="27">
        <v>0</v>
      </c>
      <c r="AF53" s="27">
        <v>0</v>
      </c>
      <c r="AH53" s="27">
        <v>0</v>
      </c>
      <c r="AJ53" s="27">
        <v>0</v>
      </c>
      <c r="AL53" s="27">
        <v>0</v>
      </c>
      <c r="AN53" s="27">
        <v>0</v>
      </c>
      <c r="AP53" s="27">
        <v>0</v>
      </c>
      <c r="AQ53" s="27"/>
      <c r="AR53" s="27">
        <v>0</v>
      </c>
      <c r="AT53" s="27">
        <v>0</v>
      </c>
      <c r="AV53" s="27">
        <v>0</v>
      </c>
      <c r="XFD53" s="27"/>
    </row>
    <row r="55" spans="1:48 16321:16384" x14ac:dyDescent="0.2">
      <c r="A55" t="s">
        <v>153</v>
      </c>
      <c r="B55" s="183">
        <v>0.19850271905982084</v>
      </c>
      <c r="D55" s="183">
        <v>0.1985027334377206</v>
      </c>
      <c r="F55" s="183">
        <v>0.19850273514104433</v>
      </c>
      <c r="H55" s="183">
        <v>0.19850271419356028</v>
      </c>
      <c r="J55" s="183">
        <v>0.19850271267636377</v>
      </c>
      <c r="L55" s="183">
        <v>0.19850270084164348</v>
      </c>
      <c r="N55" s="183">
        <v>0.19850271193501126</v>
      </c>
      <c r="P55" s="183">
        <v>0.19850272588524634</v>
      </c>
      <c r="R55" s="183">
        <v>0.1985027135579949</v>
      </c>
      <c r="T55" s="183">
        <v>0.19850270328158218</v>
      </c>
      <c r="V55" s="183">
        <v>0.19850270987013546</v>
      </c>
      <c r="X55" s="183">
        <v>0.1985027230200217</v>
      </c>
      <c r="Z55" s="183">
        <v>0.19850271901600142</v>
      </c>
      <c r="AB55" s="183">
        <v>0.1985027190815418</v>
      </c>
      <c r="AD55" s="183" t="e">
        <v>#DIV/0!</v>
      </c>
      <c r="AF55" s="183" t="e">
        <v>#DIV/0!</v>
      </c>
      <c r="AH55" s="183" t="e">
        <v>#DIV/0!</v>
      </c>
      <c r="AJ55" s="183" t="e">
        <v>#DIV/0!</v>
      </c>
      <c r="AL55" s="183" t="e">
        <v>#DIV/0!</v>
      </c>
      <c r="AN55" s="183" t="e">
        <v>#DIV/0!</v>
      </c>
      <c r="AP55" s="183" t="e">
        <v>#DIV/0!</v>
      </c>
      <c r="AR55" s="183" t="e">
        <v>#DIV/0!</v>
      </c>
      <c r="AT55" s="183" t="e">
        <v>#DIV/0!</v>
      </c>
      <c r="AV55" s="183" t="e">
        <v>#DIV/0!</v>
      </c>
      <c r="XCS55" s="183"/>
      <c r="XFD55" s="183"/>
    </row>
    <row r="56" spans="1:48 16321:16384" x14ac:dyDescent="0.2">
      <c r="A56" t="s">
        <v>154</v>
      </c>
      <c r="B56" s="183">
        <v>2.9221206744340551E-2</v>
      </c>
      <c r="D56" s="183">
        <v>3.1924419830243814E-2</v>
      </c>
      <c r="F56" s="183">
        <v>3.4620873217517299E-2</v>
      </c>
      <c r="H56" s="183">
        <v>3.7300580848152277E-2</v>
      </c>
      <c r="J56" s="183">
        <v>3.9951069156952346E-2</v>
      </c>
      <c r="L56" s="183">
        <v>4.2557004904737024E-2</v>
      </c>
      <c r="N56" s="183">
        <v>4.509964072828633E-2</v>
      </c>
      <c r="P56" s="183">
        <v>4.7556280713142288E-2</v>
      </c>
      <c r="R56" s="183">
        <v>4.989931158231653E-2</v>
      </c>
      <c r="T56" s="183">
        <v>5.2094060725427382E-2</v>
      </c>
      <c r="V56" s="183">
        <v>5.4092732787675533E-2</v>
      </c>
      <c r="X56" s="183">
        <v>5.5812389475094475E-2</v>
      </c>
      <c r="Z56" s="183">
        <v>5.7033832995767988E-2</v>
      </c>
      <c r="AB56" s="183">
        <v>5.7019584195403233E-2</v>
      </c>
      <c r="AD56" s="183" t="e">
        <v>#DIV/0!</v>
      </c>
      <c r="AF56" s="183" t="e">
        <v>#DIV/0!</v>
      </c>
      <c r="AH56" s="183" t="e">
        <v>#DIV/0!</v>
      </c>
      <c r="AJ56" s="183" t="e">
        <v>#DIV/0!</v>
      </c>
      <c r="AL56" s="183" t="e">
        <v>#DIV/0!</v>
      </c>
      <c r="AN56" s="183" t="e">
        <v>#DIV/0!</v>
      </c>
      <c r="AP56" s="183" t="e">
        <v>#DIV/0!</v>
      </c>
      <c r="AR56" s="183" t="e">
        <v>#DIV/0!</v>
      </c>
      <c r="AT56" s="183" t="e">
        <v>#DIV/0!</v>
      </c>
      <c r="AV56" s="183" t="e">
        <v>#DIV/0!</v>
      </c>
      <c r="XFD56" s="183"/>
    </row>
    <row r="57" spans="1:48 16321:16384" x14ac:dyDescent="0.2">
      <c r="A57" t="s">
        <v>155</v>
      </c>
      <c r="B57" s="183">
        <v>0.15852881819439493</v>
      </c>
      <c r="D57" s="183">
        <v>0.15587435417004364</v>
      </c>
      <c r="F57" s="183">
        <v>0.15322566225668297</v>
      </c>
      <c r="H57" s="183">
        <v>0.15059254370288042</v>
      </c>
      <c r="J57" s="183">
        <v>0.14798731083117045</v>
      </c>
      <c r="L57" s="183">
        <v>0.14542504268717099</v>
      </c>
      <c r="N57" s="183">
        <v>0.14292427910749206</v>
      </c>
      <c r="P57" s="183">
        <v>0.14050746468140096</v>
      </c>
      <c r="R57" s="183">
        <v>0.13820201122872783</v>
      </c>
      <c r="T57" s="183">
        <v>0.13604262210556492</v>
      </c>
      <c r="V57" s="183">
        <v>0.13407758987539134</v>
      </c>
      <c r="X57" s="183">
        <v>0.13239178209906385</v>
      </c>
      <c r="Y57" s="183"/>
      <c r="Z57" s="183">
        <v>0.13121203429399961</v>
      </c>
      <c r="AB57" s="183">
        <v>0.13130757742450141</v>
      </c>
      <c r="AD57" s="183" t="e">
        <v>#DIV/0!</v>
      </c>
      <c r="AF57" s="183" t="e">
        <v>#DIV/0!</v>
      </c>
      <c r="AH57" s="183" t="e">
        <v>#DIV/0!</v>
      </c>
      <c r="AJ57" s="183" t="e">
        <v>#DIV/0!</v>
      </c>
      <c r="AL57" s="183" t="e">
        <v>#DIV/0!</v>
      </c>
      <c r="AN57" s="183" t="e">
        <v>#DIV/0!</v>
      </c>
      <c r="AP57" s="183" t="e">
        <v>#DIV/0!</v>
      </c>
      <c r="AR57" s="183" t="e">
        <v>#DIV/0!</v>
      </c>
      <c r="AT57" s="183" t="e">
        <v>#DIV/0!</v>
      </c>
      <c r="AV57" s="183" t="e">
        <v>#DIV/0!</v>
      </c>
      <c r="XFD57" s="183"/>
    </row>
    <row r="58" spans="1:48 16321:16384" x14ac:dyDescent="0.2">
      <c r="A58" t="s">
        <v>156</v>
      </c>
      <c r="B58" s="183">
        <v>1.075269412108535E-2</v>
      </c>
      <c r="D58" s="183">
        <v>1.0703959437433182E-2</v>
      </c>
      <c r="F58" s="183">
        <v>1.0656199666844075E-2</v>
      </c>
      <c r="H58" s="183">
        <v>1.0609589642527575E-2</v>
      </c>
      <c r="J58" s="183">
        <v>1.056433268824097E-2</v>
      </c>
      <c r="L58" s="183">
        <v>1.0520653249735506E-2</v>
      </c>
      <c r="N58" s="183">
        <v>1.0478792099232902E-2</v>
      </c>
      <c r="P58" s="183">
        <v>1.043898049070309E-2</v>
      </c>
      <c r="R58" s="183">
        <v>1.040139074695055E-2</v>
      </c>
      <c r="T58" s="183">
        <v>1.0366020450589901E-2</v>
      </c>
      <c r="V58" s="183">
        <v>1.0332387207068595E-2</v>
      </c>
      <c r="X58" s="183">
        <v>1.0298551445863374E-2</v>
      </c>
      <c r="Y58" s="183"/>
      <c r="Z58" s="183">
        <v>1.02568517262338E-2</v>
      </c>
      <c r="AB58" s="183">
        <v>1.017555746163713E-2</v>
      </c>
      <c r="AD58" s="183" t="e">
        <v>#DIV/0!</v>
      </c>
      <c r="AF58" s="183" t="e">
        <v>#DIV/0!</v>
      </c>
      <c r="AH58" s="183" t="e">
        <v>#DIV/0!</v>
      </c>
      <c r="AJ58" s="183" t="e">
        <v>#DIV/0!</v>
      </c>
      <c r="AL58" s="183" t="e">
        <v>#DIV/0!</v>
      </c>
      <c r="AN58" s="183" t="e">
        <v>#DIV/0!</v>
      </c>
      <c r="AP58" s="183" t="e">
        <v>#DIV/0!</v>
      </c>
      <c r="AR58" s="183" t="e">
        <v>#DIV/0!</v>
      </c>
      <c r="AT58" s="183" t="e">
        <v>#DIV/0!</v>
      </c>
      <c r="AV58" s="183" t="e">
        <v>#DIV/0!</v>
      </c>
      <c r="XFD58" s="183"/>
    </row>
    <row r="59" spans="1:48 16321:16384" x14ac:dyDescent="0.2">
      <c r="A59" t="s">
        <v>157</v>
      </c>
      <c r="B59" s="183">
        <v>5.5174232040962052E-4</v>
      </c>
      <c r="D59" s="183">
        <v>3.2884620604164741E-3</v>
      </c>
      <c r="F59" s="183">
        <v>6.0179840063376922E-3</v>
      </c>
      <c r="H59" s="183">
        <v>8.7302051745466683E-3</v>
      </c>
      <c r="J59" s="183">
        <v>1.1412512018617968E-2</v>
      </c>
      <c r="L59" s="183">
        <v>1.4049409203720933E-2</v>
      </c>
      <c r="N59" s="183">
        <v>1.6621964650664112E-2</v>
      </c>
      <c r="P59" s="183">
        <v>1.9107283448235146E-2</v>
      </c>
      <c r="R59" s="183">
        <v>2.1477555455500993E-2</v>
      </c>
      <c r="T59" s="183">
        <v>2.3697952089403063E-2</v>
      </c>
      <c r="V59" s="183">
        <v>2.5720660360565691E-2</v>
      </c>
      <c r="X59" s="183">
        <v>2.7463132415683583E-2</v>
      </c>
      <c r="Z59" s="183">
        <v>2.8707830378677839E-2</v>
      </c>
      <c r="AB59" s="183">
        <v>2.8720104680835232E-2</v>
      </c>
      <c r="AD59" s="183" t="e">
        <v>#DIV/0!</v>
      </c>
      <c r="AF59" s="183" t="e">
        <v>#DIV/0!</v>
      </c>
      <c r="AH59" s="183" t="e">
        <v>#DIV/0!</v>
      </c>
      <c r="AJ59" s="183" t="e">
        <v>#DIV/0!</v>
      </c>
      <c r="AL59" s="183" t="e">
        <v>#DIV/0!</v>
      </c>
      <c r="AN59" s="183" t="e">
        <v>#DIV/0!</v>
      </c>
      <c r="AP59" s="183" t="e">
        <v>#DIV/0!</v>
      </c>
      <c r="AR59" s="183" t="e">
        <v>#DIV/0!</v>
      </c>
      <c r="AT59" s="183" t="e">
        <v>#DIV/0!</v>
      </c>
      <c r="AV59" s="183" t="e">
        <v>#DIV/0!</v>
      </c>
      <c r="XFD59" s="183"/>
    </row>
    <row r="60" spans="1:48 16321:16384" x14ac:dyDescent="0.2">
      <c r="A60" t="s">
        <v>158</v>
      </c>
      <c r="B60" s="183">
        <v>2.8669464423930927E-2</v>
      </c>
      <c r="D60" s="183">
        <v>2.8635957769827341E-2</v>
      </c>
      <c r="F60" s="183">
        <v>2.8602889211179608E-2</v>
      </c>
      <c r="H60" s="183">
        <v>2.8570375673605611E-2</v>
      </c>
      <c r="J60" s="183">
        <v>2.8538557138334371E-2</v>
      </c>
      <c r="L60" s="183">
        <v>2.8507595701016089E-2</v>
      </c>
      <c r="N60" s="183">
        <v>2.8477676077622222E-2</v>
      </c>
      <c r="P60" s="183">
        <v>2.8448997264907142E-2</v>
      </c>
      <c r="R60" s="183">
        <v>2.8421756126815537E-2</v>
      </c>
      <c r="T60" s="183">
        <v>2.8396108636024323E-2</v>
      </c>
      <c r="V60" s="183">
        <v>2.8372072427109842E-2</v>
      </c>
      <c r="X60" s="183">
        <v>2.8349257059410892E-2</v>
      </c>
      <c r="Z60" s="183">
        <v>2.8326002617090146E-2</v>
      </c>
      <c r="AB60" s="183">
        <v>2.8299479514568002E-2</v>
      </c>
      <c r="AD60" s="183" t="e">
        <v>#DIV/0!</v>
      </c>
      <c r="AF60" s="183" t="e">
        <v>#DIV/0!</v>
      </c>
      <c r="AH60" s="183" t="e">
        <v>#DIV/0!</v>
      </c>
      <c r="AJ60" s="183" t="e">
        <v>#DIV/0!</v>
      </c>
      <c r="AL60" s="183" t="e">
        <v>#DIV/0!</v>
      </c>
      <c r="AN60" s="183" t="e">
        <v>#DIV/0!</v>
      </c>
      <c r="AP60" s="183" t="e">
        <v>#DIV/0!</v>
      </c>
      <c r="AR60" s="183" t="e">
        <v>#DIV/0!</v>
      </c>
      <c r="AT60" s="183" t="e">
        <v>#DIV/0!</v>
      </c>
      <c r="AV60" s="183" t="e">
        <v>#DIV/0!</v>
      </c>
      <c r="XFD60" s="183"/>
    </row>
    <row r="62" spans="1:48 16321:16384" x14ac:dyDescent="0.2">
      <c r="A62" t="s">
        <v>159</v>
      </c>
      <c r="B62">
        <v>1</v>
      </c>
      <c r="D62">
        <v>1.009725116947682</v>
      </c>
      <c r="F62">
        <v>1.0226826431798506</v>
      </c>
      <c r="H62">
        <v>1.0395053992711649</v>
      </c>
      <c r="J62">
        <v>1.0609962002304458</v>
      </c>
      <c r="L62">
        <v>1.0881756500062116</v>
      </c>
      <c r="N62">
        <v>1.1223537513608783</v>
      </c>
      <c r="P62">
        <v>1.1652141100359588</v>
      </c>
      <c r="R62">
        <v>1.2189182327745398</v>
      </c>
      <c r="T62">
        <v>1.286195352557663</v>
      </c>
      <c r="V62">
        <v>1.3702600908758107</v>
      </c>
      <c r="X62">
        <v>1.4738205108609153</v>
      </c>
      <c r="Z62">
        <v>1.5930335770523032</v>
      </c>
      <c r="AB62">
        <v>1.6921208474691536</v>
      </c>
      <c r="AD62" t="e">
        <v>#DIV/0!</v>
      </c>
      <c r="AF62" t="e">
        <v>#DIV/0!</v>
      </c>
      <c r="AH62" t="e">
        <v>#DIV/0!</v>
      </c>
      <c r="AJ62" t="e">
        <v>#DIV/0!</v>
      </c>
      <c r="AL62" t="e">
        <v>#DIV/0!</v>
      </c>
      <c r="AN62" t="e">
        <v>#DIV/0!</v>
      </c>
      <c r="AP62" t="e">
        <v>#DIV/0!</v>
      </c>
      <c r="AR62" t="e">
        <v>#DIV/0!</v>
      </c>
      <c r="AT62" t="e">
        <v>#DIV/0!</v>
      </c>
      <c r="AV62" t="e">
        <v>#DIV/0!</v>
      </c>
    </row>
    <row r="65" spans="1:48 16384:16384" x14ac:dyDescent="0.2">
      <c r="A65" t="s">
        <v>160</v>
      </c>
      <c r="B65" s="181">
        <v>1</v>
      </c>
      <c r="C65" s="181"/>
      <c r="D65" s="181">
        <v>0.99920455468852121</v>
      </c>
      <c r="E65" s="181"/>
      <c r="F65" s="181">
        <v>0.99844069710883798</v>
      </c>
      <c r="G65" s="181"/>
      <c r="H65" s="181">
        <v>0.99771149713809681</v>
      </c>
      <c r="I65" s="181"/>
      <c r="J65" s="181">
        <v>0.99702005994463361</v>
      </c>
      <c r="K65" s="181"/>
      <c r="L65" s="181">
        <v>0.99636899043547389</v>
      </c>
      <c r="M65" s="181"/>
      <c r="N65" s="181">
        <v>0.9957592862847221</v>
      </c>
      <c r="O65" s="181"/>
      <c r="P65" s="181">
        <v>0.99518808657407776</v>
      </c>
      <c r="Q65" s="181"/>
      <c r="R65" s="181">
        <v>0.99464381724345985</v>
      </c>
      <c r="S65" s="181"/>
      <c r="T65" s="181">
        <v>0.99409492451715231</v>
      </c>
      <c r="U65" s="181"/>
      <c r="V65" s="181">
        <v>0.99345988841218091</v>
      </c>
      <c r="W65" s="181"/>
      <c r="X65" s="181">
        <v>0.99250933477212966</v>
      </c>
      <c r="Y65" s="181"/>
      <c r="Z65" s="181">
        <v>0.99044351465367797</v>
      </c>
      <c r="AA65" s="181"/>
      <c r="AB65" s="181">
        <v>0.98424724852151957</v>
      </c>
      <c r="AC65" s="181"/>
      <c r="AD65" s="181" t="e">
        <v>#DIV/0!</v>
      </c>
      <c r="AE65" s="181"/>
      <c r="AF65" s="181" t="e">
        <v>#DIV/0!</v>
      </c>
      <c r="AG65" s="181"/>
      <c r="AH65" s="181" t="e">
        <v>#DIV/0!</v>
      </c>
      <c r="AI65" s="181"/>
      <c r="AJ65" s="181" t="e">
        <v>#DIV/0!</v>
      </c>
      <c r="AK65" s="181"/>
      <c r="AL65" s="181" t="e">
        <v>#DIV/0!</v>
      </c>
      <c r="AM65" s="181"/>
      <c r="AN65" s="181" t="e">
        <v>#DIV/0!</v>
      </c>
      <c r="AO65" s="181"/>
      <c r="AP65" s="181" t="e">
        <v>#DIV/0!</v>
      </c>
      <c r="AQ65" s="181"/>
      <c r="AR65" s="181" t="e">
        <v>#DIV/0!</v>
      </c>
      <c r="AS65" s="181"/>
      <c r="AT65" s="181" t="e">
        <v>#DIV/0!</v>
      </c>
      <c r="AU65" s="181"/>
      <c r="AV65" s="181" t="e">
        <v>#DIV/0!</v>
      </c>
    </row>
    <row r="66" spans="1:48 16384:16384" x14ac:dyDescent="0.2">
      <c r="A66" t="s">
        <v>166</v>
      </c>
      <c r="B66" s="181">
        <v>1</v>
      </c>
      <c r="C66" s="181"/>
      <c r="D66" s="181">
        <v>0.99912552163235957</v>
      </c>
      <c r="E66" s="181"/>
      <c r="F66" s="181">
        <v>0.99828527177747417</v>
      </c>
      <c r="G66" s="181"/>
      <c r="H66" s="181">
        <v>0.99748269145980462</v>
      </c>
      <c r="I66" s="181"/>
      <c r="J66" s="181">
        <v>0.99672126525759108</v>
      </c>
      <c r="K66" s="181"/>
      <c r="L66" s="181">
        <v>0.99600393010771293</v>
      </c>
      <c r="M66" s="181"/>
      <c r="N66" s="181">
        <v>0.99533185213742836</v>
      </c>
      <c r="O66" s="181"/>
      <c r="P66" s="181">
        <v>0.99470193783825767</v>
      </c>
      <c r="Q66" s="181"/>
      <c r="R66" s="181">
        <v>0.99410146641842068</v>
      </c>
      <c r="S66" s="181"/>
      <c r="T66" s="181">
        <v>0.99349562960957938</v>
      </c>
      <c r="U66" s="181"/>
      <c r="V66" s="181">
        <v>0.99279435370196933</v>
      </c>
      <c r="W66" s="181"/>
      <c r="X66" s="181">
        <v>0.99174389043976863</v>
      </c>
      <c r="Y66" s="181"/>
      <c r="Z66" s="181">
        <v>0.98945786792984725</v>
      </c>
      <c r="AA66" s="181"/>
      <c r="AB66" s="181">
        <v>0.9825763889861171</v>
      </c>
      <c r="AC66" s="181"/>
      <c r="AD66" s="181" t="e">
        <v>#DIV/0!</v>
      </c>
      <c r="AE66" s="181"/>
      <c r="AF66" s="181" t="e">
        <v>#DIV/0!</v>
      </c>
      <c r="AG66" s="181"/>
      <c r="AH66" s="181" t="e">
        <v>#DIV/0!</v>
      </c>
      <c r="AI66" s="181"/>
      <c r="AJ66" s="181" t="e">
        <v>#DIV/0!</v>
      </c>
      <c r="AK66" s="181"/>
      <c r="AL66" s="181" t="e">
        <v>#DIV/0!</v>
      </c>
      <c r="AM66" s="181"/>
      <c r="AN66" s="181" t="e">
        <v>#DIV/0!</v>
      </c>
      <c r="AO66" s="181"/>
      <c r="AP66" s="181" t="e">
        <v>#DIV/0!</v>
      </c>
      <c r="AQ66" s="181"/>
      <c r="AR66" s="181" t="e">
        <v>#DIV/0!</v>
      </c>
      <c r="AS66" s="181"/>
      <c r="AT66" s="181" t="e">
        <v>#DIV/0!</v>
      </c>
      <c r="AU66" s="181"/>
      <c r="AV66" s="181" t="e">
        <v>#DIV/0!</v>
      </c>
      <c r="XFD66" s="181"/>
    </row>
    <row r="67" spans="1:48 16384:16384" x14ac:dyDescent="0.2">
      <c r="A67" t="s">
        <v>167</v>
      </c>
      <c r="B67" s="181">
        <v>1</v>
      </c>
      <c r="C67" s="181"/>
      <c r="D67" s="181">
        <v>1</v>
      </c>
      <c r="E67" s="181"/>
      <c r="F67" s="181">
        <v>1</v>
      </c>
      <c r="G67" s="181"/>
      <c r="H67" s="181">
        <v>1</v>
      </c>
      <c r="I67" s="181"/>
      <c r="J67" s="181">
        <v>1</v>
      </c>
      <c r="K67" s="181"/>
      <c r="L67" s="181">
        <v>1</v>
      </c>
      <c r="M67" s="181"/>
      <c r="N67" s="181">
        <v>1</v>
      </c>
      <c r="O67" s="181"/>
      <c r="P67" s="181">
        <v>1</v>
      </c>
      <c r="Q67" s="181"/>
      <c r="R67" s="181">
        <v>1</v>
      </c>
      <c r="S67" s="181"/>
      <c r="T67" s="181">
        <v>1</v>
      </c>
      <c r="U67" s="181"/>
      <c r="V67" s="181">
        <v>1</v>
      </c>
      <c r="W67" s="181"/>
      <c r="X67" s="181">
        <v>1</v>
      </c>
      <c r="Y67" s="181"/>
      <c r="Z67" s="181">
        <v>1</v>
      </c>
      <c r="AA67" s="181"/>
      <c r="AB67" s="181">
        <v>1</v>
      </c>
      <c r="AC67" s="181"/>
      <c r="AD67" s="181" t="e">
        <v>#DIV/0!</v>
      </c>
      <c r="AE67" s="181"/>
      <c r="AF67" s="181" t="e">
        <v>#DIV/0!</v>
      </c>
      <c r="AG67" s="181"/>
      <c r="AH67" s="181" t="e">
        <v>#DIV/0!</v>
      </c>
      <c r="AI67" s="181"/>
      <c r="AJ67" s="181" t="e">
        <v>#DIV/0!</v>
      </c>
      <c r="AK67" s="181"/>
      <c r="AL67" s="181" t="e">
        <v>#DIV/0!</v>
      </c>
      <c r="AM67" s="181"/>
      <c r="AN67" s="181" t="e">
        <v>#DIV/0!</v>
      </c>
      <c r="AO67" s="181"/>
      <c r="AP67" s="181" t="e">
        <v>#DIV/0!</v>
      </c>
      <c r="AQ67" s="181"/>
      <c r="AR67" s="181" t="e">
        <v>#DIV/0!</v>
      </c>
      <c r="AS67" s="181"/>
      <c r="AT67" s="181" t="e">
        <v>#DIV/0!</v>
      </c>
      <c r="AU67" s="181"/>
      <c r="AV67" s="181" t="e">
        <v>#DIV/0!</v>
      </c>
      <c r="XFD67" s="181"/>
    </row>
    <row r="68" spans="1:48 16384:16384" x14ac:dyDescent="0.2">
      <c r="A68" t="s">
        <v>165</v>
      </c>
      <c r="B68" s="181">
        <v>1</v>
      </c>
      <c r="C68" s="181"/>
      <c r="D68" s="181">
        <v>0.99912552163235957</v>
      </c>
      <c r="E68" s="181"/>
      <c r="F68" s="181">
        <v>0.99828527177747417</v>
      </c>
      <c r="G68" s="181"/>
      <c r="H68" s="181">
        <v>0.99748269145980462</v>
      </c>
      <c r="I68" s="181"/>
      <c r="J68" s="181">
        <v>0.99672126525759108</v>
      </c>
      <c r="K68" s="181"/>
      <c r="L68" s="181">
        <v>0.99600393010771293</v>
      </c>
      <c r="M68" s="181"/>
      <c r="N68" s="181">
        <v>0.99533185213742836</v>
      </c>
      <c r="O68" s="181"/>
      <c r="P68" s="181">
        <v>0.99470193783825767</v>
      </c>
      <c r="Q68" s="181"/>
      <c r="R68" s="181">
        <v>0.99410146641842068</v>
      </c>
      <c r="S68" s="181"/>
      <c r="T68" s="181">
        <v>0.99349562960957938</v>
      </c>
      <c r="U68" s="181"/>
      <c r="V68" s="181">
        <v>0.99279435370196933</v>
      </c>
      <c r="W68" s="181"/>
      <c r="X68" s="181">
        <v>0.99174389043976863</v>
      </c>
      <c r="Y68" s="181"/>
      <c r="Z68" s="181">
        <v>0.98945786792984725</v>
      </c>
      <c r="AA68" s="181"/>
      <c r="AB68" s="181">
        <v>0.9825763889861171</v>
      </c>
      <c r="AC68" s="181"/>
      <c r="AD68" s="181" t="e">
        <v>#DIV/0!</v>
      </c>
      <c r="AE68" s="181"/>
      <c r="AF68" s="181" t="e">
        <v>#DIV/0!</v>
      </c>
      <c r="AG68" s="181"/>
      <c r="AH68" s="181" t="e">
        <v>#DIV/0!</v>
      </c>
      <c r="AI68" s="181"/>
      <c r="AJ68" s="181" t="e">
        <v>#DIV/0!</v>
      </c>
      <c r="AK68" s="181"/>
      <c r="AL68" s="181" t="e">
        <v>#DIV/0!</v>
      </c>
      <c r="AM68" s="181"/>
      <c r="AN68" s="181" t="e">
        <v>#DIV/0!</v>
      </c>
      <c r="AO68" s="181"/>
      <c r="AP68" s="181" t="e">
        <v>#DIV/0!</v>
      </c>
      <c r="AQ68" s="181"/>
      <c r="AR68" s="181" t="e">
        <v>#DIV/0!</v>
      </c>
      <c r="AS68" s="181"/>
      <c r="AT68" s="181" t="e">
        <v>#DIV/0!</v>
      </c>
      <c r="AU68" s="181"/>
      <c r="AV68" s="181" t="e">
        <v>#DIV/0!</v>
      </c>
      <c r="XFD68" s="181"/>
    </row>
    <row r="69" spans="1:48 16384:16384" x14ac:dyDescent="0.2">
      <c r="A69" t="s">
        <v>161</v>
      </c>
      <c r="B69" s="181">
        <v>1</v>
      </c>
      <c r="C69" s="181"/>
      <c r="D69" s="181">
        <v>0.97996799359547548</v>
      </c>
      <c r="E69" s="181"/>
      <c r="F69" s="181">
        <v>0.95760998578911694</v>
      </c>
      <c r="G69" s="181"/>
      <c r="H69" s="181">
        <v>0.93267613660927551</v>
      </c>
      <c r="I69" s="181"/>
      <c r="J69" s="181">
        <v>0.90490426370501087</v>
      </c>
      <c r="K69" s="181"/>
      <c r="L69" s="181">
        <v>0.87403153309588333</v>
      </c>
      <c r="M69" s="181"/>
      <c r="N69" s="181">
        <v>0.83981038005887731</v>
      </c>
      <c r="O69" s="181"/>
      <c r="P69" s="181">
        <v>0.80203806566714453</v>
      </c>
      <c r="Q69" s="181"/>
      <c r="R69" s="181">
        <v>0.76060379933864342</v>
      </c>
      <c r="S69" s="181"/>
      <c r="T69" s="181">
        <v>0.71557389402514415</v>
      </c>
      <c r="U69" s="181"/>
      <c r="V69" s="181">
        <v>0.66737684231086891</v>
      </c>
      <c r="W69" s="181"/>
      <c r="X69" s="181">
        <v>0.61732986678662671</v>
      </c>
      <c r="Y69" s="181"/>
      <c r="Z69" s="181">
        <v>0.56975496805519199</v>
      </c>
      <c r="AA69" s="181"/>
      <c r="AB69" s="181">
        <v>0.53909034897400709</v>
      </c>
      <c r="AC69" s="181"/>
      <c r="AD69" s="181" t="e">
        <v>#DIV/0!</v>
      </c>
      <c r="AE69" s="181"/>
      <c r="AF69" s="181" t="e">
        <v>#DIV/0!</v>
      </c>
      <c r="AG69" s="181"/>
      <c r="AH69" s="181" t="e">
        <v>#DIV/0!</v>
      </c>
      <c r="AI69" s="181"/>
      <c r="AJ69" s="181" t="e">
        <v>#DIV/0!</v>
      </c>
      <c r="AK69" s="181"/>
      <c r="AL69" s="181" t="e">
        <v>#DIV/0!</v>
      </c>
      <c r="AM69" s="181"/>
      <c r="AN69" s="181" t="e">
        <v>#DIV/0!</v>
      </c>
      <c r="AO69" s="181"/>
      <c r="AP69" s="181" t="e">
        <v>#DIV/0!</v>
      </c>
      <c r="AQ69" s="181"/>
      <c r="AR69" s="181" t="e">
        <v>#DIV/0!</v>
      </c>
      <c r="AS69" s="181"/>
      <c r="AT69" s="181" t="e">
        <v>#DIV/0!</v>
      </c>
      <c r="AU69" s="181"/>
      <c r="AV69" s="181" t="e">
        <v>#DIV/0!</v>
      </c>
    </row>
    <row r="70" spans="1:48 16384:16384" x14ac:dyDescent="0.2">
      <c r="A70" t="s">
        <v>162</v>
      </c>
      <c r="B70" s="129">
        <v>1</v>
      </c>
      <c r="C70" s="129"/>
      <c r="D70" s="129">
        <v>0.9792428541882261</v>
      </c>
      <c r="E70" s="129"/>
      <c r="F70" s="129">
        <v>0.95619178319056364</v>
      </c>
      <c r="G70" s="129"/>
      <c r="H70" s="129">
        <v>0.93060488284533249</v>
      </c>
      <c r="I70" s="129"/>
      <c r="J70" s="129">
        <v>0.90222915371164036</v>
      </c>
      <c r="K70" s="129"/>
      <c r="L70" s="129">
        <v>0.87081223343346303</v>
      </c>
      <c r="M70" s="129"/>
      <c r="N70" s="129">
        <v>0.83611849587403209</v>
      </c>
      <c r="O70" s="129"/>
      <c r="P70" s="129">
        <v>0.79795868963724348</v>
      </c>
      <c r="Q70" s="129"/>
      <c r="R70" s="129">
        <v>0.75623745928531549</v>
      </c>
      <c r="S70" s="129"/>
      <c r="T70" s="129">
        <v>0.71103974089550881</v>
      </c>
      <c r="U70" s="129"/>
      <c r="V70" s="129">
        <v>0.66282006532910487</v>
      </c>
      <c r="W70" s="129"/>
      <c r="X70" s="129">
        <v>0.61294599224038404</v>
      </c>
      <c r="Y70" s="129"/>
      <c r="Z70" s="129">
        <v>0.56590016839882151</v>
      </c>
      <c r="AA70" s="129"/>
      <c r="AB70" s="129">
        <v>0.53684250775767584</v>
      </c>
      <c r="AC70" s="129"/>
      <c r="AD70" s="129">
        <v>0</v>
      </c>
      <c r="AE70" s="129"/>
      <c r="AF70" s="129">
        <v>0</v>
      </c>
      <c r="AG70" s="129"/>
      <c r="AH70" s="129">
        <v>0</v>
      </c>
      <c r="AI70" s="129"/>
      <c r="AJ70" s="129">
        <v>0</v>
      </c>
      <c r="AK70" s="129"/>
      <c r="AL70" s="129">
        <v>0</v>
      </c>
      <c r="AM70" s="129"/>
      <c r="AN70" s="129">
        <v>0</v>
      </c>
      <c r="AO70" s="129"/>
      <c r="AP70" s="129">
        <v>0</v>
      </c>
      <c r="AQ70" s="129"/>
      <c r="AR70" s="129">
        <v>0</v>
      </c>
      <c r="AS70" s="129"/>
      <c r="AT70" s="129">
        <v>0</v>
      </c>
      <c r="AU70" s="129"/>
      <c r="AV70" s="129">
        <v>0</v>
      </c>
    </row>
    <row r="71" spans="1:48 16384:16384" x14ac:dyDescent="0.2">
      <c r="A71" t="s">
        <v>163</v>
      </c>
      <c r="B71" s="129">
        <v>1</v>
      </c>
      <c r="D71" s="129">
        <v>0.93860559714880198</v>
      </c>
      <c r="E71" s="129"/>
      <c r="F71" s="129">
        <v>0.87831252950480065</v>
      </c>
      <c r="G71" s="129"/>
      <c r="H71" s="129">
        <v>0.81919560576911721</v>
      </c>
      <c r="I71" s="129"/>
      <c r="J71" s="129">
        <v>0.76132619817390901</v>
      </c>
      <c r="K71" s="129"/>
      <c r="L71" s="129">
        <v>0.70476369057263111</v>
      </c>
      <c r="M71" s="129"/>
      <c r="N71" s="129">
        <v>0.64954409396898283</v>
      </c>
      <c r="O71" s="129"/>
      <c r="P71" s="129">
        <v>0.59565918412408425</v>
      </c>
      <c r="Q71" s="129"/>
      <c r="R71" s="129">
        <v>0.54302077123380044</v>
      </c>
      <c r="S71" s="129"/>
      <c r="T71" s="129">
        <v>0.4913895511340543</v>
      </c>
      <c r="U71" s="129"/>
      <c r="V71" s="129">
        <v>0.44020475838745565</v>
      </c>
      <c r="W71" s="129"/>
      <c r="X71" s="129">
        <v>0.38805713154198496</v>
      </c>
      <c r="Y71" s="129"/>
      <c r="Z71" s="129">
        <v>0.33047128775231305</v>
      </c>
      <c r="AA71" s="129"/>
      <c r="AB71" s="129">
        <v>0.25217302343737308</v>
      </c>
      <c r="AC71" s="129"/>
      <c r="AD71" s="129">
        <v>0</v>
      </c>
      <c r="AE71" s="129"/>
      <c r="AF71" s="129">
        <v>0</v>
      </c>
      <c r="AG71" s="129"/>
      <c r="AH71" s="129">
        <v>0</v>
      </c>
      <c r="AI71" s="129"/>
      <c r="AJ71" s="129">
        <v>0</v>
      </c>
      <c r="AK71" s="129"/>
      <c r="AL71" s="129">
        <v>0</v>
      </c>
      <c r="AM71" s="129"/>
      <c r="AN71" s="129">
        <v>0</v>
      </c>
      <c r="AO71" s="129"/>
      <c r="AP71" s="129">
        <v>0</v>
      </c>
      <c r="AQ71" s="129"/>
      <c r="AR71" s="129">
        <v>0</v>
      </c>
      <c r="AS71" s="129"/>
      <c r="AT71" s="129">
        <v>0</v>
      </c>
      <c r="AU71" s="129"/>
      <c r="AV71" s="129">
        <v>0</v>
      </c>
      <c r="XFD71" s="129"/>
    </row>
    <row r="72" spans="1:48 16384:16384" x14ac:dyDescent="0.2">
      <c r="A72" t="s">
        <v>164</v>
      </c>
      <c r="B72" s="129">
        <v>1</v>
      </c>
      <c r="D72" s="129">
        <v>0.99205400444711722</v>
      </c>
      <c r="E72" s="129"/>
      <c r="F72" s="129">
        <v>0.98110389060349656</v>
      </c>
      <c r="G72" s="129"/>
      <c r="H72" s="129">
        <v>0.9666984479761126</v>
      </c>
      <c r="I72" s="129"/>
      <c r="J72" s="129">
        <v>0.94837549460601467</v>
      </c>
      <c r="K72" s="129"/>
      <c r="L72" s="129">
        <v>0.92569482609362674</v>
      </c>
      <c r="M72" s="129"/>
      <c r="N72" s="129">
        <v>0.89829784785733136</v>
      </c>
      <c r="O72" s="129"/>
      <c r="P72" s="129">
        <v>0.86600642305907261</v>
      </c>
      <c r="Q72" s="129"/>
      <c r="R72" s="129">
        <v>0.82900072010855885</v>
      </c>
      <c r="S72" s="129"/>
      <c r="T72" s="129">
        <v>0.78817053961396266</v>
      </c>
      <c r="U72" s="129"/>
      <c r="V72" s="129">
        <v>0.74595884545997126</v>
      </c>
      <c r="W72" s="129"/>
      <c r="X72" s="129">
        <v>0.70902741450000195</v>
      </c>
      <c r="Y72" s="129"/>
      <c r="Z72" s="129">
        <v>0.70013677583486789</v>
      </c>
      <c r="AA72" s="129"/>
      <c r="AB72" s="129">
        <v>0.80978581988468412</v>
      </c>
      <c r="AC72" s="129"/>
      <c r="AD72" s="129">
        <v>0</v>
      </c>
      <c r="AE72" s="129"/>
      <c r="AF72" s="129">
        <v>0</v>
      </c>
      <c r="AG72" s="129"/>
      <c r="AH72" s="129">
        <v>0</v>
      </c>
      <c r="AI72" s="129"/>
      <c r="AJ72" s="129">
        <v>0</v>
      </c>
      <c r="AK72" s="129"/>
      <c r="AL72" s="129">
        <v>0</v>
      </c>
      <c r="AM72" s="129"/>
      <c r="AN72" s="129">
        <v>0</v>
      </c>
      <c r="AO72" s="129"/>
      <c r="AP72" s="129">
        <v>0</v>
      </c>
      <c r="AQ72" s="129"/>
      <c r="AR72" s="129">
        <v>0</v>
      </c>
      <c r="AS72" s="129"/>
      <c r="AT72" s="129">
        <v>0</v>
      </c>
      <c r="AU72" s="129"/>
      <c r="AV72" s="129">
        <v>0</v>
      </c>
      <c r="XFD72" s="129"/>
    </row>
    <row r="73" spans="1:48 16384:16384" x14ac:dyDescent="0.2">
      <c r="A73" t="s">
        <v>168</v>
      </c>
      <c r="B73" s="183">
        <v>0.47641153352875076</v>
      </c>
      <c r="D73" s="183">
        <v>0.47641153923673307</v>
      </c>
      <c r="E73" s="129"/>
      <c r="F73" s="183">
        <v>0.47641153936383551</v>
      </c>
      <c r="G73" s="129"/>
      <c r="H73" s="183">
        <v>0.47641153336888004</v>
      </c>
      <c r="I73" s="129"/>
      <c r="J73" s="183">
        <v>0.47641153322450075</v>
      </c>
      <c r="K73" s="129"/>
      <c r="L73" s="183">
        <v>0.47641153220330928</v>
      </c>
      <c r="M73" s="129"/>
      <c r="N73" s="183">
        <v>0.47641153294636984</v>
      </c>
      <c r="O73" s="129"/>
      <c r="P73" s="183">
        <v>0.47641153378612677</v>
      </c>
      <c r="Q73" s="129"/>
      <c r="R73" s="183">
        <v>0.47641153327631702</v>
      </c>
      <c r="S73" s="129"/>
      <c r="T73" s="183">
        <v>0.47641153317179918</v>
      </c>
      <c r="U73" s="129"/>
      <c r="V73" s="183">
        <v>0.47641153435266786</v>
      </c>
      <c r="W73" s="129"/>
      <c r="X73" s="183">
        <v>0.47641153576218281</v>
      </c>
      <c r="Y73" s="129"/>
      <c r="Z73" s="183">
        <v>0.4764115337633828</v>
      </c>
      <c r="AA73" s="129"/>
      <c r="AB73" s="183">
        <v>0.47641153356756422</v>
      </c>
      <c r="AC73" s="129"/>
      <c r="AD73" s="183" t="e">
        <v>#DIV/0!</v>
      </c>
      <c r="AE73" s="129"/>
      <c r="AF73" s="183" t="e">
        <v>#DIV/0!</v>
      </c>
      <c r="AG73" s="129"/>
      <c r="AH73" s="183" t="e">
        <v>#DIV/0!</v>
      </c>
      <c r="AI73" s="129"/>
      <c r="AJ73" s="183" t="e">
        <v>#DIV/0!</v>
      </c>
      <c r="AK73" s="129"/>
      <c r="AL73" s="183" t="e">
        <v>#DIV/0!</v>
      </c>
      <c r="AM73" s="129"/>
      <c r="AN73" s="183" t="e">
        <v>#DIV/0!</v>
      </c>
      <c r="AO73" s="129"/>
      <c r="AP73" s="183" t="e">
        <v>#DIV/0!</v>
      </c>
      <c r="AQ73" s="129"/>
      <c r="AR73" s="183" t="e">
        <v>#DIV/0!</v>
      </c>
      <c r="AS73" s="129"/>
      <c r="AT73" s="183" t="e">
        <v>#DIV/0!</v>
      </c>
      <c r="AU73" s="129"/>
      <c r="AV73" s="183" t="e">
        <v>#DIV/0!</v>
      </c>
      <c r="XFD73" s="183"/>
    </row>
    <row r="74" spans="1:48 16384:16384" x14ac:dyDescent="0.2">
      <c r="A74" t="s">
        <v>169</v>
      </c>
      <c r="B74" s="183">
        <v>0.22604620456442484</v>
      </c>
      <c r="D74" s="183">
        <v>0.22604620456442484</v>
      </c>
      <c r="E74" s="129"/>
      <c r="F74" s="183">
        <v>0.22604620456442484</v>
      </c>
      <c r="G74" s="129"/>
      <c r="H74" s="183">
        <v>0.22604620456442484</v>
      </c>
      <c r="I74" s="129"/>
      <c r="J74" s="183">
        <v>0.22604620456442481</v>
      </c>
      <c r="K74" s="129"/>
      <c r="L74" s="183">
        <v>0.22604620456442484</v>
      </c>
      <c r="M74" s="129"/>
      <c r="N74" s="183">
        <v>0.22604620456442487</v>
      </c>
      <c r="O74" s="129"/>
      <c r="P74" s="183">
        <v>0.22604620456442487</v>
      </c>
      <c r="Q74" s="129"/>
      <c r="R74" s="183">
        <v>0.22604620456442484</v>
      </c>
      <c r="S74" s="129"/>
      <c r="T74" s="183">
        <v>0.22604620456442484</v>
      </c>
      <c r="U74" s="129"/>
      <c r="V74" s="183">
        <v>0.22604620456442484</v>
      </c>
      <c r="W74" s="129"/>
      <c r="X74" s="183">
        <v>0.22604620456442484</v>
      </c>
      <c r="Y74" s="129"/>
      <c r="Z74" s="183">
        <v>0.22604620456442484</v>
      </c>
      <c r="AA74" s="129"/>
      <c r="AB74" s="183">
        <v>0.22604620456442484</v>
      </c>
      <c r="AC74" s="129"/>
      <c r="AD74" s="183" t="e">
        <v>#DIV/0!</v>
      </c>
      <c r="AE74" s="129"/>
      <c r="AF74" s="183" t="e">
        <v>#DIV/0!</v>
      </c>
      <c r="AG74" s="129"/>
      <c r="AH74" s="183" t="e">
        <v>#DIV/0!</v>
      </c>
      <c r="AI74" s="129"/>
      <c r="AJ74" s="183" t="e">
        <v>#DIV/0!</v>
      </c>
      <c r="AK74" s="129"/>
      <c r="AL74" s="183" t="e">
        <v>#DIV/0!</v>
      </c>
      <c r="AM74" s="129"/>
      <c r="AN74" s="183" t="e">
        <v>#DIV/0!</v>
      </c>
      <c r="AO74" s="129"/>
      <c r="AP74" s="183" t="e">
        <v>#DIV/0!</v>
      </c>
      <c r="AQ74" s="129"/>
      <c r="AR74" s="183" t="e">
        <v>#DIV/0!</v>
      </c>
      <c r="AS74" s="129"/>
      <c r="AT74" s="183" t="e">
        <v>#DIV/0!</v>
      </c>
      <c r="AU74" s="129"/>
      <c r="AV74" s="183" t="e">
        <v>#DIV/0!</v>
      </c>
      <c r="XFD74" s="183"/>
    </row>
    <row r="75" spans="1:48 16384:16384" x14ac:dyDescent="0.2">
      <c r="A75" t="s">
        <v>170</v>
      </c>
      <c r="B75" s="183">
        <v>0.22038438833194082</v>
      </c>
      <c r="D75" s="183">
        <v>0.22038438864802257</v>
      </c>
      <c r="E75" s="129"/>
      <c r="F75" s="183">
        <v>0.22038438850135733</v>
      </c>
      <c r="G75" s="129"/>
      <c r="H75" s="183">
        <v>0.22038438821759773</v>
      </c>
      <c r="I75" s="129"/>
      <c r="J75" s="183">
        <v>0.22038438821028078</v>
      </c>
      <c r="K75" s="129"/>
      <c r="L75" s="183">
        <v>0.22038438809622737</v>
      </c>
      <c r="M75" s="129"/>
      <c r="N75" s="183">
        <v>0.22038438826809886</v>
      </c>
      <c r="O75" s="129"/>
      <c r="P75" s="183">
        <v>0.220384388445028</v>
      </c>
      <c r="Q75" s="129"/>
      <c r="R75" s="183">
        <v>0.22038438825164477</v>
      </c>
      <c r="S75" s="129"/>
      <c r="T75" s="183">
        <v>0.22038438801881466</v>
      </c>
      <c r="U75" s="129"/>
      <c r="V75" s="183">
        <v>0.22038438796023255</v>
      </c>
      <c r="W75" s="129"/>
      <c r="X75" s="183">
        <v>0.22038438798192189</v>
      </c>
      <c r="Y75" s="129"/>
      <c r="Z75" s="183">
        <v>0.22038438830332138</v>
      </c>
      <c r="AA75" s="129"/>
      <c r="AB75" s="183">
        <v>0.22038438833607024</v>
      </c>
      <c r="AC75" s="129"/>
      <c r="AD75" s="183" t="e">
        <v>#DIV/0!</v>
      </c>
      <c r="AE75" s="129"/>
      <c r="AF75" s="183" t="e">
        <v>#DIV/0!</v>
      </c>
      <c r="AG75" s="129"/>
      <c r="AH75" s="183" t="e">
        <v>#DIV/0!</v>
      </c>
      <c r="AI75" s="129"/>
      <c r="AJ75" s="183" t="e">
        <v>#DIV/0!</v>
      </c>
      <c r="AK75" s="129"/>
      <c r="AL75" s="183" t="e">
        <v>#DIV/0!</v>
      </c>
      <c r="AM75" s="129"/>
      <c r="AN75" s="183" t="e">
        <v>#DIV/0!</v>
      </c>
      <c r="AO75" s="129"/>
      <c r="AP75" s="183" t="e">
        <v>#DIV/0!</v>
      </c>
      <c r="AQ75" s="129"/>
      <c r="AR75" s="183" t="e">
        <v>#DIV/0!</v>
      </c>
      <c r="AS75" s="129"/>
      <c r="AT75" s="183" t="e">
        <v>#DIV/0!</v>
      </c>
      <c r="AU75" s="129"/>
      <c r="AV75" s="183" t="e">
        <v>#DIV/0!</v>
      </c>
      <c r="XFD75" s="183"/>
    </row>
    <row r="76" spans="1:48 16384:16384" x14ac:dyDescent="0.2">
      <c r="A76" t="s">
        <v>171</v>
      </c>
      <c r="B76" s="183">
        <v>0.22301874374724867</v>
      </c>
      <c r="D76" s="183">
        <v>0.22299161740150261</v>
      </c>
      <c r="E76" s="129"/>
      <c r="F76" s="183">
        <v>0.22296851586644684</v>
      </c>
      <c r="G76" s="129"/>
      <c r="H76" s="183">
        <v>0.22294807172304609</v>
      </c>
      <c r="I76" s="129"/>
      <c r="J76" s="183">
        <v>0.22292896584921021</v>
      </c>
      <c r="K76" s="129"/>
      <c r="L76" s="183">
        <v>0.22291023491770778</v>
      </c>
      <c r="M76" s="129"/>
      <c r="N76" s="183">
        <v>0.22289198037106278</v>
      </c>
      <c r="O76" s="129"/>
      <c r="P76" s="183">
        <v>0.22287672712306447</v>
      </c>
      <c r="Q76" s="129"/>
      <c r="R76" s="183">
        <v>0.22287240945532674</v>
      </c>
      <c r="S76" s="129"/>
      <c r="T76" s="183">
        <v>0.22289934051004634</v>
      </c>
      <c r="U76" s="129"/>
      <c r="V76" s="183">
        <v>0.22300901959301381</v>
      </c>
      <c r="W76" s="129"/>
      <c r="X76" s="183">
        <v>0.22334740690087929</v>
      </c>
      <c r="Y76" s="129"/>
      <c r="Z76" s="183">
        <v>0.22444425169220014</v>
      </c>
      <c r="AA76" s="129"/>
      <c r="AB76" s="183">
        <v>0.22854892159282897</v>
      </c>
      <c r="AC76" s="129"/>
      <c r="AD76" s="183" t="e">
        <v>#DIV/0!</v>
      </c>
      <c r="AE76" s="129"/>
      <c r="AF76" s="183" t="e">
        <v>#DIV/0!</v>
      </c>
      <c r="AG76" s="129"/>
      <c r="AH76" s="183" t="e">
        <v>#DIV/0!</v>
      </c>
      <c r="AI76" s="129"/>
      <c r="AJ76" s="183" t="e">
        <v>#DIV/0!</v>
      </c>
      <c r="AK76" s="129"/>
      <c r="AL76" s="183" t="e">
        <v>#DIV/0!</v>
      </c>
      <c r="AM76" s="129"/>
      <c r="AN76" s="183" t="e">
        <v>#DIV/0!</v>
      </c>
      <c r="AO76" s="129"/>
      <c r="AP76" s="183" t="e">
        <v>#DIV/0!</v>
      </c>
      <c r="AQ76" s="129"/>
      <c r="AR76" s="183" t="e">
        <v>#DIV/0!</v>
      </c>
      <c r="AS76" s="129"/>
      <c r="AT76" s="183" t="e">
        <v>#DIV/0!</v>
      </c>
      <c r="AU76" s="129"/>
      <c r="AV76" s="183" t="e">
        <v>#DIV/0!</v>
      </c>
      <c r="XFD76" s="183"/>
    </row>
    <row r="77" spans="1:48 16384:16384" x14ac:dyDescent="0.2">
      <c r="A77" t="s">
        <v>172</v>
      </c>
      <c r="B77" s="183">
        <v>0.14586087017236485</v>
      </c>
      <c r="D77" s="183">
        <v>0.14583374985068304</v>
      </c>
      <c r="E77" s="129"/>
      <c r="F77" s="183">
        <v>0.14581064829606444</v>
      </c>
      <c r="G77" s="129"/>
      <c r="H77" s="183">
        <v>0.14579019787394876</v>
      </c>
      <c r="I77" s="129"/>
      <c r="J77" s="183">
        <v>0.14577109184841663</v>
      </c>
      <c r="K77" s="129"/>
      <c r="L77" s="183">
        <v>0.14575235978166903</v>
      </c>
      <c r="M77" s="129"/>
      <c r="N77" s="183">
        <v>0.14573410614995627</v>
      </c>
      <c r="O77" s="129"/>
      <c r="P77" s="183">
        <v>0.14571885391864392</v>
      </c>
      <c r="Q77" s="129"/>
      <c r="R77" s="183">
        <v>0.14571453554771338</v>
      </c>
      <c r="S77" s="129"/>
      <c r="T77" s="183">
        <v>0.14574146626508497</v>
      </c>
      <c r="U77" s="129"/>
      <c r="V77" s="183">
        <v>0.14585114647033903</v>
      </c>
      <c r="W77" s="129"/>
      <c r="X77" s="183">
        <v>0.14618953520940886</v>
      </c>
      <c r="Y77" s="129"/>
      <c r="Z77" s="183">
        <v>0.14728637832332928</v>
      </c>
      <c r="AA77" s="129"/>
      <c r="AB77" s="183">
        <v>0.15139104806088807</v>
      </c>
      <c r="AC77" s="129"/>
      <c r="AD77" s="183" t="e">
        <v>#DIV/0!</v>
      </c>
      <c r="AE77" s="129"/>
      <c r="AF77" s="183" t="e">
        <v>#DIV/0!</v>
      </c>
      <c r="AG77" s="129"/>
      <c r="AH77" s="183" t="e">
        <v>#DIV/0!</v>
      </c>
      <c r="AI77" s="129"/>
      <c r="AJ77" s="183" t="e">
        <v>#DIV/0!</v>
      </c>
      <c r="AK77" s="129"/>
      <c r="AL77" s="183" t="e">
        <v>#DIV/0!</v>
      </c>
      <c r="AM77" s="129"/>
      <c r="AN77" s="183" t="e">
        <v>#DIV/0!</v>
      </c>
      <c r="AO77" s="129"/>
      <c r="AP77" s="183" t="e">
        <v>#DIV/0!</v>
      </c>
      <c r="AQ77" s="129"/>
      <c r="AR77" s="183" t="e">
        <v>#DIV/0!</v>
      </c>
      <c r="AS77" s="129"/>
      <c r="AT77" s="183" t="e">
        <v>#DIV/0!</v>
      </c>
      <c r="AU77" s="129"/>
      <c r="AV77" s="183" t="e">
        <v>#DIV/0!</v>
      </c>
      <c r="XFD77" s="183"/>
    </row>
    <row r="78" spans="1:48 16384:16384" x14ac:dyDescent="0.2">
      <c r="A78" t="s">
        <v>173</v>
      </c>
      <c r="B78" s="183">
        <v>0.346887593115773</v>
      </c>
      <c r="D78" s="183">
        <v>0.34107918145341831</v>
      </c>
      <c r="E78" s="129"/>
      <c r="F78" s="183">
        <v>0.33528340013620556</v>
      </c>
      <c r="G78" s="129"/>
      <c r="H78" s="183">
        <v>0.32952169593680247</v>
      </c>
      <c r="I78" s="129"/>
      <c r="J78" s="183">
        <v>0.32382101027808913</v>
      </c>
      <c r="K78" s="129"/>
      <c r="L78" s="183">
        <v>0.31821433863622217</v>
      </c>
      <c r="M78" s="129"/>
      <c r="N78" s="183">
        <v>0.31274224927741134</v>
      </c>
      <c r="O78" s="129"/>
      <c r="P78" s="183">
        <v>0.30745385472036502</v>
      </c>
      <c r="Q78" s="129"/>
      <c r="R78" s="183">
        <v>0.3024091366158147</v>
      </c>
      <c r="S78" s="129"/>
      <c r="T78" s="183">
        <v>0.29768403171649083</v>
      </c>
      <c r="U78" s="129"/>
      <c r="V78" s="183">
        <v>0.29338421223582095</v>
      </c>
      <c r="W78" s="129"/>
      <c r="X78" s="183">
        <v>0.28969538260442229</v>
      </c>
      <c r="Y78" s="129"/>
      <c r="Z78" s="183">
        <v>0.28711389690836092</v>
      </c>
      <c r="AA78" s="129"/>
      <c r="AB78" s="183">
        <v>0.28732296127253143</v>
      </c>
      <c r="AC78" s="129"/>
      <c r="AD78" s="183" t="e">
        <v>#DIV/0!</v>
      </c>
      <c r="AE78" s="129"/>
      <c r="AF78" s="183" t="e">
        <v>#DIV/0!</v>
      </c>
      <c r="AG78" s="129"/>
      <c r="AH78" s="183" t="e">
        <v>#DIV/0!</v>
      </c>
      <c r="AI78" s="129"/>
      <c r="AJ78" s="183" t="e">
        <v>#DIV/0!</v>
      </c>
      <c r="AK78" s="129"/>
      <c r="AL78" s="183" t="e">
        <v>#DIV/0!</v>
      </c>
      <c r="AM78" s="129"/>
      <c r="AN78" s="183" t="e">
        <v>#DIV/0!</v>
      </c>
      <c r="AO78" s="129"/>
      <c r="AP78" s="183" t="e">
        <v>#DIV/0!</v>
      </c>
      <c r="AQ78" s="129"/>
      <c r="AR78" s="183" t="e">
        <v>#DIV/0!</v>
      </c>
      <c r="AS78" s="129"/>
      <c r="AT78" s="183" t="e">
        <v>#DIV/0!</v>
      </c>
      <c r="AU78" s="129"/>
      <c r="AV78" s="183" t="e">
        <v>#DIV/0!</v>
      </c>
      <c r="XFD78" s="183"/>
    </row>
    <row r="79" spans="1:48 16384:16384" x14ac:dyDescent="0.2">
      <c r="A79" t="s">
        <v>174</v>
      </c>
      <c r="B79" s="183">
        <v>0.45460968782440875</v>
      </c>
      <c r="D79" s="183">
        <v>0.46041788952751511</v>
      </c>
      <c r="F79" s="183">
        <v>0.46621362346560669</v>
      </c>
      <c r="H79" s="183">
        <v>0.47197565138813263</v>
      </c>
      <c r="J79" s="183">
        <v>0.4776763685726485</v>
      </c>
      <c r="L79" s="183">
        <v>0.48328326345085904</v>
      </c>
      <c r="N79" s="183">
        <v>0.48875517553583897</v>
      </c>
      <c r="P79" s="183">
        <v>0.49404326906939416</v>
      </c>
      <c r="R79" s="183">
        <v>0.49908829502168067</v>
      </c>
      <c r="T79" s="183">
        <v>0.5038137567337172</v>
      </c>
      <c r="V79" s="183">
        <v>0.50811332147498511</v>
      </c>
      <c r="X79" s="183">
        <v>0.51180165916033649</v>
      </c>
      <c r="Z79" s="183">
        <v>0.51438338741478118</v>
      </c>
      <c r="AB79" s="183">
        <v>0.51417431122528934</v>
      </c>
      <c r="AD79" s="183" t="e">
        <v>#DIV/0!</v>
      </c>
      <c r="AF79" s="183" t="e">
        <v>#DIV/0!</v>
      </c>
      <c r="AH79" s="183" t="e">
        <v>#DIV/0!</v>
      </c>
      <c r="AJ79" s="183" t="e">
        <v>#DIV/0!</v>
      </c>
      <c r="AL79" s="183" t="e">
        <v>#DIV/0!</v>
      </c>
      <c r="AN79" s="183" t="e">
        <v>#DIV/0!</v>
      </c>
      <c r="AP79" s="183" t="e">
        <v>#DIV/0!</v>
      </c>
      <c r="AR79" s="183" t="e">
        <v>#DIV/0!</v>
      </c>
      <c r="AT79" s="183" t="e">
        <v>#DIV/0!</v>
      </c>
      <c r="AV79" s="183" t="e">
        <v>#DIV/0!</v>
      </c>
      <c r="XFD79" s="183"/>
    </row>
    <row r="80" spans="1:48 16384:16384" x14ac:dyDescent="0.2">
      <c r="A80" t="s">
        <v>153</v>
      </c>
      <c r="B80" s="195">
        <v>0.19850271905982084</v>
      </c>
      <c r="D80" s="195">
        <v>0.1985027334377206</v>
      </c>
      <c r="F80" s="195">
        <v>0.19850273514104433</v>
      </c>
      <c r="H80" s="195">
        <v>0.19850271419356028</v>
      </c>
      <c r="J80" s="195">
        <v>0.19850271267636377</v>
      </c>
      <c r="L80" s="195">
        <v>0.19850270084164348</v>
      </c>
      <c r="N80" s="195">
        <v>0.19850271193501126</v>
      </c>
      <c r="P80" s="195">
        <v>0.19850272588524634</v>
      </c>
      <c r="R80" s="195">
        <v>0.1985027135579949</v>
      </c>
      <c r="T80" s="195">
        <v>0.19850270328158218</v>
      </c>
      <c r="V80" s="195">
        <v>0.19850270987013546</v>
      </c>
      <c r="X80" s="195">
        <v>0.1985027230200217</v>
      </c>
      <c r="Z80" s="195">
        <v>0.19850271901600142</v>
      </c>
      <c r="AB80" s="195">
        <v>0.1985027190815418</v>
      </c>
      <c r="AD80" s="195" t="e">
        <v>#DIV/0!</v>
      </c>
      <c r="AF80" s="195" t="e">
        <v>#DIV/0!</v>
      </c>
      <c r="AH80" s="195" t="e">
        <v>#DIV/0!</v>
      </c>
      <c r="AJ80" s="195" t="e">
        <v>#DIV/0!</v>
      </c>
      <c r="AL80" s="195" t="e">
        <v>#DIV/0!</v>
      </c>
      <c r="AN80" s="195" t="e">
        <v>#DIV/0!</v>
      </c>
      <c r="AP80" s="195" t="e">
        <v>#DIV/0!</v>
      </c>
      <c r="AR80" s="195" t="e">
        <v>#DIV/0!</v>
      </c>
      <c r="AT80" s="195" t="e">
        <v>#DIV/0!</v>
      </c>
      <c r="AV80" s="195" t="e">
        <v>#DIV/0!</v>
      </c>
      <c r="XFD80" s="195"/>
    </row>
    <row r="81" spans="1:48 16384:16384" x14ac:dyDescent="0.2">
      <c r="A81" t="s">
        <v>175</v>
      </c>
      <c r="B81" s="195">
        <v>-2.7543485504603994E-2</v>
      </c>
      <c r="D81" s="195">
        <v>-2.754347112670423E-2</v>
      </c>
      <c r="F81" s="195">
        <v>-2.7543469423380516E-2</v>
      </c>
      <c r="H81" s="195">
        <v>-2.7543490370864586E-2</v>
      </c>
      <c r="J81" s="195">
        <v>-2.7543491888061059E-2</v>
      </c>
      <c r="L81" s="195">
        <v>-2.7543503722781349E-2</v>
      </c>
      <c r="N81" s="195">
        <v>-2.7543492629413597E-2</v>
      </c>
      <c r="P81" s="195">
        <v>-2.7543478679178508E-2</v>
      </c>
      <c r="R81" s="195">
        <v>-2.754349100642995E-2</v>
      </c>
      <c r="T81" s="195">
        <v>-2.7543501282842647E-2</v>
      </c>
      <c r="V81" s="195">
        <v>-2.7543494694289367E-2</v>
      </c>
      <c r="X81" s="195">
        <v>-2.7543481544403121E-2</v>
      </c>
      <c r="Z81" s="195">
        <v>-2.7543485548423431E-2</v>
      </c>
      <c r="AB81" s="195">
        <v>-2.7543485482883073E-2</v>
      </c>
      <c r="AD81" s="195" t="e">
        <v>#DIV/0!</v>
      </c>
      <c r="AF81" s="195" t="e">
        <v>#DIV/0!</v>
      </c>
      <c r="AH81" s="195" t="e">
        <v>#DIV/0!</v>
      </c>
      <c r="AJ81" s="195" t="e">
        <v>#DIV/0!</v>
      </c>
      <c r="AL81" s="195" t="e">
        <v>#DIV/0!</v>
      </c>
      <c r="AN81" s="195" t="e">
        <v>#DIV/0!</v>
      </c>
      <c r="AP81" s="195" t="e">
        <v>#DIV/0!</v>
      </c>
      <c r="AR81" s="195" t="e">
        <v>#DIV/0!</v>
      </c>
      <c r="AT81" s="195" t="e">
        <v>#DIV/0!</v>
      </c>
      <c r="AV81" s="195" t="e">
        <v>#DIV/0!</v>
      </c>
      <c r="XFD81" s="195"/>
    </row>
    <row r="82" spans="1:48 16384:16384" x14ac:dyDescent="0.2">
      <c r="A82" t="s">
        <v>176</v>
      </c>
      <c r="B82" s="195">
        <v>0.14069693704202227</v>
      </c>
      <c r="D82" s="195">
        <v>0.13834105650264616</v>
      </c>
      <c r="F82" s="195">
        <v>0.13599029880683819</v>
      </c>
      <c r="H82" s="195">
        <v>0.13365336272412387</v>
      </c>
      <c r="J82" s="195">
        <v>0.13134117564353071</v>
      </c>
      <c r="L82" s="195">
        <v>0.1290671204663893</v>
      </c>
      <c r="N82" s="195">
        <v>0.12684765160303338</v>
      </c>
      <c r="P82" s="195">
        <v>0.12470268899608944</v>
      </c>
      <c r="R82" s="195">
        <v>0.12265656108711639</v>
      </c>
      <c r="T82" s="195">
        <v>0.12074006767619398</v>
      </c>
      <c r="V82" s="195">
        <v>0.11899606920876547</v>
      </c>
      <c r="X82" s="195">
        <v>0.11749988704281979</v>
      </c>
      <c r="Z82" s="195">
        <v>0.11645284143593811</v>
      </c>
      <c r="AB82" s="195">
        <v>0.11653763753780851</v>
      </c>
      <c r="AD82" s="195" t="e">
        <v>#DIV/0!</v>
      </c>
      <c r="AF82" s="195" t="e">
        <v>#DIV/0!</v>
      </c>
      <c r="AH82" s="195" t="e">
        <v>#DIV/0!</v>
      </c>
      <c r="AJ82" s="195" t="e">
        <v>#DIV/0!</v>
      </c>
      <c r="AL82" s="195" t="e">
        <v>#DIV/0!</v>
      </c>
      <c r="AN82" s="195" t="e">
        <v>#DIV/0!</v>
      </c>
      <c r="AP82" s="195" t="e">
        <v>#DIV/0!</v>
      </c>
      <c r="AR82" s="195" t="e">
        <v>#DIV/0!</v>
      </c>
      <c r="AT82" s="195" t="e">
        <v>#DIV/0!</v>
      </c>
      <c r="AV82" s="195" t="e">
        <v>#DIV/0!</v>
      </c>
    </row>
    <row r="83" spans="1:48 16384:16384" x14ac:dyDescent="0.2">
      <c r="A83" t="s">
        <v>177</v>
      </c>
      <c r="B83" s="195">
        <v>0.18438881036940691</v>
      </c>
      <c r="D83" s="195">
        <v>0.18674460574971785</v>
      </c>
      <c r="F83" s="195">
        <v>0.18909534422864588</v>
      </c>
      <c r="H83" s="195">
        <v>0.19143241161283289</v>
      </c>
      <c r="J83" s="195">
        <v>0.19374461148023062</v>
      </c>
      <c r="L83" s="195">
        <v>0.19601875720160133</v>
      </c>
      <c r="N83" s="195">
        <v>0.1982381541630342</v>
      </c>
      <c r="P83" s="195">
        <v>0.20038299467543219</v>
      </c>
      <c r="R83" s="195">
        <v>0.20242924744685176</v>
      </c>
      <c r="T83" s="195">
        <v>0.20434588558032052</v>
      </c>
      <c r="V83" s="195">
        <v>0.20608978072594017</v>
      </c>
      <c r="X83" s="195">
        <v>0.20758576335952028</v>
      </c>
      <c r="Z83" s="195">
        <v>0.20863290734761322</v>
      </c>
      <c r="AB83" s="195">
        <v>0.20854810644941535</v>
      </c>
      <c r="AD83" s="195" t="e">
        <v>#DIV/0!</v>
      </c>
      <c r="AF83" s="195" t="e">
        <v>#DIV/0!</v>
      </c>
      <c r="AH83" s="195" t="e">
        <v>#DIV/0!</v>
      </c>
      <c r="AJ83" s="195" t="e">
        <v>#DIV/0!</v>
      </c>
      <c r="AL83" s="195" t="e">
        <v>#DIV/0!</v>
      </c>
      <c r="AN83" s="195" t="e">
        <v>#DIV/0!</v>
      </c>
      <c r="AP83" s="195" t="e">
        <v>#DIV/0!</v>
      </c>
      <c r="AR83" s="195" t="e">
        <v>#DIV/0!</v>
      </c>
      <c r="AT83" s="195" t="e">
        <v>#DIV/0!</v>
      </c>
      <c r="AV83" s="195" t="e">
        <v>#DIV/0!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3"/>
  <dimension ref="A1:XFD83"/>
  <sheetViews>
    <sheetView showGridLines="0" workbookViewId="0">
      <pane ySplit="1" topLeftCell="A2" activePane="bottomLeft" state="frozen"/>
      <selection pane="bottomLeft" activeCell="N55" sqref="N55"/>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c r="AP1" s="91"/>
      <c r="AR1" s="91"/>
      <c r="AT1" s="91"/>
      <c r="AV1" s="91"/>
    </row>
    <row r="2" spans="1:49" x14ac:dyDescent="0.2">
      <c r="A2" s="190" t="s">
        <v>139</v>
      </c>
      <c r="B2" s="188">
        <v>5.7716594496607888E-3</v>
      </c>
      <c r="C2" s="189"/>
      <c r="D2" s="188">
        <v>6.0784297872703882E-2</v>
      </c>
      <c r="E2" s="189"/>
      <c r="F2" s="188">
        <v>0.12072509742981674</v>
      </c>
      <c r="G2" s="189"/>
      <c r="H2" s="188">
        <v>0.18637390962739658</v>
      </c>
      <c r="I2" s="189"/>
      <c r="J2" s="188">
        <v>0.25870018017358054</v>
      </c>
      <c r="K2" s="189"/>
      <c r="L2" s="188">
        <v>0.33892909007004124</v>
      </c>
      <c r="M2" s="189"/>
      <c r="N2" s="188">
        <v>0.42864748565690663</v>
      </c>
      <c r="O2" s="189"/>
      <c r="P2" s="188">
        <v>0.5299612844400039</v>
      </c>
      <c r="Q2" s="189"/>
      <c r="R2" s="188">
        <v>0.64574689965076804</v>
      </c>
      <c r="S2" s="189"/>
      <c r="T2" s="188">
        <v>0.78006174262338579</v>
      </c>
      <c r="U2" s="189"/>
      <c r="V2" s="188">
        <v>0.93884190849685423</v>
      </c>
      <c r="W2" s="189"/>
      <c r="X2" s="188">
        <v>1.1311334665385189</v>
      </c>
      <c r="Y2" s="189"/>
      <c r="Z2" s="188">
        <v>1.3713654537293865</v>
      </c>
      <c r="AA2" s="189"/>
      <c r="AB2" s="188">
        <v>1.6837134809843308</v>
      </c>
      <c r="AC2" s="189"/>
      <c r="AD2" s="188">
        <v>2.110732976573106</v>
      </c>
      <c r="AE2" s="189"/>
      <c r="AF2" s="188">
        <v>2.7302351744075088</v>
      </c>
      <c r="AG2" s="189"/>
      <c r="AH2" s="188">
        <v>3.684286821000438</v>
      </c>
      <c r="AI2" s="189"/>
      <c r="AJ2" s="188">
        <v>5.2057936576302772</v>
      </c>
      <c r="AK2" s="189"/>
      <c r="AL2" s="188">
        <v>7.5277080317793974</v>
      </c>
      <c r="AM2" s="189"/>
      <c r="AN2" s="188"/>
      <c r="AO2" s="189"/>
      <c r="AP2" s="188"/>
      <c r="AQ2" s="189"/>
      <c r="AR2" s="188"/>
      <c r="AS2" s="189"/>
      <c r="AT2" s="188"/>
      <c r="AU2" s="189"/>
      <c r="AV2" s="188"/>
      <c r="AW2" s="189"/>
    </row>
    <row r="3" spans="1:49" x14ac:dyDescent="0.2">
      <c r="A3" t="s">
        <v>12</v>
      </c>
      <c r="B3" s="81">
        <v>1000</v>
      </c>
      <c r="C3" s="82">
        <v>1000</v>
      </c>
      <c r="D3" s="81">
        <v>998.43417640146561</v>
      </c>
      <c r="E3" s="82">
        <v>1023.877159380594</v>
      </c>
      <c r="F3" s="81">
        <v>996.84637688659564</v>
      </c>
      <c r="G3" s="82">
        <v>1050.394207780095</v>
      </c>
      <c r="H3" s="81">
        <v>995.22721256709178</v>
      </c>
      <c r="I3" s="82">
        <v>1080.0134521408913</v>
      </c>
      <c r="J3" s="81">
        <v>993.5668735056156</v>
      </c>
      <c r="K3" s="82">
        <v>1113.3085853878815</v>
      </c>
      <c r="L3" s="81">
        <v>991.85526343333811</v>
      </c>
      <c r="M3" s="82">
        <v>1150.9998399558015</v>
      </c>
      <c r="N3" s="81">
        <v>990.0824159376217</v>
      </c>
      <c r="O3" s="82">
        <v>1194.010092564896</v>
      </c>
      <c r="P3" s="81">
        <v>988.23930289752695</v>
      </c>
      <c r="Q3" s="82">
        <v>1243.5448062502173</v>
      </c>
      <c r="R3" s="81">
        <v>986.31935127917677</v>
      </c>
      <c r="S3" s="82">
        <v>1301.2169850013556</v>
      </c>
      <c r="T3" s="81">
        <v>984.32116877395129</v>
      </c>
      <c r="U3" s="82">
        <v>1369.2449656092215</v>
      </c>
      <c r="V3" s="81">
        <v>982.25332725643159</v>
      </c>
      <c r="W3" s="82">
        <v>1450.7811235063361</v>
      </c>
      <c r="X3" s="81">
        <v>980.14275667193158</v>
      </c>
      <c r="Y3" s="82">
        <v>1550.475266402032</v>
      </c>
      <c r="Z3" s="81">
        <v>978.04933394657132</v>
      </c>
      <c r="AA3" s="82">
        <v>1675.4852171488353</v>
      </c>
      <c r="AB3" s="81">
        <v>976.09049509643512</v>
      </c>
      <c r="AC3" s="82">
        <v>1837.3584592545651</v>
      </c>
      <c r="AD3" s="81">
        <v>974.47910060123399</v>
      </c>
      <c r="AE3" s="82">
        <v>2055.6203610451716</v>
      </c>
      <c r="AF3" s="81">
        <v>973.56411311887291</v>
      </c>
      <c r="AG3" s="82">
        <v>2364.4901550804484</v>
      </c>
      <c r="AH3" s="81">
        <v>973.80572503385997</v>
      </c>
      <c r="AI3" s="82">
        <v>2823.7684382451462</v>
      </c>
      <c r="AJ3" s="81">
        <v>975.50900341478177</v>
      </c>
      <c r="AK3" s="82">
        <v>3527.293312005505</v>
      </c>
      <c r="AL3" s="81">
        <v>978.27388325527363</v>
      </c>
      <c r="AM3" s="82">
        <v>4563.5551542832172</v>
      </c>
      <c r="AN3" s="81"/>
      <c r="AO3" s="82"/>
      <c r="AP3" s="81"/>
      <c r="AQ3" s="82"/>
      <c r="AR3" s="81"/>
      <c r="AS3" s="82"/>
      <c r="AT3" s="81"/>
      <c r="AU3" s="82"/>
      <c r="AV3" s="81"/>
      <c r="AW3" s="82"/>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c r="AO4" s="96"/>
      <c r="AP4" s="95"/>
      <c r="AQ4" s="96"/>
      <c r="AR4" s="95"/>
      <c r="AS4" s="96"/>
      <c r="AT4" s="95"/>
      <c r="AU4" s="96"/>
      <c r="AV4" s="95"/>
      <c r="AW4" s="96"/>
    </row>
    <row r="5" spans="1:49" x14ac:dyDescent="0.2">
      <c r="A5" t="s">
        <v>115</v>
      </c>
      <c r="B5" s="39">
        <v>1000</v>
      </c>
      <c r="C5" s="40">
        <v>1000</v>
      </c>
      <c r="D5" s="39">
        <v>998.356451145184</v>
      </c>
      <c r="E5" s="40">
        <v>1020.7247116770992</v>
      </c>
      <c r="F5" s="39">
        <v>996.68872750337925</v>
      </c>
      <c r="G5" s="40">
        <v>1043.1815765833062</v>
      </c>
      <c r="H5" s="39">
        <v>994.98690527882923</v>
      </c>
      <c r="I5" s="40">
        <v>1067.5778857818239</v>
      </c>
      <c r="J5" s="39">
        <v>993.24058849005189</v>
      </c>
      <c r="K5" s="40">
        <v>1094.14558813146</v>
      </c>
      <c r="L5" s="39">
        <v>991.43904787313431</v>
      </c>
      <c r="M5" s="40">
        <v>1123.1422492953118</v>
      </c>
      <c r="N5" s="39">
        <v>989.57165520241983</v>
      </c>
      <c r="O5" s="40">
        <v>1154.853266885948</v>
      </c>
      <c r="P5" s="39">
        <v>987.62873348286007</v>
      </c>
      <c r="Q5" s="40">
        <v>1189.5904376001165</v>
      </c>
      <c r="R5" s="39">
        <v>985.60315823128485</v>
      </c>
      <c r="S5" s="40">
        <v>1227.6877734225304</v>
      </c>
      <c r="T5" s="39">
        <v>983.49324439138741</v>
      </c>
      <c r="U5" s="40">
        <v>1269.4886019261978</v>
      </c>
      <c r="V5" s="39">
        <v>981.30782597309178</v>
      </c>
      <c r="W5" s="40">
        <v>1315.3195167635402</v>
      </c>
      <c r="X5" s="39">
        <v>979.07518869841726</v>
      </c>
      <c r="Y5" s="40">
        <v>1365.4334851070262</v>
      </c>
      <c r="Z5" s="39">
        <v>976.85862020131515</v>
      </c>
      <c r="AA5" s="40">
        <v>1419.8921152108974</v>
      </c>
      <c r="AB5" s="39">
        <v>974.78267141255014</v>
      </c>
      <c r="AC5" s="40">
        <v>1478.3323472349755</v>
      </c>
      <c r="AD5" s="39">
        <v>973.07356677726773</v>
      </c>
      <c r="AE5" s="40">
        <v>1539.5115496902165</v>
      </c>
      <c r="AF5" s="39">
        <v>972.10254290633816</v>
      </c>
      <c r="AG5" s="40">
        <v>1600.546064693682</v>
      </c>
      <c r="AH5" s="39">
        <v>972.35899092392162</v>
      </c>
      <c r="AI5" s="40">
        <v>1656.1395368707754</v>
      </c>
      <c r="AJ5" s="39">
        <v>974.16606309201984</v>
      </c>
      <c r="AK5" s="40">
        <v>1699.373501857661</v>
      </c>
      <c r="AL5" s="39">
        <v>977.09647782631794</v>
      </c>
      <c r="AM5" s="40">
        <v>1725.9388577841885</v>
      </c>
      <c r="AN5" s="39"/>
      <c r="AO5" s="40"/>
      <c r="AP5" s="39"/>
      <c r="AQ5" s="40"/>
      <c r="AR5" s="39"/>
      <c r="AS5" s="40"/>
      <c r="AT5" s="39"/>
      <c r="AU5" s="40"/>
      <c r="AV5" s="39"/>
      <c r="AW5" s="40"/>
    </row>
    <row r="6" spans="1:49" x14ac:dyDescent="0.2">
      <c r="A6" t="s">
        <v>77</v>
      </c>
      <c r="B6" s="39">
        <v>999.99999999999943</v>
      </c>
      <c r="C6" s="40">
        <v>999.99999999999909</v>
      </c>
      <c r="D6" s="39">
        <v>998.23095855325653</v>
      </c>
      <c r="E6" s="40">
        <v>1025.7266045021534</v>
      </c>
      <c r="F6" s="39">
        <v>996.43635093351475</v>
      </c>
      <c r="G6" s="40">
        <v>1054.1945099314451</v>
      </c>
      <c r="H6" s="39">
        <v>994.60552213587675</v>
      </c>
      <c r="I6" s="40">
        <v>1085.8781446746329</v>
      </c>
      <c r="J6" s="39">
        <v>992.72732123093863</v>
      </c>
      <c r="K6" s="40">
        <v>1121.3657922857726</v>
      </c>
      <c r="L6" s="39">
        <v>990.79025135831967</v>
      </c>
      <c r="M6" s="40">
        <v>1161.3955279226664</v>
      </c>
      <c r="N6" s="39">
        <v>988.78293845794008</v>
      </c>
      <c r="O6" s="40">
        <v>1206.9128260545083</v>
      </c>
      <c r="P6" s="39">
        <v>986.69504538124863</v>
      </c>
      <c r="Q6" s="40">
        <v>1259.1525064071977</v>
      </c>
      <c r="R6" s="39">
        <v>984.5189915954752</v>
      </c>
      <c r="S6" s="40">
        <v>1319.766911060796</v>
      </c>
      <c r="T6" s="39">
        <v>982.25304983950275</v>
      </c>
      <c r="U6" s="40">
        <v>1391.0287590364564</v>
      </c>
      <c r="V6" s="39">
        <v>979.9067899705102</v>
      </c>
      <c r="W6" s="40">
        <v>1476.1682736439814</v>
      </c>
      <c r="X6" s="39">
        <v>977.5106447646499</v>
      </c>
      <c r="Y6" s="40">
        <v>1579.9508507503847</v>
      </c>
      <c r="Z6" s="39">
        <v>975.13255331181449</v>
      </c>
      <c r="AA6" s="40">
        <v>1709.713032560996</v>
      </c>
      <c r="AB6" s="39">
        <v>972.90605850991005</v>
      </c>
      <c r="AC6" s="40">
        <v>1877.290957901942</v>
      </c>
      <c r="AD6" s="39">
        <v>971.07354067821166</v>
      </c>
      <c r="AE6" s="40">
        <v>2102.6970210751365</v>
      </c>
      <c r="AF6" s="39">
        <v>970.03261286665281</v>
      </c>
      <c r="AG6" s="40">
        <v>2421.0003297922754</v>
      </c>
      <c r="AH6" s="39">
        <v>970.30750756646614</v>
      </c>
      <c r="AI6" s="40">
        <v>2893.4809249013165</v>
      </c>
      <c r="AJ6" s="39">
        <v>972.24487021422374</v>
      </c>
      <c r="AK6" s="40">
        <v>3616.2969404006312</v>
      </c>
      <c r="AL6" s="39">
        <v>975.38770525362418</v>
      </c>
      <c r="AM6" s="40">
        <v>4680.1161248821436</v>
      </c>
      <c r="AN6" s="39"/>
      <c r="AO6" s="40"/>
      <c r="AP6" s="39"/>
      <c r="AQ6" s="40"/>
      <c r="AR6" s="39"/>
      <c r="AS6" s="40"/>
      <c r="AT6" s="39"/>
      <c r="AU6" s="40"/>
      <c r="AV6" s="39"/>
      <c r="AW6" s="40"/>
    </row>
    <row r="7" spans="1:49" x14ac:dyDescent="0.2">
      <c r="A7" t="s">
        <v>13</v>
      </c>
      <c r="B7" s="31">
        <v>1015.9116825427475</v>
      </c>
      <c r="C7" s="32">
        <v>1015.9116825427475</v>
      </c>
      <c r="D7" s="31">
        <v>1014.2419820603101</v>
      </c>
      <c r="E7" s="32">
        <v>1014.2419820603101</v>
      </c>
      <c r="F7" s="31">
        <v>1012.5477221293479</v>
      </c>
      <c r="G7" s="32">
        <v>1012.5477221293479</v>
      </c>
      <c r="H7" s="31">
        <v>1010.8188210498166</v>
      </c>
      <c r="I7" s="32">
        <v>1010.8188210498166</v>
      </c>
      <c r="J7" s="31">
        <v>1009.0447174226772</v>
      </c>
      <c r="K7" s="32">
        <v>1009.0447174226772</v>
      </c>
      <c r="L7" s="31">
        <v>1007.2145112633754</v>
      </c>
      <c r="M7" s="32">
        <v>1007.2145112633754</v>
      </c>
      <c r="N7" s="31">
        <v>1005.3174052333019</v>
      </c>
      <c r="O7" s="32">
        <v>1005.3174052333019</v>
      </c>
      <c r="P7" s="31">
        <v>1003.343568360135</v>
      </c>
      <c r="Q7" s="32">
        <v>1003.343568360135</v>
      </c>
      <c r="R7" s="31">
        <v>1001.2857627981904</v>
      </c>
      <c r="S7" s="32">
        <v>1001.2857627981904</v>
      </c>
      <c r="T7" s="31">
        <v>999.14227667907994</v>
      </c>
      <c r="U7" s="32">
        <v>999.14227667907994</v>
      </c>
      <c r="V7" s="31">
        <v>996.92208457668926</v>
      </c>
      <c r="W7" s="32">
        <v>996.92208457668926</v>
      </c>
      <c r="X7" s="31">
        <v>994.65392228646704</v>
      </c>
      <c r="Y7" s="32">
        <v>994.65392228646704</v>
      </c>
      <c r="Z7" s="31">
        <v>992.40208445510473</v>
      </c>
      <c r="AA7" s="32">
        <v>992.40208445510473</v>
      </c>
      <c r="AB7" s="31">
        <v>990.29310382823792</v>
      </c>
      <c r="AC7" s="32">
        <v>990.29310382823792</v>
      </c>
      <c r="AD7" s="31">
        <v>988.55680446256656</v>
      </c>
      <c r="AE7" s="32">
        <v>988.55680446256656</v>
      </c>
      <c r="AF7" s="31">
        <v>987.57032996806129</v>
      </c>
      <c r="AG7" s="32">
        <v>987.57032996806129</v>
      </c>
      <c r="AH7" s="31">
        <v>987.83085850508928</v>
      </c>
      <c r="AI7" s="32">
        <v>987.83085850508928</v>
      </c>
      <c r="AJ7" s="31">
        <v>989.66668423185808</v>
      </c>
      <c r="AK7" s="32">
        <v>989.66668423185808</v>
      </c>
      <c r="AL7" s="31">
        <v>992.64372679512701</v>
      </c>
      <c r="AM7" s="32">
        <v>992.64372679512701</v>
      </c>
      <c r="AN7" s="31"/>
      <c r="AO7" s="32"/>
      <c r="AP7" s="31"/>
      <c r="AQ7" s="32"/>
      <c r="AR7" s="31"/>
      <c r="AS7" s="32"/>
      <c r="AT7" s="31"/>
      <c r="AU7" s="32"/>
      <c r="AV7" s="31"/>
      <c r="AW7" s="32"/>
    </row>
    <row r="8" spans="1:49" x14ac:dyDescent="0.2">
      <c r="B8" s="33">
        <v>1005.7716594496609</v>
      </c>
      <c r="C8" s="34">
        <v>1005.7716594496609</v>
      </c>
      <c r="D8" s="33">
        <v>1082.7687465977097</v>
      </c>
      <c r="E8" s="34">
        <v>1082.7687465977097</v>
      </c>
      <c r="F8" s="33">
        <v>1169.1197740533157</v>
      </c>
      <c r="G8" s="34">
        <v>1169.1197740533157</v>
      </c>
      <c r="H8" s="33">
        <v>1266.5465501867327</v>
      </c>
      <c r="I8" s="34">
        <v>1266.5465501867327</v>
      </c>
      <c r="J8" s="33">
        <v>1377.2012489171971</v>
      </c>
      <c r="K8" s="34">
        <v>1377.2012489171971</v>
      </c>
      <c r="L8" s="33">
        <v>1503.8078298681912</v>
      </c>
      <c r="M8" s="34">
        <v>1503.8078298681912</v>
      </c>
      <c r="N8" s="33">
        <v>1649.8782160392741</v>
      </c>
      <c r="O8" s="34">
        <v>1649.8782160392741</v>
      </c>
      <c r="P8" s="33">
        <v>1820.0273138682205</v>
      </c>
      <c r="Q8" s="34">
        <v>1820.0273138682205</v>
      </c>
      <c r="R8" s="33">
        <v>2020.4633468492841</v>
      </c>
      <c r="S8" s="34">
        <v>2020.4633468492841</v>
      </c>
      <c r="T8" s="33">
        <v>2259.7680929852736</v>
      </c>
      <c r="U8" s="34">
        <v>2259.7680929852736</v>
      </c>
      <c r="V8" s="33">
        <v>2550.1966021649823</v>
      </c>
      <c r="W8" s="34">
        <v>2550.1966021649823</v>
      </c>
      <c r="X8" s="33">
        <v>2909.9209964439083</v>
      </c>
      <c r="Y8" s="34">
        <v>2909.9209964439083</v>
      </c>
      <c r="Z8" s="33">
        <v>3367.0831100338678</v>
      </c>
      <c r="AA8" s="34">
        <v>3367.0831100338678</v>
      </c>
      <c r="AB8" s="33">
        <v>3967.4204496497123</v>
      </c>
      <c r="AC8" s="34">
        <v>3967.4204496497123</v>
      </c>
      <c r="AD8" s="33">
        <v>4789.0093454365224</v>
      </c>
      <c r="AE8" s="34">
        <v>4789.0093454365224</v>
      </c>
      <c r="AF8" s="33">
        <v>5970.4132287798884</v>
      </c>
      <c r="AG8" s="34">
        <v>5970.4132287798884</v>
      </c>
      <c r="AH8" s="33">
        <v>7757.8326063015411</v>
      </c>
      <c r="AI8" s="34">
        <v>7757.8326063015411</v>
      </c>
      <c r="AJ8" s="33">
        <v>10545.961299773227</v>
      </c>
      <c r="AK8" s="34">
        <v>10545.961299773227</v>
      </c>
      <c r="AL8" s="33">
        <v>14718.302659886383</v>
      </c>
      <c r="AM8" s="34">
        <v>14718.302659886383</v>
      </c>
      <c r="AN8" s="33"/>
      <c r="AO8" s="34"/>
      <c r="AP8" s="33"/>
      <c r="AQ8" s="34"/>
      <c r="AR8" s="33"/>
      <c r="AS8" s="34"/>
      <c r="AT8" s="33"/>
      <c r="AU8" s="34"/>
      <c r="AV8" s="33"/>
      <c r="AW8" s="34"/>
    </row>
    <row r="9" spans="1:49" x14ac:dyDescent="0.2">
      <c r="A9" t="s">
        <v>14</v>
      </c>
      <c r="B9" s="39">
        <v>1015.9116825427475</v>
      </c>
      <c r="C9" s="40">
        <v>1005.7716594496609</v>
      </c>
      <c r="D9" s="39">
        <v>1014.2419820603101</v>
      </c>
      <c r="E9" s="40">
        <v>1082.7687465977097</v>
      </c>
      <c r="F9" s="39">
        <v>1012.5477221293479</v>
      </c>
      <c r="G9" s="40">
        <v>1169.1197740533157</v>
      </c>
      <c r="H9" s="39">
        <v>1010.8188210498166</v>
      </c>
      <c r="I9" s="40">
        <v>1266.5465501867327</v>
      </c>
      <c r="J9" s="39">
        <v>1009.0447174226772</v>
      </c>
      <c r="K9" s="40">
        <v>1377.2012489171971</v>
      </c>
      <c r="L9" s="39">
        <v>1007.2145112633754</v>
      </c>
      <c r="M9" s="40">
        <v>1503.8078298681912</v>
      </c>
      <c r="N9" s="39">
        <v>1005.3174052333019</v>
      </c>
      <c r="O9" s="40">
        <v>1649.8782160392741</v>
      </c>
      <c r="P9" s="39">
        <v>1003.343568360135</v>
      </c>
      <c r="Q9" s="40">
        <v>1820.0273138682205</v>
      </c>
      <c r="R9" s="39">
        <v>1001.2857627981904</v>
      </c>
      <c r="S9" s="40">
        <v>2020.4633468492841</v>
      </c>
      <c r="T9" s="39">
        <v>999.14227667907994</v>
      </c>
      <c r="U9" s="40">
        <v>2259.7680929852736</v>
      </c>
      <c r="V9" s="39">
        <v>996.92208457668926</v>
      </c>
      <c r="W9" s="40">
        <v>2550.1966021649823</v>
      </c>
      <c r="X9" s="39">
        <v>994.65392228646704</v>
      </c>
      <c r="Y9" s="40">
        <v>2909.9209964439083</v>
      </c>
      <c r="Z9" s="39">
        <v>992.40208445510473</v>
      </c>
      <c r="AA9" s="40">
        <v>3367.0831100338678</v>
      </c>
      <c r="AB9" s="39">
        <v>990.29310382823792</v>
      </c>
      <c r="AC9" s="40">
        <v>3967.4204496497123</v>
      </c>
      <c r="AD9" s="39">
        <v>988.55680446256656</v>
      </c>
      <c r="AE9" s="40">
        <v>4789.0093454365224</v>
      </c>
      <c r="AF9" s="39">
        <v>987.57032996806129</v>
      </c>
      <c r="AG9" s="40">
        <v>5970.4132287798884</v>
      </c>
      <c r="AH9" s="39">
        <v>987.83085850508928</v>
      </c>
      <c r="AI9" s="40">
        <v>7757.8326063015411</v>
      </c>
      <c r="AJ9" s="39">
        <v>989.66668423185808</v>
      </c>
      <c r="AK9" s="40">
        <v>10545.961299773227</v>
      </c>
      <c r="AL9" s="39">
        <v>992.64372679512701</v>
      </c>
      <c r="AM9" s="40">
        <v>14718.302659886383</v>
      </c>
      <c r="AN9" s="39"/>
      <c r="AO9" s="40"/>
      <c r="AP9" s="39"/>
      <c r="AQ9" s="40"/>
      <c r="AR9" s="39"/>
      <c r="AS9" s="40"/>
      <c r="AT9" s="39"/>
      <c r="AU9" s="40"/>
      <c r="AV9" s="39"/>
      <c r="AW9" s="40"/>
    </row>
    <row r="10" spans="1:49" x14ac:dyDescent="0.2">
      <c r="A10" t="s">
        <v>15</v>
      </c>
      <c r="B10" s="39">
        <v>1015.9116825427475</v>
      </c>
      <c r="C10" s="40">
        <v>1005.7716594496609</v>
      </c>
      <c r="D10" s="39">
        <v>1014.2419820603101</v>
      </c>
      <c r="E10" s="40">
        <v>1082.7687465977097</v>
      </c>
      <c r="F10" s="39">
        <v>1012.5477221293479</v>
      </c>
      <c r="G10" s="40">
        <v>1169.1197740533157</v>
      </c>
      <c r="H10" s="39">
        <v>1010.8188210498166</v>
      </c>
      <c r="I10" s="40">
        <v>1266.5465501867327</v>
      </c>
      <c r="J10" s="39">
        <v>1009.0447174226772</v>
      </c>
      <c r="K10" s="40">
        <v>1377.2012489171971</v>
      </c>
      <c r="L10" s="39">
        <v>1007.2145112633754</v>
      </c>
      <c r="M10" s="40">
        <v>1503.8078298681912</v>
      </c>
      <c r="N10" s="39">
        <v>1005.3174052333019</v>
      </c>
      <c r="O10" s="40">
        <v>1649.8782160392741</v>
      </c>
      <c r="P10" s="39">
        <v>1003.343568360135</v>
      </c>
      <c r="Q10" s="40">
        <v>1820.0273138682205</v>
      </c>
      <c r="R10" s="39">
        <v>1001.2857627981904</v>
      </c>
      <c r="S10" s="40">
        <v>2020.4633468492841</v>
      </c>
      <c r="T10" s="39">
        <v>999.14227667907994</v>
      </c>
      <c r="U10" s="40">
        <v>2259.7680929852736</v>
      </c>
      <c r="V10" s="39">
        <v>996.92208457668926</v>
      </c>
      <c r="W10" s="40">
        <v>2550.1966021649823</v>
      </c>
      <c r="X10" s="39">
        <v>994.65392228646704</v>
      </c>
      <c r="Y10" s="40">
        <v>2909.9209964439083</v>
      </c>
      <c r="Z10" s="39">
        <v>992.40208445510473</v>
      </c>
      <c r="AA10" s="40">
        <v>3367.0831100338678</v>
      </c>
      <c r="AB10" s="39">
        <v>990.29310382823792</v>
      </c>
      <c r="AC10" s="40">
        <v>3967.4204496497123</v>
      </c>
      <c r="AD10" s="39">
        <v>988.55680446256656</v>
      </c>
      <c r="AE10" s="40">
        <v>4789.0093454365224</v>
      </c>
      <c r="AF10" s="39">
        <v>987.57032996806129</v>
      </c>
      <c r="AG10" s="40">
        <v>5970.4132287798884</v>
      </c>
      <c r="AH10" s="39">
        <v>987.83085850508928</v>
      </c>
      <c r="AI10" s="40">
        <v>7757.8326063015411</v>
      </c>
      <c r="AJ10" s="39">
        <v>989.66668423185808</v>
      </c>
      <c r="AK10" s="40">
        <v>10545.961299773227</v>
      </c>
      <c r="AL10" s="39">
        <v>992.64372679512701</v>
      </c>
      <c r="AM10" s="40">
        <v>14718.302659886383</v>
      </c>
      <c r="AN10" s="39"/>
      <c r="AO10" s="40"/>
      <c r="AP10" s="39"/>
      <c r="AQ10" s="40"/>
      <c r="AR10" s="39"/>
      <c r="AS10" s="40"/>
      <c r="AT10" s="39"/>
      <c r="AU10" s="40"/>
      <c r="AV10" s="39"/>
      <c r="AW10" s="40"/>
    </row>
    <row r="11" spans="1:49" x14ac:dyDescent="0.2">
      <c r="A11" t="s">
        <v>29</v>
      </c>
      <c r="B11" s="39">
        <v>1015.9116825427475</v>
      </c>
      <c r="C11" s="40">
        <v>1005.7716594496609</v>
      </c>
      <c r="D11" s="39">
        <v>1014.2419820603101</v>
      </c>
      <c r="E11" s="40">
        <v>1082.7687465977097</v>
      </c>
      <c r="F11" s="39">
        <v>1012.5477221293479</v>
      </c>
      <c r="G11" s="40">
        <v>1169.1197740533157</v>
      </c>
      <c r="H11" s="39">
        <v>1010.8188210498166</v>
      </c>
      <c r="I11" s="40">
        <v>1266.5465501867327</v>
      </c>
      <c r="J11" s="39">
        <v>1009.0447174226772</v>
      </c>
      <c r="K11" s="40">
        <v>1377.2012489171971</v>
      </c>
      <c r="L11" s="39">
        <v>1007.2145112633754</v>
      </c>
      <c r="M11" s="40">
        <v>1503.8078298681912</v>
      </c>
      <c r="N11" s="39">
        <v>1005.3174052333019</v>
      </c>
      <c r="O11" s="40">
        <v>1649.8782160392741</v>
      </c>
      <c r="P11" s="39">
        <v>1003.343568360135</v>
      </c>
      <c r="Q11" s="40">
        <v>1820.0273138682205</v>
      </c>
      <c r="R11" s="39">
        <v>1001.2857627981904</v>
      </c>
      <c r="S11" s="40">
        <v>2020.4633468492841</v>
      </c>
      <c r="T11" s="39">
        <v>999.14227667907994</v>
      </c>
      <c r="U11" s="40">
        <v>2259.7680929852736</v>
      </c>
      <c r="V11" s="39">
        <v>996.92208457668926</v>
      </c>
      <c r="W11" s="40">
        <v>2550.1966021649823</v>
      </c>
      <c r="X11" s="39">
        <v>994.65392228646704</v>
      </c>
      <c r="Y11" s="40">
        <v>2909.9209964439083</v>
      </c>
      <c r="Z11" s="39">
        <v>992.40208445510473</v>
      </c>
      <c r="AA11" s="40">
        <v>3367.0831100338678</v>
      </c>
      <c r="AB11" s="39">
        <v>990.29310382823792</v>
      </c>
      <c r="AC11" s="40">
        <v>3967.4204496497123</v>
      </c>
      <c r="AD11" s="39">
        <v>988.55680446256656</v>
      </c>
      <c r="AE11" s="40">
        <v>4789.0093454365224</v>
      </c>
      <c r="AF11" s="39">
        <v>987.57032996806129</v>
      </c>
      <c r="AG11" s="40">
        <v>5970.4132287798884</v>
      </c>
      <c r="AH11" s="39">
        <v>987.83085850508928</v>
      </c>
      <c r="AI11" s="40">
        <v>7757.8326063015411</v>
      </c>
      <c r="AJ11" s="39">
        <v>989.66668423185808</v>
      </c>
      <c r="AK11" s="40">
        <v>10545.961299773227</v>
      </c>
      <c r="AL11" s="39">
        <v>992.64372679512701</v>
      </c>
      <c r="AM11" s="40">
        <v>14718.302659886383</v>
      </c>
      <c r="AN11" s="39"/>
      <c r="AO11" s="40"/>
      <c r="AP11" s="39"/>
      <c r="AQ11" s="40"/>
      <c r="AR11" s="39"/>
      <c r="AS11" s="40"/>
      <c r="AT11" s="39"/>
      <c r="AU11" s="40"/>
      <c r="AV11" s="39"/>
      <c r="AW11" s="40"/>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c r="AO12" s="40"/>
      <c r="AP12" s="39"/>
      <c r="AQ12" s="40"/>
      <c r="AR12" s="39"/>
      <c r="AS12" s="40"/>
      <c r="AT12" s="39"/>
      <c r="AU12" s="40"/>
      <c r="AV12" s="39"/>
      <c r="AW12" s="40"/>
    </row>
    <row r="13" spans="1:49" x14ac:dyDescent="0.2">
      <c r="A13" t="s">
        <v>17</v>
      </c>
      <c r="B13" s="93">
        <v>1000</v>
      </c>
      <c r="C13" s="94">
        <v>1000</v>
      </c>
      <c r="D13" s="93">
        <v>1002.5237784303908</v>
      </c>
      <c r="E13" s="94">
        <v>1002.5237784303908</v>
      </c>
      <c r="F13" s="93">
        <v>1005.3315781137555</v>
      </c>
      <c r="G13" s="94">
        <v>1005.3315781137555</v>
      </c>
      <c r="H13" s="93">
        <v>1008.4696943611136</v>
      </c>
      <c r="I13" s="94">
        <v>1008.4696943611136</v>
      </c>
      <c r="J13" s="93">
        <v>1011.9968721915884</v>
      </c>
      <c r="K13" s="94">
        <v>1011.9968721915884</v>
      </c>
      <c r="L13" s="93">
        <v>1015.9886621853258</v>
      </c>
      <c r="M13" s="94">
        <v>1015.9886621853258</v>
      </c>
      <c r="N13" s="93">
        <v>1020.5442327294213</v>
      </c>
      <c r="O13" s="94">
        <v>1020.5442327294213</v>
      </c>
      <c r="P13" s="93">
        <v>1025.7964190398957</v>
      </c>
      <c r="Q13" s="94">
        <v>1025.7964190398957</v>
      </c>
      <c r="R13" s="93">
        <v>1031.9275023414186</v>
      </c>
      <c r="S13" s="94">
        <v>1031.9275023414186</v>
      </c>
      <c r="T13" s="93">
        <v>1039.1943669375912</v>
      </c>
      <c r="U13" s="94">
        <v>1039.1943669375912</v>
      </c>
      <c r="V13" s="93">
        <v>1047.9702137859917</v>
      </c>
      <c r="W13" s="94">
        <v>1047.9702137859917</v>
      </c>
      <c r="X13" s="93">
        <v>1058.8155690636495</v>
      </c>
      <c r="Y13" s="94">
        <v>1058.8155690636495</v>
      </c>
      <c r="Z13" s="93">
        <v>1072.6035356006873</v>
      </c>
      <c r="AA13" s="94">
        <v>1072.6035356006873</v>
      </c>
      <c r="AB13" s="93">
        <v>1090.7462975962017</v>
      </c>
      <c r="AC13" s="94">
        <v>1090.7462975962017</v>
      </c>
      <c r="AD13" s="93">
        <v>1115.6059595317122</v>
      </c>
      <c r="AE13" s="94">
        <v>1115.6059595317122</v>
      </c>
      <c r="AF13" s="93">
        <v>1151.1950621842391</v>
      </c>
      <c r="AG13" s="94">
        <v>1151.1950621842391</v>
      </c>
      <c r="AH13" s="93">
        <v>1204.0872021892401</v>
      </c>
      <c r="AI13" s="94">
        <v>1204.0872021892401</v>
      </c>
      <c r="AJ13" s="93">
        <v>1283.3531662429532</v>
      </c>
      <c r="AK13" s="94">
        <v>1283.3531662429532</v>
      </c>
      <c r="AL13" s="93">
        <v>1394.5275493382571</v>
      </c>
      <c r="AM13" s="94">
        <v>1394.5275493382571</v>
      </c>
      <c r="AN13" s="93"/>
      <c r="AO13" s="94"/>
      <c r="AP13" s="93"/>
      <c r="AQ13" s="94"/>
      <c r="AR13" s="93"/>
      <c r="AS13" s="94"/>
      <c r="AT13" s="93"/>
      <c r="AU13" s="94"/>
      <c r="AV13" s="93"/>
      <c r="AW13" s="94"/>
    </row>
    <row r="14" spans="1:49" x14ac:dyDescent="0.2">
      <c r="A14" t="s">
        <v>36</v>
      </c>
      <c r="B14" s="39">
        <v>1457.0034251455234</v>
      </c>
      <c r="C14" s="40">
        <v>1457.0034251455236</v>
      </c>
      <c r="D14" s="39">
        <v>1460.6805789629111</v>
      </c>
      <c r="E14" s="40">
        <v>1460.6805789629113</v>
      </c>
      <c r="F14" s="39">
        <v>1464.7715527186961</v>
      </c>
      <c r="G14" s="40">
        <v>1464.7715527186963</v>
      </c>
      <c r="H14" s="39">
        <v>1469.3437988396015</v>
      </c>
      <c r="I14" s="40">
        <v>1469.3437988396017</v>
      </c>
      <c r="J14" s="39">
        <v>1474.4829090197006</v>
      </c>
      <c r="K14" s="40">
        <v>1474.4829090197009</v>
      </c>
      <c r="L14" s="39">
        <v>1480.2989607130376</v>
      </c>
      <c r="M14" s="40">
        <v>1480.2989607130378</v>
      </c>
      <c r="N14" s="39">
        <v>1486.9364425992769</v>
      </c>
      <c r="O14" s="40">
        <v>1486.9364425992771</v>
      </c>
      <c r="P14" s="39">
        <v>1494.5888960431405</v>
      </c>
      <c r="Q14" s="40">
        <v>1494.5888960431407</v>
      </c>
      <c r="R14" s="39">
        <v>1503.521905413312</v>
      </c>
      <c r="S14" s="40">
        <v>1503.5219054133122</v>
      </c>
      <c r="T14" s="39">
        <v>1514.1097520200042</v>
      </c>
      <c r="U14" s="40">
        <v>1514.1097520200044</v>
      </c>
      <c r="V14" s="39">
        <v>1526.8961909366762</v>
      </c>
      <c r="W14" s="40">
        <v>1526.8961909366765</v>
      </c>
      <c r="X14" s="39">
        <v>1542.6979107231437</v>
      </c>
      <c r="Y14" s="40">
        <v>1542.6979107231439</v>
      </c>
      <c r="Z14" s="39">
        <v>1562.7870251933996</v>
      </c>
      <c r="AA14" s="40">
        <v>1562.7870251933998</v>
      </c>
      <c r="AB14" s="39">
        <v>1589.2210915624642</v>
      </c>
      <c r="AC14" s="40">
        <v>1589.2210915624644</v>
      </c>
      <c r="AD14" s="39">
        <v>1625.4417041504628</v>
      </c>
      <c r="AE14" s="40">
        <v>1625.441704150463</v>
      </c>
      <c r="AF14" s="39">
        <v>1677.2951486130501</v>
      </c>
      <c r="AG14" s="40">
        <v>1677.2951486130503</v>
      </c>
      <c r="AH14" s="39">
        <v>1754.3591777636129</v>
      </c>
      <c r="AI14" s="40">
        <v>1754.3591777636134</v>
      </c>
      <c r="AJ14" s="39">
        <v>1869.8499588873349</v>
      </c>
      <c r="AK14" s="40">
        <v>1869.8499588873353</v>
      </c>
      <c r="AL14" s="39">
        <v>2031.8314158456333</v>
      </c>
      <c r="AM14" s="40">
        <v>2031.8314158456337</v>
      </c>
      <c r="AN14" s="39"/>
      <c r="AO14" s="40"/>
      <c r="AP14" s="39"/>
      <c r="AQ14" s="40"/>
      <c r="AR14" s="39"/>
      <c r="AS14" s="40"/>
      <c r="AT14" s="39"/>
      <c r="AU14" s="40"/>
      <c r="AV14" s="39"/>
      <c r="AW14" s="40"/>
    </row>
    <row r="15" spans="1:49" x14ac:dyDescent="0.2">
      <c r="A15" t="s">
        <v>18</v>
      </c>
      <c r="B15" s="144">
        <v>1000</v>
      </c>
      <c r="C15" s="145">
        <v>1000</v>
      </c>
      <c r="D15" s="144">
        <v>986.65874043505062</v>
      </c>
      <c r="E15" s="145">
        <v>986.65874043505062</v>
      </c>
      <c r="F15" s="144">
        <v>972.20576152165813</v>
      </c>
      <c r="G15" s="145">
        <v>972.20576152165813</v>
      </c>
      <c r="H15" s="144">
        <v>956.53834638788646</v>
      </c>
      <c r="I15" s="145">
        <v>956.53834638788646</v>
      </c>
      <c r="J15" s="144">
        <v>939.52724496972019</v>
      </c>
      <c r="K15" s="145">
        <v>939.52724496972019</v>
      </c>
      <c r="L15" s="144">
        <v>921.01046474952261</v>
      </c>
      <c r="M15" s="145">
        <v>921.01046474952261</v>
      </c>
      <c r="N15" s="144">
        <v>900.78317635038263</v>
      </c>
      <c r="O15" s="145">
        <v>900.78317635038263</v>
      </c>
      <c r="P15" s="144">
        <v>878.58348458563842</v>
      </c>
      <c r="Q15" s="145">
        <v>878.58348458563842</v>
      </c>
      <c r="R15" s="144">
        <v>854.07037789054846</v>
      </c>
      <c r="S15" s="145">
        <v>854.07037789054846</v>
      </c>
      <c r="T15" s="144">
        <v>826.78972251858784</v>
      </c>
      <c r="U15" s="145">
        <v>826.78972251858784</v>
      </c>
      <c r="V15" s="144">
        <v>796.1193523546533</v>
      </c>
      <c r="W15" s="145">
        <v>796.1193523546533</v>
      </c>
      <c r="X15" s="144">
        <v>761.17976100972658</v>
      </c>
      <c r="Y15" s="145">
        <v>761.17976100972658</v>
      </c>
      <c r="Z15" s="144">
        <v>720.68524656816601</v>
      </c>
      <c r="AA15" s="145">
        <v>720.68524656816601</v>
      </c>
      <c r="AB15" s="144">
        <v>672.69628926054361</v>
      </c>
      <c r="AC15" s="145">
        <v>672.69628926054361</v>
      </c>
      <c r="AD15" s="144">
        <v>614.23041751095025</v>
      </c>
      <c r="AE15" s="145">
        <v>614.23041751095025</v>
      </c>
      <c r="AF15" s="144">
        <v>540.78078607396787</v>
      </c>
      <c r="AG15" s="145">
        <v>540.78078607396787</v>
      </c>
      <c r="AH15" s="144">
        <v>446.32309002560771</v>
      </c>
      <c r="AI15" s="145">
        <v>446.32309002560771</v>
      </c>
      <c r="AJ15" s="144">
        <v>326.12093789176004</v>
      </c>
      <c r="AK15" s="145">
        <v>326.12093789176004</v>
      </c>
      <c r="AL15" s="144">
        <v>187.36987157974477</v>
      </c>
      <c r="AM15" s="145">
        <v>187.36987157974477</v>
      </c>
      <c r="AN15" s="144"/>
      <c r="AO15" s="145"/>
      <c r="AP15" s="144"/>
      <c r="AQ15" s="145"/>
      <c r="AR15" s="144"/>
      <c r="AS15" s="145"/>
      <c r="AT15" s="144"/>
      <c r="AU15" s="145"/>
      <c r="AV15" s="144"/>
      <c r="AW15" s="145"/>
    </row>
    <row r="16" spans="1:49" s="27" customFormat="1" x14ac:dyDescent="0.2">
      <c r="A16" t="s">
        <v>61</v>
      </c>
      <c r="B16" s="39">
        <v>1000</v>
      </c>
      <c r="C16" s="40">
        <v>1000</v>
      </c>
      <c r="D16" s="39">
        <v>995.17257429666506</v>
      </c>
      <c r="E16" s="40">
        <v>991.22069689234695</v>
      </c>
      <c r="F16" s="39">
        <v>990.07411096476244</v>
      </c>
      <c r="G16" s="40">
        <v>981.7854820112924</v>
      </c>
      <c r="H16" s="39">
        <v>984.65975826175884</v>
      </c>
      <c r="I16" s="40">
        <v>971.61963589893969</v>
      </c>
      <c r="J16" s="39">
        <v>978.87725951353229</v>
      </c>
      <c r="K16" s="40">
        <v>960.63277505405733</v>
      </c>
      <c r="L16" s="39">
        <v>972.66505446054032</v>
      </c>
      <c r="M16" s="40">
        <v>948.71415794322638</v>
      </c>
      <c r="N16" s="39">
        <v>965.94954562782232</v>
      </c>
      <c r="O16" s="40">
        <v>935.72729036953274</v>
      </c>
      <c r="P16" s="39">
        <v>958.64148914911902</v>
      </c>
      <c r="Q16" s="40">
        <v>921.50108540115696</v>
      </c>
      <c r="R16" s="39">
        <v>950.63075116130744</v>
      </c>
      <c r="S16" s="40">
        <v>905.8171476560974</v>
      </c>
      <c r="T16" s="39">
        <v>941.77861774107464</v>
      </c>
      <c r="U16" s="40">
        <v>888.39012426611316</v>
      </c>
      <c r="V16" s="39">
        <v>931.90581134703484</v>
      </c>
      <c r="W16" s="40">
        <v>868.83666907643271</v>
      </c>
      <c r="X16" s="39">
        <v>920.77340966549571</v>
      </c>
      <c r="Y16" s="40">
        <v>846.62508609137478</v>
      </c>
      <c r="Z16" s="39">
        <v>908.05107077785806</v>
      </c>
      <c r="AA16" s="40">
        <v>820.99202178652411</v>
      </c>
      <c r="AB16" s="39">
        <v>893.26248675160139</v>
      </c>
      <c r="AC16" s="40">
        <v>790.80448855731152</v>
      </c>
      <c r="AD16" s="39">
        <v>875.69162733206406</v>
      </c>
      <c r="AE16" s="40">
        <v>754.34300395615287</v>
      </c>
      <c r="AF16" s="39">
        <v>854.23207773670401</v>
      </c>
      <c r="AG16" s="40">
        <v>709.03300330889533</v>
      </c>
      <c r="AH16" s="39">
        <v>827.21824959383446</v>
      </c>
      <c r="AI16" s="40">
        <v>651.45717846396269</v>
      </c>
      <c r="AJ16" s="39">
        <v>792.60702823281906</v>
      </c>
      <c r="AK16" s="40">
        <v>579.08751652720105</v>
      </c>
      <c r="AL16" s="39">
        <v>750.08266458756918</v>
      </c>
      <c r="AM16" s="40">
        <v>498.65968943689137</v>
      </c>
      <c r="AN16" s="39"/>
      <c r="AO16" s="40"/>
      <c r="AP16" s="39"/>
      <c r="AQ16" s="40"/>
      <c r="AR16" s="39"/>
      <c r="AS16" s="40"/>
      <c r="AT16" s="39"/>
      <c r="AU16" s="40"/>
      <c r="AV16" s="39"/>
      <c r="AW16" s="40"/>
    </row>
    <row r="17" spans="1:49" x14ac:dyDescent="0.2">
      <c r="A17" t="s">
        <v>62</v>
      </c>
      <c r="B17" s="33">
        <v>1000.0000000000002</v>
      </c>
      <c r="C17" s="34">
        <v>999.99999999999977</v>
      </c>
      <c r="D17" s="33">
        <v>998.50646710523677</v>
      </c>
      <c r="E17" s="34">
        <v>1036.4114225038211</v>
      </c>
      <c r="F17" s="33">
        <v>996.99300646087647</v>
      </c>
      <c r="G17" s="34">
        <v>1076.9556947604824</v>
      </c>
      <c r="H17" s="33">
        <v>995.45072093668898</v>
      </c>
      <c r="I17" s="34">
        <v>1122.380420364831</v>
      </c>
      <c r="J17" s="33">
        <v>993.87036869470899</v>
      </c>
      <c r="K17" s="34">
        <v>1173.6164494696188</v>
      </c>
      <c r="L17" s="33">
        <v>992.24242957851152</v>
      </c>
      <c r="M17" s="34">
        <v>1231.8373883201266</v>
      </c>
      <c r="N17" s="33">
        <v>990.55755970468522</v>
      </c>
      <c r="O17" s="34">
        <v>1298.5521427254555</v>
      </c>
      <c r="P17" s="33">
        <v>988.80733447369698</v>
      </c>
      <c r="Q17" s="34">
        <v>1375.7385041078835</v>
      </c>
      <c r="R17" s="33">
        <v>986.98569735738954</v>
      </c>
      <c r="S17" s="34">
        <v>1466.051538788292</v>
      </c>
      <c r="T17" s="33">
        <v>985.09152807486669</v>
      </c>
      <c r="U17" s="34">
        <v>1573.1545530846652</v>
      </c>
      <c r="V17" s="33">
        <v>983.13315993925164</v>
      </c>
      <c r="W17" s="34">
        <v>1702.2699349411059</v>
      </c>
      <c r="X17" s="33">
        <v>981.13626582430152</v>
      </c>
      <c r="Y17" s="34">
        <v>1861.1279727426697</v>
      </c>
      <c r="Z17" s="33">
        <v>979.15754261675886</v>
      </c>
      <c r="AA17" s="34">
        <v>2061.6764971435941</v>
      </c>
      <c r="AB17" s="33">
        <v>977.30779513478933</v>
      </c>
      <c r="AC17" s="34">
        <v>2323.288565555195</v>
      </c>
      <c r="AD17" s="33">
        <v>975.78743954505899</v>
      </c>
      <c r="AE17" s="34">
        <v>2678.9414889108257</v>
      </c>
      <c r="AF17" s="33">
        <v>974.92467212225199</v>
      </c>
      <c r="AG17" s="34">
        <v>3186.965734315243</v>
      </c>
      <c r="AH17" s="33">
        <v>975.15245473254379</v>
      </c>
      <c r="AI17" s="34">
        <v>3950.6474743386248</v>
      </c>
      <c r="AJ17" s="33">
        <v>976.75902094292405</v>
      </c>
      <c r="AK17" s="34">
        <v>5135.2778046130388</v>
      </c>
      <c r="AL17" s="33">
        <v>979.36969147968887</v>
      </c>
      <c r="AM17" s="34">
        <v>6903.8603577906151</v>
      </c>
      <c r="AN17" s="33"/>
      <c r="AO17" s="34"/>
      <c r="AP17" s="33"/>
      <c r="AQ17" s="34"/>
      <c r="AR17" s="33"/>
      <c r="AS17" s="34"/>
      <c r="AT17" s="33"/>
      <c r="AU17" s="34"/>
      <c r="AV17" s="33"/>
      <c r="AW17" s="34"/>
    </row>
    <row r="18" spans="1:49" x14ac:dyDescent="0.2">
      <c r="A18" t="s">
        <v>19</v>
      </c>
      <c r="B18" s="31">
        <v>27857.010133999996</v>
      </c>
      <c r="C18" s="32">
        <v>1236.7674480000003</v>
      </c>
      <c r="D18" s="31">
        <v>28005.531485265215</v>
      </c>
      <c r="E18" s="32">
        <v>1148.0284001866426</v>
      </c>
      <c r="F18" s="31">
        <v>28136.046886984801</v>
      </c>
      <c r="G18" s="32">
        <v>1059.6220296937079</v>
      </c>
      <c r="H18" s="31">
        <v>28247.298197196993</v>
      </c>
      <c r="I18" s="32">
        <v>971.57658267406146</v>
      </c>
      <c r="J18" s="31">
        <v>28337.492266404042</v>
      </c>
      <c r="K18" s="32">
        <v>883.9463988998026</v>
      </c>
      <c r="L18" s="31">
        <v>28404.171250412113</v>
      </c>
      <c r="M18" s="32">
        <v>796.81594800234905</v>
      </c>
      <c r="N18" s="31">
        <v>28444.007207604547</v>
      </c>
      <c r="O18" s="32">
        <v>710.31981163179012</v>
      </c>
      <c r="P18" s="31">
        <v>28452.506019877062</v>
      </c>
      <c r="Q18" s="32">
        <v>624.66067563796457</v>
      </c>
      <c r="R18" s="31">
        <v>28423.555162761724</v>
      </c>
      <c r="S18" s="32">
        <v>540.1411165905356</v>
      </c>
      <c r="T18" s="31">
        <v>28348.721161332505</v>
      </c>
      <c r="U18" s="32">
        <v>457.20576019701025</v>
      </c>
      <c r="V18" s="31">
        <v>28216.124974962695</v>
      </c>
      <c r="W18" s="32">
        <v>376.50584669356709</v>
      </c>
      <c r="X18" s="31">
        <v>28008.555276533494</v>
      </c>
      <c r="Y18" s="32">
        <v>298.98616049128162</v>
      </c>
      <c r="Z18" s="31">
        <v>27700.170251938514</v>
      </c>
      <c r="AA18" s="32">
        <v>226.001559228747</v>
      </c>
      <c r="AB18" s="31">
        <v>27250.399013763825</v>
      </c>
      <c r="AC18" s="32">
        <v>159.45664893612263</v>
      </c>
      <c r="AD18" s="31">
        <v>26592.054607359914</v>
      </c>
      <c r="AE18" s="32">
        <v>101.89826258076106</v>
      </c>
      <c r="AF18" s="31">
        <v>25607.009650552925</v>
      </c>
      <c r="AG18" s="32">
        <v>56.33871767067842</v>
      </c>
      <c r="AH18" s="31">
        <v>24075.307295372757</v>
      </c>
      <c r="AI18" s="32">
        <v>25.283670356991472</v>
      </c>
      <c r="AJ18" s="31">
        <v>21572.438487811716</v>
      </c>
      <c r="AK18" s="32">
        <v>8.6066334976778744</v>
      </c>
      <c r="AL18" s="31">
        <v>17297.195171655119</v>
      </c>
      <c r="AM18" s="32">
        <v>2.1749857371130905</v>
      </c>
      <c r="AN18" s="31"/>
      <c r="AO18" s="32"/>
      <c r="AP18" s="31"/>
      <c r="AQ18" s="32"/>
      <c r="AR18" s="31"/>
      <c r="AS18" s="32"/>
      <c r="AT18" s="31"/>
      <c r="AU18" s="32"/>
      <c r="AV18" s="31"/>
      <c r="AW18" s="32"/>
    </row>
    <row r="19" spans="1:49" x14ac:dyDescent="0.2">
      <c r="A19" t="s">
        <v>3</v>
      </c>
      <c r="B19" s="39">
        <v>1886.3937399999918</v>
      </c>
      <c r="C19" s="40">
        <v>262.78711299999759</v>
      </c>
      <c r="D19" s="39">
        <v>1888.9781080970611</v>
      </c>
      <c r="E19" s="40">
        <v>270.99569241792062</v>
      </c>
      <c r="F19" s="39">
        <v>1890.1779995303039</v>
      </c>
      <c r="G19" s="40">
        <v>280.08282155694127</v>
      </c>
      <c r="H19" s="39">
        <v>1889.8778662637662</v>
      </c>
      <c r="I19" s="40">
        <v>290.14916335530586</v>
      </c>
      <c r="J19" s="39">
        <v>1887.9259243180404</v>
      </c>
      <c r="K19" s="40">
        <v>301.2968271994128</v>
      </c>
      <c r="L19" s="39">
        <v>1884.1273825106505</v>
      </c>
      <c r="M19" s="40">
        <v>313.62054139093465</v>
      </c>
      <c r="N19" s="39">
        <v>1878.2343794443332</v>
      </c>
      <c r="O19" s="40">
        <v>327.19719197834991</v>
      </c>
      <c r="P19" s="39">
        <v>1869.9324315273789</v>
      </c>
      <c r="Q19" s="40">
        <v>342.06420796701696</v>
      </c>
      <c r="R19" s="39">
        <v>1858.8208150545715</v>
      </c>
      <c r="S19" s="40">
        <v>358.18490734092899</v>
      </c>
      <c r="T19" s="39">
        <v>1844.3834227667778</v>
      </c>
      <c r="U19" s="40">
        <v>375.38947306397074</v>
      </c>
      <c r="V19" s="39">
        <v>1825.9432069788975</v>
      </c>
      <c r="W19" s="40">
        <v>393.27755600751163</v>
      </c>
      <c r="X19" s="39">
        <v>1802.5854624913793</v>
      </c>
      <c r="Y19" s="40">
        <v>411.05363318338613</v>
      </c>
      <c r="Z19" s="39">
        <v>1773.0189571674521</v>
      </c>
      <c r="AA19" s="40">
        <v>427.25326586567127</v>
      </c>
      <c r="AB19" s="39">
        <v>1735.2984309826124</v>
      </c>
      <c r="AC19" s="40">
        <v>439.29938037151447</v>
      </c>
      <c r="AD19" s="39">
        <v>1686.2158334245787</v>
      </c>
      <c r="AE19" s="40">
        <v>442.85040799910252</v>
      </c>
      <c r="AF19" s="39">
        <v>1619.8430557495371</v>
      </c>
      <c r="AG19" s="40">
        <v>431.13833037004139</v>
      </c>
      <c r="AH19" s="39">
        <v>1523.9215244471518</v>
      </c>
      <c r="AI19" s="40">
        <v>395.38648984347623</v>
      </c>
      <c r="AJ19" s="39">
        <v>1371.6305867543676</v>
      </c>
      <c r="AK19" s="40">
        <v>328.73859405112177</v>
      </c>
      <c r="AL19" s="39">
        <v>1107.8009145671197</v>
      </c>
      <c r="AM19" s="40">
        <v>233.18773158548419</v>
      </c>
      <c r="AN19" s="39"/>
      <c r="AO19" s="40"/>
      <c r="AP19" s="39"/>
      <c r="AQ19" s="40"/>
      <c r="AR19" s="39"/>
      <c r="AS19" s="40"/>
      <c r="AT19" s="39"/>
      <c r="AU19" s="40"/>
      <c r="AV19" s="39"/>
      <c r="AW19" s="40"/>
    </row>
    <row r="20" spans="1:49" x14ac:dyDescent="0.2">
      <c r="A20" t="s">
        <v>114</v>
      </c>
      <c r="B20" s="79">
        <v>26548.356269999993</v>
      </c>
      <c r="C20" s="80">
        <v>1408.5418709999938</v>
      </c>
      <c r="D20" s="79">
        <v>26672.330142817111</v>
      </c>
      <c r="E20" s="80">
        <v>1338.1147774499941</v>
      </c>
      <c r="F20" s="79">
        <v>26778.663720898589</v>
      </c>
      <c r="G20" s="80">
        <v>1267.6876838999945</v>
      </c>
      <c r="H20" s="79">
        <v>26866.079709496873</v>
      </c>
      <c r="I20" s="80">
        <v>1197.2605903499946</v>
      </c>
      <c r="J20" s="79">
        <v>26932.788676846249</v>
      </c>
      <c r="K20" s="80">
        <v>1126.8334967999949</v>
      </c>
      <c r="L20" s="79">
        <v>26976.37018692998</v>
      </c>
      <c r="M20" s="80">
        <v>1056.4064032499953</v>
      </c>
      <c r="N20" s="79">
        <v>26993.585951046538</v>
      </c>
      <c r="O20" s="80">
        <v>985.97930969999561</v>
      </c>
      <c r="P20" s="79">
        <v>26980.113442020163</v>
      </c>
      <c r="Q20" s="80">
        <v>915.55221614999607</v>
      </c>
      <c r="R20" s="79">
        <v>26930.142078602225</v>
      </c>
      <c r="S20" s="80">
        <v>845.12512259999642</v>
      </c>
      <c r="T20" s="79">
        <v>26835.750069650567</v>
      </c>
      <c r="U20" s="80">
        <v>774.69802904999653</v>
      </c>
      <c r="V20" s="79">
        <v>26685.910870678672</v>
      </c>
      <c r="W20" s="80">
        <v>704.27093549999688</v>
      </c>
      <c r="X20" s="79">
        <v>26464.827331131211</v>
      </c>
      <c r="Y20" s="80">
        <v>633.84384194999711</v>
      </c>
      <c r="Z20" s="79">
        <v>26149.009519942651</v>
      </c>
      <c r="AA20" s="80">
        <v>563.41674839999746</v>
      </c>
      <c r="AB20" s="79">
        <v>25701.819204377931</v>
      </c>
      <c r="AC20" s="80">
        <v>492.98965484999781</v>
      </c>
      <c r="AD20" s="79">
        <v>25062.656567039532</v>
      </c>
      <c r="AE20" s="80">
        <v>422.56256129999809</v>
      </c>
      <c r="AF20" s="79">
        <v>24124.263895515302</v>
      </c>
      <c r="AG20" s="80">
        <v>352.13546774999827</v>
      </c>
      <c r="AH20" s="79">
        <v>22683.738145052735</v>
      </c>
      <c r="AI20" s="80">
        <v>281.70837419999856</v>
      </c>
      <c r="AJ20" s="79">
        <v>20341.194832990175</v>
      </c>
      <c r="AK20" s="80">
        <v>211.28128064999879</v>
      </c>
      <c r="AL20" s="79">
        <v>16330.222962471171</v>
      </c>
      <c r="AM20" s="80">
        <v>140.85418709999902</v>
      </c>
      <c r="AN20" s="79"/>
      <c r="AO20" s="80"/>
      <c r="AP20" s="79"/>
      <c r="AQ20" s="80"/>
      <c r="AR20" s="79"/>
      <c r="AS20" s="80"/>
      <c r="AT20" s="79"/>
      <c r="AU20" s="80"/>
      <c r="AV20" s="79"/>
      <c r="AW20" s="80"/>
    </row>
    <row r="21" spans="1:49" x14ac:dyDescent="0.2">
      <c r="A21" t="s">
        <v>76</v>
      </c>
      <c r="B21" s="79">
        <v>24661.962529999968</v>
      </c>
      <c r="C21" s="80">
        <v>1145.7547579999991</v>
      </c>
      <c r="D21" s="79">
        <v>24783.357545725838</v>
      </c>
      <c r="E21" s="80">
        <v>1067.3909422381475</v>
      </c>
      <c r="F21" s="79">
        <v>24888.508180007306</v>
      </c>
      <c r="G21" s="80">
        <v>988.76043052365594</v>
      </c>
      <c r="H21" s="79">
        <v>24976.253487347378</v>
      </c>
      <c r="I21" s="80">
        <v>909.88092276118812</v>
      </c>
      <c r="J21" s="79">
        <v>25044.956877272307</v>
      </c>
      <c r="K21" s="80">
        <v>830.79323119013986</v>
      </c>
      <c r="L21" s="79">
        <v>25092.394032473028</v>
      </c>
      <c r="M21" s="80">
        <v>751.57358567114204</v>
      </c>
      <c r="N21" s="79">
        <v>25115.576112812567</v>
      </c>
      <c r="O21" s="80">
        <v>672.34714186067754</v>
      </c>
      <c r="P21" s="79">
        <v>25110.496857532406</v>
      </c>
      <c r="Q21" s="80">
        <v>593.31031994606724</v>
      </c>
      <c r="R21" s="79">
        <v>25071.748214336163</v>
      </c>
      <c r="S21" s="80">
        <v>514.76136693889998</v>
      </c>
      <c r="T21" s="79">
        <v>24991.925943116505</v>
      </c>
      <c r="U21" s="80">
        <v>437.14474242205017</v>
      </c>
      <c r="V21" s="79">
        <v>24860.680855556217</v>
      </c>
      <c r="W21" s="80">
        <v>361.11314674857016</v>
      </c>
      <c r="X21" s="79">
        <v>24663.12820155736</v>
      </c>
      <c r="Y21" s="80">
        <v>287.61516979322897</v>
      </c>
      <c r="Z21" s="79">
        <v>24377.061683584845</v>
      </c>
      <c r="AA21" s="80">
        <v>218.01185390603337</v>
      </c>
      <c r="AB21" s="79">
        <v>23967.770936656583</v>
      </c>
      <c r="AC21" s="80">
        <v>154.21330436277063</v>
      </c>
      <c r="AD21" s="79">
        <v>23377.830652557892</v>
      </c>
      <c r="AE21" s="80">
        <v>98.772911854777448</v>
      </c>
      <c r="AF21" s="79">
        <v>22505.856950803722</v>
      </c>
      <c r="AG21" s="80">
        <v>54.717323640317005</v>
      </c>
      <c r="AH21" s="79">
        <v>21161.142265261358</v>
      </c>
      <c r="AI21" s="80">
        <v>24.593873602465777</v>
      </c>
      <c r="AJ21" s="79">
        <v>18970.602640694244</v>
      </c>
      <c r="AK21" s="80">
        <v>8.3807322006989065</v>
      </c>
      <c r="AL21" s="79">
        <v>15223.077289374922</v>
      </c>
      <c r="AM21" s="80">
        <v>2.11917482959268</v>
      </c>
      <c r="AN21" s="79"/>
      <c r="AO21" s="80"/>
      <c r="AP21" s="79"/>
      <c r="AQ21" s="80"/>
      <c r="AR21" s="79"/>
      <c r="AS21" s="80"/>
      <c r="AT21" s="79"/>
      <c r="AU21" s="80"/>
      <c r="AV21" s="79"/>
      <c r="AW21" s="80"/>
    </row>
    <row r="22" spans="1:49" x14ac:dyDescent="0.2">
      <c r="A22" t="s">
        <v>28</v>
      </c>
      <c r="B22" s="39">
        <v>6533.6044688320662</v>
      </c>
      <c r="C22" s="40">
        <v>379.90788307663382</v>
      </c>
      <c r="D22" s="39">
        <v>6567.3765011021387</v>
      </c>
      <c r="E22" s="40">
        <v>364.97823513899459</v>
      </c>
      <c r="F22" s="39">
        <v>6596.1625689610182</v>
      </c>
      <c r="G22" s="40">
        <v>349.733131793658</v>
      </c>
      <c r="H22" s="39">
        <v>6619.5796496050361</v>
      </c>
      <c r="I22" s="40">
        <v>334.17444807569422</v>
      </c>
      <c r="J22" s="39">
        <v>6637.1059244277603</v>
      </c>
      <c r="K22" s="40">
        <v>318.30105727714272</v>
      </c>
      <c r="L22" s="39">
        <v>6648.0484839332594</v>
      </c>
      <c r="M22" s="40">
        <v>302.10887718137207</v>
      </c>
      <c r="N22" s="39">
        <v>6651.4944135999758</v>
      </c>
      <c r="O22" s="40">
        <v>285.58904740766724</v>
      </c>
      <c r="P22" s="39">
        <v>6646.2412263598189</v>
      </c>
      <c r="Q22" s="40">
        <v>268.72661928812931</v>
      </c>
      <c r="R22" s="39">
        <v>6630.6925633737274</v>
      </c>
      <c r="S22" s="40">
        <v>251.49807200094182</v>
      </c>
      <c r="T22" s="39">
        <v>6602.69923525986</v>
      </c>
      <c r="U22" s="40">
        <v>233.86817256317289</v>
      </c>
      <c r="V22" s="39">
        <v>6559.3084086090284</v>
      </c>
      <c r="W22" s="40">
        <v>215.78542779193711</v>
      </c>
      <c r="X22" s="39">
        <v>6496.3482327607144</v>
      </c>
      <c r="Y22" s="40">
        <v>197.17656976781691</v>
      </c>
      <c r="Z22" s="39">
        <v>6407.7091070734105</v>
      </c>
      <c r="AA22" s="40">
        <v>177.94042187470652</v>
      </c>
      <c r="AB22" s="39">
        <v>6284.0175298416743</v>
      </c>
      <c r="AC22" s="40">
        <v>157.94367303221867</v>
      </c>
      <c r="AD22" s="39">
        <v>6110.0435784163292</v>
      </c>
      <c r="AE22" s="40">
        <v>137.0280268697924</v>
      </c>
      <c r="AF22" s="39">
        <v>5859.3305152966368</v>
      </c>
      <c r="AG22" s="40">
        <v>115.0529375202474</v>
      </c>
      <c r="AH22" s="39">
        <v>5482.7883503627718</v>
      </c>
      <c r="AI22" s="40">
        <v>92.01917202188308</v>
      </c>
      <c r="AJ22" s="39">
        <v>4885.7395299293348</v>
      </c>
      <c r="AK22" s="40">
        <v>68.278426744659839</v>
      </c>
      <c r="AL22" s="39">
        <v>3891.8538773358505</v>
      </c>
      <c r="AM22" s="40">
        <v>44.609716067472981</v>
      </c>
      <c r="AN22" s="39"/>
      <c r="AO22" s="40"/>
      <c r="AP22" s="39"/>
      <c r="AQ22" s="40"/>
      <c r="AR22" s="39"/>
      <c r="AS22" s="40"/>
      <c r="AT22" s="39"/>
      <c r="AU22" s="40"/>
      <c r="AV22" s="39"/>
      <c r="AW22" s="40"/>
    </row>
    <row r="23" spans="1:49" x14ac:dyDescent="0.2">
      <c r="A23" t="s">
        <v>7</v>
      </c>
      <c r="B23" s="110">
        <v>3278.5018080150408</v>
      </c>
      <c r="C23" s="8">
        <v>0</v>
      </c>
      <c r="D23" s="110">
        <v>3300.9415487243391</v>
      </c>
      <c r="E23" s="8">
        <v>0</v>
      </c>
      <c r="F23" s="110">
        <v>3321.3256355453518</v>
      </c>
      <c r="G23" s="8">
        <v>0</v>
      </c>
      <c r="H23" s="110">
        <v>3339.5084600231826</v>
      </c>
      <c r="I23" s="8">
        <v>0</v>
      </c>
      <c r="J23" s="110">
        <v>3355.281983545528</v>
      </c>
      <c r="K23" s="8">
        <v>0</v>
      </c>
      <c r="L23" s="110">
        <v>3368.3618127985251</v>
      </c>
      <c r="M23" s="8">
        <v>0</v>
      </c>
      <c r="N23" s="110">
        <v>3378.3644022374056</v>
      </c>
      <c r="O23" s="8">
        <v>0</v>
      </c>
      <c r="P23" s="110">
        <v>3384.775451218763</v>
      </c>
      <c r="Q23" s="8">
        <v>0</v>
      </c>
      <c r="R23" s="110">
        <v>3386.9018136556497</v>
      </c>
      <c r="S23" s="8">
        <v>0</v>
      </c>
      <c r="T23" s="110">
        <v>3383.7978388097317</v>
      </c>
      <c r="U23" s="8">
        <v>0</v>
      </c>
      <c r="V23" s="110">
        <v>3374.1478980947122</v>
      </c>
      <c r="W23" s="8">
        <v>0</v>
      </c>
      <c r="X23" s="110">
        <v>3356.0692552493883</v>
      </c>
      <c r="Y23" s="8">
        <v>0</v>
      </c>
      <c r="Z23" s="110">
        <v>3326.7636533257783</v>
      </c>
      <c r="AA23" s="8">
        <v>0</v>
      </c>
      <c r="AB23" s="110">
        <v>3281.8555559069237</v>
      </c>
      <c r="AC23" s="8">
        <v>0</v>
      </c>
      <c r="AD23" s="110">
        <v>3214.0431645930603</v>
      </c>
      <c r="AE23" s="8">
        <v>0</v>
      </c>
      <c r="AF23" s="110">
        <v>3110.1428574874426</v>
      </c>
      <c r="AG23" s="8">
        <v>0</v>
      </c>
      <c r="AH23" s="110">
        <v>2944.3427460154321</v>
      </c>
      <c r="AI23" s="8">
        <v>0</v>
      </c>
      <c r="AJ23" s="110">
        <v>2663.3896878913497</v>
      </c>
      <c r="AK23" s="8">
        <v>0</v>
      </c>
      <c r="AL23" s="110">
        <v>2160.4345688776912</v>
      </c>
      <c r="AM23" s="8">
        <v>0</v>
      </c>
      <c r="AN23" s="110"/>
      <c r="AO23" s="8"/>
      <c r="AP23" s="110"/>
      <c r="AQ23" s="8"/>
      <c r="AR23" s="110"/>
      <c r="AS23" s="8"/>
      <c r="AT23" s="110"/>
      <c r="AU23" s="8"/>
      <c r="AV23" s="110"/>
      <c r="AW23" s="8"/>
    </row>
    <row r="24" spans="1:49" x14ac:dyDescent="0.2">
      <c r="A24" t="s">
        <v>8</v>
      </c>
      <c r="B24" s="93">
        <v>3196.3846373657216</v>
      </c>
      <c r="C24" s="8">
        <v>0</v>
      </c>
      <c r="D24" s="93">
        <v>3218.2623350889644</v>
      </c>
      <c r="E24" s="8">
        <v>0</v>
      </c>
      <c r="F24" s="93">
        <v>3238.135859473362</v>
      </c>
      <c r="G24" s="8">
        <v>0</v>
      </c>
      <c r="H24" s="93">
        <v>3255.8632454221506</v>
      </c>
      <c r="I24" s="8">
        <v>0</v>
      </c>
      <c r="J24" s="93">
        <v>3271.2416888248986</v>
      </c>
      <c r="K24" s="8">
        <v>0</v>
      </c>
      <c r="L24" s="93">
        <v>3283.993903218211</v>
      </c>
      <c r="M24" s="8">
        <v>0</v>
      </c>
      <c r="N24" s="93">
        <v>3293.7459554755201</v>
      </c>
      <c r="O24" s="8">
        <v>0</v>
      </c>
      <c r="P24" s="93">
        <v>3299.9964252368427</v>
      </c>
      <c r="Q24" s="8">
        <v>0</v>
      </c>
      <c r="R24" s="93">
        <v>3302.0695287506014</v>
      </c>
      <c r="S24" s="8">
        <v>0</v>
      </c>
      <c r="T24" s="93">
        <v>3299.0433006406847</v>
      </c>
      <c r="U24" s="8">
        <v>0</v>
      </c>
      <c r="V24" s="93">
        <v>3289.635064021797</v>
      </c>
      <c r="W24" s="8">
        <v>0</v>
      </c>
      <c r="X24" s="93">
        <v>3272.0092411899932</v>
      </c>
      <c r="Y24" s="8">
        <v>0</v>
      </c>
      <c r="Z24" s="93">
        <v>3243.4376613319923</v>
      </c>
      <c r="AA24" s="8">
        <v>0</v>
      </c>
      <c r="AB24" s="93">
        <v>3199.6543830178193</v>
      </c>
      <c r="AC24" s="8">
        <v>0</v>
      </c>
      <c r="AD24" s="93">
        <v>3133.5405003006244</v>
      </c>
      <c r="AE24" s="8">
        <v>0</v>
      </c>
      <c r="AF24" s="93">
        <v>3032.2426017890807</v>
      </c>
      <c r="AG24" s="8">
        <v>0</v>
      </c>
      <c r="AH24" s="93">
        <v>2870.5953122377964</v>
      </c>
      <c r="AI24" s="8">
        <v>0</v>
      </c>
      <c r="AJ24" s="93">
        <v>2596.6793310534795</v>
      </c>
      <c r="AK24" s="8">
        <v>0</v>
      </c>
      <c r="AL24" s="93">
        <v>2106.3218111140491</v>
      </c>
      <c r="AM24" s="8">
        <v>0</v>
      </c>
      <c r="AN24" s="93"/>
      <c r="AO24" s="8"/>
      <c r="AP24" s="93"/>
      <c r="AQ24" s="8"/>
      <c r="AR24" s="93"/>
      <c r="AS24" s="8"/>
      <c r="AT24" s="93"/>
      <c r="AU24" s="8"/>
      <c r="AV24" s="93"/>
      <c r="AW24" s="8"/>
    </row>
    <row r="25" spans="1:49" x14ac:dyDescent="0.2">
      <c r="A25" t="s">
        <v>0</v>
      </c>
      <c r="B25" s="39">
        <v>3195.0476040000012</v>
      </c>
      <c r="C25" s="40">
        <v>91.012690000004397</v>
      </c>
      <c r="D25" s="39">
        <v>3222.1649792909598</v>
      </c>
      <c r="E25" s="40">
        <v>80.588083327387864</v>
      </c>
      <c r="F25" s="39">
        <v>3247.5021003067404</v>
      </c>
      <c r="G25" s="40">
        <v>70.674093541339261</v>
      </c>
      <c r="H25" s="39">
        <v>3270.9602075619605</v>
      </c>
      <c r="I25" s="40">
        <v>61.296067607324055</v>
      </c>
      <c r="J25" s="39">
        <v>3292.3806388877197</v>
      </c>
      <c r="K25" s="40">
        <v>52.481799678501439</v>
      </c>
      <c r="L25" s="39">
        <v>3311.5273693451413</v>
      </c>
      <c r="M25" s="40">
        <v>44.26101774908247</v>
      </c>
      <c r="N25" s="39">
        <v>3328.0582286093668</v>
      </c>
      <c r="O25" s="40">
        <v>36.665012467706568</v>
      </c>
      <c r="P25" s="39">
        <v>3341.4818832958554</v>
      </c>
      <c r="Q25" s="40">
        <v>29.725912517306021</v>
      </c>
      <c r="R25" s="39">
        <v>3351.0902243322312</v>
      </c>
      <c r="S25" s="40">
        <v>23.475869976109376</v>
      </c>
      <c r="T25" s="39">
        <v>3355.8508696638378</v>
      </c>
      <c r="U25" s="40">
        <v>17.94581938095844</v>
      </c>
      <c r="V25" s="39">
        <v>3354.2326658337247</v>
      </c>
      <c r="W25" s="40">
        <v>13.163817021650061</v>
      </c>
      <c r="X25" s="39">
        <v>3343.9122270109074</v>
      </c>
      <c r="Y25" s="40">
        <v>9.1524065981382545</v>
      </c>
      <c r="Z25" s="39">
        <v>3321.2666612822459</v>
      </c>
      <c r="AA25" s="40">
        <v>5.9243968091017543</v>
      </c>
      <c r="AB25" s="39">
        <v>3280.4659126389729</v>
      </c>
      <c r="AC25" s="40">
        <v>3.4759118269733418</v>
      </c>
      <c r="AD25" s="39">
        <v>3211.808671263846</v>
      </c>
      <c r="AE25" s="40">
        <v>1.7745770569230346</v>
      </c>
      <c r="AF25" s="39">
        <v>3098.6504146881098</v>
      </c>
      <c r="AG25" s="40">
        <v>0.74155922561692333</v>
      </c>
      <c r="AH25" s="39">
        <v>2911.856866771996</v>
      </c>
      <c r="AI25" s="40">
        <v>0.23334358434671382</v>
      </c>
      <c r="AJ25" s="39">
        <v>2600.0368681851542</v>
      </c>
      <c r="AK25" s="40">
        <v>5.0905424615771203E-2</v>
      </c>
      <c r="AL25" s="39">
        <v>2072.9918658134657</v>
      </c>
      <c r="AM25" s="40">
        <v>7.685351062871962E-3</v>
      </c>
      <c r="AN25" s="39"/>
      <c r="AO25" s="40"/>
      <c r="AP25" s="39"/>
      <c r="AQ25" s="40"/>
      <c r="AR25" s="39"/>
      <c r="AS25" s="40"/>
      <c r="AT25" s="39"/>
      <c r="AU25" s="40"/>
      <c r="AV25" s="39"/>
      <c r="AW25" s="40"/>
    </row>
    <row r="26" spans="1:49" x14ac:dyDescent="0.2">
      <c r="A26" t="s">
        <v>27</v>
      </c>
      <c r="B26" s="31">
        <v>5036.2953101960647</v>
      </c>
      <c r="C26" s="32">
        <v>74.905331803938267</v>
      </c>
      <c r="D26" s="31">
        <v>5089.8034377748863</v>
      </c>
      <c r="E26" s="32">
        <v>70.265846629686308</v>
      </c>
      <c r="F26" s="31">
        <v>5139.0849182476895</v>
      </c>
      <c r="G26" s="32">
        <v>65.554613187741424</v>
      </c>
      <c r="H26" s="31">
        <v>5183.7316734878223</v>
      </c>
      <c r="I26" s="32">
        <v>60.772105163274276</v>
      </c>
      <c r="J26" s="31">
        <v>5223.1938937674049</v>
      </c>
      <c r="K26" s="32">
        <v>55.919614569407919</v>
      </c>
      <c r="L26" s="31">
        <v>5256.7445668140381</v>
      </c>
      <c r="M26" s="32">
        <v>50.999908888693014</v>
      </c>
      <c r="N26" s="31">
        <v>5283.4292074972891</v>
      </c>
      <c r="O26" s="32">
        <v>46.018231883311778</v>
      </c>
      <c r="P26" s="31">
        <v>5301.9935872627857</v>
      </c>
      <c r="Q26" s="32">
        <v>40.983773127757793</v>
      </c>
      <c r="R26" s="31">
        <v>5310.7787717532501</v>
      </c>
      <c r="S26" s="32">
        <v>35.911887887820413</v>
      </c>
      <c r="T26" s="31">
        <v>5307.5623398488469</v>
      </c>
      <c r="U26" s="32">
        <v>30.827309578499435</v>
      </c>
      <c r="V26" s="31">
        <v>5289.3140685937269</v>
      </c>
      <c r="W26" s="32">
        <v>25.768967735763443</v>
      </c>
      <c r="X26" s="31">
        <v>5251.7942933820705</v>
      </c>
      <c r="Y26" s="32">
        <v>20.796866833648807</v>
      </c>
      <c r="Z26" s="31">
        <v>5188.8678483420017</v>
      </c>
      <c r="AA26" s="32">
        <v>16.001662047103927</v>
      </c>
      <c r="AB26" s="31">
        <v>5091.2561308351715</v>
      </c>
      <c r="AC26" s="32">
        <v>11.516905556453908</v>
      </c>
      <c r="AD26" s="31">
        <v>4944.1433145711226</v>
      </c>
      <c r="AE26" s="32">
        <v>7.5301085419984028</v>
      </c>
      <c r="AF26" s="31">
        <v>4722.4221466608478</v>
      </c>
      <c r="AG26" s="32">
        <v>4.2775151575392165</v>
      </c>
      <c r="AH26" s="31">
        <v>4381.5409011928341</v>
      </c>
      <c r="AI26" s="32">
        <v>1.9828459601859905</v>
      </c>
      <c r="AJ26" s="31">
        <v>3843.0774370304639</v>
      </c>
      <c r="AK26" s="32">
        <v>0.7007254041436386</v>
      </c>
      <c r="AL26" s="31">
        <v>2984.4936033280583</v>
      </c>
      <c r="AM26" s="32">
        <v>0.18374556009839141</v>
      </c>
      <c r="AN26" s="31"/>
      <c r="AO26" s="32"/>
      <c r="AP26" s="31"/>
      <c r="AQ26" s="32"/>
      <c r="AR26" s="31"/>
      <c r="AS26" s="32"/>
      <c r="AT26" s="31"/>
      <c r="AU26" s="32"/>
      <c r="AV26" s="31"/>
      <c r="AW26" s="32"/>
    </row>
    <row r="27" spans="1:49" x14ac:dyDescent="0.2">
      <c r="A27" t="s">
        <v>2</v>
      </c>
      <c r="B27" s="33">
        <v>6425.1981590000414</v>
      </c>
      <c r="C27" s="34">
        <v>273.22915400000028</v>
      </c>
      <c r="D27" s="33">
        <v>6443.4144921600391</v>
      </c>
      <c r="E27" s="34">
        <v>255.01279892223556</v>
      </c>
      <c r="F27" s="33">
        <v>6461.5729742310268</v>
      </c>
      <c r="G27" s="34">
        <v>236.85433388504777</v>
      </c>
      <c r="H27" s="33">
        <v>6479.6932811595279</v>
      </c>
      <c r="I27" s="34">
        <v>218.73403173486287</v>
      </c>
      <c r="J27" s="33">
        <v>6497.7909300431838</v>
      </c>
      <c r="K27" s="34">
        <v>200.63638720115389</v>
      </c>
      <c r="L27" s="33">
        <v>6515.8776421046514</v>
      </c>
      <c r="M27" s="34">
        <v>182.5496721420925</v>
      </c>
      <c r="N27" s="33">
        <v>6533.9571955030615</v>
      </c>
      <c r="O27" s="34">
        <v>164.47011946244837</v>
      </c>
      <c r="P27" s="33">
        <v>6552.0223684823768</v>
      </c>
      <c r="Q27" s="34">
        <v>146.40494471068362</v>
      </c>
      <c r="R27" s="33">
        <v>6570.0482994996873</v>
      </c>
      <c r="S27" s="34">
        <v>128.37901792483962</v>
      </c>
      <c r="T27" s="33">
        <v>6587.9832221105326</v>
      </c>
      <c r="U27" s="34">
        <v>110.4440898770371</v>
      </c>
      <c r="V27" s="33">
        <v>6605.7329955230143</v>
      </c>
      <c r="W27" s="34">
        <v>92.694316403173076</v>
      </c>
      <c r="X27" s="33">
        <v>6623.1386468260334</v>
      </c>
      <c r="Y27" s="34">
        <v>75.28868395644831</v>
      </c>
      <c r="Z27" s="33">
        <v>6639.9430414620419</v>
      </c>
      <c r="AA27" s="34">
        <v>58.484296250081556</v>
      </c>
      <c r="AB27" s="33">
        <v>6655.7440118896029</v>
      </c>
      <c r="AC27" s="34">
        <v>42.683284771207255</v>
      </c>
      <c r="AD27" s="33">
        <v>6669.94401689598</v>
      </c>
      <c r="AE27" s="34">
        <v>28.483304599610971</v>
      </c>
      <c r="AF27" s="33">
        <v>6681.7410695385233</v>
      </c>
      <c r="AG27" s="34">
        <v>16.686292270045758</v>
      </c>
      <c r="AH27" s="33">
        <v>6690.3020967082093</v>
      </c>
      <c r="AI27" s="34">
        <v>8.1252057565824298</v>
      </c>
      <c r="AJ27" s="33">
        <v>6695.2958755416057</v>
      </c>
      <c r="AK27" s="34">
        <v>3.1314363739075493</v>
      </c>
      <c r="AL27" s="33">
        <v>6697.4334308016878</v>
      </c>
      <c r="AM27" s="34">
        <v>0.99387448511460441</v>
      </c>
      <c r="AN27" s="33"/>
      <c r="AO27" s="34"/>
      <c r="AP27" s="33"/>
      <c r="AQ27" s="34"/>
      <c r="AR27" s="33"/>
      <c r="AS27" s="34"/>
      <c r="AT27" s="33"/>
      <c r="AU27" s="34"/>
      <c r="AV27" s="33"/>
      <c r="AW27" s="34"/>
    </row>
    <row r="28" spans="1:49" x14ac:dyDescent="0.2">
      <c r="A28" t="s">
        <v>35</v>
      </c>
      <c r="B28" s="39">
        <v>13763.097676000029</v>
      </c>
      <c r="C28" s="40">
        <v>382.36647899999997</v>
      </c>
      <c r="D28" s="39">
        <v>13858.931274232446</v>
      </c>
      <c r="E28" s="40">
        <v>357.38418341243909</v>
      </c>
      <c r="F28" s="39">
        <v>13948.010321056787</v>
      </c>
      <c r="G28" s="40">
        <v>332.3472652447528</v>
      </c>
      <c r="H28" s="39">
        <v>14029.982411811121</v>
      </c>
      <c r="I28" s="40">
        <v>307.24224677662403</v>
      </c>
      <c r="J28" s="39">
        <v>14104.282851029715</v>
      </c>
      <c r="K28" s="40">
        <v>282.05978560990968</v>
      </c>
      <c r="L28" s="39">
        <v>14170.083474360414</v>
      </c>
      <c r="M28" s="40">
        <v>256.79522304509277</v>
      </c>
      <c r="N28" s="39">
        <v>14226.211092951246</v>
      </c>
      <c r="O28" s="40">
        <v>231.45428578763509</v>
      </c>
      <c r="P28" s="39">
        <v>14271.027830766989</v>
      </c>
      <c r="Q28" s="40">
        <v>206.05818977899261</v>
      </c>
      <c r="R28" s="39">
        <v>14302.247011256684</v>
      </c>
      <c r="S28" s="40">
        <v>180.65348475594678</v>
      </c>
      <c r="T28" s="39">
        <v>14316.643478236523</v>
      </c>
      <c r="U28" s="40">
        <v>155.32586860234667</v>
      </c>
      <c r="V28" s="39">
        <v>14309.584951604253</v>
      </c>
      <c r="W28" s="40">
        <v>130.22272388595508</v>
      </c>
      <c r="X28" s="39">
        <v>14274.229736120918</v>
      </c>
      <c r="Y28" s="40">
        <v>105.58571009802178</v>
      </c>
      <c r="Z28" s="39">
        <v>14200.087151640233</v>
      </c>
      <c r="AA28" s="40">
        <v>81.798554370389979</v>
      </c>
      <c r="AB28" s="39">
        <v>14070.249343117079</v>
      </c>
      <c r="AC28" s="40">
        <v>59.453121774165218</v>
      </c>
      <c r="AD28" s="39">
        <v>13855.675739326613</v>
      </c>
      <c r="AE28" s="40">
        <v>39.41849376822919</v>
      </c>
      <c r="AF28" s="39">
        <v>13502.481643772921</v>
      </c>
      <c r="AG28" s="40">
        <v>22.845596660596186</v>
      </c>
      <c r="AH28" s="39">
        <v>12902.076077804311</v>
      </c>
      <c r="AI28" s="40">
        <v>10.906458895752076</v>
      </c>
      <c r="AJ28" s="39">
        <v>11821.058890718627</v>
      </c>
      <c r="AK28" s="40">
        <v>4.0261243250338268</v>
      </c>
      <c r="AL28" s="39">
        <v>9757.4380143257004</v>
      </c>
      <c r="AM28" s="40">
        <v>1.1221323168897694</v>
      </c>
      <c r="AN28" s="39"/>
      <c r="AO28" s="40"/>
      <c r="AP28" s="39"/>
      <c r="AQ28" s="40"/>
      <c r="AR28" s="39"/>
      <c r="AS28" s="40"/>
      <c r="AT28" s="39"/>
      <c r="AU28" s="40"/>
      <c r="AV28" s="39"/>
      <c r="AW28" s="40"/>
    </row>
    <row r="29" spans="1:49" x14ac:dyDescent="0.2">
      <c r="A29" t="s">
        <v>53</v>
      </c>
      <c r="B29" s="33">
        <v>14362.768558000025</v>
      </c>
      <c r="C29" s="34">
        <v>817.26650999999993</v>
      </c>
      <c r="D29" s="33">
        <v>14438.612790578647</v>
      </c>
      <c r="E29" s="34">
        <v>755.40309832678793</v>
      </c>
      <c r="F29" s="33">
        <v>14505.143397963644</v>
      </c>
      <c r="G29" s="34">
        <v>694.11382173833738</v>
      </c>
      <c r="H29" s="33">
        <v>14561.707686670819</v>
      </c>
      <c r="I29" s="34">
        <v>633.43765035128934</v>
      </c>
      <c r="J29" s="33">
        <v>14607.376642952404</v>
      </c>
      <c r="K29" s="34">
        <v>573.43324180155059</v>
      </c>
      <c r="L29" s="33">
        <v>14640.878559098441</v>
      </c>
      <c r="M29" s="34">
        <v>514.18136344089567</v>
      </c>
      <c r="N29" s="33">
        <v>14660.493230432636</v>
      </c>
      <c r="O29" s="34">
        <v>455.79713753332794</v>
      </c>
      <c r="P29" s="33">
        <v>14663.900132597486</v>
      </c>
      <c r="Q29" s="34">
        <v>398.44076084178448</v>
      </c>
      <c r="R29" s="33">
        <v>14647.946477345065</v>
      </c>
      <c r="S29" s="34">
        <v>342.33638412754459</v>
      </c>
      <c r="T29" s="33">
        <v>14608.287289646574</v>
      </c>
      <c r="U29" s="34">
        <v>287.79666989927136</v>
      </c>
      <c r="V29" s="33">
        <v>14538.809470673643</v>
      </c>
      <c r="W29" s="34">
        <v>235.26000094523818</v>
      </c>
      <c r="X29" s="33">
        <v>14430.665920273774</v>
      </c>
      <c r="Y29" s="34">
        <v>185.33940306486451</v>
      </c>
      <c r="Z29" s="33">
        <v>14270.586773439456</v>
      </c>
      <c r="AA29" s="34">
        <v>138.88620892586141</v>
      </c>
      <c r="AB29" s="33">
        <v>14037.75409870789</v>
      </c>
      <c r="AC29" s="34">
        <v>97.062181298692138</v>
      </c>
      <c r="AD29" s="33">
        <v>13697.700567489688</v>
      </c>
      <c r="AE29" s="34">
        <v>61.37412673831124</v>
      </c>
      <c r="AF29" s="33">
        <v>13189.792798259869</v>
      </c>
      <c r="AG29" s="34">
        <v>33.535799160375099</v>
      </c>
      <c r="AH29" s="33">
        <v>12400.961608350763</v>
      </c>
      <c r="AI29" s="34">
        <v>14.854979496341743</v>
      </c>
      <c r="AJ29" s="33">
        <v>11112.546601538497</v>
      </c>
      <c r="AK29" s="34">
        <v>4.9867332487325671</v>
      </c>
      <c r="AL29" s="33">
        <v>8911.2577539578251</v>
      </c>
      <c r="AM29" s="34">
        <v>1.2433861538177828</v>
      </c>
      <c r="AN29" s="33"/>
      <c r="AO29" s="34"/>
      <c r="AP29" s="33"/>
      <c r="AQ29" s="34"/>
      <c r="AR29" s="33"/>
      <c r="AS29" s="34"/>
      <c r="AT29" s="33"/>
      <c r="AU29" s="34"/>
      <c r="AV29" s="33"/>
      <c r="AW29" s="34"/>
    </row>
    <row r="30" spans="1:49" x14ac:dyDescent="0.2">
      <c r="A30" t="s">
        <v>48</v>
      </c>
      <c r="B30" s="112">
        <v>2924829.9599999995</v>
      </c>
      <c r="D30" s="112">
        <v>3028772.1564607145</v>
      </c>
      <c r="F30" s="112">
        <v>3132855.2522218782</v>
      </c>
      <c r="H30" s="112">
        <v>3237172.5466202642</v>
      </c>
      <c r="J30" s="112">
        <v>3341798.5551869753</v>
      </c>
      <c r="L30" s="112">
        <v>3446784.3531037318</v>
      </c>
      <c r="N30" s="112">
        <v>3552163.0031664544</v>
      </c>
      <c r="P30" s="112">
        <v>3657952.3878252376</v>
      </c>
      <c r="R30" s="112">
        <v>3764167.4533164464</v>
      </c>
      <c r="T30" s="112">
        <v>3870841.4141134489</v>
      </c>
      <c r="V30" s="112">
        <v>3978066.4927885272</v>
      </c>
      <c r="X30" s="112">
        <v>4086047.623811766</v>
      </c>
      <c r="Z30" s="112">
        <v>4195145.3720888197</v>
      </c>
      <c r="AB30" s="112">
        <v>4305748.7688368447</v>
      </c>
      <c r="AD30" s="112">
        <v>4417323.5323845884</v>
      </c>
      <c r="AF30" s="112">
        <v>4524128.8203042289</v>
      </c>
      <c r="AH30" s="112">
        <v>4599086.7230883259</v>
      </c>
      <c r="AJ30" s="112">
        <v>4543326.6713762619</v>
      </c>
      <c r="AL30" s="112">
        <v>4069885.2441562205</v>
      </c>
      <c r="AN30" s="112"/>
      <c r="AP30" s="112"/>
      <c r="AR30" s="112"/>
      <c r="AT30" s="112"/>
      <c r="AV30" s="112"/>
    </row>
    <row r="31" spans="1:49" x14ac:dyDescent="0.2">
      <c r="A31" t="s">
        <v>47</v>
      </c>
      <c r="B31" s="77">
        <v>1</v>
      </c>
      <c r="D31" s="77">
        <v>1.002660843141975</v>
      </c>
      <c r="F31" s="77">
        <v>1.0043664683966231</v>
      </c>
      <c r="H31" s="77">
        <v>1.0050397748036626</v>
      </c>
      <c r="J31" s="77">
        <v>1.0045796398575031</v>
      </c>
      <c r="L31" s="77">
        <v>1.0028555522116873</v>
      </c>
      <c r="N31" s="77">
        <v>0.9996992768673072</v>
      </c>
      <c r="P31" s="77">
        <v>0.9948932750245304</v>
      </c>
      <c r="R31" s="77">
        <v>0.98815336839158974</v>
      </c>
      <c r="T31" s="77">
        <v>0.9791026211120395</v>
      </c>
      <c r="V31" s="77">
        <v>0.96723053120239089</v>
      </c>
      <c r="X31" s="77">
        <v>0.95182676826534718</v>
      </c>
      <c r="Z31" s="77">
        <v>0.9318694783979784</v>
      </c>
      <c r="AB31" s="77">
        <v>0.90582711556382089</v>
      </c>
      <c r="AD31" s="77">
        <v>0.87129305897331821</v>
      </c>
      <c r="AF31" s="77">
        <v>0.82429093890316385</v>
      </c>
      <c r="AH31" s="77">
        <v>0.75797031705687434</v>
      </c>
      <c r="AJ31" s="77">
        <v>0.66039647482582453</v>
      </c>
      <c r="AL31" s="77">
        <v>0.51193011761588092</v>
      </c>
      <c r="AN31" s="77"/>
      <c r="AP31" s="77"/>
      <c r="AR31" s="77"/>
      <c r="AT31" s="77"/>
      <c r="AV31" s="77"/>
    </row>
    <row r="32" spans="1:49" x14ac:dyDescent="0.2">
      <c r="A32" t="s">
        <v>64</v>
      </c>
      <c r="B32" s="83">
        <v>14734457.915000005</v>
      </c>
      <c r="D32" s="83">
        <v>14810925.51628847</v>
      </c>
      <c r="F32" s="83">
        <v>14877492.471955108</v>
      </c>
      <c r="H32" s="83">
        <v>14933398.288863728</v>
      </c>
      <c r="J32" s="83">
        <v>14977599.679162797</v>
      </c>
      <c r="L32" s="83">
        <v>15008714.274028651</v>
      </c>
      <c r="N32" s="83">
        <v>15024930.594762031</v>
      </c>
      <c r="P32" s="83">
        <v>15023887.199821169</v>
      </c>
      <c r="R32" s="83">
        <v>15002492.842308434</v>
      </c>
      <c r="T32" s="83">
        <v>14956656.684436943</v>
      </c>
      <c r="V32" s="83">
        <v>14880862.798472416</v>
      </c>
      <c r="X32" s="83">
        <v>14767456.302268662</v>
      </c>
      <c r="Z32" s="83">
        <v>14605364.3785425</v>
      </c>
      <c r="AB32" s="83">
        <v>14377586.790441955</v>
      </c>
      <c r="AD32" s="83">
        <v>14055817.686995611</v>
      </c>
      <c r="AF32" s="83">
        <v>13587862.773167185</v>
      </c>
      <c r="AH32" s="83">
        <v>12866894.306560712</v>
      </c>
      <c r="AJ32" s="83">
        <v>11660748.944278397</v>
      </c>
      <c r="AL32" s="83">
        <v>9487183.4989671968</v>
      </c>
      <c r="AN32" s="83"/>
      <c r="AP32" s="83"/>
      <c r="AR32" s="83"/>
      <c r="AT32" s="83"/>
      <c r="AV32" s="83"/>
    </row>
    <row r="33" spans="1:49 16319:16384" x14ac:dyDescent="0.2">
      <c r="A33" t="s">
        <v>54</v>
      </c>
      <c r="B33" s="111">
        <v>7019665.6909999885</v>
      </c>
      <c r="D33" s="111">
        <v>7056095.985611029</v>
      </c>
      <c r="F33" s="111">
        <v>7087809.304017907</v>
      </c>
      <c r="H33" s="111">
        <v>7114443.1916299453</v>
      </c>
      <c r="J33" s="111">
        <v>7135501.28563233</v>
      </c>
      <c r="L33" s="111">
        <v>7150324.5995780956</v>
      </c>
      <c r="N33" s="111">
        <v>7158050.2528614458</v>
      </c>
      <c r="P33" s="111">
        <v>7157553.1753059607</v>
      </c>
      <c r="R33" s="111">
        <v>7147360.6974791149</v>
      </c>
      <c r="T33" s="111">
        <v>7125523.7804677906</v>
      </c>
      <c r="V33" s="111">
        <v>7089414.6768436348</v>
      </c>
      <c r="X33" s="111">
        <v>7035386.4906283617</v>
      </c>
      <c r="Z33" s="111">
        <v>6958164.0635282341</v>
      </c>
      <c r="AB33" s="111">
        <v>6849648.1824187785</v>
      </c>
      <c r="AD33" s="111">
        <v>6696353.6562724346</v>
      </c>
      <c r="AF33" s="111">
        <v>6473414.5505642993</v>
      </c>
      <c r="AH33" s="111">
        <v>6129936.8562567942</v>
      </c>
      <c r="AJ33" s="111">
        <v>5555315.2866642652</v>
      </c>
      <c r="AL33" s="111">
        <v>4519803.6395933861</v>
      </c>
      <c r="AN33" s="111"/>
      <c r="AP33" s="111"/>
      <c r="AR33" s="111"/>
      <c r="AT33" s="111"/>
      <c r="AV33" s="111"/>
    </row>
    <row r="34" spans="1:49 16319:16384" x14ac:dyDescent="0.2">
      <c r="A34" t="s">
        <v>75</v>
      </c>
      <c r="B34" s="111">
        <v>1136879.4410000162</v>
      </c>
      <c r="D34" s="111">
        <v>1142779.2621033662</v>
      </c>
      <c r="F34" s="111">
        <v>1147915.3727608346</v>
      </c>
      <c r="H34" s="111">
        <v>1152229.2455502125</v>
      </c>
      <c r="J34" s="111">
        <v>1155639.6870487679</v>
      </c>
      <c r="L34" s="111">
        <v>1158040.4631926385</v>
      </c>
      <c r="N34" s="111">
        <v>1159291.6696543903</v>
      </c>
      <c r="P34" s="111">
        <v>1159211.1563187656</v>
      </c>
      <c r="R34" s="111">
        <v>1157560.3719128401</v>
      </c>
      <c r="T34" s="111">
        <v>1154023.7932140476</v>
      </c>
      <c r="V34" s="111">
        <v>1148175.7198689654</v>
      </c>
      <c r="X34" s="111">
        <v>1139425.5379342805</v>
      </c>
      <c r="Z34" s="111">
        <v>1126918.8350582244</v>
      </c>
      <c r="AB34" s="111">
        <v>1109344.0131118193</v>
      </c>
      <c r="AD34" s="111">
        <v>1084517.0068970879</v>
      </c>
      <c r="AF34" s="111">
        <v>1048410.5877941482</v>
      </c>
      <c r="AH34" s="111">
        <v>992782.19606571482</v>
      </c>
      <c r="AJ34" s="111">
        <v>899718.59280428046</v>
      </c>
      <c r="AL34" s="111">
        <v>732010.90501192457</v>
      </c>
      <c r="AN34" s="111"/>
      <c r="AP34" s="111"/>
      <c r="AR34" s="111"/>
      <c r="AT34" s="111"/>
      <c r="AV34" s="111"/>
    </row>
    <row r="35" spans="1:49 16319:16384" x14ac:dyDescent="0.2">
      <c r="A35" t="s">
        <v>78</v>
      </c>
      <c r="B35" s="192">
        <v>1</v>
      </c>
      <c r="D35" s="192">
        <v>1.0025237897130856</v>
      </c>
      <c r="F35" s="192">
        <v>1.0053315914864924</v>
      </c>
      <c r="H35" s="192">
        <v>1.0084696948043466</v>
      </c>
      <c r="J35" s="192">
        <v>1.0119968746976795</v>
      </c>
      <c r="L35" s="192">
        <v>1.0159886625630592</v>
      </c>
      <c r="N35" s="192">
        <v>1.0205442330497625</v>
      </c>
      <c r="P35" s="192">
        <v>1.0257964188522521</v>
      </c>
      <c r="R35" s="192">
        <v>1.0319275013819837</v>
      </c>
      <c r="T35" s="192">
        <v>1.039194366411792</v>
      </c>
      <c r="V35" s="192">
        <v>1.0479702136131814</v>
      </c>
      <c r="X35" s="192">
        <v>1.058815575078367</v>
      </c>
      <c r="Z35" s="192">
        <v>1.0726035411428116</v>
      </c>
      <c r="AB35" s="192">
        <v>1.0907462958025933</v>
      </c>
      <c r="AD35" s="192">
        <v>1.1156059613201053</v>
      </c>
      <c r="AF35" s="192">
        <v>1.1511950713639991</v>
      </c>
      <c r="AH35" s="192">
        <v>1.2040872027700451</v>
      </c>
      <c r="AJ35" s="192">
        <v>1.2833531661797077</v>
      </c>
      <c r="AL35" s="192">
        <v>1.3945275490260536</v>
      </c>
      <c r="AN35" s="192"/>
      <c r="AP35" s="192"/>
      <c r="AR35" s="192"/>
      <c r="AT35" s="192"/>
      <c r="AV35" s="192"/>
    </row>
    <row r="36" spans="1:49 16319:16384" x14ac:dyDescent="0.2">
      <c r="A36" t="s">
        <v>21</v>
      </c>
      <c r="B36" s="35">
        <v>0.47195767671988198</v>
      </c>
      <c r="C36" s="36">
        <v>0.31738834428178964</v>
      </c>
      <c r="D36" s="35">
        <v>0.47198339801574551</v>
      </c>
      <c r="E36" s="36">
        <v>0.32020473055056975</v>
      </c>
      <c r="F36" s="35">
        <v>0.47200993279611564</v>
      </c>
      <c r="G36" s="36">
        <v>0.32327225484920546</v>
      </c>
      <c r="H36" s="35">
        <v>0.47203746429337851</v>
      </c>
      <c r="I36" s="36">
        <v>0.32662927176208734</v>
      </c>
      <c r="J36" s="35">
        <v>0.47206620022331575</v>
      </c>
      <c r="K36" s="36">
        <v>0.33032189147703245</v>
      </c>
      <c r="L36" s="35">
        <v>0.47209636071011263</v>
      </c>
      <c r="M36" s="36">
        <v>0.33440611272448545</v>
      </c>
      <c r="N36" s="35">
        <v>0.47212818211629204</v>
      </c>
      <c r="O36" s="36">
        <v>0.33895124524376108</v>
      </c>
      <c r="P36" s="35">
        <v>0.47216189872857978</v>
      </c>
      <c r="Q36" s="36">
        <v>0.34404454217833202</v>
      </c>
      <c r="R36" s="35">
        <v>0.47219771605961891</v>
      </c>
      <c r="S36" s="36">
        <v>0.3497982572334013</v>
      </c>
      <c r="T36" s="35">
        <v>0.47223575418693825</v>
      </c>
      <c r="U36" s="36">
        <v>0.3563603622807518</v>
      </c>
      <c r="V36" s="35">
        <v>0.47227594640751225</v>
      </c>
      <c r="W36" s="36">
        <v>0.36393162365079651</v>
      </c>
      <c r="X36" s="35">
        <v>0.47231784895221163</v>
      </c>
      <c r="Y36" s="36">
        <v>0.37279326520233491</v>
      </c>
      <c r="Z36" s="35">
        <v>0.47236029928803064</v>
      </c>
      <c r="AA36" s="36">
        <v>0.38335319521105549</v>
      </c>
      <c r="AB36" s="35">
        <v>0.47240083111296982</v>
      </c>
      <c r="AC36" s="36">
        <v>0.39622429864609876</v>
      </c>
      <c r="AD36" s="35">
        <v>0.47243476946093266</v>
      </c>
      <c r="AE36" s="36">
        <v>0.41235380583210296</v>
      </c>
      <c r="AF36" s="35">
        <v>0.47245428234010545</v>
      </c>
      <c r="AG36" s="36">
        <v>0.43321140290538274</v>
      </c>
      <c r="AH36" s="35">
        <v>0.47244911214392171</v>
      </c>
      <c r="AI36" s="36">
        <v>0.4609372746453928</v>
      </c>
      <c r="AJ36" s="35">
        <v>0.47241301592834806</v>
      </c>
      <c r="AK36" s="36">
        <v>0.49793651606965322</v>
      </c>
      <c r="AL36" s="35">
        <v>0.47235570249098696</v>
      </c>
      <c r="AM36" s="36">
        <v>0.54433846368912908</v>
      </c>
      <c r="AN36" s="35"/>
      <c r="AO36" s="36"/>
      <c r="AP36" s="35"/>
      <c r="AQ36" s="36"/>
      <c r="AR36" s="35"/>
      <c r="AS36" s="36"/>
      <c r="AT36" s="35"/>
      <c r="AU36" s="36"/>
      <c r="AV36" s="35"/>
      <c r="AW36" s="36"/>
    </row>
    <row r="37" spans="1:49 16319:16384" x14ac:dyDescent="0.2">
      <c r="B37" s="37">
        <v>2.1403217525954466E-2</v>
      </c>
      <c r="C37" s="38">
        <v>0.3496246130199252</v>
      </c>
      <c r="D37" s="37">
        <v>2.0611724934766817E-2</v>
      </c>
      <c r="E37" s="38">
        <v>0.34484699041349037</v>
      </c>
      <c r="F37" s="37">
        <v>1.981986092254194E-2</v>
      </c>
      <c r="G37" s="38">
        <v>0.34002872885914887</v>
      </c>
      <c r="H37" s="37">
        <v>1.9026539227253562E-2</v>
      </c>
      <c r="I37" s="38">
        <v>0.33516430230703032</v>
      </c>
      <c r="J37" s="37">
        <v>1.8230647023190476E-2</v>
      </c>
      <c r="K37" s="38">
        <v>0.3302480940501305</v>
      </c>
      <c r="L37" s="37">
        <v>1.7431021731793856E-2</v>
      </c>
      <c r="M37" s="38">
        <v>0.32527430990803297</v>
      </c>
      <c r="N37" s="37">
        <v>1.662634615369234E-2</v>
      </c>
      <c r="O37" s="38">
        <v>0.32023642751790887</v>
      </c>
      <c r="P37" s="37">
        <v>1.581506420106538E-2</v>
      </c>
      <c r="Q37" s="38">
        <v>0.31512675783432503</v>
      </c>
      <c r="R37" s="37">
        <v>1.4995238940332702E-2</v>
      </c>
      <c r="S37" s="38">
        <v>0.3099356812871838</v>
      </c>
      <c r="T37" s="37">
        <v>1.4164370791227643E-2</v>
      </c>
      <c r="U37" s="38">
        <v>0.30465067264294216</v>
      </c>
      <c r="V37" s="37">
        <v>1.3319131847989128E-2</v>
      </c>
      <c r="W37" s="38">
        <v>0.29925488719921184</v>
      </c>
      <c r="X37" s="37">
        <v>1.2455031559043985E-2</v>
      </c>
      <c r="Y37" s="38">
        <v>0.29372548112498537</v>
      </c>
      <c r="Z37" s="37">
        <v>1.1566017983658026E-2</v>
      </c>
      <c r="AA37" s="38">
        <v>0.28803187357375754</v>
      </c>
      <c r="AB37" s="37">
        <v>1.0644160991145488E-2</v>
      </c>
      <c r="AC37" s="38">
        <v>0.28213524097702269</v>
      </c>
      <c r="AD37" s="37">
        <v>9.6800064352662828E-3</v>
      </c>
      <c r="AE37" s="38">
        <v>0.2759936709834841</v>
      </c>
      <c r="AF37" s="37">
        <v>8.6653786605935534E-3</v>
      </c>
      <c r="AG37" s="38">
        <v>0.26958526046668385</v>
      </c>
      <c r="AH37" s="37">
        <v>7.6028195536773039E-3</v>
      </c>
      <c r="AI37" s="38">
        <v>0.26297538290683359</v>
      </c>
      <c r="AJ37" s="37">
        <v>6.5266464415194543E-3</v>
      </c>
      <c r="AK37" s="38">
        <v>0.25645044722785548</v>
      </c>
      <c r="AL37" s="37">
        <v>5.5326460511800554E-3</v>
      </c>
      <c r="AM37" s="38">
        <v>0.25067404622892442</v>
      </c>
      <c r="AN37" s="37"/>
      <c r="AO37" s="38"/>
      <c r="AP37" s="37"/>
      <c r="AQ37" s="38"/>
      <c r="AR37" s="37"/>
      <c r="AS37" s="38"/>
      <c r="AT37" s="37"/>
      <c r="AU37" s="38"/>
      <c r="AV37" s="37"/>
      <c r="AW37" s="38"/>
    </row>
    <row r="38" spans="1:49 16319:16384" x14ac:dyDescent="0.2">
      <c r="A38" t="s">
        <v>22</v>
      </c>
      <c r="B38" s="35">
        <v>0.18079094942242827</v>
      </c>
      <c r="C38" s="36">
        <v>6.0565413429233668E-2</v>
      </c>
      <c r="D38" s="35">
        <v>0.18174279036456878</v>
      </c>
      <c r="E38" s="36">
        <v>6.1205669318165581E-2</v>
      </c>
      <c r="F38" s="35">
        <v>0.18265127787460905</v>
      </c>
      <c r="G38" s="36">
        <v>6.1866034633774561E-2</v>
      </c>
      <c r="H38" s="35">
        <v>0.18351247745181551</v>
      </c>
      <c r="I38" s="36">
        <v>6.2549989622034494E-2</v>
      </c>
      <c r="J38" s="35">
        <v>0.18432096406638793</v>
      </c>
      <c r="K38" s="36">
        <v>6.326131837745802E-2</v>
      </c>
      <c r="L38" s="35">
        <v>0.1850694575972805</v>
      </c>
      <c r="M38" s="36">
        <v>6.4004628693178051E-2</v>
      </c>
      <c r="N38" s="35">
        <v>0.18574841332780834</v>
      </c>
      <c r="O38" s="36">
        <v>6.4785229314660228E-2</v>
      </c>
      <c r="P38" s="35">
        <v>0.18634539901542543</v>
      </c>
      <c r="Q38" s="36">
        <v>6.5609657732818155E-2</v>
      </c>
      <c r="R38" s="35">
        <v>0.18684428254460614</v>
      </c>
      <c r="S38" s="36">
        <v>6.6486121468594131E-2</v>
      </c>
      <c r="T38" s="35">
        <v>0.1872240482963419</v>
      </c>
      <c r="U38" s="36">
        <v>6.7425461930348221E-2</v>
      </c>
      <c r="V38" s="35">
        <v>0.1874571392523654</v>
      </c>
      <c r="W38" s="36">
        <v>6.8442410555011782E-2</v>
      </c>
      <c r="X38" s="35">
        <v>0.18750679003362233</v>
      </c>
      <c r="Y38" s="36">
        <v>6.955795813249771E-2</v>
      </c>
      <c r="Z38" s="35">
        <v>0.18732259770059984</v>
      </c>
      <c r="AA38" s="36">
        <v>7.0803325878419629E-2</v>
      </c>
      <c r="AB38" s="35">
        <v>0.18683235163872808</v>
      </c>
      <c r="AC38" s="36">
        <v>7.2225934969118222E-2</v>
      </c>
      <c r="AD38" s="35">
        <v>0.18592558520102942</v>
      </c>
      <c r="AE38" s="36">
        <v>7.3898301612653094E-2</v>
      </c>
      <c r="AF38" s="35">
        <v>0.18441911847988379</v>
      </c>
      <c r="AG38" s="36">
        <v>7.5924964826905472E-2</v>
      </c>
      <c r="AH38" s="35">
        <v>0.18199314540151107</v>
      </c>
      <c r="AI38" s="36">
        <v>7.8423976115385929E-2</v>
      </c>
      <c r="AJ38" s="35">
        <v>0.17814756728599676</v>
      </c>
      <c r="AK38" s="36">
        <v>8.1416898295099807E-2</v>
      </c>
      <c r="AL38" s="35">
        <v>0.17254205515462659</v>
      </c>
      <c r="AM38" s="36">
        <v>8.4481271285153897E-2</v>
      </c>
      <c r="AN38" s="35"/>
      <c r="AO38" s="36"/>
      <c r="AP38" s="35"/>
      <c r="AQ38" s="36"/>
      <c r="AR38" s="35"/>
      <c r="AS38" s="36"/>
      <c r="AT38" s="35"/>
      <c r="AU38" s="36"/>
      <c r="AV38" s="35"/>
      <c r="AW38" s="36"/>
    </row>
    <row r="39" spans="1:49 16319:16384" x14ac:dyDescent="0.2">
      <c r="A39" t="s">
        <v>23</v>
      </c>
      <c r="B39" s="37">
        <v>0.23064923795098771</v>
      </c>
      <c r="C39" s="38">
        <v>0.22092201281804777</v>
      </c>
      <c r="D39" s="37">
        <v>0.23007649383658962</v>
      </c>
      <c r="E39" s="38">
        <v>0.22213108916188523</v>
      </c>
      <c r="F39" s="37">
        <v>0.22965461353492508</v>
      </c>
      <c r="G39" s="38">
        <v>0.22352718917472147</v>
      </c>
      <c r="H39" s="37">
        <v>0.22939161246233858</v>
      </c>
      <c r="I39" s="38">
        <v>0.22513308331582382</v>
      </c>
      <c r="J39" s="37">
        <v>0.22930013950975972</v>
      </c>
      <c r="K39" s="38">
        <v>0.2269780016648911</v>
      </c>
      <c r="L39" s="37">
        <v>0.22939861841630438</v>
      </c>
      <c r="M39" s="38">
        <v>0.22909891876505759</v>
      </c>
      <c r="N39" s="37">
        <v>0.2297129637119554</v>
      </c>
      <c r="O39" s="38">
        <v>0.23154375926051893</v>
      </c>
      <c r="P39" s="37">
        <v>0.23027927184709499</v>
      </c>
      <c r="Q39" s="38">
        <v>0.23437515825877878</v>
      </c>
      <c r="R39" s="37">
        <v>0.23114801304332405</v>
      </c>
      <c r="S39" s="38">
        <v>0.23767681071048663</v>
      </c>
      <c r="T39" s="37">
        <v>0.23239084347467864</v>
      </c>
      <c r="U39" s="38">
        <v>0.24156320740457574</v>
      </c>
      <c r="V39" s="37">
        <v>0.23411198388809759</v>
      </c>
      <c r="W39" s="38">
        <v>0.24619622037002709</v>
      </c>
      <c r="X39" s="37">
        <v>0.23646841407686317</v>
      </c>
      <c r="Y39" s="38">
        <v>0.25181327400819181</v>
      </c>
      <c r="Z39" s="37">
        <v>0.23970766176057584</v>
      </c>
      <c r="AA39" s="38">
        <v>0.25877828652892965</v>
      </c>
      <c r="AB39" s="37">
        <v>0.24424391028285025</v>
      </c>
      <c r="AC39" s="38">
        <v>0.26767955463748594</v>
      </c>
      <c r="AD39" s="37">
        <v>0.25082469615002717</v>
      </c>
      <c r="AE39" s="38">
        <v>0.27952689160952165</v>
      </c>
      <c r="AF39" s="37">
        <v>0.26093406300544925</v>
      </c>
      <c r="AG39" s="38">
        <v>0.29617806297231658</v>
      </c>
      <c r="AH39" s="37">
        <v>0.27789062106775586</v>
      </c>
      <c r="AI39" s="38">
        <v>0.32136179762902334</v>
      </c>
      <c r="AJ39" s="37">
        <v>0.31036342411287454</v>
      </c>
      <c r="AK39" s="38">
        <v>0.36383986546568192</v>
      </c>
      <c r="AL39" s="37">
        <v>0.38719765628688513</v>
      </c>
      <c r="AM39" s="38">
        <v>0.45695678282184843</v>
      </c>
      <c r="AN39" s="37"/>
      <c r="AO39" s="38"/>
      <c r="AP39" s="37"/>
      <c r="AQ39" s="38"/>
      <c r="AR39" s="37"/>
      <c r="AS39" s="38"/>
      <c r="AT39" s="37"/>
      <c r="AU39" s="38"/>
      <c r="AV39" s="37"/>
      <c r="AW39" s="38"/>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v>6.0999999999999999E-2</v>
      </c>
      <c r="C42" s="126"/>
      <c r="D42" s="167">
        <v>5.2022137765279697E-2</v>
      </c>
      <c r="E42" s="126"/>
      <c r="F42" s="167">
        <v>4.3833951682723513E-2</v>
      </c>
      <c r="G42" s="126"/>
      <c r="H42" s="167">
        <v>3.6510324465290941E-2</v>
      </c>
      <c r="I42" s="126"/>
      <c r="J42" s="167">
        <v>3.015202659143363E-2</v>
      </c>
      <c r="K42" s="126"/>
      <c r="L42" s="167">
        <v>2.4892112093911858E-2</v>
      </c>
      <c r="M42" s="126"/>
      <c r="N42" s="167">
        <v>2.0904970065860749E-2</v>
      </c>
      <c r="O42" s="126"/>
      <c r="P42" s="167">
        <v>1.8419331814069434E-2</v>
      </c>
      <c r="Q42" s="126"/>
      <c r="R42" s="167">
        <v>1.7737146112417758E-2</v>
      </c>
      <c r="S42" s="126"/>
      <c r="T42" s="167">
        <v>1.9262159340549895E-2</v>
      </c>
      <c r="U42" s="126"/>
      <c r="V42" s="167">
        <v>2.3543914495895074E-2</v>
      </c>
      <c r="W42" s="126"/>
      <c r="X42" s="167">
        <v>3.1350274383817225E-2</v>
      </c>
      <c r="Y42" s="152"/>
      <c r="Z42" s="167">
        <v>4.3791701289395982E-2</v>
      </c>
      <c r="AA42" s="126"/>
      <c r="AB42" s="167">
        <v>6.2548270596391717E-2</v>
      </c>
      <c r="AC42" s="126"/>
      <c r="AD42" s="167">
        <v>9.0307411120563494E-2</v>
      </c>
      <c r="AE42" s="126"/>
      <c r="AF42" s="167">
        <v>0.13163827966832881</v>
      </c>
      <c r="AG42" s="126"/>
      <c r="AH42" s="167">
        <v>0.19468455909293908</v>
      </c>
      <c r="AI42" s="126"/>
      <c r="AJ42" s="167">
        <v>0.29384347292737445</v>
      </c>
      <c r="AK42" s="126"/>
      <c r="AL42" s="167">
        <v>0.45167246858277865</v>
      </c>
      <c r="AM42" s="126"/>
      <c r="AN42" s="167">
        <v>1</v>
      </c>
      <c r="AO42" s="126"/>
      <c r="AP42" s="167">
        <v>1</v>
      </c>
      <c r="AQ42" s="126"/>
      <c r="AR42" s="167">
        <v>1</v>
      </c>
      <c r="AS42" s="126"/>
      <c r="AT42" s="167">
        <v>1</v>
      </c>
      <c r="AU42" s="126"/>
      <c r="AV42" s="167">
        <v>1</v>
      </c>
      <c r="XFD42" s="167"/>
    </row>
    <row r="43" spans="1:49 16319:16384" x14ac:dyDescent="0.2">
      <c r="A43" t="s">
        <v>95</v>
      </c>
      <c r="B43" s="152">
        <v>0.56058995943839207</v>
      </c>
      <c r="C43" s="126"/>
      <c r="D43" s="152">
        <v>0.56093833433108498</v>
      </c>
      <c r="E43" s="126"/>
      <c r="F43" s="152">
        <v>0.55448704072447919</v>
      </c>
      <c r="G43" s="126"/>
      <c r="H43" s="152">
        <v>0.54780941692061469</v>
      </c>
      <c r="I43" s="126"/>
      <c r="J43" s="152">
        <v>0.54086132868528347</v>
      </c>
      <c r="K43" s="126"/>
      <c r="L43" s="152">
        <v>0.53358926467753665</v>
      </c>
      <c r="M43" s="126"/>
      <c r="N43" s="152">
        <v>0.52592634193999277</v>
      </c>
      <c r="O43" s="126"/>
      <c r="P43" s="152">
        <v>0.51778650762562184</v>
      </c>
      <c r="Q43" s="126"/>
      <c r="R43" s="152">
        <v>0.50905522856935037</v>
      </c>
      <c r="S43" s="126"/>
      <c r="T43" s="152">
        <v>0.49957451962939864</v>
      </c>
      <c r="U43" s="126"/>
      <c r="V43" s="152">
        <v>0.48911742063417252</v>
      </c>
      <c r="W43" s="126"/>
      <c r="X43" s="152">
        <v>0.47734407986917088</v>
      </c>
      <c r="Y43" s="126"/>
      <c r="Z43" s="152">
        <v>0.46372296935273305</v>
      </c>
      <c r="AA43" s="126"/>
      <c r="AB43" s="152">
        <v>0.44738678221721839</v>
      </c>
      <c r="AC43" s="126"/>
      <c r="AD43" s="152">
        <v>0.42686935623864397</v>
      </c>
      <c r="AE43" s="126"/>
      <c r="AF43" s="152">
        <v>0.39965656142431605</v>
      </c>
      <c r="AG43" s="126"/>
      <c r="AH43" s="152">
        <v>0.36160284692911759</v>
      </c>
      <c r="AI43" s="126"/>
      <c r="AJ43" s="152">
        <v>0.30692255057214168</v>
      </c>
      <c r="AK43" s="126"/>
      <c r="AL43" s="152">
        <v>0.23168070233325103</v>
      </c>
      <c r="AM43" s="126"/>
      <c r="AN43" s="152" t="e">
        <v>#DIV/0!</v>
      </c>
      <c r="AO43" s="126"/>
      <c r="AP43" s="152" t="e">
        <v>#DIV/0!</v>
      </c>
      <c r="AQ43" s="126"/>
      <c r="AR43" s="152" t="e">
        <v>#DIV/0!</v>
      </c>
      <c r="AS43" s="126"/>
      <c r="AT43" s="152" t="e">
        <v>#DIV/0!</v>
      </c>
      <c r="AU43" s="126"/>
      <c r="AV43" s="152" t="e">
        <v>#DIV/0!</v>
      </c>
    </row>
    <row r="44" spans="1:49 16319:16384" x14ac:dyDescent="0.2">
      <c r="A44" t="s">
        <v>129</v>
      </c>
      <c r="B44" s="183">
        <v>0.29754226190682465</v>
      </c>
      <c r="D44" s="183">
        <v>0.2975422452018634</v>
      </c>
      <c r="F44" s="183">
        <v>0.29754224171583249</v>
      </c>
      <c r="H44" s="183">
        <v>0.29754226110079524</v>
      </c>
      <c r="J44" s="183">
        <v>0.29754225830793957</v>
      </c>
      <c r="L44" s="183">
        <v>0.29754226084122654</v>
      </c>
      <c r="N44" s="183">
        <v>0.29754226010662838</v>
      </c>
      <c r="P44" s="183">
        <v>0.29754225958544195</v>
      </c>
      <c r="R44" s="183">
        <v>0.29754225685960672</v>
      </c>
      <c r="T44" s="183">
        <v>0.2975422597023113</v>
      </c>
      <c r="V44" s="183">
        <v>0.29754226118156712</v>
      </c>
      <c r="X44" s="183">
        <v>0.29754226276372669</v>
      </c>
      <c r="Z44" s="183">
        <v>0.29754226038679304</v>
      </c>
      <c r="AB44" s="183">
        <v>0.2975422611318948</v>
      </c>
      <c r="AD44" s="183">
        <v>0.29754226211952511</v>
      </c>
      <c r="AF44" s="183">
        <v>0.29754226121344851</v>
      </c>
      <c r="AH44" s="183">
        <v>0.29754226129161354</v>
      </c>
      <c r="AJ44" s="183">
        <v>0.29754226190452338</v>
      </c>
      <c r="AL44" s="183">
        <v>0.2975422619087465</v>
      </c>
      <c r="AN44" s="183" t="e">
        <v>#DIV/0!</v>
      </c>
      <c r="AP44" s="183" t="e">
        <v>#DIV/0!</v>
      </c>
      <c r="AR44" s="183" t="e">
        <v>#DIV/0!</v>
      </c>
      <c r="AT44" s="183" t="e">
        <v>#DIV/0!</v>
      </c>
      <c r="AV44" s="183" t="e">
        <v>#DIV/0!</v>
      </c>
    </row>
    <row r="45" spans="1:49 16319:16384" x14ac:dyDescent="0.2">
      <c r="A45" t="s">
        <v>82</v>
      </c>
      <c r="B45" s="183">
        <v>0.22038438833194082</v>
      </c>
      <c r="D45" s="183">
        <v>0.22038438893916173</v>
      </c>
      <c r="F45" s="183">
        <v>0.22038438901150628</v>
      </c>
      <c r="H45" s="183">
        <v>0.22038438830706797</v>
      </c>
      <c r="J45" s="183">
        <v>0.22038438843533759</v>
      </c>
      <c r="L45" s="183">
        <v>0.22038438828471235</v>
      </c>
      <c r="N45" s="183">
        <v>0.22038438823875159</v>
      </c>
      <c r="P45" s="183">
        <v>0.2203843881969664</v>
      </c>
      <c r="R45" s="183">
        <v>0.22038438822537468</v>
      </c>
      <c r="T45" s="183">
        <v>0.220384388290122</v>
      </c>
      <c r="V45" s="183">
        <v>0.22038438832040277</v>
      </c>
      <c r="X45" s="183">
        <v>0.22038438840731261</v>
      </c>
      <c r="Z45" s="183">
        <v>0.22038438839875557</v>
      </c>
      <c r="AB45" s="183">
        <v>0.22038438830658186</v>
      </c>
      <c r="AD45" s="183">
        <v>0.22038438834456295</v>
      </c>
      <c r="AF45" s="183">
        <v>0.22038438839002619</v>
      </c>
      <c r="AH45" s="183">
        <v>0.22038438834946122</v>
      </c>
      <c r="AJ45" s="183">
        <v>0.22038438833193888</v>
      </c>
      <c r="AL45" s="183">
        <v>0.22038438833208243</v>
      </c>
      <c r="AN45" s="183" t="e">
        <v>#DIV/0!</v>
      </c>
      <c r="AP45" s="183" t="e">
        <v>#DIV/0!</v>
      </c>
      <c r="AR45" s="183" t="e">
        <v>#DIV/0!</v>
      </c>
      <c r="AT45" s="183" t="e">
        <v>#DIV/0!</v>
      </c>
      <c r="AV45" s="183" t="e">
        <v>#DIV/0!</v>
      </c>
      <c r="XCQ45" s="183"/>
    </row>
    <row r="46" spans="1:49 16319:16384" x14ac:dyDescent="0.2">
      <c r="A46" t="s">
        <v>126</v>
      </c>
      <c r="B46" s="183">
        <v>7.7157873574883795E-2</v>
      </c>
      <c r="D46" s="183">
        <v>7.7157856262701663E-2</v>
      </c>
      <c r="F46" s="183">
        <v>7.7157852704326235E-2</v>
      </c>
      <c r="H46" s="183">
        <v>7.7157872793727295E-2</v>
      </c>
      <c r="J46" s="183">
        <v>7.7157869872601967E-2</v>
      </c>
      <c r="L46" s="183">
        <v>7.7157872556514212E-2</v>
      </c>
      <c r="N46" s="183">
        <v>7.7157871867876773E-2</v>
      </c>
      <c r="P46" s="183">
        <v>7.7157871388475532E-2</v>
      </c>
      <c r="R46" s="183">
        <v>7.7157868634232005E-2</v>
      </c>
      <c r="T46" s="183">
        <v>7.7157871412189327E-2</v>
      </c>
      <c r="V46" s="183">
        <v>7.7157872861164378E-2</v>
      </c>
      <c r="X46" s="183">
        <v>7.7157874356414066E-2</v>
      </c>
      <c r="Z46" s="183">
        <v>7.715787198803746E-2</v>
      </c>
      <c r="AB46" s="183">
        <v>7.7157872825312918E-2</v>
      </c>
      <c r="AD46" s="183">
        <v>7.7157873774962166E-2</v>
      </c>
      <c r="AF46" s="183">
        <v>7.7157872823422319E-2</v>
      </c>
      <c r="AH46" s="183">
        <v>7.7157872942152345E-2</v>
      </c>
      <c r="AJ46" s="183">
        <v>7.7157873572584482E-2</v>
      </c>
      <c r="AL46" s="183">
        <v>7.7157873576664079E-2</v>
      </c>
      <c r="AN46" s="183" t="e">
        <v>#DIV/0!</v>
      </c>
      <c r="AP46" s="183" t="e">
        <v>#DIV/0!</v>
      </c>
      <c r="AR46" s="183" t="e">
        <v>#DIV/0!</v>
      </c>
      <c r="AT46" s="183" t="e">
        <v>#DIV/0!</v>
      </c>
      <c r="AV46" s="183" t="e">
        <v>#DIV/0!</v>
      </c>
      <c r="XCS46" s="183"/>
    </row>
    <row r="48" spans="1:49 16319:16384" x14ac:dyDescent="0.2">
      <c r="A48" t="s">
        <v>143</v>
      </c>
      <c r="B48" s="181">
        <v>1</v>
      </c>
      <c r="C48" s="181"/>
      <c r="D48" s="181">
        <v>1.0068445134754724</v>
      </c>
      <c r="E48" s="181"/>
      <c r="F48" s="181">
        <v>1.0130620143832405</v>
      </c>
      <c r="G48" s="181"/>
      <c r="H48" s="181">
        <v>1.0186080884512847</v>
      </c>
      <c r="I48" s="181"/>
      <c r="J48" s="181">
        <v>1.0234192877115282</v>
      </c>
      <c r="K48" s="181"/>
      <c r="L48" s="181">
        <v>1.027408862133905</v>
      </c>
      <c r="M48" s="181"/>
      <c r="N48" s="181">
        <v>1.0304598254451749</v>
      </c>
      <c r="O48" s="181"/>
      <c r="P48" s="181">
        <v>1.0324153065497499</v>
      </c>
      <c r="Q48" s="181"/>
      <c r="R48" s="181">
        <v>1.0330638841613189</v>
      </c>
      <c r="S48" s="181"/>
      <c r="T48" s="181">
        <v>1.0321171182200302</v>
      </c>
      <c r="U48" s="181"/>
      <c r="V48" s="181">
        <v>1.0291737188215644</v>
      </c>
      <c r="W48" s="181"/>
      <c r="X48" s="181">
        <v>1.0236594191262904</v>
      </c>
      <c r="Y48" s="181"/>
      <c r="Z48" s="181">
        <v>1.0147207014500761</v>
      </c>
      <c r="AA48" s="181"/>
      <c r="AB48" s="181">
        <v>1.001022951247442</v>
      </c>
      <c r="AC48" s="181"/>
      <c r="AD48" s="181">
        <v>0.98033899414655878</v>
      </c>
      <c r="AE48" s="181"/>
      <c r="AF48" s="181">
        <v>0.94864759589386671</v>
      </c>
      <c r="AG48" s="181"/>
      <c r="AH48" s="181">
        <v>0.89807568171882401</v>
      </c>
      <c r="AI48" s="181"/>
      <c r="AJ48" s="181">
        <v>0.8123801186810593</v>
      </c>
      <c r="AK48" s="181"/>
      <c r="AL48" s="181">
        <v>0.65897007090171722</v>
      </c>
      <c r="AM48" s="181"/>
      <c r="AN48" s="181">
        <v>0</v>
      </c>
      <c r="AO48" s="181"/>
      <c r="AP48" s="181">
        <v>0</v>
      </c>
      <c r="AQ48" s="181"/>
      <c r="AR48" s="181">
        <v>0</v>
      </c>
      <c r="AS48" s="181"/>
      <c r="AT48" s="181">
        <v>0</v>
      </c>
      <c r="AU48" s="181"/>
      <c r="AV48" s="181">
        <v>0</v>
      </c>
    </row>
    <row r="49" spans="1:48 16321:16384" x14ac:dyDescent="0.2">
      <c r="A49" t="s">
        <v>144</v>
      </c>
      <c r="B49" s="181">
        <v>1</v>
      </c>
      <c r="C49" s="181"/>
      <c r="D49" s="181">
        <v>0.99999998874570872</v>
      </c>
      <c r="E49" s="181"/>
      <c r="F49" s="181">
        <v>0.99999998669818302</v>
      </c>
      <c r="G49" s="181"/>
      <c r="H49" s="181">
        <v>0.99999999956048957</v>
      </c>
      <c r="I49" s="181"/>
      <c r="J49" s="181">
        <v>0.99999999752361768</v>
      </c>
      <c r="K49" s="181"/>
      <c r="L49" s="181">
        <v>0.99999999962821096</v>
      </c>
      <c r="M49" s="181"/>
      <c r="N49" s="181">
        <v>0.99999999968610742</v>
      </c>
      <c r="O49" s="181"/>
      <c r="P49" s="181">
        <v>1.0000000001829248</v>
      </c>
      <c r="Q49" s="181"/>
      <c r="R49" s="181">
        <v>1.0000000009297503</v>
      </c>
      <c r="S49" s="181"/>
      <c r="T49" s="181">
        <v>1.0000000005059682</v>
      </c>
      <c r="U49" s="181"/>
      <c r="V49" s="181">
        <v>1.0000000001649001</v>
      </c>
      <c r="W49" s="181"/>
      <c r="X49" s="181">
        <v>0.99999999431939079</v>
      </c>
      <c r="Y49" s="181"/>
      <c r="Z49" s="181">
        <v>0.99999999483301705</v>
      </c>
      <c r="AA49" s="181"/>
      <c r="AB49" s="181">
        <v>1.0000000016443864</v>
      </c>
      <c r="AC49" s="181"/>
      <c r="AD49" s="181">
        <v>0.99999999839693121</v>
      </c>
      <c r="AE49" s="181"/>
      <c r="AF49" s="181">
        <v>0.99999999202588663</v>
      </c>
      <c r="AG49" s="181"/>
      <c r="AH49" s="181">
        <v>0.99999999951763885</v>
      </c>
      <c r="AI49" s="181"/>
      <c r="AJ49" s="181">
        <v>1.0000000000492815</v>
      </c>
      <c r="AK49" s="181"/>
      <c r="AL49" s="181">
        <v>1.0000000002238776</v>
      </c>
      <c r="AM49" s="181"/>
      <c r="AN49" s="181" t="e">
        <v>#DIV/0!</v>
      </c>
      <c r="AO49" s="181"/>
      <c r="AP49" s="181" t="e">
        <v>#DIV/0!</v>
      </c>
      <c r="AQ49" s="181"/>
      <c r="AR49" s="181" t="e">
        <v>#DIV/0!</v>
      </c>
      <c r="AS49" s="181"/>
      <c r="AT49" s="181" t="e">
        <v>#DIV/0!</v>
      </c>
      <c r="AU49" s="181"/>
      <c r="AV49" s="181" t="e">
        <v>#DIV/0!</v>
      </c>
    </row>
    <row r="51" spans="1:48 16321:16384" x14ac:dyDescent="0.2">
      <c r="A51" t="s">
        <v>150</v>
      </c>
      <c r="B51" s="27">
        <v>-405838.32800000021</v>
      </c>
      <c r="D51" s="27">
        <v>-319181.34258268867</v>
      </c>
      <c r="F51" s="27">
        <v>-230145.45449937647</v>
      </c>
      <c r="H51" s="27">
        <v>-138465.45782625768</v>
      </c>
      <c r="J51" s="27">
        <v>-43831.005773121957</v>
      </c>
      <c r="L51" s="27">
        <v>54121.456067648251</v>
      </c>
      <c r="N51" s="27">
        <v>155834.46837659087</v>
      </c>
      <c r="P51" s="27">
        <v>261859.70850161789</v>
      </c>
      <c r="R51" s="27">
        <v>372910.88730767462</v>
      </c>
      <c r="T51" s="27">
        <v>489945.93762334343</v>
      </c>
      <c r="V51" s="27">
        <v>614303.93654989218</v>
      </c>
      <c r="X51" s="27">
        <v>747920.17561293952</v>
      </c>
      <c r="Z51" s="27">
        <v>893658.1880388381</v>
      </c>
      <c r="AB51" s="27">
        <v>1055749.8440618301</v>
      </c>
      <c r="AD51" s="27">
        <v>1240059.2921897178</v>
      </c>
      <c r="AF51" s="27">
        <v>1452644.0122875464</v>
      </c>
      <c r="AH51" s="27">
        <v>1690574.1005586698</v>
      </c>
      <c r="AJ51" s="27">
        <v>1907458.6301435065</v>
      </c>
      <c r="AL51" s="27">
        <v>1925343.4222084456</v>
      </c>
      <c r="AN51" s="27">
        <v>0</v>
      </c>
      <c r="AP51" s="27">
        <v>0</v>
      </c>
      <c r="AQ51" s="27"/>
      <c r="AR51" s="27">
        <v>0</v>
      </c>
      <c r="AT51" s="27">
        <v>0</v>
      </c>
      <c r="AV51" s="27">
        <v>0</v>
      </c>
      <c r="XFD51" s="27"/>
    </row>
    <row r="52" spans="1:48 16321:16384" x14ac:dyDescent="0.2">
      <c r="A52" t="s">
        <v>151</v>
      </c>
      <c r="B52" s="27">
        <v>0</v>
      </c>
      <c r="D52" s="27">
        <v>0</v>
      </c>
      <c r="F52" s="27">
        <v>0</v>
      </c>
      <c r="H52" s="27">
        <v>0</v>
      </c>
      <c r="J52" s="27">
        <v>0</v>
      </c>
      <c r="L52" s="27">
        <v>0</v>
      </c>
      <c r="N52" s="27">
        <v>0</v>
      </c>
      <c r="P52" s="27">
        <v>0</v>
      </c>
      <c r="R52" s="27">
        <v>0</v>
      </c>
      <c r="T52" s="27">
        <v>0</v>
      </c>
      <c r="V52" s="27">
        <v>0</v>
      </c>
      <c r="X52" s="27">
        <v>0</v>
      </c>
      <c r="Z52" s="27">
        <v>0</v>
      </c>
      <c r="AB52" s="27">
        <v>0</v>
      </c>
      <c r="AD52" s="27">
        <v>0</v>
      </c>
      <c r="AF52" s="27">
        <v>0</v>
      </c>
      <c r="AH52" s="27">
        <v>0</v>
      </c>
      <c r="AJ52" s="27">
        <v>0</v>
      </c>
      <c r="AL52" s="27">
        <v>0</v>
      </c>
      <c r="AN52" s="27">
        <v>0</v>
      </c>
      <c r="AP52" s="27">
        <v>0</v>
      </c>
      <c r="AQ52" s="27"/>
      <c r="AR52" s="27">
        <v>0</v>
      </c>
      <c r="AT52" s="27">
        <v>0</v>
      </c>
      <c r="AV52" s="27">
        <v>0</v>
      </c>
    </row>
    <row r="53" spans="1:48 16321:16384" x14ac:dyDescent="0.2">
      <c r="A53" t="s">
        <v>152</v>
      </c>
      <c r="B53" s="27">
        <v>4789962.2640000368</v>
      </c>
      <c r="D53" s="27">
        <v>4726058.1186656766</v>
      </c>
      <c r="F53" s="27">
        <v>4656828.9071367681</v>
      </c>
      <c r="H53" s="27">
        <v>4581782.5831947066</v>
      </c>
      <c r="J53" s="27">
        <v>4500300.0522563849</v>
      </c>
      <c r="L53" s="27">
        <v>4411605.3717204323</v>
      </c>
      <c r="N53" s="27">
        <v>4314717.4240304576</v>
      </c>
      <c r="P53" s="27">
        <v>4208381.7370601334</v>
      </c>
      <c r="R53" s="27">
        <v>4090964.883598167</v>
      </c>
      <c r="T53" s="27">
        <v>3960291.5705284965</v>
      </c>
      <c r="V53" s="27">
        <v>3813381.6548075988</v>
      </c>
      <c r="X53" s="27">
        <v>3646022.3410363207</v>
      </c>
      <c r="Z53" s="27">
        <v>3452055.148018525</v>
      </c>
      <c r="AB53" s="27">
        <v>3222189.8328310861</v>
      </c>
      <c r="AD53" s="27">
        <v>2942140.5250099273</v>
      </c>
      <c r="AF53" s="27">
        <v>2590319.577265115</v>
      </c>
      <c r="AH53" s="27">
        <v>2137870.7554121208</v>
      </c>
      <c r="AJ53" s="27">
        <v>1562106.9857489129</v>
      </c>
      <c r="AL53" s="27">
        <v>897494.61324404541</v>
      </c>
      <c r="AN53" s="27">
        <v>0</v>
      </c>
      <c r="AP53" s="27">
        <v>0</v>
      </c>
      <c r="AQ53" s="27"/>
      <c r="AR53" s="27">
        <v>0</v>
      </c>
      <c r="AT53" s="27">
        <v>0</v>
      </c>
      <c r="AV53" s="27">
        <v>0</v>
      </c>
      <c r="XFD53" s="27"/>
    </row>
    <row r="55" spans="1:48 16321:16384" x14ac:dyDescent="0.2">
      <c r="A55" t="s">
        <v>153</v>
      </c>
      <c r="B55" s="183">
        <v>0.19850271905982084</v>
      </c>
      <c r="D55" s="183">
        <v>0.20449580636468603</v>
      </c>
      <c r="F55" s="183">
        <v>0.21057683330221694</v>
      </c>
      <c r="H55" s="183">
        <v>0.21677400441628336</v>
      </c>
      <c r="J55" s="183">
        <v>0.22311976730398045</v>
      </c>
      <c r="L55" s="183">
        <v>0.22965220672287096</v>
      </c>
      <c r="N55" s="183">
        <v>0.23641793090244317</v>
      </c>
      <c r="P55" s="183">
        <v>0.24347576224272893</v>
      </c>
      <c r="R55" s="183">
        <v>0.25090279948017319</v>
      </c>
      <c r="T55" s="183">
        <v>0.25880392227904975</v>
      </c>
      <c r="V55" s="183">
        <v>0.26732767761267801</v>
      </c>
      <c r="X55" s="183">
        <v>0.27669271810772472</v>
      </c>
      <c r="Z55" s="183">
        <v>0.28723318798209008</v>
      </c>
      <c r="AB55" s="183">
        <v>0.29947645815633361</v>
      </c>
      <c r="AD55" s="183">
        <v>0.3142701215078707</v>
      </c>
      <c r="AF55" s="183">
        <v>0.3329536731293985</v>
      </c>
      <c r="AH55" s="183">
        <v>0.35743564946696527</v>
      </c>
      <c r="AJ55" s="183">
        <v>0.38962563151705149</v>
      </c>
      <c r="AL55" s="183">
        <v>0.42898772271025226</v>
      </c>
      <c r="AN55" s="183" t="e">
        <v>#DIV/0!</v>
      </c>
      <c r="AP55" s="183" t="e">
        <v>#DIV/0!</v>
      </c>
      <c r="AR55" s="183" t="e">
        <v>#DIV/0!</v>
      </c>
      <c r="AT55" s="183" t="e">
        <v>#DIV/0!</v>
      </c>
      <c r="AV55" s="183" t="e">
        <v>#DIV/0!</v>
      </c>
      <c r="XCS55" s="183"/>
      <c r="XFD55" s="183"/>
    </row>
    <row r="56" spans="1:48 16321:16384" x14ac:dyDescent="0.2">
      <c r="A56" t="s">
        <v>154</v>
      </c>
      <c r="B56" s="183">
        <v>2.9221206744340551E-2</v>
      </c>
      <c r="D56" s="183">
        <v>3.4212997998321441E-2</v>
      </c>
      <c r="F56" s="183">
        <v>3.9276308625741274E-2</v>
      </c>
      <c r="H56" s="183">
        <v>4.4434551254070372E-2</v>
      </c>
      <c r="J56" s="183">
        <v>4.9714632567738545E-2</v>
      </c>
      <c r="L56" s="183">
        <v>5.5148114754362716E-2</v>
      </c>
      <c r="N56" s="183">
        <v>6.0773566221404805E-2</v>
      </c>
      <c r="P56" s="183">
        <v>6.6639604890893794E-2</v>
      </c>
      <c r="R56" s="183">
        <v>7.2809854623319598E-2</v>
      </c>
      <c r="T56" s="183">
        <v>7.9370752052613472E-2</v>
      </c>
      <c r="V56" s="183">
        <v>8.6444500630875137E-2</v>
      </c>
      <c r="X56" s="183">
        <v>9.4210699798127018E-2</v>
      </c>
      <c r="Z56" s="183">
        <v>0.10294342370335229</v>
      </c>
      <c r="AB56" s="183">
        <v>0.11307467921606859</v>
      </c>
      <c r="AD56" s="183">
        <v>0.12529809502233175</v>
      </c>
      <c r="AF56" s="183">
        <v>0.14070897143317646</v>
      </c>
      <c r="AH56" s="183">
        <v>0.16086693322937129</v>
      </c>
      <c r="AJ56" s="183">
        <v>0.1873309822895986</v>
      </c>
      <c r="AL56" s="183">
        <v>0.2196562219117108</v>
      </c>
      <c r="AN56" s="183" t="e">
        <v>#DIV/0!</v>
      </c>
      <c r="AP56" s="183" t="e">
        <v>#DIV/0!</v>
      </c>
      <c r="AR56" s="183" t="e">
        <v>#DIV/0!</v>
      </c>
      <c r="AT56" s="183" t="e">
        <v>#DIV/0!</v>
      </c>
      <c r="AV56" s="183" t="e">
        <v>#DIV/0!</v>
      </c>
      <c r="XFD56" s="183"/>
    </row>
    <row r="57" spans="1:48 16321:16384" x14ac:dyDescent="0.2">
      <c r="A57" t="s">
        <v>155</v>
      </c>
      <c r="B57" s="183">
        <v>0.15852881819439493</v>
      </c>
      <c r="D57" s="183">
        <v>0.15962006096573536</v>
      </c>
      <c r="F57" s="183">
        <v>0.16072731736602414</v>
      </c>
      <c r="H57" s="183">
        <v>0.16185572337023518</v>
      </c>
      <c r="J57" s="183">
        <v>0.16301118581992424</v>
      </c>
      <c r="L57" s="183">
        <v>0.16420063551258759</v>
      </c>
      <c r="N57" s="183">
        <v>0.16543256243090354</v>
      </c>
      <c r="P57" s="183">
        <v>0.16671767819047231</v>
      </c>
      <c r="R57" s="183">
        <v>0.16807002786448386</v>
      </c>
      <c r="T57" s="183">
        <v>0.16950869633290633</v>
      </c>
      <c r="V57" s="183">
        <v>0.1710607356095265</v>
      </c>
      <c r="X57" s="183">
        <v>0.17276595948527601</v>
      </c>
      <c r="Y57" s="183"/>
      <c r="Z57" s="183">
        <v>0.17468520697953638</v>
      </c>
      <c r="AB57" s="183">
        <v>0.1769145111099501</v>
      </c>
      <c r="AD57" s="183">
        <v>0.17960819946586601</v>
      </c>
      <c r="AF57" s="183">
        <v>0.18301017180688361</v>
      </c>
      <c r="AH57" s="183">
        <v>0.18746794796419111</v>
      </c>
      <c r="AJ57" s="183">
        <v>0.19332922565068739</v>
      </c>
      <c r="AL57" s="183">
        <v>0.20049642920161509</v>
      </c>
      <c r="AN57" s="183" t="e">
        <v>#DIV/0!</v>
      </c>
      <c r="AP57" s="183" t="e">
        <v>#DIV/0!</v>
      </c>
      <c r="AR57" s="183" t="e">
        <v>#DIV/0!</v>
      </c>
      <c r="AT57" s="183" t="e">
        <v>#DIV/0!</v>
      </c>
      <c r="AV57" s="183" t="e">
        <v>#DIV/0!</v>
      </c>
      <c r="XFD57" s="183"/>
    </row>
    <row r="58" spans="1:48 16321:16384" x14ac:dyDescent="0.2">
      <c r="A58" t="s">
        <v>156</v>
      </c>
      <c r="B58" s="183">
        <v>1.075269412108535E-2</v>
      </c>
      <c r="D58" s="183">
        <v>1.0662747400629266E-2</v>
      </c>
      <c r="F58" s="183">
        <v>1.0573207310451485E-2</v>
      </c>
      <c r="H58" s="183">
        <v>1.0483729791977807E-2</v>
      </c>
      <c r="J58" s="183">
        <v>1.039394891631765E-2</v>
      </c>
      <c r="L58" s="183">
        <v>1.0303456455920639E-2</v>
      </c>
      <c r="N58" s="183">
        <v>1.0211802250134834E-2</v>
      </c>
      <c r="P58" s="183">
        <v>1.0118479161362824E-2</v>
      </c>
      <c r="R58" s="183">
        <v>1.0022916992369721E-2</v>
      </c>
      <c r="T58" s="183">
        <v>9.9244738935299528E-3</v>
      </c>
      <c r="V58" s="183">
        <v>9.8224413722763793E-3</v>
      </c>
      <c r="X58" s="183">
        <v>9.7160588243217164E-3</v>
      </c>
      <c r="Y58" s="183"/>
      <c r="Z58" s="183">
        <v>9.6045572992014411E-3</v>
      </c>
      <c r="AB58" s="183">
        <v>9.4872678303148661E-3</v>
      </c>
      <c r="AD58" s="183">
        <v>9.3638270196729004E-3</v>
      </c>
      <c r="AF58" s="183">
        <v>9.234529889338379E-3</v>
      </c>
      <c r="AH58" s="183">
        <v>9.1007682734028945E-3</v>
      </c>
      <c r="AJ58" s="183">
        <v>8.965423576765533E-3</v>
      </c>
      <c r="AL58" s="183">
        <v>8.8350715969263156E-3</v>
      </c>
      <c r="AN58" s="183" t="e">
        <v>#DIV/0!</v>
      </c>
      <c r="AP58" s="183" t="e">
        <v>#DIV/0!</v>
      </c>
      <c r="AR58" s="183" t="e">
        <v>#DIV/0!</v>
      </c>
      <c r="AT58" s="183" t="e">
        <v>#DIV/0!</v>
      </c>
      <c r="AV58" s="183" t="e">
        <v>#DIV/0!</v>
      </c>
      <c r="XFD58" s="183"/>
    </row>
    <row r="59" spans="1:48 16321:16384" x14ac:dyDescent="0.2">
      <c r="A59" t="s">
        <v>157</v>
      </c>
      <c r="B59" s="183">
        <v>5.5174232040962052E-4</v>
      </c>
      <c r="D59" s="183">
        <v>5.6054592866994117E-3</v>
      </c>
      <c r="F59" s="183">
        <v>1.0730995304904106E-2</v>
      </c>
      <c r="H59" s="183">
        <v>1.5951984672116906E-2</v>
      </c>
      <c r="J59" s="183">
        <v>2.1295575183249517E-2</v>
      </c>
      <c r="L59" s="183">
        <v>2.6793604666719047E-2</v>
      </c>
      <c r="N59" s="183">
        <v>3.2484965875358332E-2</v>
      </c>
      <c r="P59" s="183">
        <v>3.8418677638688205E-2</v>
      </c>
      <c r="R59" s="183">
        <v>4.4658881742447511E-2</v>
      </c>
      <c r="T59" s="183">
        <v>5.1292717758934118E-2</v>
      </c>
      <c r="V59" s="183">
        <v>5.844338812481091E-2</v>
      </c>
      <c r="X59" s="183">
        <v>6.6291978658448089E-2</v>
      </c>
      <c r="Z59" s="183">
        <v>7.51148680979635E-2</v>
      </c>
      <c r="AB59" s="183">
        <v>8.534775010479749E-2</v>
      </c>
      <c r="AD59" s="183">
        <v>9.7690233473905888E-2</v>
      </c>
      <c r="AF59" s="183">
        <v>0.11324703844298396</v>
      </c>
      <c r="AH59" s="183">
        <v>0.13359074796940623</v>
      </c>
      <c r="AJ59" s="183">
        <v>0.16029145368431741</v>
      </c>
      <c r="AL59" s="183">
        <v>0.19289485041074408</v>
      </c>
      <c r="AN59" s="183" t="e">
        <v>#DIV/0!</v>
      </c>
      <c r="AP59" s="183" t="e">
        <v>#DIV/0!</v>
      </c>
      <c r="AR59" s="183" t="e">
        <v>#DIV/0!</v>
      </c>
      <c r="AT59" s="183" t="e">
        <v>#DIV/0!</v>
      </c>
      <c r="AV59" s="183" t="e">
        <v>#DIV/0!</v>
      </c>
      <c r="XFD59" s="183"/>
    </row>
    <row r="60" spans="1:48 16321:16384" x14ac:dyDescent="0.2">
      <c r="A60" t="s">
        <v>158</v>
      </c>
      <c r="B60" s="183">
        <v>2.8669464423930927E-2</v>
      </c>
      <c r="D60" s="183">
        <v>2.860753871162203E-2</v>
      </c>
      <c r="F60" s="183">
        <v>2.8545313320837172E-2</v>
      </c>
      <c r="H60" s="183">
        <v>2.8482566581953469E-2</v>
      </c>
      <c r="J60" s="183">
        <v>2.8419057384489028E-2</v>
      </c>
      <c r="L60" s="183">
        <v>2.8354510087643666E-2</v>
      </c>
      <c r="N60" s="183">
        <v>2.828860034604648E-2</v>
      </c>
      <c r="P60" s="183">
        <v>2.8220927252205586E-2</v>
      </c>
      <c r="R60" s="183">
        <v>2.8150972880872087E-2</v>
      </c>
      <c r="T60" s="183">
        <v>2.8078034293679357E-2</v>
      </c>
      <c r="V60" s="183">
        <v>2.8001112506064227E-2</v>
      </c>
      <c r="X60" s="183">
        <v>2.7918721139678922E-2</v>
      </c>
      <c r="Z60" s="183">
        <v>2.7828555605388789E-2</v>
      </c>
      <c r="AB60" s="183">
        <v>2.7726929111271108E-2</v>
      </c>
      <c r="AD60" s="183">
        <v>2.7607861548425872E-2</v>
      </c>
      <c r="AF60" s="183">
        <v>2.7461932990192506E-2</v>
      </c>
      <c r="AH60" s="183">
        <v>2.7276185259965047E-2</v>
      </c>
      <c r="AJ60" s="183">
        <v>2.7039528605281197E-2</v>
      </c>
      <c r="AL60" s="183">
        <v>2.6761371500966729E-2</v>
      </c>
      <c r="AN60" s="183" t="e">
        <v>#DIV/0!</v>
      </c>
      <c r="AP60" s="183" t="e">
        <v>#DIV/0!</v>
      </c>
      <c r="AR60" s="183" t="e">
        <v>#DIV/0!</v>
      </c>
      <c r="AT60" s="183" t="e">
        <v>#DIV/0!</v>
      </c>
      <c r="AV60" s="183" t="e">
        <v>#DIV/0!</v>
      </c>
      <c r="XFD60" s="183"/>
    </row>
    <row r="62" spans="1:48 16321:16384" x14ac:dyDescent="0.2">
      <c r="A62" t="s">
        <v>159</v>
      </c>
      <c r="B62">
        <v>1</v>
      </c>
      <c r="D62">
        <v>1.0160795595732977</v>
      </c>
      <c r="F62">
        <v>1.0340728453822885</v>
      </c>
      <c r="H62">
        <v>1.054290921184009</v>
      </c>
      <c r="J62">
        <v>1.07713414125016</v>
      </c>
      <c r="L62">
        <v>1.1031239069163381</v>
      </c>
      <c r="N62">
        <v>1.1329521460028407</v>
      </c>
      <c r="P62">
        <v>1.1675571383221328</v>
      </c>
      <c r="R62">
        <v>1.208246450240033</v>
      </c>
      <c r="T62">
        <v>1.256902860103257</v>
      </c>
      <c r="V62">
        <v>1.3163481212791126</v>
      </c>
      <c r="X62">
        <v>1.3910190776211662</v>
      </c>
      <c r="Z62">
        <v>1.4883106608721663</v>
      </c>
      <c r="AB62">
        <v>1.621454310079808</v>
      </c>
      <c r="AD62">
        <v>1.8162662214816536</v>
      </c>
      <c r="AF62">
        <v>2.1287647265388951</v>
      </c>
      <c r="AH62">
        <v>2.6977927629067002</v>
      </c>
      <c r="AJ62">
        <v>3.935206290461791</v>
      </c>
      <c r="AL62">
        <v>7.4426455949442492</v>
      </c>
      <c r="AN62" t="e">
        <v>#DIV/0!</v>
      </c>
      <c r="AP62" t="e">
        <v>#DIV/0!</v>
      </c>
      <c r="AR62" t="e">
        <v>#DIV/0!</v>
      </c>
      <c r="AT62" t="e">
        <v>#DIV/0!</v>
      </c>
      <c r="AV62" t="e">
        <v>#DIV/0!</v>
      </c>
    </row>
    <row r="65" spans="1:48 16384:16384" x14ac:dyDescent="0.2">
      <c r="A65" t="s">
        <v>160</v>
      </c>
      <c r="B65" s="181">
        <v>1</v>
      </c>
      <c r="C65" s="181"/>
      <c r="D65" s="181">
        <v>0.99850539072459987</v>
      </c>
      <c r="E65" s="181"/>
      <c r="F65" s="181">
        <v>0.99699054551234245</v>
      </c>
      <c r="G65" s="181"/>
      <c r="H65" s="181">
        <v>0.99544655256757475</v>
      </c>
      <c r="I65" s="181"/>
      <c r="J65" s="181">
        <v>0.99386412026115389</v>
      </c>
      <c r="K65" s="181"/>
      <c r="L65" s="181">
        <v>0.99223370861612203</v>
      </c>
      <c r="M65" s="181"/>
      <c r="N65" s="181">
        <v>0.99054592760412308</v>
      </c>
      <c r="O65" s="181"/>
      <c r="P65" s="181">
        <v>0.98879230808757246</v>
      </c>
      <c r="Q65" s="181"/>
      <c r="R65" s="181">
        <v>0.98696674273508911</v>
      </c>
      <c r="S65" s="181"/>
      <c r="T65" s="181">
        <v>0.98506806848211503</v>
      </c>
      <c r="U65" s="181"/>
      <c r="V65" s="181">
        <v>0.98310458843133652</v>
      </c>
      <c r="W65" s="181"/>
      <c r="X65" s="181">
        <v>0.98110199268890907</v>
      </c>
      <c r="Y65" s="181"/>
      <c r="Z65" s="181">
        <v>0.97911710558521081</v>
      </c>
      <c r="AA65" s="181"/>
      <c r="AB65" s="181">
        <v>0.9772610575237739</v>
      </c>
      <c r="AC65" s="181"/>
      <c r="AD65" s="181">
        <v>0.97573493018844037</v>
      </c>
      <c r="AE65" s="181"/>
      <c r="AF65" s="181">
        <v>0.97486811459810419</v>
      </c>
      <c r="AG65" s="181"/>
      <c r="AH65" s="181">
        <v>0.9750951855930714</v>
      </c>
      <c r="AI65" s="181"/>
      <c r="AJ65" s="181">
        <v>0.97670538500997928</v>
      </c>
      <c r="AK65" s="181"/>
      <c r="AL65" s="181">
        <v>0.97932275771615973</v>
      </c>
      <c r="AM65" s="181"/>
      <c r="AN65" s="181" t="e">
        <v>#DIV/0!</v>
      </c>
      <c r="AO65" s="181"/>
      <c r="AP65" s="181" t="e">
        <v>#DIV/0!</v>
      </c>
      <c r="AQ65" s="181"/>
      <c r="AR65" s="181" t="e">
        <v>#DIV/0!</v>
      </c>
      <c r="AS65" s="181"/>
      <c r="AT65" s="181" t="e">
        <v>#DIV/0!</v>
      </c>
      <c r="AU65" s="181"/>
      <c r="AV65" s="181" t="e">
        <v>#DIV/0!</v>
      </c>
    </row>
    <row r="66" spans="1:48 16384:16384" x14ac:dyDescent="0.2">
      <c r="A66" t="s">
        <v>166</v>
      </c>
      <c r="B66" s="181">
        <v>1</v>
      </c>
      <c r="C66" s="181"/>
      <c r="D66" s="181">
        <v>0.9983564511451839</v>
      </c>
      <c r="E66" s="181"/>
      <c r="F66" s="181">
        <v>0.99668872750337922</v>
      </c>
      <c r="G66" s="181"/>
      <c r="H66" s="181">
        <v>0.99498690527882916</v>
      </c>
      <c r="I66" s="181"/>
      <c r="J66" s="181">
        <v>0.99324058849005181</v>
      </c>
      <c r="K66" s="181"/>
      <c r="L66" s="181">
        <v>0.9914390478731343</v>
      </c>
      <c r="M66" s="181"/>
      <c r="N66" s="181">
        <v>0.98957165520241985</v>
      </c>
      <c r="O66" s="181"/>
      <c r="P66" s="181">
        <v>0.98762873348285984</v>
      </c>
      <c r="Q66" s="181"/>
      <c r="R66" s="181">
        <v>0.98560315823128486</v>
      </c>
      <c r="S66" s="181"/>
      <c r="T66" s="181">
        <v>0.98349324439138741</v>
      </c>
      <c r="U66" s="181"/>
      <c r="V66" s="181">
        <v>0.98130782597309174</v>
      </c>
      <c r="W66" s="181"/>
      <c r="X66" s="181">
        <v>0.97907518869841725</v>
      </c>
      <c r="Y66" s="181"/>
      <c r="Z66" s="181">
        <v>0.97685862020131509</v>
      </c>
      <c r="AA66" s="181"/>
      <c r="AB66" s="181">
        <v>0.97478267141255015</v>
      </c>
      <c r="AC66" s="181"/>
      <c r="AD66" s="181">
        <v>0.97307356677726764</v>
      </c>
      <c r="AE66" s="181"/>
      <c r="AF66" s="181">
        <v>0.97210254290633802</v>
      </c>
      <c r="AG66" s="181"/>
      <c r="AH66" s="181">
        <v>0.97235899092392164</v>
      </c>
      <c r="AI66" s="181"/>
      <c r="AJ66" s="181">
        <v>0.97416606309201981</v>
      </c>
      <c r="AK66" s="181"/>
      <c r="AL66" s="181">
        <v>0.97709647782631792</v>
      </c>
      <c r="AM66" s="181"/>
      <c r="AN66" s="181" t="e">
        <v>#DIV/0!</v>
      </c>
      <c r="AO66" s="181"/>
      <c r="AP66" s="181" t="e">
        <v>#DIV/0!</v>
      </c>
      <c r="AQ66" s="181"/>
      <c r="AR66" s="181" t="e">
        <v>#DIV/0!</v>
      </c>
      <c r="AS66" s="181"/>
      <c r="AT66" s="181" t="e">
        <v>#DIV/0!</v>
      </c>
      <c r="AU66" s="181"/>
      <c r="AV66" s="181" t="e">
        <v>#DIV/0!</v>
      </c>
      <c r="XFD66" s="181"/>
    </row>
    <row r="67" spans="1:48 16384:16384" x14ac:dyDescent="0.2">
      <c r="A67" t="s">
        <v>167</v>
      </c>
      <c r="B67" s="181">
        <v>1</v>
      </c>
      <c r="C67" s="181"/>
      <c r="D67" s="181">
        <v>1</v>
      </c>
      <c r="E67" s="181"/>
      <c r="F67" s="181">
        <v>1</v>
      </c>
      <c r="G67" s="181"/>
      <c r="H67" s="181">
        <v>1</v>
      </c>
      <c r="I67" s="181"/>
      <c r="J67" s="181">
        <v>1</v>
      </c>
      <c r="K67" s="181"/>
      <c r="L67" s="181">
        <v>1</v>
      </c>
      <c r="M67" s="181"/>
      <c r="N67" s="181">
        <v>1</v>
      </c>
      <c r="O67" s="181"/>
      <c r="P67" s="181">
        <v>1</v>
      </c>
      <c r="Q67" s="181"/>
      <c r="R67" s="181">
        <v>1</v>
      </c>
      <c r="S67" s="181"/>
      <c r="T67" s="181">
        <v>1</v>
      </c>
      <c r="U67" s="181"/>
      <c r="V67" s="181">
        <v>1</v>
      </c>
      <c r="W67" s="181"/>
      <c r="X67" s="181">
        <v>1</v>
      </c>
      <c r="Y67" s="181"/>
      <c r="Z67" s="181">
        <v>1</v>
      </c>
      <c r="AA67" s="181"/>
      <c r="AB67" s="181">
        <v>1</v>
      </c>
      <c r="AC67" s="181"/>
      <c r="AD67" s="181">
        <v>1</v>
      </c>
      <c r="AE67" s="181"/>
      <c r="AF67" s="181">
        <v>1</v>
      </c>
      <c r="AG67" s="181"/>
      <c r="AH67" s="181">
        <v>1</v>
      </c>
      <c r="AI67" s="181"/>
      <c r="AJ67" s="181">
        <v>1</v>
      </c>
      <c r="AK67" s="181"/>
      <c r="AL67" s="181">
        <v>1</v>
      </c>
      <c r="AM67" s="181"/>
      <c r="AN67" s="181" t="e">
        <v>#DIV/0!</v>
      </c>
      <c r="AO67" s="181"/>
      <c r="AP67" s="181" t="e">
        <v>#DIV/0!</v>
      </c>
      <c r="AQ67" s="181"/>
      <c r="AR67" s="181" t="e">
        <v>#DIV/0!</v>
      </c>
      <c r="AS67" s="181"/>
      <c r="AT67" s="181" t="e">
        <v>#DIV/0!</v>
      </c>
      <c r="AU67" s="181"/>
      <c r="AV67" s="181" t="e">
        <v>#DIV/0!</v>
      </c>
      <c r="XFD67" s="181"/>
    </row>
    <row r="68" spans="1:48 16384:16384" x14ac:dyDescent="0.2">
      <c r="A68" t="s">
        <v>165</v>
      </c>
      <c r="B68" s="181">
        <v>1</v>
      </c>
      <c r="C68" s="181"/>
      <c r="D68" s="181">
        <v>0.9983564511451839</v>
      </c>
      <c r="E68" s="181"/>
      <c r="F68" s="181">
        <v>0.99668872750337922</v>
      </c>
      <c r="G68" s="181"/>
      <c r="H68" s="181">
        <v>0.99498690527882916</v>
      </c>
      <c r="I68" s="181"/>
      <c r="J68" s="181">
        <v>0.99324058849005181</v>
      </c>
      <c r="K68" s="181"/>
      <c r="L68" s="181">
        <v>0.9914390478731343</v>
      </c>
      <c r="M68" s="181"/>
      <c r="N68" s="181">
        <v>0.98957165520241985</v>
      </c>
      <c r="O68" s="181"/>
      <c r="P68" s="181">
        <v>0.98762873348285984</v>
      </c>
      <c r="Q68" s="181"/>
      <c r="R68" s="181">
        <v>0.98560315823128486</v>
      </c>
      <c r="S68" s="181"/>
      <c r="T68" s="181">
        <v>0.98349324439138741</v>
      </c>
      <c r="U68" s="181"/>
      <c r="V68" s="181">
        <v>0.98130782597309174</v>
      </c>
      <c r="W68" s="181"/>
      <c r="X68" s="181">
        <v>0.97907518869841725</v>
      </c>
      <c r="Y68" s="181"/>
      <c r="Z68" s="181">
        <v>0.97685862020131509</v>
      </c>
      <c r="AA68" s="181"/>
      <c r="AB68" s="181">
        <v>0.97478267141255015</v>
      </c>
      <c r="AC68" s="181"/>
      <c r="AD68" s="181">
        <v>0.97307356677726764</v>
      </c>
      <c r="AE68" s="181"/>
      <c r="AF68" s="181">
        <v>0.97210254290633802</v>
      </c>
      <c r="AG68" s="181"/>
      <c r="AH68" s="181">
        <v>0.97235899092392164</v>
      </c>
      <c r="AI68" s="181"/>
      <c r="AJ68" s="181">
        <v>0.97416606309201981</v>
      </c>
      <c r="AK68" s="181"/>
      <c r="AL68" s="181">
        <v>0.97709647782631792</v>
      </c>
      <c r="AM68" s="181"/>
      <c r="AN68" s="181" t="e">
        <v>#DIV/0!</v>
      </c>
      <c r="AO68" s="181"/>
      <c r="AP68" s="181" t="e">
        <v>#DIV/0!</v>
      </c>
      <c r="AQ68" s="181"/>
      <c r="AR68" s="181" t="e">
        <v>#DIV/0!</v>
      </c>
      <c r="AS68" s="181"/>
      <c r="AT68" s="181" t="e">
        <v>#DIV/0!</v>
      </c>
      <c r="AU68" s="181"/>
      <c r="AV68" s="181" t="e">
        <v>#DIV/0!</v>
      </c>
      <c r="XFD68" s="181"/>
    </row>
    <row r="69" spans="1:48 16384:16384" x14ac:dyDescent="0.2">
      <c r="A69" t="s">
        <v>161</v>
      </c>
      <c r="B69" s="181">
        <v>1</v>
      </c>
      <c r="C69" s="181"/>
      <c r="D69" s="181">
        <v>1.0066943272377742</v>
      </c>
      <c r="E69" s="181"/>
      <c r="F69" s="181">
        <v>1.0127553279507626</v>
      </c>
      <c r="G69" s="181"/>
      <c r="H69" s="181">
        <v>1.0181377464419039</v>
      </c>
      <c r="I69" s="181"/>
      <c r="J69" s="181">
        <v>1.0227772131009802</v>
      </c>
      <c r="K69" s="181"/>
      <c r="L69" s="181">
        <v>1.0265860305123258</v>
      </c>
      <c r="M69" s="181"/>
      <c r="N69" s="181">
        <v>1.0294462953201871</v>
      </c>
      <c r="O69" s="181"/>
      <c r="P69" s="181">
        <v>1.0312003986283271</v>
      </c>
      <c r="Q69" s="181"/>
      <c r="R69" s="181">
        <v>1.0316366127543457</v>
      </c>
      <c r="S69" s="181"/>
      <c r="T69" s="181">
        <v>1.0304670772110729</v>
      </c>
      <c r="U69" s="181"/>
      <c r="V69" s="181">
        <v>1.0272927585759539</v>
      </c>
      <c r="W69" s="181"/>
      <c r="X69" s="181">
        <v>1.0215446977682479</v>
      </c>
      <c r="Y69" s="181"/>
      <c r="Z69" s="181">
        <v>1.0123800905462261</v>
      </c>
      <c r="AA69" s="181"/>
      <c r="AB69" s="181">
        <v>0.99848430382257247</v>
      </c>
      <c r="AC69" s="181"/>
      <c r="AD69" s="181">
        <v>0.97766507287605642</v>
      </c>
      <c r="AE69" s="181"/>
      <c r="AF69" s="181">
        <v>0.94595640809068193</v>
      </c>
      <c r="AG69" s="181"/>
      <c r="AH69" s="181">
        <v>0.89555560983400551</v>
      </c>
      <c r="AI69" s="181"/>
      <c r="AJ69" s="181">
        <v>0.8102680235982076</v>
      </c>
      <c r="AK69" s="181"/>
      <c r="AL69" s="181">
        <v>0.65747204401965931</v>
      </c>
      <c r="AM69" s="181"/>
      <c r="AN69" s="181" t="e">
        <v>#DIV/0!</v>
      </c>
      <c r="AO69" s="181"/>
      <c r="AP69" s="181" t="e">
        <v>#DIV/0!</v>
      </c>
      <c r="AQ69" s="181"/>
      <c r="AR69" s="181" t="e">
        <v>#DIV/0!</v>
      </c>
      <c r="AS69" s="181"/>
      <c r="AT69" s="181" t="e">
        <v>#DIV/0!</v>
      </c>
      <c r="AU69" s="181"/>
      <c r="AV69" s="181" t="e">
        <v>#DIV/0!</v>
      </c>
    </row>
    <row r="70" spans="1:48 16384:16384" x14ac:dyDescent="0.2">
      <c r="A70" t="s">
        <v>162</v>
      </c>
      <c r="B70" s="129">
        <v>1</v>
      </c>
      <c r="C70" s="129"/>
      <c r="D70" s="129">
        <v>1.0053315610882427</v>
      </c>
      <c r="E70" s="129"/>
      <c r="F70" s="129">
        <v>1.0100167516773177</v>
      </c>
      <c r="G70" s="129"/>
      <c r="H70" s="129">
        <v>1.0140104074816214</v>
      </c>
      <c r="I70" s="129"/>
      <c r="J70" s="129">
        <v>1.0172481587253188</v>
      </c>
      <c r="K70" s="129"/>
      <c r="L70" s="129">
        <v>1.0196417746836477</v>
      </c>
      <c r="M70" s="129"/>
      <c r="N70" s="129">
        <v>1.0210717902165714</v>
      </c>
      <c r="O70" s="129"/>
      <c r="P70" s="129">
        <v>1.0213768772388911</v>
      </c>
      <c r="Q70" s="129"/>
      <c r="R70" s="129">
        <v>1.0203376107499149</v>
      </c>
      <c r="S70" s="129"/>
      <c r="T70" s="129">
        <v>1.0176512491817047</v>
      </c>
      <c r="U70" s="129"/>
      <c r="V70" s="129">
        <v>1.0128913634031527</v>
      </c>
      <c r="W70" s="129"/>
      <c r="X70" s="129">
        <v>1.0054401079586259</v>
      </c>
      <c r="Y70" s="129"/>
      <c r="Z70" s="129">
        <v>0.9943698235630084</v>
      </c>
      <c r="AA70" s="129"/>
      <c r="AB70" s="129">
        <v>0.9782241124471649</v>
      </c>
      <c r="AC70" s="129"/>
      <c r="AD70" s="129">
        <v>0.95459112372234878</v>
      </c>
      <c r="AE70" s="129"/>
      <c r="AF70" s="129">
        <v>0.919230367055763</v>
      </c>
      <c r="AG70" s="129"/>
      <c r="AH70" s="129">
        <v>0.86424591797769423</v>
      </c>
      <c r="AI70" s="129"/>
      <c r="AJ70" s="129">
        <v>0.77439891732968702</v>
      </c>
      <c r="AK70" s="129"/>
      <c r="AL70" s="129">
        <v>0.62092791324161423</v>
      </c>
      <c r="AM70" s="129"/>
      <c r="AN70" s="129">
        <v>0</v>
      </c>
      <c r="AO70" s="129"/>
      <c r="AP70" s="129">
        <v>0</v>
      </c>
      <c r="AQ70" s="129"/>
      <c r="AR70" s="129">
        <v>0</v>
      </c>
      <c r="AS70" s="129"/>
      <c r="AT70" s="129">
        <v>0</v>
      </c>
      <c r="AU70" s="129"/>
      <c r="AV70" s="129">
        <v>0</v>
      </c>
    </row>
    <row r="71" spans="1:48 16384:16384" x14ac:dyDescent="0.2">
      <c r="A71" t="s">
        <v>163</v>
      </c>
      <c r="B71" s="129">
        <v>1</v>
      </c>
      <c r="D71" s="129">
        <v>0.92824920484699103</v>
      </c>
      <c r="E71" s="129"/>
      <c r="F71" s="129">
        <v>0.85676739908318444</v>
      </c>
      <c r="G71" s="129"/>
      <c r="H71" s="129">
        <v>0.78557742140223374</v>
      </c>
      <c r="I71" s="129"/>
      <c r="J71" s="129">
        <v>0.71472320874004958</v>
      </c>
      <c r="K71" s="129"/>
      <c r="L71" s="129">
        <v>0.64427305981483829</v>
      </c>
      <c r="M71" s="129"/>
      <c r="N71" s="129">
        <v>0.57433579189075645</v>
      </c>
      <c r="O71" s="129"/>
      <c r="P71" s="129">
        <v>0.50507528852583805</v>
      </c>
      <c r="Q71" s="129"/>
      <c r="R71" s="129">
        <v>0.43673620086298998</v>
      </c>
      <c r="S71" s="129"/>
      <c r="T71" s="129">
        <v>0.36967803521702175</v>
      </c>
      <c r="U71" s="129"/>
      <c r="V71" s="129">
        <v>0.30442735803114945</v>
      </c>
      <c r="W71" s="129"/>
      <c r="X71" s="129">
        <v>0.24174808366340633</v>
      </c>
      <c r="Y71" s="129"/>
      <c r="Z71" s="129">
        <v>0.1827356950526296</v>
      </c>
      <c r="AA71" s="129"/>
      <c r="AB71" s="129">
        <v>0.12893017939143123</v>
      </c>
      <c r="AC71" s="129"/>
      <c r="AD71" s="129">
        <v>8.2390802527623638E-2</v>
      </c>
      <c r="AE71" s="129"/>
      <c r="AF71" s="129">
        <v>4.5553202230366602E-2</v>
      </c>
      <c r="AG71" s="129"/>
      <c r="AH71" s="129">
        <v>2.0443350443834989E-2</v>
      </c>
      <c r="AI71" s="129"/>
      <c r="AJ71" s="129">
        <v>6.9589747948135454E-3</v>
      </c>
      <c r="AK71" s="129"/>
      <c r="AL71" s="129">
        <v>1.7586052581108117E-3</v>
      </c>
      <c r="AM71" s="129"/>
      <c r="AN71" s="129">
        <v>0</v>
      </c>
      <c r="AO71" s="129"/>
      <c r="AP71" s="129">
        <v>0</v>
      </c>
      <c r="AQ71" s="129"/>
      <c r="AR71" s="129">
        <v>0</v>
      </c>
      <c r="AS71" s="129"/>
      <c r="AT71" s="129">
        <v>0</v>
      </c>
      <c r="AU71" s="129"/>
      <c r="AV71" s="129">
        <v>0</v>
      </c>
      <c r="XFD71" s="129"/>
    </row>
    <row r="72" spans="1:48 16384:16384" x14ac:dyDescent="0.2">
      <c r="A72" t="s">
        <v>164</v>
      </c>
      <c r="B72" s="129">
        <v>1</v>
      </c>
      <c r="D72" s="129">
        <v>1.0312366132578317</v>
      </c>
      <c r="E72" s="129"/>
      <c r="F72" s="129">
        <v>1.0658164259255127</v>
      </c>
      <c r="G72" s="129"/>
      <c r="H72" s="129">
        <v>1.1041224968870849</v>
      </c>
      <c r="I72" s="129"/>
      <c r="J72" s="129">
        <v>1.146543389284906</v>
      </c>
      <c r="K72" s="129"/>
      <c r="L72" s="129">
        <v>1.1934395785646366</v>
      </c>
      <c r="M72" s="129"/>
      <c r="N72" s="129">
        <v>1.2451036439460139</v>
      </c>
      <c r="O72" s="129"/>
      <c r="P72" s="129">
        <v>1.3016780163303521</v>
      </c>
      <c r="Q72" s="129"/>
      <c r="R72" s="129">
        <v>1.3630231073809631</v>
      </c>
      <c r="S72" s="129"/>
      <c r="T72" s="129">
        <v>1.4284927018623406</v>
      </c>
      <c r="U72" s="129"/>
      <c r="V72" s="129">
        <v>1.4965633265567144</v>
      </c>
      <c r="W72" s="129"/>
      <c r="X72" s="129">
        <v>1.5642077287990523</v>
      </c>
      <c r="Y72" s="129"/>
      <c r="Z72" s="129">
        <v>1.6258531896336759</v>
      </c>
      <c r="AA72" s="129"/>
      <c r="AB72" s="129">
        <v>1.6716930117175057</v>
      </c>
      <c r="AC72" s="129"/>
      <c r="AD72" s="129">
        <v>1.6852059560436154</v>
      </c>
      <c r="AE72" s="129"/>
      <c r="AF72" s="129">
        <v>1.6406372650779315</v>
      </c>
      <c r="AG72" s="129"/>
      <c r="AH72" s="129">
        <v>1.5045885824830376</v>
      </c>
      <c r="AI72" s="129"/>
      <c r="AJ72" s="129">
        <v>1.2509692362696827</v>
      </c>
      <c r="AK72" s="129"/>
      <c r="AL72" s="129">
        <v>0.88736364931824618</v>
      </c>
      <c r="AM72" s="129"/>
      <c r="AN72" s="129">
        <v>0</v>
      </c>
      <c r="AO72" s="129"/>
      <c r="AP72" s="129">
        <v>0</v>
      </c>
      <c r="AQ72" s="129"/>
      <c r="AR72" s="129">
        <v>0</v>
      </c>
      <c r="AS72" s="129"/>
      <c r="AT72" s="129">
        <v>0</v>
      </c>
      <c r="AU72" s="129"/>
      <c r="AV72" s="129">
        <v>0</v>
      </c>
      <c r="XFD72" s="129"/>
    </row>
    <row r="73" spans="1:48 16384:16384" x14ac:dyDescent="0.2">
      <c r="A73" t="s">
        <v>168</v>
      </c>
      <c r="B73" s="183">
        <v>0.47641153352875076</v>
      </c>
      <c r="D73" s="183">
        <v>0.47641155023371196</v>
      </c>
      <c r="E73" s="129"/>
      <c r="F73" s="183">
        <v>0.47641155371974259</v>
      </c>
      <c r="G73" s="129"/>
      <c r="H73" s="183">
        <v>0.47641153433477995</v>
      </c>
      <c r="I73" s="129"/>
      <c r="J73" s="183">
        <v>0.47641153712763568</v>
      </c>
      <c r="K73" s="129"/>
      <c r="L73" s="183">
        <v>0.47641153459434876</v>
      </c>
      <c r="M73" s="129"/>
      <c r="N73" s="183">
        <v>0.47641153532894698</v>
      </c>
      <c r="O73" s="129"/>
      <c r="P73" s="183">
        <v>0.47641153585013335</v>
      </c>
      <c r="Q73" s="129"/>
      <c r="R73" s="183">
        <v>0.47641153857596852</v>
      </c>
      <c r="S73" s="129"/>
      <c r="T73" s="183">
        <v>0.47641153573326372</v>
      </c>
      <c r="U73" s="129"/>
      <c r="V73" s="183">
        <v>0.47641153425400795</v>
      </c>
      <c r="W73" s="129"/>
      <c r="X73" s="183">
        <v>0.47641153267184838</v>
      </c>
      <c r="Y73" s="129"/>
      <c r="Z73" s="183">
        <v>0.47641153504878225</v>
      </c>
      <c r="AA73" s="129"/>
      <c r="AB73" s="183">
        <v>0.4764115343036805</v>
      </c>
      <c r="AC73" s="129"/>
      <c r="AD73" s="183">
        <v>0.47641153331605002</v>
      </c>
      <c r="AE73" s="129"/>
      <c r="AF73" s="183">
        <v>0.47641153422212679</v>
      </c>
      <c r="AG73" s="129"/>
      <c r="AH73" s="183">
        <v>0.47641153414396165</v>
      </c>
      <c r="AI73" s="129"/>
      <c r="AJ73" s="183">
        <v>0.47641153353105187</v>
      </c>
      <c r="AK73" s="129"/>
      <c r="AL73" s="183">
        <v>0.47641153352682886</v>
      </c>
      <c r="AM73" s="129"/>
      <c r="AN73" s="183" t="e">
        <v>#DIV/0!</v>
      </c>
      <c r="AO73" s="129"/>
      <c r="AP73" s="183" t="e">
        <v>#DIV/0!</v>
      </c>
      <c r="AQ73" s="129"/>
      <c r="AR73" s="183" t="e">
        <v>#DIV/0!</v>
      </c>
      <c r="AS73" s="129"/>
      <c r="AT73" s="183" t="e">
        <v>#DIV/0!</v>
      </c>
      <c r="AU73" s="129"/>
      <c r="AV73" s="183" t="e">
        <v>#DIV/0!</v>
      </c>
      <c r="XFD73" s="183"/>
    </row>
    <row r="74" spans="1:48 16384:16384" x14ac:dyDescent="0.2">
      <c r="A74" t="s">
        <v>169</v>
      </c>
      <c r="B74" s="183">
        <v>0.22604620456442484</v>
      </c>
      <c r="D74" s="183">
        <v>0.22604620456442484</v>
      </c>
      <c r="E74" s="129"/>
      <c r="F74" s="183">
        <v>0.22604620456442481</v>
      </c>
      <c r="G74" s="129"/>
      <c r="H74" s="183">
        <v>0.22604620456442481</v>
      </c>
      <c r="I74" s="129"/>
      <c r="J74" s="183">
        <v>0.22604620456442484</v>
      </c>
      <c r="K74" s="129"/>
      <c r="L74" s="183">
        <v>0.22604620456442484</v>
      </c>
      <c r="M74" s="129"/>
      <c r="N74" s="183">
        <v>0.22604620456442484</v>
      </c>
      <c r="O74" s="129"/>
      <c r="P74" s="183">
        <v>0.22604620456442484</v>
      </c>
      <c r="Q74" s="129"/>
      <c r="R74" s="183">
        <v>0.22604620456442484</v>
      </c>
      <c r="S74" s="129"/>
      <c r="T74" s="183">
        <v>0.22604620456442484</v>
      </c>
      <c r="U74" s="129"/>
      <c r="V74" s="183">
        <v>0.22604620456442484</v>
      </c>
      <c r="W74" s="129"/>
      <c r="X74" s="183">
        <v>0.22604620456442484</v>
      </c>
      <c r="Y74" s="129"/>
      <c r="Z74" s="183">
        <v>0.22604620456442484</v>
      </c>
      <c r="AA74" s="129"/>
      <c r="AB74" s="183">
        <v>0.22604620456442484</v>
      </c>
      <c r="AC74" s="129"/>
      <c r="AD74" s="183">
        <v>0.22604620456442484</v>
      </c>
      <c r="AE74" s="129"/>
      <c r="AF74" s="183">
        <v>0.22604620456442484</v>
      </c>
      <c r="AG74" s="129"/>
      <c r="AH74" s="183">
        <v>0.22604620456442484</v>
      </c>
      <c r="AI74" s="129"/>
      <c r="AJ74" s="183">
        <v>0.22604620456442484</v>
      </c>
      <c r="AK74" s="129"/>
      <c r="AL74" s="183">
        <v>0.22604620456442484</v>
      </c>
      <c r="AM74" s="129"/>
      <c r="AN74" s="183" t="e">
        <v>#DIV/0!</v>
      </c>
      <c r="AO74" s="129"/>
      <c r="AP74" s="183" t="e">
        <v>#DIV/0!</v>
      </c>
      <c r="AQ74" s="129"/>
      <c r="AR74" s="183" t="e">
        <v>#DIV/0!</v>
      </c>
      <c r="AS74" s="129"/>
      <c r="AT74" s="183" t="e">
        <v>#DIV/0!</v>
      </c>
      <c r="AU74" s="129"/>
      <c r="AV74" s="183" t="e">
        <v>#DIV/0!</v>
      </c>
      <c r="XFD74" s="183"/>
    </row>
    <row r="75" spans="1:48 16384:16384" x14ac:dyDescent="0.2">
      <c r="A75" t="s">
        <v>170</v>
      </c>
      <c r="B75" s="183">
        <v>0.22038438833194082</v>
      </c>
      <c r="D75" s="183">
        <v>0.22038438893916173</v>
      </c>
      <c r="E75" s="129"/>
      <c r="F75" s="183">
        <v>0.22038438901150628</v>
      </c>
      <c r="G75" s="129"/>
      <c r="H75" s="183">
        <v>0.22038438830706797</v>
      </c>
      <c r="I75" s="129"/>
      <c r="J75" s="183">
        <v>0.22038438843533759</v>
      </c>
      <c r="K75" s="129"/>
      <c r="L75" s="183">
        <v>0.22038438828471235</v>
      </c>
      <c r="M75" s="129"/>
      <c r="N75" s="183">
        <v>0.22038438823875159</v>
      </c>
      <c r="O75" s="129"/>
      <c r="P75" s="183">
        <v>0.2203843881969664</v>
      </c>
      <c r="Q75" s="129"/>
      <c r="R75" s="183">
        <v>0.22038438822537468</v>
      </c>
      <c r="S75" s="129"/>
      <c r="T75" s="183">
        <v>0.220384388290122</v>
      </c>
      <c r="U75" s="129"/>
      <c r="V75" s="183">
        <v>0.22038438832040277</v>
      </c>
      <c r="W75" s="129"/>
      <c r="X75" s="183">
        <v>0.22038438840731261</v>
      </c>
      <c r="Y75" s="129"/>
      <c r="Z75" s="183">
        <v>0.22038438839875557</v>
      </c>
      <c r="AA75" s="129"/>
      <c r="AB75" s="183">
        <v>0.22038438830658186</v>
      </c>
      <c r="AC75" s="129"/>
      <c r="AD75" s="183">
        <v>0.22038438834456295</v>
      </c>
      <c r="AE75" s="129"/>
      <c r="AF75" s="183">
        <v>0.22038438839002619</v>
      </c>
      <c r="AG75" s="129"/>
      <c r="AH75" s="183">
        <v>0.22038438834946122</v>
      </c>
      <c r="AI75" s="129"/>
      <c r="AJ75" s="183">
        <v>0.22038438833193888</v>
      </c>
      <c r="AK75" s="129"/>
      <c r="AL75" s="183">
        <v>0.22038438833208243</v>
      </c>
      <c r="AM75" s="129"/>
      <c r="AN75" s="183" t="e">
        <v>#DIV/0!</v>
      </c>
      <c r="AO75" s="129"/>
      <c r="AP75" s="183" t="e">
        <v>#DIV/0!</v>
      </c>
      <c r="AQ75" s="129"/>
      <c r="AR75" s="183" t="e">
        <v>#DIV/0!</v>
      </c>
      <c r="AS75" s="129"/>
      <c r="AT75" s="183" t="e">
        <v>#DIV/0!</v>
      </c>
      <c r="AU75" s="129"/>
      <c r="AV75" s="183" t="e">
        <v>#DIV/0!</v>
      </c>
      <c r="XFD75" s="183"/>
    </row>
    <row r="76" spans="1:48 16384:16384" x14ac:dyDescent="0.2">
      <c r="A76" t="s">
        <v>171</v>
      </c>
      <c r="B76" s="183">
        <v>0.22301874374724867</v>
      </c>
      <c r="D76" s="183">
        <v>0.22299437391580362</v>
      </c>
      <c r="E76" s="129"/>
      <c r="F76" s="183">
        <v>0.22303329678055792</v>
      </c>
      <c r="G76" s="129"/>
      <c r="H76" s="183">
        <v>0.22314119068626501</v>
      </c>
      <c r="I76" s="129"/>
      <c r="J76" s="183">
        <v>0.22332433168311178</v>
      </c>
      <c r="K76" s="129"/>
      <c r="L76" s="183">
        <v>0.22358933122613572</v>
      </c>
      <c r="M76" s="129"/>
      <c r="N76" s="183">
        <v>0.2239426811229383</v>
      </c>
      <c r="O76" s="129"/>
      <c r="P76" s="183">
        <v>0.22438985004182468</v>
      </c>
      <c r="Q76" s="129"/>
      <c r="R76" s="183">
        <v>0.22493369133906521</v>
      </c>
      <c r="S76" s="129"/>
      <c r="T76" s="183">
        <v>0.22557158061636728</v>
      </c>
      <c r="U76" s="129"/>
      <c r="V76" s="183">
        <v>0.22629040590314781</v>
      </c>
      <c r="W76" s="129"/>
      <c r="X76" s="183">
        <v>0.22705769802033737</v>
      </c>
      <c r="Y76" s="129"/>
      <c r="Z76" s="183">
        <v>0.22780609725694329</v>
      </c>
      <c r="AA76" s="129"/>
      <c r="AB76" s="183">
        <v>0.22840702492918152</v>
      </c>
      <c r="AC76" s="129"/>
      <c r="AD76" s="183">
        <v>0.22863011742774411</v>
      </c>
      <c r="AE76" s="129"/>
      <c r="AF76" s="183">
        <v>0.22810003498374246</v>
      </c>
      <c r="AG76" s="129"/>
      <c r="AH76" s="183">
        <v>0.22632425051253388</v>
      </c>
      <c r="AI76" s="129"/>
      <c r="AJ76" s="183">
        <v>0.22297776806913935</v>
      </c>
      <c r="AK76" s="129"/>
      <c r="AL76" s="183">
        <v>0.21850526569768586</v>
      </c>
      <c r="AM76" s="129"/>
      <c r="AN76" s="183" t="e">
        <v>#DIV/0!</v>
      </c>
      <c r="AO76" s="129"/>
      <c r="AP76" s="183" t="e">
        <v>#DIV/0!</v>
      </c>
      <c r="AQ76" s="129"/>
      <c r="AR76" s="183" t="e">
        <v>#DIV/0!</v>
      </c>
      <c r="AS76" s="129"/>
      <c r="AT76" s="183" t="e">
        <v>#DIV/0!</v>
      </c>
      <c r="AU76" s="129"/>
      <c r="AV76" s="183" t="e">
        <v>#DIV/0!</v>
      </c>
      <c r="XFD76" s="183"/>
    </row>
    <row r="77" spans="1:48 16384:16384" x14ac:dyDescent="0.2">
      <c r="A77" t="s">
        <v>172</v>
      </c>
      <c r="B77" s="183">
        <v>0.14586087017236485</v>
      </c>
      <c r="D77" s="183">
        <v>0.14583651765310196</v>
      </c>
      <c r="E77" s="129"/>
      <c r="F77" s="183">
        <v>0.14587544407623165</v>
      </c>
      <c r="G77" s="129"/>
      <c r="H77" s="183">
        <v>0.14598331789253771</v>
      </c>
      <c r="I77" s="129"/>
      <c r="J77" s="183">
        <v>0.14616646181050982</v>
      </c>
      <c r="K77" s="129"/>
      <c r="L77" s="183">
        <v>0.14643145866962151</v>
      </c>
      <c r="M77" s="129"/>
      <c r="N77" s="183">
        <v>0.14678480925506154</v>
      </c>
      <c r="O77" s="129"/>
      <c r="P77" s="183">
        <v>0.14723197865334914</v>
      </c>
      <c r="Q77" s="129"/>
      <c r="R77" s="183">
        <v>0.14777582270483322</v>
      </c>
      <c r="S77" s="129"/>
      <c r="T77" s="183">
        <v>0.14841370920417793</v>
      </c>
      <c r="U77" s="129"/>
      <c r="V77" s="183">
        <v>0.1491325330419834</v>
      </c>
      <c r="W77" s="129"/>
      <c r="X77" s="183">
        <v>0.14989982366392332</v>
      </c>
      <c r="Y77" s="129"/>
      <c r="Z77" s="183">
        <v>0.15064822526890581</v>
      </c>
      <c r="AA77" s="129"/>
      <c r="AB77" s="183">
        <v>0.15124915210386858</v>
      </c>
      <c r="AC77" s="129"/>
      <c r="AD77" s="183">
        <v>0.15147224365278197</v>
      </c>
      <c r="AE77" s="129"/>
      <c r="AF77" s="183">
        <v>0.15094216216032014</v>
      </c>
      <c r="AG77" s="129"/>
      <c r="AH77" s="183">
        <v>0.14916637757038156</v>
      </c>
      <c r="AI77" s="129"/>
      <c r="AJ77" s="183">
        <v>0.14581989449655489</v>
      </c>
      <c r="AK77" s="129"/>
      <c r="AL77" s="183">
        <v>0.14134739212102179</v>
      </c>
      <c r="AM77" s="129"/>
      <c r="AN77" s="183" t="e">
        <v>#DIV/0!</v>
      </c>
      <c r="AO77" s="129"/>
      <c r="AP77" s="183" t="e">
        <v>#DIV/0!</v>
      </c>
      <c r="AQ77" s="129"/>
      <c r="AR77" s="183" t="e">
        <v>#DIV/0!</v>
      </c>
      <c r="AS77" s="129"/>
      <c r="AT77" s="183" t="e">
        <v>#DIV/0!</v>
      </c>
      <c r="AU77" s="129"/>
      <c r="AV77" s="183" t="e">
        <v>#DIV/0!</v>
      </c>
      <c r="XFD77" s="183"/>
    </row>
    <row r="78" spans="1:48 16384:16384" x14ac:dyDescent="0.2">
      <c r="A78" t="s">
        <v>173</v>
      </c>
      <c r="B78" s="183">
        <v>0.346887593115773</v>
      </c>
      <c r="D78" s="183">
        <v>0.34927541498164399</v>
      </c>
      <c r="E78" s="129"/>
      <c r="F78" s="183">
        <v>0.35169827734845505</v>
      </c>
      <c r="G78" s="129"/>
      <c r="H78" s="183">
        <v>0.35416741858924916</v>
      </c>
      <c r="I78" s="129"/>
      <c r="J78" s="183">
        <v>0.35669576386220014</v>
      </c>
      <c r="K78" s="129"/>
      <c r="L78" s="183">
        <v>0.35929847891249667</v>
      </c>
      <c r="M78" s="129"/>
      <c r="N78" s="183">
        <v>0.36199414124352552</v>
      </c>
      <c r="O78" s="129"/>
      <c r="P78" s="183">
        <v>0.36480618966342432</v>
      </c>
      <c r="Q78" s="129"/>
      <c r="R78" s="183">
        <v>0.36776535714358249</v>
      </c>
      <c r="S78" s="129"/>
      <c r="T78" s="183">
        <v>0.37091340459632177</v>
      </c>
      <c r="U78" s="129"/>
      <c r="V78" s="183">
        <v>0.37430952635651638</v>
      </c>
      <c r="W78" s="129"/>
      <c r="X78" s="183">
        <v>0.37804084166385027</v>
      </c>
      <c r="Y78" s="129"/>
      <c r="Z78" s="183">
        <v>0.38224047647763576</v>
      </c>
      <c r="AA78" s="129"/>
      <c r="AB78" s="183">
        <v>0.38711856711711801</v>
      </c>
      <c r="AC78" s="129"/>
      <c r="AD78" s="183">
        <v>0.3930128081833818</v>
      </c>
      <c r="AE78" s="129"/>
      <c r="AF78" s="183">
        <v>0.40045689318106936</v>
      </c>
      <c r="AG78" s="129"/>
      <c r="AH78" s="183">
        <v>0.41021125367823186</v>
      </c>
      <c r="AI78" s="129"/>
      <c r="AJ78" s="183">
        <v>0.42303671047788249</v>
      </c>
      <c r="AK78" s="129"/>
      <c r="AL78" s="183">
        <v>0.43871975169063809</v>
      </c>
      <c r="AM78" s="129"/>
      <c r="AN78" s="183" t="e">
        <v>#DIV/0!</v>
      </c>
      <c r="AO78" s="129"/>
      <c r="AP78" s="183" t="e">
        <v>#DIV/0!</v>
      </c>
      <c r="AQ78" s="129"/>
      <c r="AR78" s="183" t="e">
        <v>#DIV/0!</v>
      </c>
      <c r="AS78" s="129"/>
      <c r="AT78" s="183" t="e">
        <v>#DIV/0!</v>
      </c>
      <c r="AU78" s="129"/>
      <c r="AV78" s="183" t="e">
        <v>#DIV/0!</v>
      </c>
      <c r="XFD78" s="183"/>
    </row>
    <row r="79" spans="1:48 16384:16384" x14ac:dyDescent="0.2">
      <c r="A79" t="s">
        <v>174</v>
      </c>
      <c r="B79" s="183">
        <v>0.45460968782440875</v>
      </c>
      <c r="D79" s="183">
        <v>0.44622882119328872</v>
      </c>
      <c r="F79" s="183">
        <v>0.43772494823038272</v>
      </c>
      <c r="H79" s="183">
        <v>0.42905857470188602</v>
      </c>
      <c r="J79" s="183">
        <v>0.42018448201389413</v>
      </c>
      <c r="L79" s="183">
        <v>0.41104931049695542</v>
      </c>
      <c r="N79" s="183">
        <v>0.40158792050795244</v>
      </c>
      <c r="P79" s="183">
        <v>0.39171803753550721</v>
      </c>
      <c r="R79" s="183">
        <v>0.38133185000639258</v>
      </c>
      <c r="T79" s="183">
        <v>0.37028267583034535</v>
      </c>
      <c r="V79" s="183">
        <v>0.35836279694164153</v>
      </c>
      <c r="X79" s="183">
        <v>0.34526645689161356</v>
      </c>
      <c r="Z79" s="183">
        <v>0.33052634856479685</v>
      </c>
      <c r="AB79" s="183">
        <v>0.31340497205976181</v>
      </c>
      <c r="AD79" s="183">
        <v>0.29271707288545723</v>
      </c>
      <c r="AF79" s="183">
        <v>0.26658944637942311</v>
      </c>
      <c r="AH79" s="183">
        <v>0.23235309941293136</v>
      </c>
      <c r="AJ79" s="183">
        <v>0.18733765796694732</v>
      </c>
      <c r="AL79" s="183">
        <v>0.13229252539644418</v>
      </c>
      <c r="AN79" s="183" t="e">
        <v>#DIV/0!</v>
      </c>
      <c r="AP79" s="183" t="e">
        <v>#DIV/0!</v>
      </c>
      <c r="AR79" s="183" t="e">
        <v>#DIV/0!</v>
      </c>
      <c r="AT79" s="183" t="e">
        <v>#DIV/0!</v>
      </c>
      <c r="AV79" s="183" t="e">
        <v>#DIV/0!</v>
      </c>
      <c r="XFD79" s="183"/>
    </row>
    <row r="80" spans="1:48 16384:16384" x14ac:dyDescent="0.2">
      <c r="A80" t="s">
        <v>153</v>
      </c>
      <c r="B80" s="195">
        <v>0.19850271905982084</v>
      </c>
      <c r="D80" s="195">
        <v>0.20449580636468603</v>
      </c>
      <c r="F80" s="195">
        <v>0.21057683330221694</v>
      </c>
      <c r="H80" s="195">
        <v>0.21677400441628336</v>
      </c>
      <c r="J80" s="195">
        <v>0.22311976730398045</v>
      </c>
      <c r="L80" s="195">
        <v>0.22965220672287096</v>
      </c>
      <c r="N80" s="195">
        <v>0.23641793090244317</v>
      </c>
      <c r="P80" s="195">
        <v>0.24347576224272893</v>
      </c>
      <c r="R80" s="195">
        <v>0.25090279948017319</v>
      </c>
      <c r="T80" s="195">
        <v>0.25880392227904975</v>
      </c>
      <c r="V80" s="195">
        <v>0.26732767761267801</v>
      </c>
      <c r="X80" s="195">
        <v>0.27669271810772472</v>
      </c>
      <c r="Z80" s="195">
        <v>0.28723318798209008</v>
      </c>
      <c r="AB80" s="195">
        <v>0.29947645815633361</v>
      </c>
      <c r="AD80" s="195">
        <v>0.3142701215078707</v>
      </c>
      <c r="AF80" s="195">
        <v>0.3329536731293985</v>
      </c>
      <c r="AH80" s="195">
        <v>0.35743564946696527</v>
      </c>
      <c r="AJ80" s="195">
        <v>0.38962563151705149</v>
      </c>
      <c r="AL80" s="195">
        <v>0.42898772271025226</v>
      </c>
      <c r="AN80" s="195" t="e">
        <v>#DIV/0!</v>
      </c>
      <c r="AP80" s="195" t="e">
        <v>#DIV/0!</v>
      </c>
      <c r="AR80" s="195" t="e">
        <v>#DIV/0!</v>
      </c>
      <c r="AT80" s="195" t="e">
        <v>#DIV/0!</v>
      </c>
      <c r="AV80" s="195" t="e">
        <v>#DIV/0!</v>
      </c>
      <c r="XFD80" s="195"/>
    </row>
    <row r="81" spans="1:48 16384:16384" x14ac:dyDescent="0.2">
      <c r="A81" t="s">
        <v>175</v>
      </c>
      <c r="B81" s="195">
        <v>-2.7543485504603994E-2</v>
      </c>
      <c r="D81" s="195">
        <v>-2.1550398199738811E-2</v>
      </c>
      <c r="F81" s="195">
        <v>-1.5469371262207885E-2</v>
      </c>
      <c r="H81" s="195">
        <v>-9.2722001481414604E-3</v>
      </c>
      <c r="J81" s="195">
        <v>-2.9264372604443905E-3</v>
      </c>
      <c r="L81" s="195">
        <v>3.6060021584461096E-3</v>
      </c>
      <c r="N81" s="195">
        <v>1.0371726338018337E-2</v>
      </c>
      <c r="P81" s="195">
        <v>1.7429557678304109E-2</v>
      </c>
      <c r="R81" s="195">
        <v>2.4856594915748337E-2</v>
      </c>
      <c r="T81" s="195">
        <v>3.2757717714624927E-2</v>
      </c>
      <c r="V81" s="195">
        <v>4.1281473048253164E-2</v>
      </c>
      <c r="X81" s="195">
        <v>5.0646513543299923E-2</v>
      </c>
      <c r="Z81" s="195">
        <v>6.1186983417665215E-2</v>
      </c>
      <c r="AB81" s="195">
        <v>7.3430253591908745E-2</v>
      </c>
      <c r="AD81" s="195">
        <v>8.8223916943445835E-2</v>
      </c>
      <c r="AF81" s="195">
        <v>0.10690746856497364</v>
      </c>
      <c r="AH81" s="195">
        <v>0.13138944490254043</v>
      </c>
      <c r="AJ81" s="195">
        <v>0.16357942695262667</v>
      </c>
      <c r="AL81" s="195">
        <v>0.20294151814582739</v>
      </c>
      <c r="AN81" s="195" t="e">
        <v>#DIV/0!</v>
      </c>
      <c r="AP81" s="195" t="e">
        <v>#DIV/0!</v>
      </c>
      <c r="AR81" s="195" t="e">
        <v>#DIV/0!</v>
      </c>
      <c r="AT81" s="195" t="e">
        <v>#DIV/0!</v>
      </c>
      <c r="AV81" s="195" t="e">
        <v>#DIV/0!</v>
      </c>
      <c r="XFD81" s="195"/>
    </row>
    <row r="82" spans="1:48 16384:16384" x14ac:dyDescent="0.2">
      <c r="A82" t="s">
        <v>176</v>
      </c>
      <c r="B82" s="195">
        <v>0</v>
      </c>
      <c r="D82" s="195">
        <v>0</v>
      </c>
      <c r="F82" s="195">
        <v>0</v>
      </c>
      <c r="H82" s="195">
        <v>0</v>
      </c>
      <c r="J82" s="195">
        <v>0</v>
      </c>
      <c r="L82" s="195">
        <v>0</v>
      </c>
      <c r="N82" s="195">
        <v>0</v>
      </c>
      <c r="P82" s="195">
        <v>0</v>
      </c>
      <c r="R82" s="195">
        <v>0</v>
      </c>
      <c r="T82" s="195">
        <v>0</v>
      </c>
      <c r="V82" s="195">
        <v>0</v>
      </c>
      <c r="X82" s="195">
        <v>0</v>
      </c>
      <c r="Z82" s="195">
        <v>0</v>
      </c>
      <c r="AB82" s="195">
        <v>0</v>
      </c>
      <c r="AD82" s="195">
        <v>0</v>
      </c>
      <c r="AF82" s="195">
        <v>0</v>
      </c>
      <c r="AH82" s="195">
        <v>0</v>
      </c>
      <c r="AJ82" s="195">
        <v>0</v>
      </c>
      <c r="AL82" s="195">
        <v>0</v>
      </c>
      <c r="AN82" s="195" t="e">
        <v>#DIV/0!</v>
      </c>
      <c r="AP82" s="195" t="e">
        <v>#DIV/0!</v>
      </c>
      <c r="AR82" s="195" t="e">
        <v>#DIV/0!</v>
      </c>
      <c r="AT82" s="195" t="e">
        <v>#DIV/0!</v>
      </c>
      <c r="AV82" s="195" t="e">
        <v>#DIV/0!</v>
      </c>
    </row>
    <row r="83" spans="1:48 16384:16384" x14ac:dyDescent="0.2">
      <c r="A83" t="s">
        <v>177</v>
      </c>
      <c r="B83" s="195">
        <v>0.32508574741142998</v>
      </c>
      <c r="D83" s="195">
        <v>0.31909269366510179</v>
      </c>
      <c r="F83" s="195">
        <v>0.31301167961705556</v>
      </c>
      <c r="H83" s="195">
        <v>0.30681446343070323</v>
      </c>
      <c r="J83" s="195">
        <v>0.30046870985057189</v>
      </c>
      <c r="L83" s="195">
        <v>0.29393626203907108</v>
      </c>
      <c r="N83" s="195">
        <v>0.2871705394455964</v>
      </c>
      <c r="P83" s="195">
        <v>0.2801127085878431</v>
      </c>
      <c r="R83" s="195">
        <v>0.27268567474741684</v>
      </c>
      <c r="T83" s="195">
        <v>0.26478454738145812</v>
      </c>
      <c r="V83" s="195">
        <v>0.25626078987833006</v>
      </c>
      <c r="X83" s="195">
        <v>0.24689575959511711</v>
      </c>
      <c r="Z83" s="195">
        <v>0.23635529101143951</v>
      </c>
      <c r="AB83" s="195">
        <v>0.22411200709796159</v>
      </c>
      <c r="AD83" s="195">
        <v>0.20931834707360958</v>
      </c>
      <c r="AF83" s="195">
        <v>0.19063480552514731</v>
      </c>
      <c r="AH83" s="195">
        <v>0.1661528185804744</v>
      </c>
      <c r="AJ83" s="195">
        <v>0.13396283490996477</v>
      </c>
      <c r="AL83" s="195">
        <v>9.4600743554896921E-2</v>
      </c>
      <c r="AN83" s="195" t="e">
        <v>#DIV/0!</v>
      </c>
      <c r="AP83" s="195" t="e">
        <v>#DIV/0!</v>
      </c>
      <c r="AR83" s="195" t="e">
        <v>#DIV/0!</v>
      </c>
      <c r="AT83" s="195" t="e">
        <v>#DIV/0!</v>
      </c>
      <c r="AV83" s="195" t="e">
        <v>#DIV/0!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9"/>
  <dimension ref="A1:XFD83"/>
  <sheetViews>
    <sheetView showGridLines="0" workbookViewId="0">
      <pane xSplit="1" ySplit="1" topLeftCell="AH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4.8236263315743218E-2</v>
      </c>
      <c r="E2" s="189"/>
      <c r="F2" s="188">
        <v>9.4333614278895403E-2</v>
      </c>
      <c r="G2" s="189"/>
      <c r="H2" s="188">
        <v>0.1445460708181428</v>
      </c>
      <c r="I2" s="189"/>
      <c r="J2" s="188">
        <v>0.19944639100039627</v>
      </c>
      <c r="K2" s="189"/>
      <c r="L2" s="188">
        <v>0.25972026561609324</v>
      </c>
      <c r="M2" s="189"/>
      <c r="N2" s="188">
        <v>0.32619530278820824</v>
      </c>
      <c r="O2" s="189"/>
      <c r="P2" s="188">
        <v>0.3998782158735289</v>
      </c>
      <c r="Q2" s="189"/>
      <c r="R2" s="188">
        <v>0.48200120658524204</v>
      </c>
      <c r="S2" s="189"/>
      <c r="T2" s="188">
        <v>0.57407980237040201</v>
      </c>
      <c r="U2" s="189"/>
      <c r="V2" s="188">
        <v>0.67797571593168926</v>
      </c>
      <c r="W2" s="189"/>
      <c r="X2" s="188">
        <v>0.79595494790866261</v>
      </c>
      <c r="Y2" s="189"/>
      <c r="Z2" s="188">
        <v>0.93070716199072867</v>
      </c>
      <c r="AA2" s="189"/>
      <c r="AB2" s="188">
        <v>1.0852592982660039</v>
      </c>
      <c r="AC2" s="189"/>
      <c r="AD2" s="188">
        <v>1.2626655678379251</v>
      </c>
      <c r="AE2" s="189"/>
      <c r="AF2" s="188">
        <v>1.465335939706746</v>
      </c>
      <c r="AG2" s="189"/>
      <c r="AH2" s="188">
        <v>1.6939794785809303</v>
      </c>
      <c r="AI2" s="189"/>
      <c r="AJ2" s="188">
        <v>1.9465108519059251</v>
      </c>
      <c r="AK2" s="189"/>
      <c r="AL2" s="188">
        <v>2.2176781779116448</v>
      </c>
      <c r="AM2" s="189"/>
      <c r="AN2" s="188">
        <v>2.4999915877256336</v>
      </c>
      <c r="AO2" s="189"/>
      <c r="AP2" s="188">
        <v>2.5570831363258324</v>
      </c>
      <c r="AQ2" s="189"/>
      <c r="AR2" s="188">
        <v>2.6142408977752671</v>
      </c>
      <c r="AS2" s="189"/>
      <c r="AT2" s="188">
        <v>2.6714080519972465</v>
      </c>
      <c r="AU2" s="189"/>
      <c r="AV2" s="188">
        <v>2.7285306678306651</v>
      </c>
      <c r="AW2" s="189"/>
    </row>
    <row r="3" spans="1:49" x14ac:dyDescent="0.2">
      <c r="A3" t="s">
        <v>12</v>
      </c>
      <c r="B3" s="81">
        <v>1000</v>
      </c>
      <c r="C3" s="82">
        <v>1000</v>
      </c>
      <c r="D3" s="81">
        <v>998.70397160719392</v>
      </c>
      <c r="E3" s="82">
        <v>1019.7566020437386</v>
      </c>
      <c r="F3" s="81">
        <v>997.37961500091319</v>
      </c>
      <c r="G3" s="82">
        <v>1041.5546605517081</v>
      </c>
      <c r="H3" s="81">
        <v>996.02305205919208</v>
      </c>
      <c r="I3" s="82">
        <v>1065.6914093071275</v>
      </c>
      <c r="J3" s="81">
        <v>994.63017974008847</v>
      </c>
      <c r="K3" s="82">
        <v>1092.5201714253667</v>
      </c>
      <c r="L3" s="81">
        <v>993.19687873291798</v>
      </c>
      <c r="M3" s="82">
        <v>1122.4631186635604</v>
      </c>
      <c r="N3" s="81">
        <v>991.71937511285</v>
      </c>
      <c r="O3" s="82">
        <v>1156.0270751445873</v>
      </c>
      <c r="P3" s="81">
        <v>990.19480317141415</v>
      </c>
      <c r="Q3" s="82">
        <v>1193.8226077946451</v>
      </c>
      <c r="R3" s="81">
        <v>988.62212566063943</v>
      </c>
      <c r="S3" s="82">
        <v>1236.5863134153396</v>
      </c>
      <c r="T3" s="81">
        <v>987.00354491797384</v>
      </c>
      <c r="U3" s="82">
        <v>1285.2059421768056</v>
      </c>
      <c r="V3" s="81">
        <v>985.34653095911665</v>
      </c>
      <c r="W3" s="82">
        <v>1340.7434387136793</v>
      </c>
      <c r="X3" s="81">
        <v>983.66662910330479</v>
      </c>
      <c r="Y3" s="82">
        <v>1404.4465159817578</v>
      </c>
      <c r="Z3" s="81">
        <v>981.99088801612208</v>
      </c>
      <c r="AA3" s="82">
        <v>1477.7291036070133</v>
      </c>
      <c r="AB3" s="81">
        <v>980.36124111776019</v>
      </c>
      <c r="AC3" s="82">
        <v>1562.0810654408565</v>
      </c>
      <c r="AD3" s="81">
        <v>978.83596154047734</v>
      </c>
      <c r="AE3" s="82">
        <v>1658.8507485198575</v>
      </c>
      <c r="AF3" s="81">
        <v>977.4858768936715</v>
      </c>
      <c r="AG3" s="82">
        <v>1768.847440452372</v>
      </c>
      <c r="AH3" s="81">
        <v>976.38187225451611</v>
      </c>
      <c r="AI3" s="82">
        <v>1891.7955905239385</v>
      </c>
      <c r="AJ3" s="81">
        <v>975.57458525864888</v>
      </c>
      <c r="AK3" s="82">
        <v>2025.8698710707854</v>
      </c>
      <c r="AL3" s="81">
        <v>975.07585465225395</v>
      </c>
      <c r="AM3" s="82">
        <v>2167.7021110892738</v>
      </c>
      <c r="AN3" s="81">
        <v>974.85527066473617</v>
      </c>
      <c r="AO3" s="82">
        <v>2313.0569083518844</v>
      </c>
      <c r="AP3" s="81">
        <v>974.83965684140617</v>
      </c>
      <c r="AQ3" s="82">
        <v>2342.1777726487594</v>
      </c>
      <c r="AR3" s="81">
        <v>974.83232643170243</v>
      </c>
      <c r="AS3" s="82">
        <v>2371.2435733923276</v>
      </c>
      <c r="AT3" s="81">
        <v>974.83274258535869</v>
      </c>
      <c r="AU3" s="82">
        <v>2400.2268408104801</v>
      </c>
      <c r="AV3" s="81">
        <v>974.84037191066091</v>
      </c>
      <c r="AW3" s="82">
        <v>2429.1019542913846</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998.63971587803758</v>
      </c>
      <c r="E5" s="40">
        <v>1017.1824731413934</v>
      </c>
      <c r="F5" s="39">
        <v>997.24893179227058</v>
      </c>
      <c r="G5" s="40">
        <v>1035.7606442476008</v>
      </c>
      <c r="H5" s="39">
        <v>995.82351835225415</v>
      </c>
      <c r="I5" s="40">
        <v>1055.8715378212221</v>
      </c>
      <c r="J5" s="39">
        <v>994.35909848535198</v>
      </c>
      <c r="K5" s="40">
        <v>1077.6632543737405</v>
      </c>
      <c r="L5" s="39">
        <v>992.85126553393809</v>
      </c>
      <c r="M5" s="40">
        <v>1101.2931151900116</v>
      </c>
      <c r="N5" s="39">
        <v>991.2959631054191</v>
      </c>
      <c r="O5" s="40">
        <v>1126.9241468372868</v>
      </c>
      <c r="P5" s="39">
        <v>989.69007834270315</v>
      </c>
      <c r="Q5" s="40">
        <v>1154.7181795122549</v>
      </c>
      <c r="R5" s="39">
        <v>988.03241459427807</v>
      </c>
      <c r="S5" s="40">
        <v>1184.8246024760813</v>
      </c>
      <c r="T5" s="39">
        <v>986.32518612443607</v>
      </c>
      <c r="U5" s="40">
        <v>1217.3602388777374</v>
      </c>
      <c r="V5" s="39">
        <v>984.57617181912246</v>
      </c>
      <c r="W5" s="40">
        <v>1252.3804456511843</v>
      </c>
      <c r="X5" s="39">
        <v>982.80170301927956</v>
      </c>
      <c r="Y5" s="40">
        <v>1289.8318621723076</v>
      </c>
      <c r="Z5" s="39">
        <v>981.03032193887748</v>
      </c>
      <c r="AA5" s="40">
        <v>1329.4883948095562</v>
      </c>
      <c r="AB5" s="39">
        <v>979.3064063843143</v>
      </c>
      <c r="AC5" s="40">
        <v>1370.867382717508</v>
      </c>
      <c r="AD5" s="39">
        <v>977.69176405449195</v>
      </c>
      <c r="AE5" s="40">
        <v>1413.1462320021169</v>
      </c>
      <c r="AF5" s="39">
        <v>976.26166353187932</v>
      </c>
      <c r="AG5" s="40">
        <v>1455.1247578758864</v>
      </c>
      <c r="AH5" s="39">
        <v>975.09158430467323</v>
      </c>
      <c r="AI5" s="40">
        <v>1495.3120270474124</v>
      </c>
      <c r="AJ5" s="39">
        <v>974.23561354821493</v>
      </c>
      <c r="AK5" s="40">
        <v>1532.1919525828846</v>
      </c>
      <c r="AL5" s="39">
        <v>973.70665113893176</v>
      </c>
      <c r="AM5" s="40">
        <v>1564.6052281925167</v>
      </c>
      <c r="AN5" s="39">
        <v>973.47265791601501</v>
      </c>
      <c r="AO5" s="40">
        <v>1592.033737260304</v>
      </c>
      <c r="AP5" s="39">
        <v>973.4560940492986</v>
      </c>
      <c r="AQ5" s="40">
        <v>1596.9235683386169</v>
      </c>
      <c r="AR5" s="39">
        <v>973.44831757100098</v>
      </c>
      <c r="AS5" s="40">
        <v>1601.6216633027414</v>
      </c>
      <c r="AT5" s="39">
        <v>973.44875904901073</v>
      </c>
      <c r="AU5" s="40">
        <v>1606.1323172899617</v>
      </c>
      <c r="AV5" s="39">
        <v>973.45685263051621</v>
      </c>
      <c r="AW5" s="40">
        <v>1610.46033677075</v>
      </c>
    </row>
    <row r="6" spans="1:49" x14ac:dyDescent="0.2">
      <c r="A6" t="s">
        <v>77</v>
      </c>
      <c r="B6" s="39">
        <v>999.99999999999943</v>
      </c>
      <c r="C6" s="40">
        <v>999.99999999999909</v>
      </c>
      <c r="D6" s="39">
        <v>998.53582008379772</v>
      </c>
      <c r="E6" s="40">
        <v>1021.2934364362361</v>
      </c>
      <c r="F6" s="39">
        <v>997.03912561136315</v>
      </c>
      <c r="G6" s="40">
        <v>1044.7159945775084</v>
      </c>
      <c r="H6" s="39">
        <v>995.50549503909053</v>
      </c>
      <c r="I6" s="40">
        <v>1070.5721496668832</v>
      </c>
      <c r="J6" s="39">
        <v>993.93024480959582</v>
      </c>
      <c r="K6" s="40">
        <v>1099.2234623644931</v>
      </c>
      <c r="L6" s="39">
        <v>992.30866443754132</v>
      </c>
      <c r="M6" s="40">
        <v>1131.101560093221</v>
      </c>
      <c r="N6" s="39">
        <v>990.63642523978956</v>
      </c>
      <c r="O6" s="40">
        <v>1166.7242148350226</v>
      </c>
      <c r="P6" s="39">
        <v>988.91021782645566</v>
      </c>
      <c r="Q6" s="40">
        <v>1206.7147510640675</v>
      </c>
      <c r="R6" s="39">
        <v>987.1287961876759</v>
      </c>
      <c r="S6" s="40">
        <v>1251.8246792415641</v>
      </c>
      <c r="T6" s="39">
        <v>985.29458115531793</v>
      </c>
      <c r="U6" s="40">
        <v>1302.9591910911147</v>
      </c>
      <c r="V6" s="39">
        <v>983.41596838083035</v>
      </c>
      <c r="W6" s="40">
        <v>1361.2004118073789</v>
      </c>
      <c r="X6" s="39">
        <v>981.51052798869966</v>
      </c>
      <c r="Y6" s="40">
        <v>1427.8187735269958</v>
      </c>
      <c r="Z6" s="39">
        <v>979.60891836464907</v>
      </c>
      <c r="AA6" s="40">
        <v>1504.2523642171382</v>
      </c>
      <c r="AB6" s="39">
        <v>977.75875783816991</v>
      </c>
      <c r="AC6" s="40">
        <v>1592.0136788164175</v>
      </c>
      <c r="AD6" s="39">
        <v>976.02631454655102</v>
      </c>
      <c r="AE6" s="40">
        <v>1692.4661927790803</v>
      </c>
      <c r="AF6" s="39">
        <v>974.49223357369567</v>
      </c>
      <c r="AG6" s="40">
        <v>1806.4170962872249</v>
      </c>
      <c r="AH6" s="39">
        <v>973.23732880402554</v>
      </c>
      <c r="AI6" s="40">
        <v>1933.5597600357783</v>
      </c>
      <c r="AJ6" s="39">
        <v>972.31944596245523</v>
      </c>
      <c r="AK6" s="40">
        <v>2072.0013105518392</v>
      </c>
      <c r="AL6" s="39">
        <v>971.75228384268701</v>
      </c>
      <c r="AM6" s="40">
        <v>2218.2750372466321</v>
      </c>
      <c r="AN6" s="39">
        <v>971.50140710589392</v>
      </c>
      <c r="AO6" s="40">
        <v>2368.0364114470367</v>
      </c>
      <c r="AP6" s="39">
        <v>971.48364843198203</v>
      </c>
      <c r="AQ6" s="40">
        <v>2398.0255752840244</v>
      </c>
      <c r="AR6" s="39">
        <v>971.47531102571224</v>
      </c>
      <c r="AS6" s="40">
        <v>2427.9537493271368</v>
      </c>
      <c r="AT6" s="39">
        <v>971.47578434790387</v>
      </c>
      <c r="AU6" s="40">
        <v>2457.7928857176134</v>
      </c>
      <c r="AV6" s="39">
        <v>971.48446173112461</v>
      </c>
      <c r="AW6" s="40">
        <v>2487.5168394968578</v>
      </c>
    </row>
    <row r="7" spans="1:49" x14ac:dyDescent="0.2">
      <c r="A7" t="s">
        <v>13</v>
      </c>
      <c r="B7" s="31">
        <v>1015.9116825427475</v>
      </c>
      <c r="C7" s="32">
        <v>1015.9116825427475</v>
      </c>
      <c r="D7" s="31">
        <v>1014.5297540116684</v>
      </c>
      <c r="E7" s="32">
        <v>1014.5297540116684</v>
      </c>
      <c r="F7" s="31">
        <v>1013.1168402110432</v>
      </c>
      <c r="G7" s="32">
        <v>1013.1168402110432</v>
      </c>
      <c r="H7" s="31">
        <v>1011.668746044877</v>
      </c>
      <c r="I7" s="32">
        <v>1011.668746044877</v>
      </c>
      <c r="J7" s="31">
        <v>1010.1810247939435</v>
      </c>
      <c r="K7" s="32">
        <v>1010.1810247939435</v>
      </c>
      <c r="L7" s="31">
        <v>1008.6491996832791</v>
      </c>
      <c r="M7" s="32">
        <v>1008.6491996832791</v>
      </c>
      <c r="N7" s="31">
        <v>1007.0691497762596</v>
      </c>
      <c r="O7" s="32">
        <v>1007.0691497762596</v>
      </c>
      <c r="P7" s="31">
        <v>1005.437712684999</v>
      </c>
      <c r="Q7" s="32">
        <v>1005.437712684999</v>
      </c>
      <c r="R7" s="31">
        <v>1003.7536727172464</v>
      </c>
      <c r="S7" s="32">
        <v>1003.7536727172464</v>
      </c>
      <c r="T7" s="31">
        <v>1002.0192793699644</v>
      </c>
      <c r="U7" s="32">
        <v>1002.0192793699644</v>
      </c>
      <c r="V7" s="31">
        <v>1000.2424353042619</v>
      </c>
      <c r="W7" s="32">
        <v>1000.2424353042619</v>
      </c>
      <c r="X7" s="31">
        <v>998.43973172019389</v>
      </c>
      <c r="Y7" s="32">
        <v>998.43973172019389</v>
      </c>
      <c r="Z7" s="31">
        <v>996.64016498637818</v>
      </c>
      <c r="AA7" s="32">
        <v>996.64016498637818</v>
      </c>
      <c r="AB7" s="31">
        <v>994.88881903478034</v>
      </c>
      <c r="AC7" s="32">
        <v>994.88881903478034</v>
      </c>
      <c r="AD7" s="31">
        <v>993.24848502878581</v>
      </c>
      <c r="AE7" s="32">
        <v>993.24848502878581</v>
      </c>
      <c r="AF7" s="31">
        <v>991.79562920065314</v>
      </c>
      <c r="AG7" s="32">
        <v>991.79562920065314</v>
      </c>
      <c r="AH7" s="31">
        <v>990.60693204423387</v>
      </c>
      <c r="AI7" s="32">
        <v>990.60693204423387</v>
      </c>
      <c r="AJ7" s="31">
        <v>989.73734135283291</v>
      </c>
      <c r="AK7" s="32">
        <v>989.73734135283291</v>
      </c>
      <c r="AL7" s="31">
        <v>989.19996226161618</v>
      </c>
      <c r="AM7" s="32">
        <v>989.19996226161618</v>
      </c>
      <c r="AN7" s="31">
        <v>988.96224581281922</v>
      </c>
      <c r="AO7" s="32">
        <v>988.96224581281922</v>
      </c>
      <c r="AP7" s="31">
        <v>988.94541838711393</v>
      </c>
      <c r="AQ7" s="32">
        <v>988.94541838711393</v>
      </c>
      <c r="AR7" s="31">
        <v>988.93751817196232</v>
      </c>
      <c r="AS7" s="32">
        <v>988.93751817196232</v>
      </c>
      <c r="AT7" s="31">
        <v>988.93796667463005</v>
      </c>
      <c r="AU7" s="32">
        <v>988.93796667463005</v>
      </c>
      <c r="AV7" s="31">
        <v>988.94618903863511</v>
      </c>
      <c r="AW7" s="32">
        <v>988.94618903863511</v>
      </c>
    </row>
    <row r="8" spans="1:49" x14ac:dyDescent="0.2">
      <c r="B8" s="33">
        <v>1005.7716594496609</v>
      </c>
      <c r="C8" s="34">
        <v>1005.7716594496609</v>
      </c>
      <c r="D8" s="33">
        <v>1066.2475547560005</v>
      </c>
      <c r="E8" s="34">
        <v>1066.2475547560005</v>
      </c>
      <c r="F8" s="33">
        <v>1133.467689347314</v>
      </c>
      <c r="G8" s="34">
        <v>1133.467689347314</v>
      </c>
      <c r="H8" s="33">
        <v>1208.4936199019899</v>
      </c>
      <c r="I8" s="34">
        <v>1208.4936199019899</v>
      </c>
      <c r="J8" s="33">
        <v>1292.5993011723251</v>
      </c>
      <c r="K8" s="34">
        <v>1292.5993011723251</v>
      </c>
      <c r="L8" s="33">
        <v>1387.3212555883363</v>
      </c>
      <c r="M8" s="34">
        <v>1387.3212555883363</v>
      </c>
      <c r="N8" s="33">
        <v>1494.5215101342189</v>
      </c>
      <c r="O8" s="34">
        <v>1494.5215101342189</v>
      </c>
      <c r="P8" s="33">
        <v>1616.4648249723448</v>
      </c>
      <c r="Q8" s="34">
        <v>1616.4648249723448</v>
      </c>
      <c r="R8" s="33">
        <v>1755.9114904614323</v>
      </c>
      <c r="S8" s="34">
        <v>1755.9114904614323</v>
      </c>
      <c r="T8" s="33">
        <v>1916.2221642262541</v>
      </c>
      <c r="U8" s="34">
        <v>1916.2221642262541</v>
      </c>
      <c r="V8" s="33">
        <v>2101.463974910394</v>
      </c>
      <c r="W8" s="34">
        <v>2101.463974910394</v>
      </c>
      <c r="X8" s="33">
        <v>2316.4799148386001</v>
      </c>
      <c r="Y8" s="34">
        <v>2316.4799148386001</v>
      </c>
      <c r="Z8" s="33">
        <v>2566.852765642368</v>
      </c>
      <c r="AA8" s="34">
        <v>2566.852765642368</v>
      </c>
      <c r="AB8" s="33">
        <v>2858.6139565012636</v>
      </c>
      <c r="AC8" s="34">
        <v>2858.6139565012636</v>
      </c>
      <c r="AD8" s="33">
        <v>3197.4773214710945</v>
      </c>
      <c r="AE8" s="34">
        <v>3197.4773214710945</v>
      </c>
      <c r="AF8" s="33">
        <v>3587.3713623484996</v>
      </c>
      <c r="AG8" s="34">
        <v>3587.3713623484996</v>
      </c>
      <c r="AH8" s="33">
        <v>4028.3399149409815</v>
      </c>
      <c r="AI8" s="34">
        <v>4028.3399149409815</v>
      </c>
      <c r="AJ8" s="33">
        <v>4514.6202154883986</v>
      </c>
      <c r="AK8" s="34">
        <v>4514.6202154883986</v>
      </c>
      <c r="AL8" s="33">
        <v>5034.39609980153</v>
      </c>
      <c r="AM8" s="34">
        <v>5034.39609980153</v>
      </c>
      <c r="AN8" s="33">
        <v>5572.1046877864655</v>
      </c>
      <c r="AO8" s="34">
        <v>5572.1046877864655</v>
      </c>
      <c r="AP8" s="33">
        <v>5680.3898949385666</v>
      </c>
      <c r="AQ8" s="34">
        <v>5680.3898949385666</v>
      </c>
      <c r="AR8" s="33">
        <v>5788.6465182716165</v>
      </c>
      <c r="AS8" s="34">
        <v>5788.6465182716165</v>
      </c>
      <c r="AT8" s="33">
        <v>5896.7671222713616</v>
      </c>
      <c r="AU8" s="34">
        <v>5896.7671222713616</v>
      </c>
      <c r="AV8" s="33">
        <v>6004.650754974642</v>
      </c>
      <c r="AW8" s="34">
        <v>6004.650754974642</v>
      </c>
    </row>
    <row r="9" spans="1:49" x14ac:dyDescent="0.2">
      <c r="A9" t="s">
        <v>14</v>
      </c>
      <c r="B9" s="39">
        <v>1015.9116825427475</v>
      </c>
      <c r="C9" s="40">
        <v>1005.7716594496609</v>
      </c>
      <c r="D9" s="39">
        <v>1014.5297540116684</v>
      </c>
      <c r="E9" s="40">
        <v>1066.2475547560005</v>
      </c>
      <c r="F9" s="39">
        <v>1013.1168402110432</v>
      </c>
      <c r="G9" s="40">
        <v>1133.467689347314</v>
      </c>
      <c r="H9" s="39">
        <v>1011.668746044877</v>
      </c>
      <c r="I9" s="40">
        <v>1208.4936199019899</v>
      </c>
      <c r="J9" s="39">
        <v>1010.1810247939435</v>
      </c>
      <c r="K9" s="40">
        <v>1292.5993011723251</v>
      </c>
      <c r="L9" s="39">
        <v>1008.6491996832791</v>
      </c>
      <c r="M9" s="40">
        <v>1387.3212555883363</v>
      </c>
      <c r="N9" s="39">
        <v>1007.0691497762596</v>
      </c>
      <c r="O9" s="40">
        <v>1494.5215101342189</v>
      </c>
      <c r="P9" s="39">
        <v>1005.437712684999</v>
      </c>
      <c r="Q9" s="40">
        <v>1616.4648249723448</v>
      </c>
      <c r="R9" s="39">
        <v>1003.7536727172464</v>
      </c>
      <c r="S9" s="40">
        <v>1755.9114904614323</v>
      </c>
      <c r="T9" s="39">
        <v>1002.0192793699644</v>
      </c>
      <c r="U9" s="40">
        <v>1916.2221642262541</v>
      </c>
      <c r="V9" s="39">
        <v>1000.2424353042619</v>
      </c>
      <c r="W9" s="40">
        <v>2101.463974910394</v>
      </c>
      <c r="X9" s="39">
        <v>998.43973172019389</v>
      </c>
      <c r="Y9" s="40">
        <v>2316.4799148386001</v>
      </c>
      <c r="Z9" s="39">
        <v>996.64016498637818</v>
      </c>
      <c r="AA9" s="40">
        <v>2566.852765642368</v>
      </c>
      <c r="AB9" s="39">
        <v>994.88881903478034</v>
      </c>
      <c r="AC9" s="40">
        <v>2858.6139565012636</v>
      </c>
      <c r="AD9" s="39">
        <v>993.24848502878581</v>
      </c>
      <c r="AE9" s="40">
        <v>3197.4773214710945</v>
      </c>
      <c r="AF9" s="39">
        <v>991.79562920065314</v>
      </c>
      <c r="AG9" s="40">
        <v>3587.3713623484996</v>
      </c>
      <c r="AH9" s="39">
        <v>990.60693204423387</v>
      </c>
      <c r="AI9" s="40">
        <v>4028.3399149409815</v>
      </c>
      <c r="AJ9" s="39">
        <v>989.73734135283291</v>
      </c>
      <c r="AK9" s="40">
        <v>4514.6202154883986</v>
      </c>
      <c r="AL9" s="39">
        <v>989.19996226161618</v>
      </c>
      <c r="AM9" s="40">
        <v>5034.39609980153</v>
      </c>
      <c r="AN9" s="39">
        <v>988.96224581281922</v>
      </c>
      <c r="AO9" s="40">
        <v>5572.1046877864655</v>
      </c>
      <c r="AP9" s="39">
        <v>988.94541838711393</v>
      </c>
      <c r="AQ9" s="40">
        <v>5680.3898949385666</v>
      </c>
      <c r="AR9" s="39">
        <v>988.93751817196232</v>
      </c>
      <c r="AS9" s="40">
        <v>5788.6465182716165</v>
      </c>
      <c r="AT9" s="39">
        <v>988.93796667463005</v>
      </c>
      <c r="AU9" s="40">
        <v>5896.7671222713616</v>
      </c>
      <c r="AV9" s="39">
        <v>988.94618903863511</v>
      </c>
      <c r="AW9" s="40">
        <v>6004.650754974642</v>
      </c>
    </row>
    <row r="10" spans="1:49" x14ac:dyDescent="0.2">
      <c r="A10" t="s">
        <v>15</v>
      </c>
      <c r="B10" s="39">
        <v>1015.9116825427475</v>
      </c>
      <c r="C10" s="40">
        <v>1005.7716594496609</v>
      </c>
      <c r="D10" s="39">
        <v>1014.5297540116684</v>
      </c>
      <c r="E10" s="40">
        <v>1066.2475547560005</v>
      </c>
      <c r="F10" s="39">
        <v>1013.1168402110432</v>
      </c>
      <c r="G10" s="40">
        <v>1133.467689347314</v>
      </c>
      <c r="H10" s="39">
        <v>1011.668746044877</v>
      </c>
      <c r="I10" s="40">
        <v>1208.4936199019899</v>
      </c>
      <c r="J10" s="39">
        <v>1010.1810247939435</v>
      </c>
      <c r="K10" s="40">
        <v>1292.5993011723251</v>
      </c>
      <c r="L10" s="39">
        <v>1008.6491996832791</v>
      </c>
      <c r="M10" s="40">
        <v>1387.3212555883363</v>
      </c>
      <c r="N10" s="39">
        <v>1007.0691497762596</v>
      </c>
      <c r="O10" s="40">
        <v>1494.5215101342189</v>
      </c>
      <c r="P10" s="39">
        <v>1005.437712684999</v>
      </c>
      <c r="Q10" s="40">
        <v>1616.4648249723448</v>
      </c>
      <c r="R10" s="39">
        <v>1003.7536727172464</v>
      </c>
      <c r="S10" s="40">
        <v>1755.9114904614323</v>
      </c>
      <c r="T10" s="39">
        <v>1002.0192793699644</v>
      </c>
      <c r="U10" s="40">
        <v>1916.2221642262541</v>
      </c>
      <c r="V10" s="39">
        <v>1000.2424353042619</v>
      </c>
      <c r="W10" s="40">
        <v>2101.463974910394</v>
      </c>
      <c r="X10" s="39">
        <v>998.43973172019389</v>
      </c>
      <c r="Y10" s="40">
        <v>2316.4799148386001</v>
      </c>
      <c r="Z10" s="39">
        <v>996.64016498637818</v>
      </c>
      <c r="AA10" s="40">
        <v>2566.852765642368</v>
      </c>
      <c r="AB10" s="39">
        <v>994.88881903478034</v>
      </c>
      <c r="AC10" s="40">
        <v>2858.6139565012636</v>
      </c>
      <c r="AD10" s="39">
        <v>993.24848502878581</v>
      </c>
      <c r="AE10" s="40">
        <v>3197.4773214710945</v>
      </c>
      <c r="AF10" s="39">
        <v>991.79562920065314</v>
      </c>
      <c r="AG10" s="40">
        <v>3587.3713623484996</v>
      </c>
      <c r="AH10" s="39">
        <v>990.60693204423387</v>
      </c>
      <c r="AI10" s="40">
        <v>4028.3399149409815</v>
      </c>
      <c r="AJ10" s="39">
        <v>989.73734135283291</v>
      </c>
      <c r="AK10" s="40">
        <v>4514.6202154883986</v>
      </c>
      <c r="AL10" s="39">
        <v>989.19996226161618</v>
      </c>
      <c r="AM10" s="40">
        <v>5034.39609980153</v>
      </c>
      <c r="AN10" s="39">
        <v>988.96224581281922</v>
      </c>
      <c r="AO10" s="40">
        <v>5572.1046877864655</v>
      </c>
      <c r="AP10" s="39">
        <v>988.94541838711393</v>
      </c>
      <c r="AQ10" s="40">
        <v>5680.3898949385666</v>
      </c>
      <c r="AR10" s="39">
        <v>988.93751817196232</v>
      </c>
      <c r="AS10" s="40">
        <v>5788.6465182716165</v>
      </c>
      <c r="AT10" s="39">
        <v>988.93796667463005</v>
      </c>
      <c r="AU10" s="40">
        <v>5896.7671222713616</v>
      </c>
      <c r="AV10" s="39">
        <v>988.94618903863511</v>
      </c>
      <c r="AW10" s="40">
        <v>6004.650754974642</v>
      </c>
    </row>
    <row r="11" spans="1:49" x14ac:dyDescent="0.2">
      <c r="A11" t="s">
        <v>29</v>
      </c>
      <c r="B11" s="39">
        <v>1015.9116825427475</v>
      </c>
      <c r="C11" s="40">
        <v>1005.7716594496609</v>
      </c>
      <c r="D11" s="39">
        <v>1014.5297540116684</v>
      </c>
      <c r="E11" s="40">
        <v>1066.2475547560005</v>
      </c>
      <c r="F11" s="39">
        <v>1013.1168402110432</v>
      </c>
      <c r="G11" s="40">
        <v>1133.467689347314</v>
      </c>
      <c r="H11" s="39">
        <v>1011.668746044877</v>
      </c>
      <c r="I11" s="40">
        <v>1208.4936199019899</v>
      </c>
      <c r="J11" s="39">
        <v>1010.1810247939435</v>
      </c>
      <c r="K11" s="40">
        <v>1292.5993011723251</v>
      </c>
      <c r="L11" s="39">
        <v>1008.6491996832791</v>
      </c>
      <c r="M11" s="40">
        <v>1387.3212555883363</v>
      </c>
      <c r="N11" s="39">
        <v>1007.0691497762596</v>
      </c>
      <c r="O11" s="40">
        <v>1494.5215101342189</v>
      </c>
      <c r="P11" s="39">
        <v>1005.437712684999</v>
      </c>
      <c r="Q11" s="40">
        <v>1616.4648249723448</v>
      </c>
      <c r="R11" s="39">
        <v>1003.7536727172464</v>
      </c>
      <c r="S11" s="40">
        <v>1755.9114904614323</v>
      </c>
      <c r="T11" s="39">
        <v>1002.0192793699644</v>
      </c>
      <c r="U11" s="40">
        <v>1916.2221642262541</v>
      </c>
      <c r="V11" s="39">
        <v>1000.2424353042619</v>
      </c>
      <c r="W11" s="40">
        <v>2101.463974910394</v>
      </c>
      <c r="X11" s="39">
        <v>998.43973172019389</v>
      </c>
      <c r="Y11" s="40">
        <v>2316.4799148386001</v>
      </c>
      <c r="Z11" s="39">
        <v>996.64016498637818</v>
      </c>
      <c r="AA11" s="40">
        <v>2566.852765642368</v>
      </c>
      <c r="AB11" s="39">
        <v>994.88881903478034</v>
      </c>
      <c r="AC11" s="40">
        <v>2858.6139565012636</v>
      </c>
      <c r="AD11" s="39">
        <v>993.24848502878581</v>
      </c>
      <c r="AE11" s="40">
        <v>3197.4773214710945</v>
      </c>
      <c r="AF11" s="39">
        <v>991.79562920065314</v>
      </c>
      <c r="AG11" s="40">
        <v>3587.3713623484996</v>
      </c>
      <c r="AH11" s="39">
        <v>990.60693204423387</v>
      </c>
      <c r="AI11" s="40">
        <v>4028.3399149409815</v>
      </c>
      <c r="AJ11" s="39">
        <v>989.73734135283291</v>
      </c>
      <c r="AK11" s="40">
        <v>4514.6202154883986</v>
      </c>
      <c r="AL11" s="39">
        <v>989.19996226161618</v>
      </c>
      <c r="AM11" s="40">
        <v>5034.39609980153</v>
      </c>
      <c r="AN11" s="39">
        <v>988.96224581281922</v>
      </c>
      <c r="AO11" s="40">
        <v>5572.1046877864655</v>
      </c>
      <c r="AP11" s="39">
        <v>988.94541838711393</v>
      </c>
      <c r="AQ11" s="40">
        <v>5680.3898949385666</v>
      </c>
      <c r="AR11" s="39">
        <v>988.93751817196232</v>
      </c>
      <c r="AS11" s="40">
        <v>5788.6465182716165</v>
      </c>
      <c r="AT11" s="39">
        <v>988.93796667463005</v>
      </c>
      <c r="AU11" s="40">
        <v>5896.7671222713616</v>
      </c>
      <c r="AV11" s="39">
        <v>988.94618903863511</v>
      </c>
      <c r="AW11" s="40">
        <v>6004.650754974642</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995.91842166354445</v>
      </c>
      <c r="E13" s="94">
        <v>995.91842166354445</v>
      </c>
      <c r="F13" s="93">
        <v>991.58892065195062</v>
      </c>
      <c r="G13" s="94">
        <v>991.58892065195062</v>
      </c>
      <c r="H13" s="93">
        <v>986.99014221153493</v>
      </c>
      <c r="I13" s="94">
        <v>986.99014221153493</v>
      </c>
      <c r="J13" s="93">
        <v>982.0994644748921</v>
      </c>
      <c r="K13" s="94">
        <v>982.0994644748921</v>
      </c>
      <c r="L13" s="93">
        <v>976.89349883565865</v>
      </c>
      <c r="M13" s="94">
        <v>976.89349883565865</v>
      </c>
      <c r="N13" s="93">
        <v>971.34893558087811</v>
      </c>
      <c r="O13" s="94">
        <v>971.34893558087811</v>
      </c>
      <c r="P13" s="93">
        <v>965.44383222769829</v>
      </c>
      <c r="Q13" s="94">
        <v>965.44383222769829</v>
      </c>
      <c r="R13" s="93">
        <v>959.15974647533233</v>
      </c>
      <c r="S13" s="94">
        <v>959.15974647533233</v>
      </c>
      <c r="T13" s="93">
        <v>952.48517206948236</v>
      </c>
      <c r="U13" s="94">
        <v>952.48517206948236</v>
      </c>
      <c r="V13" s="93">
        <v>945.42035695225104</v>
      </c>
      <c r="W13" s="94">
        <v>945.42035695225104</v>
      </c>
      <c r="X13" s="93">
        <v>937.98464151665348</v>
      </c>
      <c r="Y13" s="94">
        <v>937.98464151665348</v>
      </c>
      <c r="Z13" s="93">
        <v>930.22607901541141</v>
      </c>
      <c r="AA13" s="94">
        <v>930.22607901541141</v>
      </c>
      <c r="AB13" s="93">
        <v>922.2331247212262</v>
      </c>
      <c r="AC13" s="94">
        <v>922.2331247212262</v>
      </c>
      <c r="AD13" s="93">
        <v>914.14522381693712</v>
      </c>
      <c r="AE13" s="94">
        <v>914.14522381693712</v>
      </c>
      <c r="AF13" s="93">
        <v>906.15535480532992</v>
      </c>
      <c r="AG13" s="94">
        <v>906.15535480532992</v>
      </c>
      <c r="AH13" s="93">
        <v>898.49389841379127</v>
      </c>
      <c r="AI13" s="94">
        <v>898.49389841379127</v>
      </c>
      <c r="AJ13" s="93">
        <v>891.38743497737482</v>
      </c>
      <c r="AK13" s="94">
        <v>891.38743497737482</v>
      </c>
      <c r="AL13" s="93">
        <v>885.00395665994915</v>
      </c>
      <c r="AM13" s="94">
        <v>885.00395665994915</v>
      </c>
      <c r="AN13" s="93">
        <v>879.41500932002214</v>
      </c>
      <c r="AO13" s="94">
        <v>879.41500932002214</v>
      </c>
      <c r="AP13" s="93">
        <v>878.39188064538564</v>
      </c>
      <c r="AQ13" s="94">
        <v>878.39188064538564</v>
      </c>
      <c r="AR13" s="93">
        <v>877.39925020162616</v>
      </c>
      <c r="AS13" s="94">
        <v>877.39925020162616</v>
      </c>
      <c r="AT13" s="93">
        <v>876.43647339685992</v>
      </c>
      <c r="AU13" s="94">
        <v>876.43647339685992</v>
      </c>
      <c r="AV13" s="93">
        <v>875.50283511082876</v>
      </c>
      <c r="AW13" s="94">
        <v>875.50283511082876</v>
      </c>
    </row>
    <row r="14" spans="1:49" x14ac:dyDescent="0.2">
      <c r="A14" t="s">
        <v>36</v>
      </c>
      <c r="B14" s="39">
        <v>1457.0034251455234</v>
      </c>
      <c r="C14" s="40">
        <v>1457.0034251455236</v>
      </c>
      <c r="D14" s="39">
        <v>1451.0565515293079</v>
      </c>
      <c r="E14" s="40">
        <v>1451.0565515293081</v>
      </c>
      <c r="F14" s="39">
        <v>1444.7484537262446</v>
      </c>
      <c r="G14" s="40">
        <v>1444.7484537262449</v>
      </c>
      <c r="H14" s="39">
        <v>1438.0480177870736</v>
      </c>
      <c r="I14" s="40">
        <v>1438.0480177870738</v>
      </c>
      <c r="J14" s="39">
        <v>1430.922283573502</v>
      </c>
      <c r="K14" s="40">
        <v>1430.9222835735022</v>
      </c>
      <c r="L14" s="39">
        <v>1423.3371738059489</v>
      </c>
      <c r="M14" s="40">
        <v>1423.3371738059491</v>
      </c>
      <c r="N14" s="39">
        <v>1415.2587261527976</v>
      </c>
      <c r="O14" s="40">
        <v>1415.2587261527979</v>
      </c>
      <c r="P14" s="39">
        <v>1406.6549703413764</v>
      </c>
      <c r="Q14" s="40">
        <v>1406.6549703413766</v>
      </c>
      <c r="R14" s="39">
        <v>1397.4990358762709</v>
      </c>
      <c r="S14" s="40">
        <v>1397.4990358762711</v>
      </c>
      <c r="T14" s="39">
        <v>1387.7741581055589</v>
      </c>
      <c r="U14" s="40">
        <v>1387.7741581055591</v>
      </c>
      <c r="V14" s="39">
        <v>1377.4806982817329</v>
      </c>
      <c r="W14" s="40">
        <v>1377.4806982817331</v>
      </c>
      <c r="X14" s="39">
        <v>1366.6468354236599</v>
      </c>
      <c r="Y14" s="40">
        <v>1366.6468354236601</v>
      </c>
      <c r="Z14" s="39">
        <v>1355.3425832851447</v>
      </c>
      <c r="AA14" s="40">
        <v>1355.3425832851449</v>
      </c>
      <c r="AB14" s="39">
        <v>1343.6968215014851</v>
      </c>
      <c r="AC14" s="40">
        <v>1343.6968215014854</v>
      </c>
      <c r="AD14" s="39">
        <v>1331.9127221816984</v>
      </c>
      <c r="AE14" s="40">
        <v>1331.9127221816987</v>
      </c>
      <c r="AF14" s="39">
        <v>1320.2714556653225</v>
      </c>
      <c r="AG14" s="40">
        <v>1320.2714556653227</v>
      </c>
      <c r="AH14" s="39">
        <v>1309.1086874612477</v>
      </c>
      <c r="AI14" s="40">
        <v>1309.1086874612479</v>
      </c>
      <c r="AJ14" s="39">
        <v>1298.7545458937175</v>
      </c>
      <c r="AK14" s="40">
        <v>1298.7545458937177</v>
      </c>
      <c r="AL14" s="39">
        <v>1289.4537961208862</v>
      </c>
      <c r="AM14" s="40">
        <v>1289.4537961208864</v>
      </c>
      <c r="AN14" s="39">
        <v>1281.3106807036545</v>
      </c>
      <c r="AO14" s="40">
        <v>1281.3106807036547</v>
      </c>
      <c r="AP14" s="39">
        <v>1279.8199787203446</v>
      </c>
      <c r="AQ14" s="40">
        <v>1279.8199787203448</v>
      </c>
      <c r="AR14" s="39">
        <v>1278.3737127638833</v>
      </c>
      <c r="AS14" s="40">
        <v>1278.3737127638835</v>
      </c>
      <c r="AT14" s="39">
        <v>1276.9709436616881</v>
      </c>
      <c r="AU14" s="40">
        <v>1276.9709436616884</v>
      </c>
      <c r="AV14" s="39">
        <v>1275.6106294810938</v>
      </c>
      <c r="AW14" s="40">
        <v>1275.6106294810941</v>
      </c>
    </row>
    <row r="15" spans="1:49" x14ac:dyDescent="0.2">
      <c r="A15" t="s">
        <v>18</v>
      </c>
      <c r="B15" s="144">
        <v>1000</v>
      </c>
      <c r="C15" s="145">
        <v>1000</v>
      </c>
      <c r="D15" s="144">
        <v>996.37504617554612</v>
      </c>
      <c r="E15" s="145">
        <v>996.37504617554612</v>
      </c>
      <c r="F15" s="144">
        <v>992.55500995459113</v>
      </c>
      <c r="G15" s="145">
        <v>992.55500995459113</v>
      </c>
      <c r="H15" s="144">
        <v>988.50768713052162</v>
      </c>
      <c r="I15" s="145">
        <v>988.50768713052162</v>
      </c>
      <c r="J15" s="144">
        <v>984.19469013797277</v>
      </c>
      <c r="K15" s="145">
        <v>984.19469013797277</v>
      </c>
      <c r="L15" s="144">
        <v>979.57014557766843</v>
      </c>
      <c r="M15" s="145">
        <v>979.57014557766843</v>
      </c>
      <c r="N15" s="144">
        <v>974.57917482413757</v>
      </c>
      <c r="O15" s="145">
        <v>974.57917482413757</v>
      </c>
      <c r="P15" s="144">
        <v>969.15622065840205</v>
      </c>
      <c r="Q15" s="145">
        <v>969.15622065840205</v>
      </c>
      <c r="R15" s="144">
        <v>963.2232926355266</v>
      </c>
      <c r="S15" s="145">
        <v>963.2232926355266</v>
      </c>
      <c r="T15" s="144">
        <v>956.68840281619453</v>
      </c>
      <c r="U15" s="145">
        <v>956.68840281619453</v>
      </c>
      <c r="V15" s="144">
        <v>949.44501481747761</v>
      </c>
      <c r="W15" s="145">
        <v>949.44501481747761</v>
      </c>
      <c r="X15" s="144">
        <v>941.3737058241627</v>
      </c>
      <c r="Y15" s="145">
        <v>941.3737058241627</v>
      </c>
      <c r="Z15" s="144">
        <v>932.34864172350319</v>
      </c>
      <c r="AA15" s="145">
        <v>932.34864172350319</v>
      </c>
      <c r="AB15" s="144">
        <v>922.25286176027248</v>
      </c>
      <c r="AC15" s="145">
        <v>922.25286176027248</v>
      </c>
      <c r="AD15" s="144">
        <v>911.00721863179569</v>
      </c>
      <c r="AE15" s="145">
        <v>911.00721863179569</v>
      </c>
      <c r="AF15" s="144">
        <v>898.61495732783874</v>
      </c>
      <c r="AG15" s="145">
        <v>898.61495732783874</v>
      </c>
      <c r="AH15" s="144">
        <v>885.21223852004084</v>
      </c>
      <c r="AI15" s="145">
        <v>885.21223852004084</v>
      </c>
      <c r="AJ15" s="144">
        <v>871.09536759166826</v>
      </c>
      <c r="AK15" s="145">
        <v>871.09536759166826</v>
      </c>
      <c r="AL15" s="144">
        <v>856.68826615183366</v>
      </c>
      <c r="AM15" s="145">
        <v>856.68826615183366</v>
      </c>
      <c r="AN15" s="144">
        <v>842.4474616364555</v>
      </c>
      <c r="AO15" s="145">
        <v>842.4474616364555</v>
      </c>
      <c r="AP15" s="144">
        <v>839.65512247967285</v>
      </c>
      <c r="AQ15" s="145">
        <v>839.65512247967285</v>
      </c>
      <c r="AR15" s="144">
        <v>836.88765841702309</v>
      </c>
      <c r="AS15" s="145">
        <v>836.88765841702309</v>
      </c>
      <c r="AT15" s="144">
        <v>834.14729665194955</v>
      </c>
      <c r="AU15" s="145">
        <v>834.14729665194955</v>
      </c>
      <c r="AV15" s="144">
        <v>831.43602849014098</v>
      </c>
      <c r="AW15" s="145">
        <v>831.43602849014098</v>
      </c>
    </row>
    <row r="16" spans="1:49" s="27" customFormat="1" x14ac:dyDescent="0.2">
      <c r="A16" t="s">
        <v>61</v>
      </c>
      <c r="B16" s="39">
        <v>1000</v>
      </c>
      <c r="C16" s="40">
        <v>1000</v>
      </c>
      <c r="D16" s="39">
        <v>996.13158557159284</v>
      </c>
      <c r="E16" s="40">
        <v>996.24471048173109</v>
      </c>
      <c r="F16" s="39">
        <v>992.03989701981197</v>
      </c>
      <c r="G16" s="40">
        <v>992.27924858369079</v>
      </c>
      <c r="H16" s="39">
        <v>987.69850954485958</v>
      </c>
      <c r="I16" s="40">
        <v>988.07450473159702</v>
      </c>
      <c r="J16" s="39">
        <v>983.07743804686322</v>
      </c>
      <c r="K16" s="40">
        <v>983.59659001897012</v>
      </c>
      <c r="L16" s="39">
        <v>978.14279770547739</v>
      </c>
      <c r="M16" s="40">
        <v>978.80604905684254</v>
      </c>
      <c r="N16" s="39">
        <v>972.85654796701226</v>
      </c>
      <c r="O16" s="40">
        <v>973.65701661976425</v>
      </c>
      <c r="P16" s="39">
        <v>967.17640076894224</v>
      </c>
      <c r="Q16" s="40">
        <v>968.09639075247912</v>
      </c>
      <c r="R16" s="39">
        <v>961.05614090120571</v>
      </c>
      <c r="S16" s="40">
        <v>962.06318830091629</v>
      </c>
      <c r="T16" s="39">
        <v>954.44672758687841</v>
      </c>
      <c r="U16" s="40">
        <v>955.48840853705929</v>
      </c>
      <c r="V16" s="39">
        <v>947.2985997515168</v>
      </c>
      <c r="W16" s="40">
        <v>948.29601145437402</v>
      </c>
      <c r="X16" s="39">
        <v>939.5663442250966</v>
      </c>
      <c r="Y16" s="40">
        <v>940.40619189996175</v>
      </c>
      <c r="Z16" s="39">
        <v>931.2168007612587</v>
      </c>
      <c r="AA16" s="40">
        <v>931.74273320088787</v>
      </c>
      <c r="AB16" s="39">
        <v>922.24233879187727</v>
      </c>
      <c r="AC16" s="40">
        <v>922.24722828830068</v>
      </c>
      <c r="AD16" s="39">
        <v>912.67986694608953</v>
      </c>
      <c r="AE16" s="40">
        <v>911.90272173120343</v>
      </c>
      <c r="AF16" s="39">
        <v>902.63282488052232</v>
      </c>
      <c r="AG16" s="40">
        <v>900.76621839639984</v>
      </c>
      <c r="AH16" s="39">
        <v>892.28607161202922</v>
      </c>
      <c r="AI16" s="40">
        <v>889.00014133684294</v>
      </c>
      <c r="AJ16" s="39">
        <v>881.89679273675983</v>
      </c>
      <c r="AK16" s="40">
        <v>876.88009466901269</v>
      </c>
      <c r="AL16" s="39">
        <v>871.7506193767548</v>
      </c>
      <c r="AM16" s="40">
        <v>864.75619234107762</v>
      </c>
      <c r="AN16" s="39">
        <v>862.09773019241823</v>
      </c>
      <c r="AO16" s="40">
        <v>852.97462386904226</v>
      </c>
      <c r="AP16" s="39">
        <v>860.24270658913792</v>
      </c>
      <c r="AQ16" s="40">
        <v>850.68481571788675</v>
      </c>
      <c r="AR16" s="39">
        <v>858.41523934845657</v>
      </c>
      <c r="AS16" s="40">
        <v>848.42135694521482</v>
      </c>
      <c r="AT16" s="39">
        <v>856.61603112316993</v>
      </c>
      <c r="AU16" s="40">
        <v>846.18565772241016</v>
      </c>
      <c r="AV16" s="39">
        <v>854.84563810818065</v>
      </c>
      <c r="AW16" s="40">
        <v>843.97894004876093</v>
      </c>
    </row>
    <row r="17" spans="1:49" x14ac:dyDescent="0.2">
      <c r="A17" t="s">
        <v>62</v>
      </c>
      <c r="B17" s="33">
        <v>1000.0000000000002</v>
      </c>
      <c r="C17" s="34">
        <v>999.99999999999977</v>
      </c>
      <c r="D17" s="33">
        <v>998.76373007620896</v>
      </c>
      <c r="E17" s="34">
        <v>1030.1164911705873</v>
      </c>
      <c r="F17" s="33">
        <v>997.50115343167988</v>
      </c>
      <c r="G17" s="34">
        <v>1063.4170899403102</v>
      </c>
      <c r="H17" s="33">
        <v>996.2086317333202</v>
      </c>
      <c r="I17" s="34">
        <v>1100.3810420463346</v>
      </c>
      <c r="J17" s="33">
        <v>994.88231678243278</v>
      </c>
      <c r="K17" s="34">
        <v>1141.580636094907</v>
      </c>
      <c r="L17" s="33">
        <v>993.51835409540399</v>
      </c>
      <c r="M17" s="34">
        <v>1187.7027005708346</v>
      </c>
      <c r="N17" s="33">
        <v>992.11323668749867</v>
      </c>
      <c r="O17" s="34">
        <v>1239.5754639176312</v>
      </c>
      <c r="P17" s="33">
        <v>990.66433105176941</v>
      </c>
      <c r="Q17" s="34">
        <v>1298.2012768130955</v>
      </c>
      <c r="R17" s="33">
        <v>989.17074337893985</v>
      </c>
      <c r="S17" s="34">
        <v>1364.7956049586392</v>
      </c>
      <c r="T17" s="33">
        <v>987.6346711898899</v>
      </c>
      <c r="U17" s="34">
        <v>1440.8304302502536</v>
      </c>
      <c r="V17" s="33">
        <v>986.06329815443701</v>
      </c>
      <c r="W17" s="34">
        <v>1528.0770152533828</v>
      </c>
      <c r="X17" s="33">
        <v>984.47143695710861</v>
      </c>
      <c r="Y17" s="34">
        <v>1628.6306047658702</v>
      </c>
      <c r="Z17" s="33">
        <v>982.88474799931907</v>
      </c>
      <c r="AA17" s="34">
        <v>1744.8866352522837</v>
      </c>
      <c r="AB17" s="33">
        <v>981.34288866885845</v>
      </c>
      <c r="AC17" s="34">
        <v>1879.4024837889453</v>
      </c>
      <c r="AD17" s="33">
        <v>979.9008391655176</v>
      </c>
      <c r="AE17" s="34">
        <v>2034.5501052345385</v>
      </c>
      <c r="AF17" s="33">
        <v>978.62528630339398</v>
      </c>
      <c r="AG17" s="34">
        <v>2211.8658163708601</v>
      </c>
      <c r="AH17" s="33">
        <v>977.58283568074069</v>
      </c>
      <c r="AI17" s="34">
        <v>2411.1387289073014</v>
      </c>
      <c r="AJ17" s="33">
        <v>976.8209056835625</v>
      </c>
      <c r="AK17" s="34">
        <v>2629.603295422105</v>
      </c>
      <c r="AL17" s="33">
        <v>976.35034200809844</v>
      </c>
      <c r="AM17" s="34">
        <v>2861.8882531546351</v>
      </c>
      <c r="AN17" s="33">
        <v>976.14225188647663</v>
      </c>
      <c r="AO17" s="34">
        <v>3101.078173382436</v>
      </c>
      <c r="AP17" s="33">
        <v>976.12752317112665</v>
      </c>
      <c r="AQ17" s="34">
        <v>3149.1271229773656</v>
      </c>
      <c r="AR17" s="33">
        <v>976.12060836705552</v>
      </c>
      <c r="AS17" s="34">
        <v>3197.1263185421572</v>
      </c>
      <c r="AT17" s="33">
        <v>976.12100092282321</v>
      </c>
      <c r="AU17" s="34">
        <v>3245.0293942130647</v>
      </c>
      <c r="AV17" s="33">
        <v>976.12819768720999</v>
      </c>
      <c r="AW17" s="34">
        <v>3292.7929293352977</v>
      </c>
    </row>
    <row r="18" spans="1:49" x14ac:dyDescent="0.2">
      <c r="A18" t="s">
        <v>19</v>
      </c>
      <c r="B18" s="31">
        <v>27857.010133999996</v>
      </c>
      <c r="C18" s="32">
        <v>1236.7674480000003</v>
      </c>
      <c r="D18" s="31">
        <v>27732.129801611842</v>
      </c>
      <c r="E18" s="32">
        <v>1152.6491331886389</v>
      </c>
      <c r="F18" s="31">
        <v>27587.578856175798</v>
      </c>
      <c r="G18" s="32">
        <v>1068.9141859963509</v>
      </c>
      <c r="H18" s="31">
        <v>27419.563890202953</v>
      </c>
      <c r="I18" s="32">
        <v>985.64058151034976</v>
      </c>
      <c r="J18" s="31">
        <v>27223.304267980093</v>
      </c>
      <c r="K18" s="32">
        <v>902.928644356674</v>
      </c>
      <c r="L18" s="31">
        <v>26992.699827752484</v>
      </c>
      <c r="M18" s="32">
        <v>820.90997522799626</v>
      </c>
      <c r="N18" s="31">
        <v>26719.867214234924</v>
      </c>
      <c r="O18" s="32">
        <v>739.76114697366847</v>
      </c>
      <c r="P18" s="31">
        <v>26394.511125810273</v>
      </c>
      <c r="Q18" s="32">
        <v>659.71665260044779</v>
      </c>
      <c r="R18" s="31">
        <v>26003.027157661858</v>
      </c>
      <c r="S18" s="32">
        <v>581.08997845030274</v>
      </c>
      <c r="T18" s="31">
        <v>25527.226932257403</v>
      </c>
      <c r="U18" s="32">
        <v>504.29852803051847</v>
      </c>
      <c r="V18" s="31">
        <v>24942.593132103299</v>
      </c>
      <c r="W18" s="32">
        <v>429.89471559919929</v>
      </c>
      <c r="X18" s="31">
        <v>24215.891435668953</v>
      </c>
      <c r="Y18" s="32">
        <v>358.5954873977376</v>
      </c>
      <c r="Z18" s="31">
        <v>23302.140086814819</v>
      </c>
      <c r="AA18" s="32">
        <v>291.30748899181452</v>
      </c>
      <c r="AB18" s="31">
        <v>22141.250163101351</v>
      </c>
      <c r="AC18" s="32">
        <v>229.12064940458072</v>
      </c>
      <c r="AD18" s="31">
        <v>20655.476822170458</v>
      </c>
      <c r="AE18" s="32">
        <v>173.24166550051535</v>
      </c>
      <c r="AF18" s="31">
        <v>18750.227626296721</v>
      </c>
      <c r="AG18" s="32">
        <v>124.82496434905264</v>
      </c>
      <c r="AH18" s="31">
        <v>16321.95552162409</v>
      </c>
      <c r="AI18" s="32">
        <v>84.693121156805162</v>
      </c>
      <c r="AJ18" s="31">
        <v>13275.312548906675</v>
      </c>
      <c r="AK18" s="32">
        <v>53.029199132098015</v>
      </c>
      <c r="AL18" s="31">
        <v>9545.1470048773353</v>
      </c>
      <c r="AM18" s="32">
        <v>29.229009570417983</v>
      </c>
      <c r="AN18" s="31">
        <v>5111.7337323230786</v>
      </c>
      <c r="AO18" s="32">
        <v>12.053405440362043</v>
      </c>
      <c r="AP18" s="31">
        <v>4142.2039478621728</v>
      </c>
      <c r="AQ18" s="32">
        <v>9.2811432759325516</v>
      </c>
      <c r="AR18" s="31">
        <v>3145.8238176704986</v>
      </c>
      <c r="AS18" s="32">
        <v>6.7012969149395269</v>
      </c>
      <c r="AT18" s="31">
        <v>2123.0172358244859</v>
      </c>
      <c r="AU18" s="32">
        <v>4.3020560861660426</v>
      </c>
      <c r="AV18" s="31">
        <v>1074.2452083978653</v>
      </c>
      <c r="AW18" s="32">
        <v>2.0719703839119488</v>
      </c>
    </row>
    <row r="19" spans="1:49" x14ac:dyDescent="0.2">
      <c r="A19" t="s">
        <v>3</v>
      </c>
      <c r="B19" s="39">
        <v>1886.3937399999918</v>
      </c>
      <c r="C19" s="40">
        <v>262.78711299999759</v>
      </c>
      <c r="D19" s="39">
        <v>1871.8114949811168</v>
      </c>
      <c r="E19" s="40">
        <v>267.25337895528259</v>
      </c>
      <c r="F19" s="39">
        <v>1855.8345738033172</v>
      </c>
      <c r="G19" s="40">
        <v>272.19754540466448</v>
      </c>
      <c r="H19" s="39">
        <v>1838.206316361159</v>
      </c>
      <c r="I19" s="40">
        <v>277.63060527432441</v>
      </c>
      <c r="J19" s="39">
        <v>1818.6077640793326</v>
      </c>
      <c r="K19" s="40">
        <v>283.54785688664697</v>
      </c>
      <c r="L19" s="39">
        <v>1796.638125162609</v>
      </c>
      <c r="M19" s="40">
        <v>289.9192543215309</v>
      </c>
      <c r="N19" s="39">
        <v>1771.7878322272327</v>
      </c>
      <c r="O19" s="40">
        <v>296.67496790281081</v>
      </c>
      <c r="P19" s="39">
        <v>1743.4023966323155</v>
      </c>
      <c r="Q19" s="40">
        <v>303.68383646051285</v>
      </c>
      <c r="R19" s="39">
        <v>1710.63119268029</v>
      </c>
      <c r="S19" s="40">
        <v>310.72171072438022</v>
      </c>
      <c r="T19" s="39">
        <v>1672.354857013026</v>
      </c>
      <c r="U19" s="40">
        <v>317.42655835027455</v>
      </c>
      <c r="V19" s="39">
        <v>1627.0859192795801</v>
      </c>
      <c r="W19" s="40">
        <v>323.23555467102017</v>
      </c>
      <c r="X19" s="39">
        <v>1572.8317891540119</v>
      </c>
      <c r="Y19" s="40">
        <v>327.30227235949189</v>
      </c>
      <c r="Z19" s="39">
        <v>1506.9181316458444</v>
      </c>
      <c r="AA19" s="40">
        <v>328.39935891309204</v>
      </c>
      <c r="AB19" s="39">
        <v>1425.7867545816932</v>
      </c>
      <c r="AC19" s="40">
        <v>324.82830503654526</v>
      </c>
      <c r="AD19" s="39">
        <v>1324.8275270511972</v>
      </c>
      <c r="AE19" s="40">
        <v>314.39355466372695</v>
      </c>
      <c r="AF19" s="39">
        <v>1198.3865756565463</v>
      </c>
      <c r="AG19" s="40">
        <v>294.5405251938094</v>
      </c>
      <c r="AH19" s="39">
        <v>1040.1731796441877</v>
      </c>
      <c r="AI19" s="40">
        <v>262.76129281623241</v>
      </c>
      <c r="AJ19" s="39">
        <v>844.2236791102431</v>
      </c>
      <c r="AK19" s="40">
        <v>217.24409030264405</v>
      </c>
      <c r="AL19" s="39">
        <v>606.21397100127251</v>
      </c>
      <c r="AM19" s="40">
        <v>157.47917682316191</v>
      </c>
      <c r="AN19" s="39">
        <v>324.45876853300894</v>
      </c>
      <c r="AO19" s="40">
        <v>84.40790048124849</v>
      </c>
      <c r="AP19" s="39">
        <v>262.90868137336355</v>
      </c>
      <c r="AQ19" s="40">
        <v>68.359766270472988</v>
      </c>
      <c r="AR19" s="39">
        <v>199.66386220798353</v>
      </c>
      <c r="AS19" s="40">
        <v>51.875830229942672</v>
      </c>
      <c r="AT19" s="39">
        <v>134.74698827025824</v>
      </c>
      <c r="AU19" s="40">
        <v>34.975130943304094</v>
      </c>
      <c r="AV19" s="39">
        <v>68.183248866096378</v>
      </c>
      <c r="AW19" s="40">
        <v>17.676822273328998</v>
      </c>
    </row>
    <row r="20" spans="1:49" x14ac:dyDescent="0.2">
      <c r="A20" t="s">
        <v>114</v>
      </c>
      <c r="B20" s="79">
        <v>26548.356269999993</v>
      </c>
      <c r="C20" s="80">
        <v>1408.5418709999938</v>
      </c>
      <c r="D20" s="79">
        <v>26414.946331678515</v>
      </c>
      <c r="E20" s="80">
        <v>1338.1147774499941</v>
      </c>
      <c r="F20" s="79">
        <v>26262.580236397051</v>
      </c>
      <c r="G20" s="80">
        <v>1267.6876838999945</v>
      </c>
      <c r="H20" s="79">
        <v>26087.639658571676</v>
      </c>
      <c r="I20" s="80">
        <v>1197.2605903499946</v>
      </c>
      <c r="J20" s="79">
        <v>25885.575660582985</v>
      </c>
      <c r="K20" s="80">
        <v>1126.8334967999951</v>
      </c>
      <c r="L20" s="79">
        <v>25650.59918196228</v>
      </c>
      <c r="M20" s="80">
        <v>1056.4064032499953</v>
      </c>
      <c r="N20" s="79">
        <v>25375.250032383705</v>
      </c>
      <c r="O20" s="80">
        <v>985.97930969999561</v>
      </c>
      <c r="P20" s="79">
        <v>25049.813466852371</v>
      </c>
      <c r="Q20" s="80">
        <v>915.55221614999596</v>
      </c>
      <c r="R20" s="79">
        <v>24661.488840246941</v>
      </c>
      <c r="S20" s="80">
        <v>845.12512259999642</v>
      </c>
      <c r="T20" s="79">
        <v>24193.209163311785</v>
      </c>
      <c r="U20" s="80">
        <v>774.69802904999653</v>
      </c>
      <c r="V20" s="79">
        <v>23622.025569559279</v>
      </c>
      <c r="W20" s="80">
        <v>704.27093549999688</v>
      </c>
      <c r="X20" s="79">
        <v>22916.894640607556</v>
      </c>
      <c r="Y20" s="80">
        <v>633.84384194999723</v>
      </c>
      <c r="Z20" s="79">
        <v>22035.86419835456</v>
      </c>
      <c r="AA20" s="80">
        <v>563.41674839999746</v>
      </c>
      <c r="AB20" s="79">
        <v>20922.938343666599</v>
      </c>
      <c r="AC20" s="80">
        <v>492.98965484999781</v>
      </c>
      <c r="AD20" s="79">
        <v>19505.663163549103</v>
      </c>
      <c r="AE20" s="80">
        <v>422.56256129999804</v>
      </c>
      <c r="AF20" s="79">
        <v>17695.781817756084</v>
      </c>
      <c r="AG20" s="80">
        <v>352.13546774999827</v>
      </c>
      <c r="AH20" s="79">
        <v>15396.433327133856</v>
      </c>
      <c r="AI20" s="80">
        <v>281.70837419999856</v>
      </c>
      <c r="AJ20" s="79">
        <v>12517.996250944143</v>
      </c>
      <c r="AK20" s="80">
        <v>211.28128064999879</v>
      </c>
      <c r="AL20" s="79">
        <v>8998.6002316488102</v>
      </c>
      <c r="AM20" s="80">
        <v>140.85418709999902</v>
      </c>
      <c r="AN20" s="79">
        <v>4818.5602116504961</v>
      </c>
      <c r="AO20" s="80">
        <v>70.427093549999285</v>
      </c>
      <c r="AP20" s="79">
        <v>3904.6083710372886</v>
      </c>
      <c r="AQ20" s="80">
        <v>56.341674839999335</v>
      </c>
      <c r="AR20" s="79">
        <v>2965.3704841642093</v>
      </c>
      <c r="AS20" s="80">
        <v>42.256256129999379</v>
      </c>
      <c r="AT20" s="79">
        <v>2001.2353512454222</v>
      </c>
      <c r="AU20" s="80">
        <v>28.170837419999433</v>
      </c>
      <c r="AV20" s="79">
        <v>1012.627152403961</v>
      </c>
      <c r="AW20" s="80">
        <v>14.08541870999948</v>
      </c>
    </row>
    <row r="21" spans="1:49" x14ac:dyDescent="0.2">
      <c r="A21" t="s">
        <v>76</v>
      </c>
      <c r="B21" s="79">
        <v>24661.962529999968</v>
      </c>
      <c r="C21" s="80">
        <v>1145.7547579999991</v>
      </c>
      <c r="D21" s="79">
        <v>24543.138575337834</v>
      </c>
      <c r="E21" s="80">
        <v>1071.0472912430873</v>
      </c>
      <c r="F21" s="79">
        <v>24406.760866137254</v>
      </c>
      <c r="G21" s="80">
        <v>996.27408825747921</v>
      </c>
      <c r="H21" s="79">
        <v>24249.468148734628</v>
      </c>
      <c r="I21" s="80">
        <v>921.49117528434908</v>
      </c>
      <c r="J21" s="79">
        <v>24067.030899263646</v>
      </c>
      <c r="K21" s="80">
        <v>846.77887785920268</v>
      </c>
      <c r="L21" s="79">
        <v>23854.061324385792</v>
      </c>
      <c r="M21" s="80">
        <v>772.25060833198836</v>
      </c>
      <c r="N21" s="79">
        <v>23603.609247265424</v>
      </c>
      <c r="O21" s="80">
        <v>698.0646783865642</v>
      </c>
      <c r="P21" s="79">
        <v>23306.614736878615</v>
      </c>
      <c r="Q21" s="80">
        <v>624.4401168914228</v>
      </c>
      <c r="R21" s="79">
        <v>22951.127817537326</v>
      </c>
      <c r="S21" s="80">
        <v>551.67736819555751</v>
      </c>
      <c r="T21" s="79">
        <v>22521.20035804186</v>
      </c>
      <c r="U21" s="80">
        <v>480.18391821380948</v>
      </c>
      <c r="V21" s="79">
        <v>21995.369489664055</v>
      </c>
      <c r="W21" s="80">
        <v>410.50499304909977</v>
      </c>
      <c r="X21" s="79">
        <v>21344.581330690347</v>
      </c>
      <c r="Y21" s="80">
        <v>343.3557102616615</v>
      </c>
      <c r="Z21" s="79">
        <v>20529.552600108509</v>
      </c>
      <c r="AA21" s="80">
        <v>279.64502365097388</v>
      </c>
      <c r="AB21" s="79">
        <v>19497.836918259884</v>
      </c>
      <c r="AC21" s="80">
        <v>220.47243155612782</v>
      </c>
      <c r="AD21" s="79">
        <v>18181.578135530028</v>
      </c>
      <c r="AE21" s="80">
        <v>167.06336713883337</v>
      </c>
      <c r="AF21" s="79">
        <v>16498.157979479009</v>
      </c>
      <c r="AG21" s="80">
        <v>120.60366985152001</v>
      </c>
      <c r="AH21" s="79">
        <v>14356.990810376921</v>
      </c>
      <c r="AI21" s="80">
        <v>81.963142049132372</v>
      </c>
      <c r="AJ21" s="79">
        <v>11674.408164883698</v>
      </c>
      <c r="AK21" s="80">
        <v>51.389627982593069</v>
      </c>
      <c r="AL21" s="79">
        <v>8392.8621121871383</v>
      </c>
      <c r="AM21" s="80">
        <v>28.356274613972936</v>
      </c>
      <c r="AN21" s="79">
        <v>4494.3608069882102</v>
      </c>
      <c r="AO21" s="80">
        <v>11.703538820757135</v>
      </c>
      <c r="AP21" s="79">
        <v>3641.9101216983031</v>
      </c>
      <c r="AQ21" s="80">
        <v>9.0130739100850956</v>
      </c>
      <c r="AR21" s="79">
        <v>2765.8665290622607</v>
      </c>
      <c r="AS21" s="80">
        <v>6.5086516457590715</v>
      </c>
      <c r="AT21" s="79">
        <v>1866.596275667207</v>
      </c>
      <c r="AU21" s="80">
        <v>4.1789369971546133</v>
      </c>
      <c r="AV21" s="79">
        <v>944.49847418674892</v>
      </c>
      <c r="AW21" s="80">
        <v>2.0129254157640086</v>
      </c>
    </row>
    <row r="22" spans="1:49" x14ac:dyDescent="0.2">
      <c r="A22" t="s">
        <v>28</v>
      </c>
      <c r="B22" s="39">
        <v>6533.6044688320662</v>
      </c>
      <c r="C22" s="40">
        <v>379.90788307663382</v>
      </c>
      <c r="D22" s="39">
        <v>6476.3760818197097</v>
      </c>
      <c r="E22" s="40">
        <v>363.31860134657205</v>
      </c>
      <c r="F22" s="39">
        <v>6413.7212257469137</v>
      </c>
      <c r="G22" s="40">
        <v>346.55473924933443</v>
      </c>
      <c r="H22" s="39">
        <v>6344.7117982408472</v>
      </c>
      <c r="I22" s="40">
        <v>329.60956919475461</v>
      </c>
      <c r="J22" s="39">
        <v>6268.1993120331881</v>
      </c>
      <c r="K22" s="40">
        <v>312.47516099399047</v>
      </c>
      <c r="L22" s="39">
        <v>6182.7462786051483</v>
      </c>
      <c r="M22" s="40">
        <v>295.14186602057788</v>
      </c>
      <c r="N22" s="39">
        <v>6086.5313388304394</v>
      </c>
      <c r="O22" s="40">
        <v>277.59757310480143</v>
      </c>
      <c r="P22" s="39">
        <v>5977.2237454058068</v>
      </c>
      <c r="Q22" s="40">
        <v>259.82706633094739</v>
      </c>
      <c r="R22" s="39">
        <v>5851.8069073522447</v>
      </c>
      <c r="S22" s="40">
        <v>241.8110998636906</v>
      </c>
      <c r="T22" s="39">
        <v>5706.3350432803409</v>
      </c>
      <c r="U22" s="40">
        <v>223.52542417385587</v>
      </c>
      <c r="V22" s="39">
        <v>5535.6074516177814</v>
      </c>
      <c r="W22" s="40">
        <v>204.94003698244424</v>
      </c>
      <c r="X22" s="39">
        <v>5332.7418127704223</v>
      </c>
      <c r="Y22" s="40">
        <v>186.01933026553667</v>
      </c>
      <c r="Z22" s="39">
        <v>5088.6611046481094</v>
      </c>
      <c r="AA22" s="40">
        <v>166.72376694743323</v>
      </c>
      <c r="AB22" s="39">
        <v>4791.5859027619508</v>
      </c>
      <c r="AC22" s="40">
        <v>147.01519760920172</v>
      </c>
      <c r="AD22" s="39">
        <v>4426.7806903824412</v>
      </c>
      <c r="AE22" s="40">
        <v>126.86732977563916</v>
      </c>
      <c r="AF22" s="39">
        <v>3977.0500879467427</v>
      </c>
      <c r="AG22" s="40">
        <v>106.28209384426178</v>
      </c>
      <c r="AH22" s="39">
        <v>3424.6144297292576</v>
      </c>
      <c r="AI22" s="40">
        <v>85.307725616314244</v>
      </c>
      <c r="AJ22" s="39">
        <v>2754.5518324175805</v>
      </c>
      <c r="AK22" s="40">
        <v>64.0474315962106</v>
      </c>
      <c r="AL22" s="39">
        <v>1958.6838221846763</v>
      </c>
      <c r="AM22" s="40">
        <v>42.645959567489697</v>
      </c>
      <c r="AN22" s="39">
        <v>1037.6762299049747</v>
      </c>
      <c r="AO22" s="40">
        <v>21.255418723306519</v>
      </c>
      <c r="AP22" s="39">
        <v>839.09931340891501</v>
      </c>
      <c r="AQ22" s="40">
        <v>16.990313834378334</v>
      </c>
      <c r="AR22" s="39">
        <v>635.93791291943455</v>
      </c>
      <c r="AS22" s="40">
        <v>12.731551769572709</v>
      </c>
      <c r="AT22" s="39">
        <v>428.29500288276705</v>
      </c>
      <c r="AU22" s="40">
        <v>8.4798384922283994</v>
      </c>
      <c r="AV22" s="39">
        <v>216.27846721258726</v>
      </c>
      <c r="AW22" s="40">
        <v>4.2358030360180372</v>
      </c>
    </row>
    <row r="23" spans="1:49" x14ac:dyDescent="0.2">
      <c r="A23" t="s">
        <v>7</v>
      </c>
      <c r="B23" s="110">
        <v>3278.5018080150408</v>
      </c>
      <c r="C23" s="8">
        <v>0</v>
      </c>
      <c r="D23" s="110">
        <v>3267.3987667792421</v>
      </c>
      <c r="E23" s="8">
        <v>0</v>
      </c>
      <c r="F23" s="110">
        <v>3253.9754830295738</v>
      </c>
      <c r="G23" s="8">
        <v>0</v>
      </c>
      <c r="H23" s="110">
        <v>3237.7763170065487</v>
      </c>
      <c r="I23" s="8">
        <v>0</v>
      </c>
      <c r="J23" s="110">
        <v>3218.2267565742313</v>
      </c>
      <c r="K23" s="8">
        <v>0</v>
      </c>
      <c r="L23" s="110">
        <v>3194.5936156363068</v>
      </c>
      <c r="M23" s="8">
        <v>0</v>
      </c>
      <c r="N23" s="110">
        <v>3165.9294221324835</v>
      </c>
      <c r="O23" s="8">
        <v>0</v>
      </c>
      <c r="P23" s="110">
        <v>3130.9973385650692</v>
      </c>
      <c r="Q23" s="8">
        <v>0</v>
      </c>
      <c r="R23" s="110">
        <v>3088.1637696449661</v>
      </c>
      <c r="S23" s="8">
        <v>0</v>
      </c>
      <c r="T23" s="110">
        <v>3035.2457996472335</v>
      </c>
      <c r="U23" s="8">
        <v>0</v>
      </c>
      <c r="V23" s="110">
        <v>2969.3015503802862</v>
      </c>
      <c r="W23" s="8">
        <v>0</v>
      </c>
      <c r="X23" s="110">
        <v>2886.3423449342704</v>
      </c>
      <c r="Y23" s="8">
        <v>0</v>
      </c>
      <c r="Z23" s="110">
        <v>2780.9639969819041</v>
      </c>
      <c r="AA23" s="8">
        <v>0</v>
      </c>
      <c r="AB23" s="110">
        <v>2645.9317037455221</v>
      </c>
      <c r="AC23" s="8">
        <v>0</v>
      </c>
      <c r="AD23" s="110">
        <v>2471.8496094762522</v>
      </c>
      <c r="AE23" s="8">
        <v>0</v>
      </c>
      <c r="AF23" s="110">
        <v>2247.2174223823258</v>
      </c>
      <c r="AG23" s="8">
        <v>0</v>
      </c>
      <c r="AH23" s="110">
        <v>1959.3293794661179</v>
      </c>
      <c r="AI23" s="8">
        <v>0</v>
      </c>
      <c r="AJ23" s="110">
        <v>1596.3075887952343</v>
      </c>
      <c r="AK23" s="8">
        <v>0</v>
      </c>
      <c r="AL23" s="110">
        <v>1149.7815090185695</v>
      </c>
      <c r="AM23" s="8">
        <v>0</v>
      </c>
      <c r="AN23" s="110">
        <v>616.82724674098699</v>
      </c>
      <c r="AO23" s="8">
        <v>0</v>
      </c>
      <c r="AP23" s="110">
        <v>500.00858820770327</v>
      </c>
      <c r="AQ23" s="8">
        <v>0</v>
      </c>
      <c r="AR23" s="110">
        <v>379.86564508433139</v>
      </c>
      <c r="AS23" s="8">
        <v>0</v>
      </c>
      <c r="AT23" s="110">
        <v>256.44698725370802</v>
      </c>
      <c r="AU23" s="8">
        <v>0</v>
      </c>
      <c r="AV23" s="110">
        <v>129.80596431930971</v>
      </c>
      <c r="AW23" s="8">
        <v>0</v>
      </c>
    </row>
    <row r="24" spans="1:49" x14ac:dyDescent="0.2">
      <c r="A24" t="s">
        <v>8</v>
      </c>
      <c r="B24" s="93">
        <v>3196.3846373657216</v>
      </c>
      <c r="C24" s="8">
        <v>0</v>
      </c>
      <c r="D24" s="93">
        <v>3213.6639455922368</v>
      </c>
      <c r="E24" s="8">
        <v>0</v>
      </c>
      <c r="F24" s="93">
        <v>3229.0576041086601</v>
      </c>
      <c r="G24" s="8">
        <v>0</v>
      </c>
      <c r="H24" s="93">
        <v>3242.1187434251783</v>
      </c>
      <c r="I24" s="8">
        <v>0</v>
      </c>
      <c r="J24" s="93">
        <v>3252.2711906327459</v>
      </c>
      <c r="K24" s="8">
        <v>0</v>
      </c>
      <c r="L24" s="93">
        <v>3258.7631261029001</v>
      </c>
      <c r="M24" s="8">
        <v>0</v>
      </c>
      <c r="N24" s="93">
        <v>3260.6017718826683</v>
      </c>
      <c r="O24" s="8">
        <v>0</v>
      </c>
      <c r="P24" s="93">
        <v>3256.4634710417527</v>
      </c>
      <c r="Q24" s="8">
        <v>0</v>
      </c>
      <c r="R24" s="93">
        <v>3244.5629481728283</v>
      </c>
      <c r="S24" s="8">
        <v>0</v>
      </c>
      <c r="T24" s="93">
        <v>3222.4629988901729</v>
      </c>
      <c r="U24" s="8">
        <v>0</v>
      </c>
      <c r="V24" s="93">
        <v>3186.8064585872571</v>
      </c>
      <c r="W24" s="8">
        <v>0</v>
      </c>
      <c r="X24" s="93">
        <v>3132.9335249563414</v>
      </c>
      <c r="Y24" s="8">
        <v>0</v>
      </c>
      <c r="Z24" s="93">
        <v>3054.3668746951889</v>
      </c>
      <c r="AA24" s="8">
        <v>0</v>
      </c>
      <c r="AB24" s="93">
        <v>2942.1792679133114</v>
      </c>
      <c r="AC24" s="8">
        <v>0</v>
      </c>
      <c r="AD24" s="93">
        <v>2784.3758082039631</v>
      </c>
      <c r="AE24" s="8">
        <v>0</v>
      </c>
      <c r="AF24" s="93">
        <v>2565.6547579341054</v>
      </c>
      <c r="AG24" s="8">
        <v>0</v>
      </c>
      <c r="AH24" s="93">
        <v>2268.1849895875712</v>
      </c>
      <c r="AI24" s="8">
        <v>0</v>
      </c>
      <c r="AJ24" s="93">
        <v>1873.9782645444013</v>
      </c>
      <c r="AK24" s="8">
        <v>0</v>
      </c>
      <c r="AL24" s="93">
        <v>1368.5201999193798</v>
      </c>
      <c r="AM24" s="8">
        <v>0</v>
      </c>
      <c r="AN24" s="93">
        <v>743.95765616437086</v>
      </c>
      <c r="AO24" s="8">
        <v>0</v>
      </c>
      <c r="AP24" s="93">
        <v>604.60552743391884</v>
      </c>
      <c r="AQ24" s="8">
        <v>0</v>
      </c>
      <c r="AR24" s="93">
        <v>460.48935397633625</v>
      </c>
      <c r="AS24" s="8">
        <v>0</v>
      </c>
      <c r="AT24" s="93">
        <v>311.64951039318612</v>
      </c>
      <c r="AU24" s="8">
        <v>0</v>
      </c>
      <c r="AV24" s="93">
        <v>158.13448860323757</v>
      </c>
      <c r="AW24" s="8">
        <v>0</v>
      </c>
    </row>
    <row r="25" spans="1:49" x14ac:dyDescent="0.2">
      <c r="A25" t="s">
        <v>0</v>
      </c>
      <c r="B25" s="39">
        <v>3195.0476040000012</v>
      </c>
      <c r="C25" s="40">
        <v>91.012690000004397</v>
      </c>
      <c r="D25" s="39">
        <v>3188.9851830262255</v>
      </c>
      <c r="E25" s="40">
        <v>81.567655839269861</v>
      </c>
      <c r="F25" s="39">
        <v>3180.7932665968319</v>
      </c>
      <c r="G25" s="40">
        <v>72.509116329415036</v>
      </c>
      <c r="H25" s="39">
        <v>3170.0389200394561</v>
      </c>
      <c r="I25" s="40">
        <v>63.865975672143691</v>
      </c>
      <c r="J25" s="39">
        <v>3156.1701109637775</v>
      </c>
      <c r="K25" s="40">
        <v>55.66835743166979</v>
      </c>
      <c r="L25" s="39">
        <v>3138.4734862937098</v>
      </c>
      <c r="M25" s="40">
        <v>47.947423791347873</v>
      </c>
      <c r="N25" s="39">
        <v>3116.014934121094</v>
      </c>
      <c r="O25" s="40">
        <v>40.735158565444408</v>
      </c>
      <c r="P25" s="39">
        <v>3087.5583095722745</v>
      </c>
      <c r="Q25" s="40">
        <v>34.063694833713797</v>
      </c>
      <c r="R25" s="39">
        <v>3051.4488105126197</v>
      </c>
      <c r="S25" s="40">
        <v>27.964587628168154</v>
      </c>
      <c r="T25" s="39">
        <v>3005.4468029861482</v>
      </c>
      <c r="U25" s="40">
        <v>22.467572693710292</v>
      </c>
      <c r="V25" s="39">
        <v>2946.5000287182602</v>
      </c>
      <c r="W25" s="40">
        <v>17.598864631758694</v>
      </c>
      <c r="X25" s="39">
        <v>2870.4330087075209</v>
      </c>
      <c r="Y25" s="40">
        <v>13.378527466228583</v>
      </c>
      <c r="Z25" s="39">
        <v>2771.5564206134918</v>
      </c>
      <c r="AA25" s="40">
        <v>9.8169346710139234</v>
      </c>
      <c r="AB25" s="39">
        <v>2642.2426834157559</v>
      </c>
      <c r="AC25" s="40">
        <v>6.909887869588629</v>
      </c>
      <c r="AD25" s="39">
        <v>2472.6248115231033</v>
      </c>
      <c r="AE25" s="40">
        <v>4.6328861603413456</v>
      </c>
      <c r="AF25" s="39">
        <v>2250.755877645724</v>
      </c>
      <c r="AG25" s="40">
        <v>2.9358549875465658</v>
      </c>
      <c r="AH25" s="39">
        <v>1963.7021059866181</v>
      </c>
      <c r="AI25" s="40">
        <v>1.7414604872174133</v>
      </c>
      <c r="AJ25" s="39">
        <v>1599.8034531154287</v>
      </c>
      <c r="AK25" s="40">
        <v>0.95083658101387436</v>
      </c>
      <c r="AL25" s="39">
        <v>1151.4594482598948</v>
      </c>
      <c r="AM25" s="40">
        <v>0.45775047439117683</v>
      </c>
      <c r="AN25" s="39">
        <v>616.92272242436491</v>
      </c>
      <c r="AO25" s="40">
        <v>0.16578721425457674</v>
      </c>
      <c r="AP25" s="39">
        <v>499.92854287429947</v>
      </c>
      <c r="AQ25" s="40">
        <v>0.12450181176785258</v>
      </c>
      <c r="AR25" s="39">
        <v>379.67970417278349</v>
      </c>
      <c r="AS25" s="40">
        <v>8.7704208119388061E-2</v>
      </c>
      <c r="AT25" s="39">
        <v>256.233633717293</v>
      </c>
      <c r="AU25" s="40">
        <v>5.495223957308551E-2</v>
      </c>
      <c r="AV25" s="39">
        <v>129.65200666398553</v>
      </c>
      <c r="AW25" s="40">
        <v>2.5840800392284077E-2</v>
      </c>
    </row>
    <row r="26" spans="1:49" x14ac:dyDescent="0.2">
      <c r="A26" t="s">
        <v>27</v>
      </c>
      <c r="B26" s="31">
        <v>5036.2953101960647</v>
      </c>
      <c r="C26" s="32">
        <v>74.905331803938267</v>
      </c>
      <c r="D26" s="31">
        <v>5020.449797646198</v>
      </c>
      <c r="E26" s="32">
        <v>70.15146590257838</v>
      </c>
      <c r="F26" s="31">
        <v>5001.5498942540935</v>
      </c>
      <c r="G26" s="32">
        <v>65.399247586324108</v>
      </c>
      <c r="H26" s="31">
        <v>4978.9414250224418</v>
      </c>
      <c r="I26" s="32">
        <v>60.65045785440131</v>
      </c>
      <c r="J26" s="31">
        <v>4951.7890469705744</v>
      </c>
      <c r="K26" s="32">
        <v>55.907840575296035</v>
      </c>
      <c r="L26" s="31">
        <v>4919.0128334553556</v>
      </c>
      <c r="M26" s="32">
        <v>51.175600478804263</v>
      </c>
      <c r="N26" s="31">
        <v>4879.199194976276</v>
      </c>
      <c r="O26" s="32">
        <v>46.460176886223472</v>
      </c>
      <c r="P26" s="31">
        <v>4830.4791247108387</v>
      </c>
      <c r="Q26" s="32">
        <v>41.771105475089207</v>
      </c>
      <c r="R26" s="31">
        <v>4770.3531987839488</v>
      </c>
      <c r="S26" s="32">
        <v>37.122384469851582</v>
      </c>
      <c r="T26" s="31">
        <v>4695.4406120890835</v>
      </c>
      <c r="U26" s="32">
        <v>32.534213821752651</v>
      </c>
      <c r="V26" s="31">
        <v>4601.1327085031917</v>
      </c>
      <c r="W26" s="32">
        <v>28.035292674782248</v>
      </c>
      <c r="X26" s="31">
        <v>4481.1127401074136</v>
      </c>
      <c r="Y26" s="32">
        <v>23.665364063483448</v>
      </c>
      <c r="Z26" s="31">
        <v>4326.7368429936651</v>
      </c>
      <c r="AA26" s="32">
        <v>19.47780241581431</v>
      </c>
      <c r="AB26" s="31">
        <v>4126.3278884181782</v>
      </c>
      <c r="AC26" s="32">
        <v>15.540763043518997</v>
      </c>
      <c r="AD26" s="31">
        <v>3864.5966606246452</v>
      </c>
      <c r="AE26" s="32">
        <v>11.93481229335986</v>
      </c>
      <c r="AF26" s="31">
        <v>3522.6886802140089</v>
      </c>
      <c r="AG26" s="32">
        <v>8.7438021515764319</v>
      </c>
      <c r="AH26" s="31">
        <v>3079.6161947101632</v>
      </c>
      <c r="AI26" s="32">
        <v>6.0372497725270229</v>
      </c>
      <c r="AJ26" s="31">
        <v>2515.5750629501017</v>
      </c>
      <c r="AK26" s="32">
        <v>3.8482272768897805</v>
      </c>
      <c r="AL26" s="31">
        <v>1816.3646247886461</v>
      </c>
      <c r="AM26" s="32">
        <v>2.1589481256807392</v>
      </c>
      <c r="AN26" s="31">
        <v>976.63194245300565</v>
      </c>
      <c r="AO26" s="32">
        <v>0.90557755755168168</v>
      </c>
      <c r="AP26" s="31">
        <v>792.00767330296537</v>
      </c>
      <c r="AQ26" s="32">
        <v>0.69959060610469914</v>
      </c>
      <c r="AR26" s="31">
        <v>601.95312036224664</v>
      </c>
      <c r="AS26" s="32">
        <v>0.50676718432735912</v>
      </c>
      <c r="AT26" s="31">
        <v>406.54364663559517</v>
      </c>
      <c r="AU26" s="32">
        <v>0.32637176218323616</v>
      </c>
      <c r="AV26" s="31">
        <v>205.86256784707112</v>
      </c>
      <c r="AW26" s="32">
        <v>0.15768340815297086</v>
      </c>
    </row>
    <row r="27" spans="1:49" x14ac:dyDescent="0.2">
      <c r="A27" t="s">
        <v>2</v>
      </c>
      <c r="B27" s="33">
        <v>6425.1981590000414</v>
      </c>
      <c r="C27" s="34">
        <v>273.22915400000028</v>
      </c>
      <c r="D27" s="33">
        <v>6404.1020818232982</v>
      </c>
      <c r="E27" s="34">
        <v>255.8711110207997</v>
      </c>
      <c r="F27" s="33">
        <v>6379.0068463610032</v>
      </c>
      <c r="G27" s="34">
        <v>238.51934649563609</v>
      </c>
      <c r="H27" s="33">
        <v>6349.1002590383077</v>
      </c>
      <c r="I27" s="34">
        <v>221.18124044641974</v>
      </c>
      <c r="J27" s="33">
        <v>6313.3492006109591</v>
      </c>
      <c r="K27" s="34">
        <v>203.86761026727675</v>
      </c>
      <c r="L27" s="33">
        <v>6270.4224098430941</v>
      </c>
      <c r="M27" s="34">
        <v>186.59455818112994</v>
      </c>
      <c r="N27" s="33">
        <v>6218.5814991765692</v>
      </c>
      <c r="O27" s="34">
        <v>169.38651383233994</v>
      </c>
      <c r="P27" s="33">
        <v>6155.5309377288795</v>
      </c>
      <c r="Q27" s="34">
        <v>152.27907108140107</v>
      </c>
      <c r="R27" s="33">
        <v>6078.2011020342343</v>
      </c>
      <c r="S27" s="34">
        <v>135.32397913419973</v>
      </c>
      <c r="T27" s="33">
        <v>5982.4352275362016</v>
      </c>
      <c r="U27" s="34">
        <v>118.5953672558858</v>
      </c>
      <c r="V27" s="33">
        <v>5862.5510485090836</v>
      </c>
      <c r="W27" s="34">
        <v>102.19807341804024</v>
      </c>
      <c r="X27" s="33">
        <v>5710.725803082034</v>
      </c>
      <c r="Y27" s="34">
        <v>86.276497218536605</v>
      </c>
      <c r="Z27" s="33">
        <v>5516.185609561514</v>
      </c>
      <c r="AA27" s="34">
        <v>71.024100660975932</v>
      </c>
      <c r="AB27" s="33">
        <v>5264.2473270957971</v>
      </c>
      <c r="AC27" s="34">
        <v>56.687232764288915</v>
      </c>
      <c r="AD27" s="33">
        <v>4935.4587287704599</v>
      </c>
      <c r="AE27" s="34">
        <v>43.556598308457957</v>
      </c>
      <c r="AF27" s="33">
        <v>4505.4513900873135</v>
      </c>
      <c r="AG27" s="34">
        <v>31.934412029750032</v>
      </c>
      <c r="AH27" s="33">
        <v>3946.5013008895985</v>
      </c>
      <c r="AI27" s="34">
        <v>22.07107975348141</v>
      </c>
      <c r="AJ27" s="33">
        <v>3231.5647348553807</v>
      </c>
      <c r="AK27" s="34">
        <v>14.085595932649841</v>
      </c>
      <c r="AL27" s="33">
        <v>2339.9958777383463</v>
      </c>
      <c r="AM27" s="34">
        <v>7.913614713973824</v>
      </c>
      <c r="AN27" s="33">
        <v>1262.1227029173276</v>
      </c>
      <c r="AO27" s="34">
        <v>3.3245868402968006</v>
      </c>
      <c r="AP27" s="33">
        <v>1024.1909662892276</v>
      </c>
      <c r="AQ27" s="34">
        <v>2.5691910057254006</v>
      </c>
      <c r="AR27" s="33">
        <v>778.92749873149091</v>
      </c>
      <c r="AS27" s="34">
        <v>1.8616682597118133</v>
      </c>
      <c r="AT27" s="33">
        <v>526.4120515563917</v>
      </c>
      <c r="AU27" s="34">
        <v>1.1993571028702714</v>
      </c>
      <c r="AV27" s="33">
        <v>266.73582020933696</v>
      </c>
      <c r="AW27" s="34">
        <v>0.57964836898030259</v>
      </c>
    </row>
    <row r="28" spans="1:49" x14ac:dyDescent="0.2">
      <c r="A28" t="s">
        <v>35</v>
      </c>
      <c r="B28" s="39">
        <v>13763.097676000029</v>
      </c>
      <c r="C28" s="40">
        <v>382.36647899999997</v>
      </c>
      <c r="D28" s="39">
        <v>13718.91452514672</v>
      </c>
      <c r="E28" s="40">
        <v>358.0820359735979</v>
      </c>
      <c r="F28" s="39">
        <v>13666.281689466752</v>
      </c>
      <c r="G28" s="40">
        <v>333.80626938783229</v>
      </c>
      <c r="H28" s="39">
        <v>13603.433770056203</v>
      </c>
      <c r="I28" s="40">
        <v>309.54915409855062</v>
      </c>
      <c r="J28" s="39">
        <v>13528.120508691649</v>
      </c>
      <c r="K28" s="40">
        <v>285.32550567078988</v>
      </c>
      <c r="L28" s="39">
        <v>13437.437200378474</v>
      </c>
      <c r="M28" s="40">
        <v>261.15755345148165</v>
      </c>
      <c r="N28" s="39">
        <v>13327.585953476482</v>
      </c>
      <c r="O28" s="40">
        <v>237.07911070769487</v>
      </c>
      <c r="P28" s="39">
        <v>13193.548311912466</v>
      </c>
      <c r="Q28" s="40">
        <v>213.13966681087896</v>
      </c>
      <c r="R28" s="39">
        <v>13028.613357751481</v>
      </c>
      <c r="S28" s="40">
        <v>189.41136869175941</v>
      </c>
      <c r="T28" s="39">
        <v>12823.698999012708</v>
      </c>
      <c r="U28" s="40">
        <v>165.99777900024185</v>
      </c>
      <c r="V28" s="39">
        <v>12566.408697780549</v>
      </c>
      <c r="W28" s="40">
        <v>143.04555141263538</v>
      </c>
      <c r="X28" s="39">
        <v>12239.716469542986</v>
      </c>
      <c r="Y28" s="40">
        <v>120.75698968892681</v>
      </c>
      <c r="Z28" s="39">
        <v>11820.253717022248</v>
      </c>
      <c r="AA28" s="40">
        <v>99.403317593592888</v>
      </c>
      <c r="AB28" s="39">
        <v>11276.321193601731</v>
      </c>
      <c r="AC28" s="40">
        <v>79.330177747521049</v>
      </c>
      <c r="AD28" s="39">
        <v>10566.184635770653</v>
      </c>
      <c r="AE28" s="40">
        <v>60.945649666248364</v>
      </c>
      <c r="AF28" s="39">
        <v>9637.9957392747692</v>
      </c>
      <c r="AG28" s="40">
        <v>44.674113966872106</v>
      </c>
      <c r="AH28" s="39">
        <v>8433.4428215694843</v>
      </c>
      <c r="AI28" s="40">
        <v>30.867268479237424</v>
      </c>
      <c r="AJ28" s="39">
        <v>6896.6297068363056</v>
      </c>
      <c r="AK28" s="40">
        <v>19.692316134414956</v>
      </c>
      <c r="AL28" s="39">
        <v>4986.2485615317755</v>
      </c>
      <c r="AM28" s="40">
        <v>11.059030058763998</v>
      </c>
      <c r="AN28" s="39">
        <v>2684.8939804227307</v>
      </c>
      <c r="AO28" s="40">
        <v>4.6438848594697797</v>
      </c>
      <c r="AP28" s="39">
        <v>2177.9835161454857</v>
      </c>
      <c r="AQ28" s="40">
        <v>3.5883847540275462</v>
      </c>
      <c r="AR28" s="39">
        <v>1655.8371644893471</v>
      </c>
      <c r="AS28" s="40">
        <v>2.5999404888830915</v>
      </c>
      <c r="AT28" s="39">
        <v>1118.6454362267436</v>
      </c>
      <c r="AU28" s="40">
        <v>1.6748189115303278</v>
      </c>
      <c r="AV28" s="39">
        <v>566.62188958566082</v>
      </c>
      <c r="AW28" s="40">
        <v>0.80936044366123261</v>
      </c>
    </row>
    <row r="29" spans="1:49" x14ac:dyDescent="0.2">
      <c r="A29" t="s">
        <v>53</v>
      </c>
      <c r="B29" s="33">
        <v>14362.768558000025</v>
      </c>
      <c r="C29" s="34">
        <v>817.26650999999993</v>
      </c>
      <c r="D29" s="33">
        <v>14297.782779057055</v>
      </c>
      <c r="E29" s="34">
        <v>758.99051248444027</v>
      </c>
      <c r="F29" s="33">
        <v>14222.63957457399</v>
      </c>
      <c r="G29" s="34">
        <v>701.23074368311109</v>
      </c>
      <c r="H29" s="33">
        <v>14135.38252968905</v>
      </c>
      <c r="I29" s="34">
        <v>644.05826958500313</v>
      </c>
      <c r="J29" s="33">
        <v>14033.546635724193</v>
      </c>
      <c r="K29" s="34">
        <v>587.55982350109025</v>
      </c>
      <c r="L29" s="33">
        <v>13913.987256867922</v>
      </c>
      <c r="M29" s="34">
        <v>531.84331831332952</v>
      </c>
      <c r="N29" s="33">
        <v>13772.64151615662</v>
      </c>
      <c r="O29" s="34">
        <v>477.04619591797592</v>
      </c>
      <c r="P29" s="33">
        <v>13604.2048948952</v>
      </c>
      <c r="Q29" s="34">
        <v>423.34293426191027</v>
      </c>
      <c r="R29" s="33">
        <v>13401.66981866377</v>
      </c>
      <c r="S29" s="34">
        <v>370.95730580543778</v>
      </c>
      <c r="T29" s="33">
        <v>13155.669930512191</v>
      </c>
      <c r="U29" s="34">
        <v>320.17639163994079</v>
      </c>
      <c r="V29" s="33">
        <v>12853.582840765768</v>
      </c>
      <c r="W29" s="34">
        <v>271.36755217729581</v>
      </c>
      <c r="X29" s="33">
        <v>12478.302039158005</v>
      </c>
      <c r="Y29" s="34">
        <v>224.99319920037775</v>
      </c>
      <c r="Z29" s="33">
        <v>12006.678237436614</v>
      </c>
      <c r="AA29" s="34">
        <v>181.62137933005985</v>
      </c>
      <c r="AB29" s="33">
        <v>11407.790745368224</v>
      </c>
      <c r="AC29" s="34">
        <v>141.91529645596026</v>
      </c>
      <c r="AD29" s="33">
        <v>10641.634440331502</v>
      </c>
      <c r="AE29" s="34">
        <v>106.58513319903068</v>
      </c>
      <c r="AF29" s="33">
        <v>9659.5311003925872</v>
      </c>
      <c r="AG29" s="34">
        <v>76.278679656430484</v>
      </c>
      <c r="AH29" s="33">
        <v>8408.1828598712182</v>
      </c>
      <c r="AI29" s="34">
        <v>51.410520162393148</v>
      </c>
      <c r="AJ29" s="33">
        <v>6838.4911229713771</v>
      </c>
      <c r="AK29" s="34">
        <v>31.984766466421789</v>
      </c>
      <c r="AL29" s="33">
        <v>4916.8752004626649</v>
      </c>
      <c r="AM29" s="34">
        <v>17.525127306646379</v>
      </c>
      <c r="AN29" s="33">
        <v>2633.1209383156156</v>
      </c>
      <c r="AO29" s="34">
        <v>7.1882170677084858</v>
      </c>
      <c r="AP29" s="33">
        <v>2133.7020730150475</v>
      </c>
      <c r="AQ29" s="34">
        <v>5.52939373079594</v>
      </c>
      <c r="AR29" s="33">
        <v>1620.4534683480147</v>
      </c>
      <c r="AS29" s="34">
        <v>3.9885059784219452</v>
      </c>
      <c r="AT29" s="33">
        <v>1093.5929353075662</v>
      </c>
      <c r="AU29" s="34">
        <v>2.5580763540153737</v>
      </c>
      <c r="AV29" s="33">
        <v>553.35742158942787</v>
      </c>
      <c r="AW29" s="34">
        <v>1.2308855213497878</v>
      </c>
    </row>
    <row r="30" spans="1:49" x14ac:dyDescent="0.2">
      <c r="A30" t="s">
        <v>48</v>
      </c>
      <c r="B30" s="112">
        <v>2924829.9599999995</v>
      </c>
      <c r="D30" s="112">
        <v>2958928.3011804004</v>
      </c>
      <c r="F30" s="112">
        <v>2991408.4122038288</v>
      </c>
      <c r="H30" s="112">
        <v>3021851.6599077261</v>
      </c>
      <c r="J30" s="112">
        <v>3049711.7972667767</v>
      </c>
      <c r="L30" s="112">
        <v>3074269.4232457904</v>
      </c>
      <c r="N30" s="112">
        <v>3094567.3798817401</v>
      </c>
      <c r="P30" s="112">
        <v>3109319.9950020132</v>
      </c>
      <c r="R30" s="112">
        <v>3116780.6095849378</v>
      </c>
      <c r="T30" s="112">
        <v>3114548.6978135491</v>
      </c>
      <c r="V30" s="112">
        <v>3099290.531633459</v>
      </c>
      <c r="X30" s="112">
        <v>3066334.7497115876</v>
      </c>
      <c r="Z30" s="112">
        <v>3009110.7599281133</v>
      </c>
      <c r="AB30" s="112">
        <v>2918425.9869151097</v>
      </c>
      <c r="AD30" s="112">
        <v>2781691.5854704622</v>
      </c>
      <c r="AF30" s="112">
        <v>2582455.2096084701</v>
      </c>
      <c r="AH30" s="112">
        <v>2300939.7968778838</v>
      </c>
      <c r="AJ30" s="112">
        <v>1916337.4474376468</v>
      </c>
      <c r="AL30" s="112">
        <v>1410727.5787654384</v>
      </c>
      <c r="AN30" s="112">
        <v>772912.77548593772</v>
      </c>
      <c r="AP30" s="112">
        <v>629090.65636568191</v>
      </c>
      <c r="AR30" s="112">
        <v>479856.93946512952</v>
      </c>
      <c r="AT30" s="112">
        <v>325238.11993325979</v>
      </c>
      <c r="AV30" s="112">
        <v>165270.6510917905</v>
      </c>
    </row>
    <row r="31" spans="1:49" x14ac:dyDescent="0.2">
      <c r="A31" t="s">
        <v>47</v>
      </c>
      <c r="B31" s="77">
        <v>1</v>
      </c>
      <c r="D31" s="77">
        <v>0.98928645183887631</v>
      </c>
      <c r="F31" s="77">
        <v>0.97764708462205241</v>
      </c>
      <c r="H31" s="77">
        <v>0.9649359723863532</v>
      </c>
      <c r="J31" s="77">
        <v>0.95097460963605918</v>
      </c>
      <c r="L31" s="77">
        <v>0.9355422161468836</v>
      </c>
      <c r="N31" s="77">
        <v>0.91836245579452236</v>
      </c>
      <c r="P31" s="77">
        <v>0.89908614082395288</v>
      </c>
      <c r="R31" s="77">
        <v>0.87726718802927728</v>
      </c>
      <c r="T31" s="77">
        <v>0.852329976864033</v>
      </c>
      <c r="V31" s="77">
        <v>0.82352655462288626</v>
      </c>
      <c r="X31" s="77">
        <v>0.78988213579540911</v>
      </c>
      <c r="Z31" s="77">
        <v>0.75013236683625095</v>
      </c>
      <c r="AB31" s="77">
        <v>0.7026672098303306</v>
      </c>
      <c r="AD31" s="77">
        <v>0.64551723409439998</v>
      </c>
      <c r="AF31" s="77">
        <v>0.57644891158704858</v>
      </c>
      <c r="AH31" s="77">
        <v>0.49324528557055669</v>
      </c>
      <c r="AJ31" s="77">
        <v>0.39417717528152174</v>
      </c>
      <c r="AL31" s="77">
        <v>0.27849255785186017</v>
      </c>
      <c r="AN31" s="77">
        <v>0.14662839280827886</v>
      </c>
      <c r="AP31" s="77">
        <v>0.11842636021245553</v>
      </c>
      <c r="AR31" s="77">
        <v>8.9646894574572838E-2</v>
      </c>
      <c r="AT31" s="77">
        <v>6.0305380004513506E-2</v>
      </c>
      <c r="AV31" s="77">
        <v>3.0417681270794666E-2</v>
      </c>
    </row>
    <row r="32" spans="1:49" x14ac:dyDescent="0.2">
      <c r="A32" t="s">
        <v>64</v>
      </c>
      <c r="B32" s="83">
        <v>14734457.915000005</v>
      </c>
      <c r="D32" s="83">
        <v>14664582.727704281</v>
      </c>
      <c r="F32" s="83">
        <v>14583997.841695912</v>
      </c>
      <c r="H32" s="83">
        <v>14490652.974738432</v>
      </c>
      <c r="J32" s="83">
        <v>14381978.274043037</v>
      </c>
      <c r="L32" s="83">
        <v>14254715.313331069</v>
      </c>
      <c r="N32" s="83">
        <v>14104682.082772654</v>
      </c>
      <c r="P32" s="83">
        <v>13926457.241676327</v>
      </c>
      <c r="R32" s="83">
        <v>13712929.760119101</v>
      </c>
      <c r="T32" s="83">
        <v>13454659.921115454</v>
      </c>
      <c r="V32" s="83">
        <v>13139001.469315182</v>
      </c>
      <c r="X32" s="83">
        <v>12748893.00655107</v>
      </c>
      <c r="Z32" s="83">
        <v>12261300.392607521</v>
      </c>
      <c r="AB32" s="83">
        <v>11645441.572702058</v>
      </c>
      <c r="AD32" s="83">
        <v>10861323.173119433</v>
      </c>
      <c r="AF32" s="83">
        <v>9859844.4582471624</v>
      </c>
      <c r="AH32" s="83">
        <v>8586409.44313615</v>
      </c>
      <c r="AJ32" s="83">
        <v>6989390.6511721862</v>
      </c>
      <c r="AL32" s="83">
        <v>5031554.6218610182</v>
      </c>
      <c r="AN32" s="83">
        <v>2698646.7673322274</v>
      </c>
      <c r="AP32" s="83">
        <v>2187522.6943759033</v>
      </c>
      <c r="AR32" s="83">
        <v>1661887.61723457</v>
      </c>
      <c r="AT32" s="83">
        <v>1121939.4841121342</v>
      </c>
      <c r="AV32" s="83">
        <v>567897.67373191915</v>
      </c>
    </row>
    <row r="33" spans="1:49 16319:16384" x14ac:dyDescent="0.2">
      <c r="A33" t="s">
        <v>54</v>
      </c>
      <c r="B33" s="111">
        <v>7019665.6909999885</v>
      </c>
      <c r="D33" s="111">
        <v>6957863.803458753</v>
      </c>
      <c r="F33" s="111">
        <v>6890657.5817525154</v>
      </c>
      <c r="H33" s="111">
        <v>6817077.6903729578</v>
      </c>
      <c r="J33" s="111">
        <v>6735921.179376917</v>
      </c>
      <c r="L33" s="111">
        <v>6645678.6699042059</v>
      </c>
      <c r="N33" s="111">
        <v>6544433.4846487092</v>
      </c>
      <c r="P33" s="111">
        <v>6429727.4840870118</v>
      </c>
      <c r="R33" s="111">
        <v>6298371.5640587388</v>
      </c>
      <c r="T33" s="111">
        <v>6146182.0999813601</v>
      </c>
      <c r="V33" s="111">
        <v>5967623.5830299985</v>
      </c>
      <c r="X33" s="111">
        <v>5755331.3472074047</v>
      </c>
      <c r="Z33" s="111">
        <v>5499519.4051835882</v>
      </c>
      <c r="AB33" s="111">
        <v>5187354.935805995</v>
      </c>
      <c r="AD33" s="111">
        <v>4802548.6240702411</v>
      </c>
      <c r="AF33" s="111">
        <v>4325694.234124993</v>
      </c>
      <c r="AH33" s="111">
        <v>3736095.3098215442</v>
      </c>
      <c r="AJ33" s="111">
        <v>3015432.6366699124</v>
      </c>
      <c r="AL33" s="111">
        <v>2152226.6155063836</v>
      </c>
      <c r="AN33" s="111">
        <v>1144660.0330624036</v>
      </c>
      <c r="AP33" s="111">
        <v>926335.02858415665</v>
      </c>
      <c r="AR33" s="111">
        <v>702601.31413713493</v>
      </c>
      <c r="AT33" s="111">
        <v>473560.82211093209</v>
      </c>
      <c r="AV33" s="111">
        <v>239322.28381915507</v>
      </c>
    </row>
    <row r="34" spans="1:49 16319:16384" x14ac:dyDescent="0.2">
      <c r="A34" t="s">
        <v>75</v>
      </c>
      <c r="B34" s="111">
        <v>1136879.4410000162</v>
      </c>
      <c r="D34" s="111">
        <v>1131487.9649290957</v>
      </c>
      <c r="F34" s="111">
        <v>1125270.2637182651</v>
      </c>
      <c r="H34" s="111">
        <v>1118067.9740761165</v>
      </c>
      <c r="J34" s="111">
        <v>1109682.8474294678</v>
      </c>
      <c r="L34" s="111">
        <v>1099863.530600918</v>
      </c>
      <c r="N34" s="111">
        <v>1088287.2925564952</v>
      </c>
      <c r="P34" s="111">
        <v>1074535.77131316</v>
      </c>
      <c r="R34" s="111">
        <v>1058060.4947361175</v>
      </c>
      <c r="T34" s="111">
        <v>1038132.9603165579</v>
      </c>
      <c r="V34" s="111">
        <v>1013777.4193994184</v>
      </c>
      <c r="X34" s="111">
        <v>983677.47466024593</v>
      </c>
      <c r="Z34" s="111">
        <v>946055.8647255695</v>
      </c>
      <c r="AB34" s="111">
        <v>898537.51166710607</v>
      </c>
      <c r="AD34" s="111">
        <v>838036.6159685204</v>
      </c>
      <c r="AF34" s="111">
        <v>760764.63178291486</v>
      </c>
      <c r="AH34" s="111">
        <v>662509.09401341551</v>
      </c>
      <c r="AJ34" s="111">
        <v>539286.5202835555</v>
      </c>
      <c r="AL34" s="111">
        <v>388224.05090985144</v>
      </c>
      <c r="AN34" s="111">
        <v>208221.84062436206</v>
      </c>
      <c r="AP34" s="111">
        <v>168784.59704223077</v>
      </c>
      <c r="AR34" s="111">
        <v>128227.71594297665</v>
      </c>
      <c r="AT34" s="111">
        <v>86566.466743303754</v>
      </c>
      <c r="AV34" s="111">
        <v>43817.776324952451</v>
      </c>
    </row>
    <row r="35" spans="1:49 16319:16384" x14ac:dyDescent="0.2">
      <c r="A35" t="s">
        <v>78</v>
      </c>
      <c r="B35" s="192">
        <v>1</v>
      </c>
      <c r="D35" s="192">
        <v>1.0019309112474355</v>
      </c>
      <c r="F35" s="192">
        <v>1.0040725631115914</v>
      </c>
      <c r="H35" s="192">
        <v>1.0064545967938725</v>
      </c>
      <c r="J35" s="192">
        <v>1.0091126777399009</v>
      </c>
      <c r="L35" s="192">
        <v>1.0120900893364149</v>
      </c>
      <c r="N35" s="192">
        <v>1.0154398025705265</v>
      </c>
      <c r="P35" s="192">
        <v>1.0192270700539761</v>
      </c>
      <c r="R35" s="192">
        <v>1.0235326928835407</v>
      </c>
      <c r="T35" s="192">
        <v>1.028456897400994</v>
      </c>
      <c r="V35" s="192">
        <v>1.0341235200562928</v>
      </c>
      <c r="X35" s="192">
        <v>1.0406833081560507</v>
      </c>
      <c r="Z35" s="192">
        <v>1.0483140027310827</v>
      </c>
      <c r="AB35" s="192">
        <v>1.057211947906691</v>
      </c>
      <c r="AD35" s="192">
        <v>1.0675672618998617</v>
      </c>
      <c r="AF35" s="192">
        <v>1.0795140973233348</v>
      </c>
      <c r="AH35" s="192">
        <v>1.0930578451519113</v>
      </c>
      <c r="AJ35" s="192">
        <v>1.1080076998669219</v>
      </c>
      <c r="AL35" s="192">
        <v>1.1239678202060395</v>
      </c>
      <c r="AN35" s="192">
        <v>1.1404181416961925</v>
      </c>
      <c r="AP35" s="192">
        <v>1.1437203515172438</v>
      </c>
      <c r="AR35" s="192">
        <v>1.1470175445180111</v>
      </c>
      <c r="AT35" s="192">
        <v>1.1503062310184882</v>
      </c>
      <c r="AV35" s="192">
        <v>1.1535831506109224</v>
      </c>
    </row>
    <row r="36" spans="1:49 16319:16384" x14ac:dyDescent="0.2">
      <c r="A36" t="s">
        <v>21</v>
      </c>
      <c r="B36" s="35">
        <v>0.47195767671988198</v>
      </c>
      <c r="C36" s="36">
        <v>0.31738834428178964</v>
      </c>
      <c r="D36" s="35">
        <v>0.47197893393530427</v>
      </c>
      <c r="E36" s="36">
        <v>0.31972136852298311</v>
      </c>
      <c r="F36" s="35">
        <v>0.47200096883357756</v>
      </c>
      <c r="G36" s="36">
        <v>0.32225409446403258</v>
      </c>
      <c r="H36" s="35">
        <v>0.47202387122537603</v>
      </c>
      <c r="I36" s="36">
        <v>0.3250110702897373</v>
      </c>
      <c r="J36" s="35">
        <v>0.47204773848759424</v>
      </c>
      <c r="K36" s="36">
        <v>0.32802062180403663</v>
      </c>
      <c r="L36" s="35">
        <v>0.47207267319099644</v>
      </c>
      <c r="M36" s="36">
        <v>0.33131548475259998</v>
      </c>
      <c r="N36" s="35">
        <v>0.47209877867221745</v>
      </c>
      <c r="O36" s="36">
        <v>0.33493351547076811</v>
      </c>
      <c r="P36" s="35">
        <v>0.47212614735108471</v>
      </c>
      <c r="Q36" s="36">
        <v>0.33891841863961442</v>
      </c>
      <c r="R36" s="35">
        <v>0.472154841978423</v>
      </c>
      <c r="S36" s="36">
        <v>0.3433203985099802</v>
      </c>
      <c r="T36" s="35">
        <v>0.47218487002626991</v>
      </c>
      <c r="U36" s="36">
        <v>0.3481964864905856</v>
      </c>
      <c r="V36" s="35">
        <v>0.47221613718027866</v>
      </c>
      <c r="W36" s="36">
        <v>0.35361013196909152</v>
      </c>
      <c r="X36" s="35">
        <v>0.47224838459547475</v>
      </c>
      <c r="Y36" s="36">
        <v>0.35962902032283189</v>
      </c>
      <c r="Z36" s="35">
        <v>0.4722811080385575</v>
      </c>
      <c r="AA36" s="36">
        <v>0.36631973116775868</v>
      </c>
      <c r="AB36" s="35">
        <v>0.47231346923370809</v>
      </c>
      <c r="AC36" s="36">
        <v>0.37373667243197001</v>
      </c>
      <c r="AD36" s="35">
        <v>0.47234424308887624</v>
      </c>
      <c r="AE36" s="36">
        <v>0.38190280708499236</v>
      </c>
      <c r="AF36" s="35">
        <v>0.47237187683146686</v>
      </c>
      <c r="AG36" s="36">
        <v>0.39078188442264222</v>
      </c>
      <c r="AH36" s="35">
        <v>0.47239475189226832</v>
      </c>
      <c r="AI36" s="36">
        <v>0.40024973565427829</v>
      </c>
      <c r="AJ36" s="35">
        <v>0.47241163827088728</v>
      </c>
      <c r="AK36" s="36">
        <v>0.41008380144952689</v>
      </c>
      <c r="AL36" s="35">
        <v>0.47242213790325954</v>
      </c>
      <c r="AM36" s="36">
        <v>0.41999196942619149</v>
      </c>
      <c r="AN36" s="35">
        <v>0.47242679832442175</v>
      </c>
      <c r="AO36" s="36">
        <v>0.42967775464695546</v>
      </c>
      <c r="AP36" s="35">
        <v>0.47242712857623237</v>
      </c>
      <c r="AQ36" s="36">
        <v>0.4315659719851978</v>
      </c>
      <c r="AR36" s="35">
        <v>0.47242728364551134</v>
      </c>
      <c r="AS36" s="36">
        <v>0.43343414144204795</v>
      </c>
      <c r="AT36" s="35">
        <v>0.4724272748412825</v>
      </c>
      <c r="AU36" s="36">
        <v>0.43528098031952539</v>
      </c>
      <c r="AV36" s="35">
        <v>0.47242711344781224</v>
      </c>
      <c r="AW36" s="36">
        <v>0.43710536458249272</v>
      </c>
    </row>
    <row r="37" spans="1:49 16319:16384" x14ac:dyDescent="0.2">
      <c r="B37" s="37">
        <v>2.1403217525954466E-2</v>
      </c>
      <c r="C37" s="38">
        <v>0.3496246130199252</v>
      </c>
      <c r="D37" s="37">
        <v>2.0773655721688652E-2</v>
      </c>
      <c r="E37" s="38">
        <v>0.34589754728637739</v>
      </c>
      <c r="F37" s="37">
        <v>2.0134639121149531E-2</v>
      </c>
      <c r="G37" s="38">
        <v>0.34209200205741863</v>
      </c>
      <c r="H37" s="37">
        <v>1.9486107503604119E-2</v>
      </c>
      <c r="I37" s="38">
        <v>0.33820689665475701</v>
      </c>
      <c r="J37" s="37">
        <v>1.8828061346601723E-2</v>
      </c>
      <c r="K37" s="38">
        <v>0.33424161461508312</v>
      </c>
      <c r="L37" s="37">
        <v>1.8160583800112175E-2</v>
      </c>
      <c r="M37" s="38">
        <v>0.33019617707421806</v>
      </c>
      <c r="N37" s="37">
        <v>1.7483870742732124E-2</v>
      </c>
      <c r="O37" s="38">
        <v>0.32607147630900718</v>
      </c>
      <c r="P37" s="37">
        <v>1.6798278528532613E-2</v>
      </c>
      <c r="Q37" s="38">
        <v>0.32186963143084368</v>
      </c>
      <c r="R37" s="37">
        <v>1.6104395494993526E-2</v>
      </c>
      <c r="S37" s="38">
        <v>0.31759450679194279</v>
      </c>
      <c r="T37" s="37">
        <v>1.5403154298190608E-2</v>
      </c>
      <c r="U37" s="38">
        <v>0.31325250239320668</v>
      </c>
      <c r="V37" s="37">
        <v>1.4695999317966488E-2</v>
      </c>
      <c r="W37" s="38">
        <v>0.30885371136095663</v>
      </c>
      <c r="X37" s="37">
        <v>1.3985159552501994E-2</v>
      </c>
      <c r="Y37" s="38">
        <v>0.30441375664153242</v>
      </c>
      <c r="Z37" s="37">
        <v>1.3274035796782144E-2</v>
      </c>
      <c r="AA37" s="38">
        <v>0.29995636004998288</v>
      </c>
      <c r="AB37" s="37">
        <v>1.2567738759076533E-2</v>
      </c>
      <c r="AC37" s="38">
        <v>0.29551684351401897</v>
      </c>
      <c r="AD37" s="37">
        <v>1.1873685504157202E-2</v>
      </c>
      <c r="AE37" s="38">
        <v>0.29114591543523938</v>
      </c>
      <c r="AF37" s="37">
        <v>1.1201976339525271E-2</v>
      </c>
      <c r="AG37" s="38">
        <v>0.28691187044874872</v>
      </c>
      <c r="AH37" s="37">
        <v>1.0564982676865432E-2</v>
      </c>
      <c r="AI37" s="38">
        <v>0.28289747602645188</v>
      </c>
      <c r="AJ37" s="37">
        <v>9.9755648634118742E-3</v>
      </c>
      <c r="AK37" s="38">
        <v>0.27918787914896948</v>
      </c>
      <c r="AL37" s="37">
        <v>9.4441052032369199E-3</v>
      </c>
      <c r="AM37" s="38">
        <v>0.27585102044675858</v>
      </c>
      <c r="AN37" s="37">
        <v>8.9758297667118792E-3</v>
      </c>
      <c r="AO37" s="38">
        <v>0.27292038191243129</v>
      </c>
      <c r="AP37" s="37">
        <v>8.8897921967127144E-3</v>
      </c>
      <c r="AQ37" s="38">
        <v>0.27238315170087135</v>
      </c>
      <c r="AR37" s="37">
        <v>8.8062395773931199E-3</v>
      </c>
      <c r="AS37" s="38">
        <v>0.27186185031406873</v>
      </c>
      <c r="AT37" s="37">
        <v>8.7251342517114874E-3</v>
      </c>
      <c r="AU37" s="38">
        <v>0.27135622585176561</v>
      </c>
      <c r="AV37" s="37">
        <v>8.6464327677287945E-3</v>
      </c>
      <c r="AW37" s="38">
        <v>0.27086598922673066</v>
      </c>
    </row>
    <row r="38" spans="1:49 16319:16384" x14ac:dyDescent="0.2">
      <c r="A38" t="s">
        <v>22</v>
      </c>
      <c r="B38" s="35">
        <v>0.18079094942242827</v>
      </c>
      <c r="C38" s="36">
        <v>6.0565413429233668E-2</v>
      </c>
      <c r="D38" s="35">
        <v>0.18103369029213184</v>
      </c>
      <c r="E38" s="36">
        <v>6.0861075484882718E-2</v>
      </c>
      <c r="F38" s="35">
        <v>0.18129716711745578</v>
      </c>
      <c r="G38" s="36">
        <v>6.1182879264872411E-2</v>
      </c>
      <c r="H38" s="35">
        <v>0.18158353812481401</v>
      </c>
      <c r="I38" s="36">
        <v>6.1534051044715883E-2</v>
      </c>
      <c r="J38" s="35">
        <v>0.18189522470256642</v>
      </c>
      <c r="K38" s="36">
        <v>6.1918337539429498E-2</v>
      </c>
      <c r="L38" s="35">
        <v>0.18223493258713913</v>
      </c>
      <c r="M38" s="36">
        <v>6.234008846657145E-2</v>
      </c>
      <c r="N38" s="35">
        <v>0.1826056677548494</v>
      </c>
      <c r="O38" s="36">
        <v>6.2804294435156657E-2</v>
      </c>
      <c r="P38" s="35">
        <v>0.18301074422959407</v>
      </c>
      <c r="Q38" s="36">
        <v>6.3316736526867007E-2</v>
      </c>
      <c r="R38" s="35">
        <v>0.18345376366606425</v>
      </c>
      <c r="S38" s="36">
        <v>6.3884055562019038E-2</v>
      </c>
      <c r="T38" s="35">
        <v>0.18393853059517812</v>
      </c>
      <c r="U38" s="36">
        <v>6.4513798897671559E-2</v>
      </c>
      <c r="V38" s="35">
        <v>0.18446889961016649</v>
      </c>
      <c r="W38" s="36">
        <v>6.5214322617820203E-2</v>
      </c>
      <c r="X38" s="35">
        <v>0.18504843201877466</v>
      </c>
      <c r="Y38" s="36">
        <v>6.5994595289580196E-2</v>
      </c>
      <c r="Z38" s="35">
        <v>0.18567980566908904</v>
      </c>
      <c r="AA38" s="36">
        <v>6.6863376850437306E-2</v>
      </c>
      <c r="AB38" s="35">
        <v>0.1863638167683391</v>
      </c>
      <c r="AC38" s="36">
        <v>6.7827858745621625E-2</v>
      </c>
      <c r="AD38" s="35">
        <v>0.18709791567128572</v>
      </c>
      <c r="AE38" s="36">
        <v>6.8891119574952114E-2</v>
      </c>
      <c r="AF38" s="35">
        <v>0.18787444880261223</v>
      </c>
      <c r="AG38" s="36">
        <v>7.0048505098113362E-2</v>
      </c>
      <c r="AH38" s="35">
        <v>0.18867936446892922</v>
      </c>
      <c r="AI38" s="36">
        <v>7.1283826715387563E-2</v>
      </c>
      <c r="AJ38" s="35">
        <v>0.18949271843375762</v>
      </c>
      <c r="AK38" s="36">
        <v>7.2568082110832585E-2</v>
      </c>
      <c r="AL38" s="35">
        <v>0.19029194876312835</v>
      </c>
      <c r="AM38" s="36">
        <v>7.3863198151803325E-2</v>
      </c>
      <c r="AN38" s="35">
        <v>0.19105688863984813</v>
      </c>
      <c r="AO38" s="36">
        <v>7.5130431978937998E-2</v>
      </c>
      <c r="AP38" s="35">
        <v>0.19120441274064437</v>
      </c>
      <c r="AQ38" s="36">
        <v>7.537763239997021E-2</v>
      </c>
      <c r="AR38" s="35">
        <v>0.19134991507820567</v>
      </c>
      <c r="AS38" s="36">
        <v>7.5622255029112115E-2</v>
      </c>
      <c r="AT38" s="35">
        <v>0.19149333306175992</v>
      </c>
      <c r="AU38" s="36">
        <v>7.586413464778792E-2</v>
      </c>
      <c r="AV38" s="35">
        <v>0.19163461585655622</v>
      </c>
      <c r="AW38" s="36">
        <v>7.6103118740172032E-2</v>
      </c>
    </row>
    <row r="39" spans="1:49 16319:16384" x14ac:dyDescent="0.2">
      <c r="A39" t="s">
        <v>23</v>
      </c>
      <c r="B39" s="37">
        <v>0.23064923795098771</v>
      </c>
      <c r="C39" s="38">
        <v>0.22092201281804777</v>
      </c>
      <c r="D39" s="37">
        <v>0.23092716382176606</v>
      </c>
      <c r="E39" s="38">
        <v>0.22198525436180991</v>
      </c>
      <c r="F39" s="37">
        <v>0.23122749841938336</v>
      </c>
      <c r="G39" s="38">
        <v>0.223141716725659</v>
      </c>
      <c r="H39" s="37">
        <v>0.23155365579344059</v>
      </c>
      <c r="I39" s="38">
        <v>0.22440354485759087</v>
      </c>
      <c r="J39" s="37">
        <v>0.23190973213478303</v>
      </c>
      <c r="K39" s="38">
        <v>0.22578485192761827</v>
      </c>
      <c r="L39" s="37">
        <v>0.23230067573293181</v>
      </c>
      <c r="M39" s="38">
        <v>0.22730209622474853</v>
      </c>
      <c r="N39" s="37">
        <v>0.23273250010253194</v>
      </c>
      <c r="O39" s="38">
        <v>0.22897460149846069</v>
      </c>
      <c r="P39" s="37">
        <v>0.23321253833375985</v>
      </c>
      <c r="Q39" s="38">
        <v>0.23082496171826619</v>
      </c>
      <c r="R39" s="37">
        <v>0.23374975018026994</v>
      </c>
      <c r="S39" s="38">
        <v>0.23287956108809957</v>
      </c>
      <c r="T39" s="37">
        <v>0.23435507677398815</v>
      </c>
      <c r="U39" s="38">
        <v>0.23516897366138814</v>
      </c>
      <c r="V39" s="37">
        <v>0.23504176239652755</v>
      </c>
      <c r="W39" s="38">
        <v>0.23772814531016903</v>
      </c>
      <c r="X39" s="37">
        <v>0.23582554531403224</v>
      </c>
      <c r="Y39" s="38">
        <v>0.24059560214945674</v>
      </c>
      <c r="Z39" s="37">
        <v>0.23672442054722553</v>
      </c>
      <c r="AA39" s="38">
        <v>0.2438114478511455</v>
      </c>
      <c r="AB39" s="37">
        <v>0.23775745670715226</v>
      </c>
      <c r="AC39" s="38">
        <v>0.24741215124696478</v>
      </c>
      <c r="AD39" s="37">
        <v>0.23894189280941744</v>
      </c>
      <c r="AE39" s="38">
        <v>0.25142103190140702</v>
      </c>
      <c r="AF39" s="37">
        <v>0.24028782369385915</v>
      </c>
      <c r="AG39" s="38">
        <v>0.25583353615427967</v>
      </c>
      <c r="AH39" s="37">
        <v>0.24179096038223416</v>
      </c>
      <c r="AI39" s="38">
        <v>0.26060061846838645</v>
      </c>
      <c r="AJ39" s="37">
        <v>0.24342664046139728</v>
      </c>
      <c r="AK39" s="38">
        <v>0.26561962396531796</v>
      </c>
      <c r="AL39" s="37">
        <v>0.24515032367156483</v>
      </c>
      <c r="AM39" s="38">
        <v>0.27074522299185305</v>
      </c>
      <c r="AN39" s="37">
        <v>0.24690697305623219</v>
      </c>
      <c r="AO39" s="38">
        <v>0.27582137319998268</v>
      </c>
      <c r="AP39" s="37">
        <v>0.24725749363882032</v>
      </c>
      <c r="AQ39" s="38">
        <v>0.27681837563996159</v>
      </c>
      <c r="AR39" s="37">
        <v>0.24760684128467544</v>
      </c>
      <c r="AS39" s="38">
        <v>0.27780715932187777</v>
      </c>
      <c r="AT39" s="37">
        <v>0.24795467633212906</v>
      </c>
      <c r="AU39" s="38">
        <v>0.27878695183147384</v>
      </c>
      <c r="AV39" s="37">
        <v>0.24830068416795464</v>
      </c>
      <c r="AW39" s="38">
        <v>0.27975707253397475</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v>6.0999999999999999E-2</v>
      </c>
      <c r="C42" s="126"/>
      <c r="D42" s="167">
        <v>6.4784397780583536E-2</v>
      </c>
      <c r="E42" s="126"/>
      <c r="F42" s="167">
        <v>6.9129627764640378E-2</v>
      </c>
      <c r="G42" s="126"/>
      <c r="H42" s="167">
        <v>7.4155543976128599E-2</v>
      </c>
      <c r="I42" s="126"/>
      <c r="J42" s="167">
        <v>8.0015106672548991E-2</v>
      </c>
      <c r="K42" s="126"/>
      <c r="L42" s="167">
        <v>8.6905941215803167E-2</v>
      </c>
      <c r="M42" s="126"/>
      <c r="N42" s="167">
        <v>9.5086561037631967E-2</v>
      </c>
      <c r="O42" s="126"/>
      <c r="P42" s="167">
        <v>0.1048985773420196</v>
      </c>
      <c r="Q42" s="126"/>
      <c r="R42" s="167">
        <v>0.11679859804742222</v>
      </c>
      <c r="S42" s="126"/>
      <c r="T42" s="167">
        <v>0.13140401395139112</v>
      </c>
      <c r="U42" s="126"/>
      <c r="V42" s="167">
        <v>0.14955622806362251</v>
      </c>
      <c r="W42" s="126"/>
      <c r="X42" s="167">
        <v>0.17240841514660515</v>
      </c>
      <c r="Y42" s="152"/>
      <c r="Z42" s="167">
        <v>0.20153876987255667</v>
      </c>
      <c r="AA42" s="126"/>
      <c r="AB42" s="167">
        <v>0.23908002519723201</v>
      </c>
      <c r="AC42" s="126"/>
      <c r="AD42" s="167">
        <v>0.28782622557238208</v>
      </c>
      <c r="AE42" s="126"/>
      <c r="AF42" s="167">
        <v>0.3512258012935815</v>
      </c>
      <c r="AG42" s="126"/>
      <c r="AH42" s="167">
        <v>0.43312172866775045</v>
      </c>
      <c r="AI42" s="126"/>
      <c r="AJ42" s="167">
        <v>0.53714623329726385</v>
      </c>
      <c r="AK42" s="126"/>
      <c r="AL42" s="167">
        <v>0.66591144535887858</v>
      </c>
      <c r="AM42" s="126"/>
      <c r="AN42" s="167">
        <v>0.82041250274011213</v>
      </c>
      <c r="AO42" s="126"/>
      <c r="AP42" s="167">
        <v>0.85436844042198423</v>
      </c>
      <c r="AQ42" s="126"/>
      <c r="AR42" s="167">
        <v>0.88931957987372767</v>
      </c>
      <c r="AS42" s="126"/>
      <c r="AT42" s="167">
        <v>0.92525221097052879</v>
      </c>
      <c r="AU42" s="126"/>
      <c r="AV42" s="167">
        <v>0.96215115987836519</v>
      </c>
      <c r="XFD42" s="167"/>
    </row>
    <row r="43" spans="1:49 16319:16384" x14ac:dyDescent="0.2">
      <c r="A43" t="s">
        <v>95</v>
      </c>
      <c r="B43" s="152">
        <v>0.56058995943839207</v>
      </c>
      <c r="C43" s="126"/>
      <c r="D43" s="152">
        <v>0.56689106955347601</v>
      </c>
      <c r="E43" s="126"/>
      <c r="F43" s="152">
        <v>0.56659116835305801</v>
      </c>
      <c r="G43" s="126"/>
      <c r="H43" s="152">
        <v>0.5662992680236687</v>
      </c>
      <c r="I43" s="126"/>
      <c r="J43" s="152">
        <v>0.56601299632091562</v>
      </c>
      <c r="K43" s="126"/>
      <c r="L43" s="152">
        <v>0.56572887637344582</v>
      </c>
      <c r="M43" s="126"/>
      <c r="N43" s="152">
        <v>0.56544194414098037</v>
      </c>
      <c r="O43" s="126"/>
      <c r="P43" s="152">
        <v>0.56514521094453696</v>
      </c>
      <c r="Q43" s="126"/>
      <c r="R43" s="152">
        <v>0.56482897732914539</v>
      </c>
      <c r="S43" s="126"/>
      <c r="T43" s="152">
        <v>0.56447993076624325</v>
      </c>
      <c r="U43" s="126"/>
      <c r="V43" s="152">
        <v>0.56408011428943217</v>
      </c>
      <c r="W43" s="126"/>
      <c r="X43" s="152">
        <v>0.56360575561868409</v>
      </c>
      <c r="Y43" s="126"/>
      <c r="Z43" s="152">
        <v>0.5630264417158054</v>
      </c>
      <c r="AA43" s="126"/>
      <c r="AB43" s="152">
        <v>0.56230530040725879</v>
      </c>
      <c r="AC43" s="126"/>
      <c r="AD43" s="152">
        <v>0.56140169616969204</v>
      </c>
      <c r="AE43" s="126"/>
      <c r="AF43" s="152">
        <v>0.56027823100084051</v>
      </c>
      <c r="AG43" s="126"/>
      <c r="AH43" s="152">
        <v>0.55891270593281106</v>
      </c>
      <c r="AI43" s="126"/>
      <c r="AJ43" s="152">
        <v>0.55731151212600072</v>
      </c>
      <c r="AK43" s="126"/>
      <c r="AL43" s="152">
        <v>0.55551576299385286</v>
      </c>
      <c r="AM43" s="126"/>
      <c r="AN43" s="152">
        <v>0.55359299031149789</v>
      </c>
      <c r="AO43" s="126"/>
      <c r="AP43" s="152">
        <v>0.55319988166530387</v>
      </c>
      <c r="AQ43" s="126"/>
      <c r="AR43" s="152">
        <v>0.55280529816304513</v>
      </c>
      <c r="AS43" s="126"/>
      <c r="AT43" s="152">
        <v>0.55240979302512072</v>
      </c>
      <c r="AU43" s="126"/>
      <c r="AV43" s="152">
        <v>0.55201389228751019</v>
      </c>
    </row>
    <row r="44" spans="1:49 16319:16384" x14ac:dyDescent="0.2">
      <c r="A44" t="s">
        <v>129</v>
      </c>
      <c r="B44" s="183">
        <v>0.29754226190682465</v>
      </c>
      <c r="D44" s="183">
        <v>0.29948657515020155</v>
      </c>
      <c r="F44" s="183">
        <v>0.30147309045000525</v>
      </c>
      <c r="H44" s="183">
        <v>0.30350724604562179</v>
      </c>
      <c r="J44" s="183">
        <v>0.30559533660421395</v>
      </c>
      <c r="L44" s="183">
        <v>0.30774464822874603</v>
      </c>
      <c r="N44" s="183">
        <v>0.30996365044379059</v>
      </c>
      <c r="P44" s="183">
        <v>0.31226225590710099</v>
      </c>
      <c r="R44" s="183">
        <v>0.3146521236384876</v>
      </c>
      <c r="T44" s="183">
        <v>0.31714685003402898</v>
      </c>
      <c r="V44" s="183">
        <v>0.31976223476281151</v>
      </c>
      <c r="X44" s="183">
        <v>0.3225160632144321</v>
      </c>
      <c r="Z44" s="183">
        <v>0.32542719311048152</v>
      </c>
      <c r="AB44" s="183">
        <v>0.32851298467528478</v>
      </c>
      <c r="AD44" s="183">
        <v>0.33178403881181356</v>
      </c>
      <c r="AF44" s="183">
        <v>0.33523549187178903</v>
      </c>
      <c r="AH44" s="183">
        <v>0.33883649354542072</v>
      </c>
      <c r="AJ44" s="183">
        <v>0.34252382003933707</v>
      </c>
      <c r="AL44" s="183">
        <v>0.34620794405289834</v>
      </c>
      <c r="AN44" s="183">
        <v>0.34979304682675744</v>
      </c>
      <c r="AP44" s="183">
        <v>0.35049074704492122</v>
      </c>
      <c r="AR44" s="183">
        <v>0.35118073494049529</v>
      </c>
      <c r="AT44" s="183">
        <v>0.35186256073257993</v>
      </c>
      <c r="AV44" s="183">
        <v>0.3525358272187708</v>
      </c>
    </row>
    <row r="45" spans="1:49 16319:16384" x14ac:dyDescent="0.2">
      <c r="A45" t="s">
        <v>82</v>
      </c>
      <c r="B45" s="183">
        <v>0.22038438833194082</v>
      </c>
      <c r="D45" s="183">
        <v>0.22232870533973004</v>
      </c>
      <c r="F45" s="183">
        <v>0.2243152167357691</v>
      </c>
      <c r="H45" s="183">
        <v>0.22634937220617199</v>
      </c>
      <c r="J45" s="183">
        <v>0.22843746400248349</v>
      </c>
      <c r="L45" s="183">
        <v>0.23058677404992456</v>
      </c>
      <c r="N45" s="183">
        <v>0.23280577576289152</v>
      </c>
      <c r="P45" s="183">
        <v>0.23510438634516362</v>
      </c>
      <c r="R45" s="183">
        <v>0.23749425050380243</v>
      </c>
      <c r="T45" s="183">
        <v>0.23998897563191687</v>
      </c>
      <c r="V45" s="183">
        <v>0.24260436079750344</v>
      </c>
      <c r="X45" s="183">
        <v>0.24535818965201545</v>
      </c>
      <c r="Z45" s="183">
        <v>0.24826931960336501</v>
      </c>
      <c r="AB45" s="183">
        <v>0.251355110836189</v>
      </c>
      <c r="AD45" s="183">
        <v>0.25462616378949882</v>
      </c>
      <c r="AF45" s="183">
        <v>0.25807761833691989</v>
      </c>
      <c r="AH45" s="183">
        <v>0.261678620001082</v>
      </c>
      <c r="AJ45" s="183">
        <v>0.26536594645659323</v>
      </c>
      <c r="AL45" s="183">
        <v>0.26905007137014897</v>
      </c>
      <c r="AN45" s="183">
        <v>0.27263517527982589</v>
      </c>
      <c r="AP45" s="183">
        <v>0.27333287459122091</v>
      </c>
      <c r="AR45" s="183">
        <v>0.27402286059737258</v>
      </c>
      <c r="AT45" s="183">
        <v>0.27470468549137694</v>
      </c>
      <c r="AV45" s="183">
        <v>0.27537795467985809</v>
      </c>
      <c r="XCQ45" s="183"/>
    </row>
    <row r="46" spans="1:49 16319:16384" x14ac:dyDescent="0.2">
      <c r="A46" t="s">
        <v>126</v>
      </c>
      <c r="B46" s="183">
        <v>7.7157873574883795E-2</v>
      </c>
      <c r="D46" s="183">
        <v>7.7157869810471486E-2</v>
      </c>
      <c r="F46" s="183">
        <v>7.7157873714236103E-2</v>
      </c>
      <c r="H46" s="183">
        <v>7.7157873839449845E-2</v>
      </c>
      <c r="J46" s="183">
        <v>7.7157872601730446E-2</v>
      </c>
      <c r="L46" s="183">
        <v>7.7157874178821445E-2</v>
      </c>
      <c r="N46" s="183">
        <v>7.7157874680899088E-2</v>
      </c>
      <c r="P46" s="183">
        <v>7.7157869561937362E-2</v>
      </c>
      <c r="R46" s="183">
        <v>7.7157873134685112E-2</v>
      </c>
      <c r="T46" s="183">
        <v>7.7157874402112109E-2</v>
      </c>
      <c r="V46" s="183">
        <v>7.7157873965308071E-2</v>
      </c>
      <c r="X46" s="183">
        <v>7.7157873562416698E-2</v>
      </c>
      <c r="Z46" s="183">
        <v>7.7157873507116545E-2</v>
      </c>
      <c r="AB46" s="183">
        <v>7.7157873839095739E-2</v>
      </c>
      <c r="AD46" s="183">
        <v>7.7157875022314762E-2</v>
      </c>
      <c r="AF46" s="183">
        <v>7.7157873534869137E-2</v>
      </c>
      <c r="AH46" s="183">
        <v>7.7157873544338784E-2</v>
      </c>
      <c r="AJ46" s="183">
        <v>7.7157873582743883E-2</v>
      </c>
      <c r="AL46" s="183">
        <v>7.7157872682749346E-2</v>
      </c>
      <c r="AN46" s="183">
        <v>7.7157871546931545E-2</v>
      </c>
      <c r="AP46" s="183">
        <v>7.7157872453700302E-2</v>
      </c>
      <c r="AR46" s="183">
        <v>7.7157874343122768E-2</v>
      </c>
      <c r="AT46" s="183">
        <v>7.7157875241203044E-2</v>
      </c>
      <c r="AV46" s="183">
        <v>7.7157872538912708E-2</v>
      </c>
      <c r="XCS46" s="183"/>
    </row>
    <row r="48" spans="1:49 16319:16384" x14ac:dyDescent="0.2">
      <c r="A48" t="s">
        <v>143</v>
      </c>
      <c r="B48" s="181">
        <v>1</v>
      </c>
      <c r="C48" s="181"/>
      <c r="D48" s="181">
        <v>1.0054058914013415</v>
      </c>
      <c r="E48" s="181"/>
      <c r="F48" s="181">
        <v>1.0102218507625746</v>
      </c>
      <c r="G48" s="181"/>
      <c r="H48" s="181">
        <v>1.0143080734167049</v>
      </c>
      <c r="I48" s="181"/>
      <c r="J48" s="181">
        <v>1.01748430167437</v>
      </c>
      <c r="K48" s="181"/>
      <c r="L48" s="181">
        <v>1.0195153261619312</v>
      </c>
      <c r="M48" s="181"/>
      <c r="N48" s="181">
        <v>1.0200905528597055</v>
      </c>
      <c r="O48" s="181"/>
      <c r="P48" s="181">
        <v>1.0187958711144178</v>
      </c>
      <c r="Q48" s="181"/>
      <c r="R48" s="181">
        <v>1.0150727513340863</v>
      </c>
      <c r="S48" s="181"/>
      <c r="T48" s="181">
        <v>1.0081587056887946</v>
      </c>
      <c r="U48" s="181"/>
      <c r="V48" s="181">
        <v>0.99700343360855403</v>
      </c>
      <c r="W48" s="181"/>
      <c r="X48" s="181">
        <v>0.98014909980869103</v>
      </c>
      <c r="Y48" s="181"/>
      <c r="Z48" s="181">
        <v>0.9555692512689663</v>
      </c>
      <c r="AA48" s="181"/>
      <c r="AB48" s="181">
        <v>0.920470970082652</v>
      </c>
      <c r="AC48" s="181"/>
      <c r="AD48" s="181">
        <v>0.87110161138137843</v>
      </c>
      <c r="AE48" s="181"/>
      <c r="AF48" s="181">
        <v>0.80267397357051873</v>
      </c>
      <c r="AG48" s="181"/>
      <c r="AH48" s="181">
        <v>0.70960952667351085</v>
      </c>
      <c r="AI48" s="181"/>
      <c r="AJ48" s="181">
        <v>0.58628058796103699</v>
      </c>
      <c r="AK48" s="181"/>
      <c r="AL48" s="181">
        <v>0.42814628249722675</v>
      </c>
      <c r="AM48" s="181"/>
      <c r="AN48" s="181">
        <v>0.23274972838609889</v>
      </c>
      <c r="AO48" s="181"/>
      <c r="AP48" s="181">
        <v>0.18915293246190806</v>
      </c>
      <c r="AQ48" s="181"/>
      <c r="AR48" s="181">
        <v>0.14406568865123986</v>
      </c>
      <c r="AS48" s="181"/>
      <c r="AT48" s="181">
        <v>9.7500628287974109E-2</v>
      </c>
      <c r="AU48" s="181"/>
      <c r="AV48" s="181">
        <v>4.9472922236781562E-2</v>
      </c>
    </row>
    <row r="49" spans="1:48 16321:16384" x14ac:dyDescent="0.2">
      <c r="A49" t="s">
        <v>144</v>
      </c>
      <c r="B49" s="181">
        <v>1</v>
      </c>
      <c r="C49" s="181"/>
      <c r="D49" s="181">
        <v>0.9939990976259977</v>
      </c>
      <c r="E49" s="181"/>
      <c r="F49" s="181">
        <v>0.98756699175111962</v>
      </c>
      <c r="G49" s="181"/>
      <c r="H49" s="181">
        <v>0.9806603748998286</v>
      </c>
      <c r="I49" s="181"/>
      <c r="J49" s="181">
        <v>0.97323072649774844</v>
      </c>
      <c r="K49" s="181"/>
      <c r="L49" s="181">
        <v>0.96522385618474615</v>
      </c>
      <c r="M49" s="181"/>
      <c r="N49" s="181">
        <v>0.95657953639591942</v>
      </c>
      <c r="O49" s="181"/>
      <c r="P49" s="181">
        <v>0.94723134872837556</v>
      </c>
      <c r="Q49" s="181"/>
      <c r="R49" s="181">
        <v>0.93710709305547035</v>
      </c>
      <c r="S49" s="181"/>
      <c r="T49" s="181">
        <v>0.92613037500793738</v>
      </c>
      <c r="U49" s="181"/>
      <c r="V49" s="181">
        <v>0.91422382202542574</v>
      </c>
      <c r="W49" s="181"/>
      <c r="X49" s="181">
        <v>0.90131612005830553</v>
      </c>
      <c r="Y49" s="181"/>
      <c r="Z49" s="181">
        <v>0.88735443444614215</v>
      </c>
      <c r="AA49" s="181"/>
      <c r="AB49" s="181">
        <v>0.87232567371875935</v>
      </c>
      <c r="AC49" s="181"/>
      <c r="AD49" s="181">
        <v>0.85628817634413779</v>
      </c>
      <c r="AE49" s="181"/>
      <c r="AF49" s="181">
        <v>0.83941039496580039</v>
      </c>
      <c r="AG49" s="181"/>
      <c r="AH49" s="181">
        <v>0.8220003199271857</v>
      </c>
      <c r="AI49" s="181"/>
      <c r="AJ49" s="181">
        <v>0.80449570439306117</v>
      </c>
      <c r="AK49" s="181"/>
      <c r="AL49" s="181">
        <v>0.7873926110248558</v>
      </c>
      <c r="AM49" s="181"/>
      <c r="AN49" s="181">
        <v>0.77113382992314616</v>
      </c>
      <c r="AO49" s="181"/>
      <c r="AP49" s="181">
        <v>0.76801280966988383</v>
      </c>
      <c r="AQ49" s="181"/>
      <c r="AR49" s="181">
        <v>0.76493969459753874</v>
      </c>
      <c r="AS49" s="181"/>
      <c r="AT49" s="181">
        <v>0.76191578360908085</v>
      </c>
      <c r="AU49" s="181"/>
      <c r="AV49" s="181">
        <v>0.75894211409656431</v>
      </c>
    </row>
    <row r="51" spans="1:48 16321:16384" x14ac:dyDescent="0.2">
      <c r="A51" t="s">
        <v>150</v>
      </c>
      <c r="B51" s="27">
        <v>-405838.32800000021</v>
      </c>
      <c r="D51" s="27">
        <v>-355944.96593817277</v>
      </c>
      <c r="F51" s="27">
        <v>-305248.94728729594</v>
      </c>
      <c r="H51" s="27">
        <v>-253705.44669208908</v>
      </c>
      <c r="J51" s="27">
        <v>-201279.80570866913</v>
      </c>
      <c r="L51" s="27">
        <v>-147954.87047908362</v>
      </c>
      <c r="N51" s="27">
        <v>-93742.47151686484</v>
      </c>
      <c r="P51" s="27">
        <v>-38702.807507669553</v>
      </c>
      <c r="R51" s="27">
        <v>17024.883851466235</v>
      </c>
      <c r="T51" s="27">
        <v>73173.888940317091</v>
      </c>
      <c r="V51" s="27">
        <v>129269.11772836093</v>
      </c>
      <c r="X51" s="27">
        <v>184495.87318277918</v>
      </c>
      <c r="Z51" s="27">
        <v>237490.34315489093</v>
      </c>
      <c r="AB51" s="27">
        <v>286018.11892904295</v>
      </c>
      <c r="AD51" s="27">
        <v>326530.70563917886</v>
      </c>
      <c r="AF51" s="27">
        <v>353674.7922261213</v>
      </c>
      <c r="AH51" s="27">
        <v>360014.53142082039</v>
      </c>
      <c r="AJ51" s="27">
        <v>336412.21852210024</v>
      </c>
      <c r="AL51" s="27">
        <v>273363.75343516539</v>
      </c>
      <c r="AN51" s="27">
        <v>162893.91627043323</v>
      </c>
      <c r="AP51" s="27">
        <v>134609.45390346466</v>
      </c>
      <c r="AQ51" s="27"/>
      <c r="AR51" s="27">
        <v>104193.55117663933</v>
      </c>
      <c r="AT51" s="27">
        <v>71627.957798743009</v>
      </c>
      <c r="AV51" s="27">
        <v>36899.537363724114</v>
      </c>
      <c r="XFD51" s="27"/>
    </row>
    <row r="52" spans="1:48 16321:16384" x14ac:dyDescent="0.2">
      <c r="A52" t="s">
        <v>151</v>
      </c>
      <c r="B52" s="27">
        <v>2073093.0976150823</v>
      </c>
      <c r="D52" s="27">
        <v>2056310.6395334182</v>
      </c>
      <c r="F52" s="27">
        <v>2037858.7889411591</v>
      </c>
      <c r="H52" s="27">
        <v>2017455.9401703083</v>
      </c>
      <c r="J52" s="27">
        <v>1994754.1792955713</v>
      </c>
      <c r="L52" s="27">
        <v>1969318.4502772484</v>
      </c>
      <c r="N52" s="27">
        <v>1940597.7343365932</v>
      </c>
      <c r="P52" s="27">
        <v>1907886.2283390379</v>
      </c>
      <c r="R52" s="27">
        <v>1870268.2763126879</v>
      </c>
      <c r="T52" s="27">
        <v>1826540.2839447067</v>
      </c>
      <c r="V52" s="27">
        <v>1775103.8575292407</v>
      </c>
      <c r="X52" s="27">
        <v>1713819.2109803234</v>
      </c>
      <c r="Z52" s="27">
        <v>1639817.6543452265</v>
      </c>
      <c r="AB52" s="27">
        <v>1549290.7051463882</v>
      </c>
      <c r="AD52" s="27">
        <v>1437323.0317125865</v>
      </c>
      <c r="AF52" s="27">
        <v>1297924.5423316911</v>
      </c>
      <c r="AH52" s="27">
        <v>1124496.6247700849</v>
      </c>
      <c r="AJ52" s="27">
        <v>910884.94405888801</v>
      </c>
      <c r="AL52" s="27">
        <v>652769.75418220228</v>
      </c>
      <c r="AN52" s="27">
        <v>348676.90724412125</v>
      </c>
      <c r="AP52" s="27">
        <v>282421.02608680271</v>
      </c>
      <c r="AQ52" s="27"/>
      <c r="AR52" s="27">
        <v>214398.26735193003</v>
      </c>
      <c r="AT52" s="27">
        <v>144634.53617997013</v>
      </c>
      <c r="AV52" s="27">
        <v>73158.256226843412</v>
      </c>
    </row>
    <row r="53" spans="1:48 16321:16384" x14ac:dyDescent="0.2">
      <c r="A53" t="s">
        <v>152</v>
      </c>
      <c r="B53" s="27">
        <v>2716869.1663849424</v>
      </c>
      <c r="D53" s="27">
        <v>2691480.2624307037</v>
      </c>
      <c r="F53" s="27">
        <v>2664073.0595570602</v>
      </c>
      <c r="H53" s="27">
        <v>2634267.682653571</v>
      </c>
      <c r="J53" s="27">
        <v>2601591.246685456</v>
      </c>
      <c r="L53" s="27">
        <v>2565448.7565120715</v>
      </c>
      <c r="N53" s="27">
        <v>2525083.4518066156</v>
      </c>
      <c r="P53" s="27">
        <v>2479523.721734432</v>
      </c>
      <c r="R53" s="27">
        <v>2427509.330371575</v>
      </c>
      <c r="T53" s="27">
        <v>2367388.7975744903</v>
      </c>
      <c r="V53" s="27">
        <v>2296983.5046605947</v>
      </c>
      <c r="X53" s="27">
        <v>2213407.6785723479</v>
      </c>
      <c r="Z53" s="27">
        <v>2112852.5547724105</v>
      </c>
      <c r="AB53" s="27">
        <v>1990369.9455033597</v>
      </c>
      <c r="AD53" s="27">
        <v>1839759.9372828465</v>
      </c>
      <c r="AF53" s="27">
        <v>1653770.4471746671</v>
      </c>
      <c r="AH53" s="27">
        <v>1424877.7051982479</v>
      </c>
      <c r="AJ53" s="27">
        <v>1146735.6379295681</v>
      </c>
      <c r="AL53" s="27">
        <v>815830.70413545601</v>
      </c>
      <c r="AN53" s="27">
        <v>432397.08952717535</v>
      </c>
      <c r="AP53" s="27">
        <v>349676.00007208984</v>
      </c>
      <c r="AQ53" s="27"/>
      <c r="AR53" s="27">
        <v>265031.08740392909</v>
      </c>
      <c r="AT53" s="27">
        <v>178505.9926477476</v>
      </c>
      <c r="AV53" s="27">
        <v>90146.486860848934</v>
      </c>
      <c r="XFD53" s="27"/>
    </row>
    <row r="55" spans="1:48 16321:16384" x14ac:dyDescent="0.2">
      <c r="A55" t="s">
        <v>153</v>
      </c>
      <c r="B55" s="183">
        <v>0.19850271905982084</v>
      </c>
      <c r="D55" s="183">
        <v>0.20177378082435329</v>
      </c>
      <c r="F55" s="183">
        <v>0.2051158018997602</v>
      </c>
      <c r="H55" s="183">
        <v>0.20853799101915715</v>
      </c>
      <c r="J55" s="183">
        <v>0.21205092506438941</v>
      </c>
      <c r="L55" s="183">
        <v>0.2156668411589196</v>
      </c>
      <c r="N55" s="183">
        <v>0.21940000928212483</v>
      </c>
      <c r="P55" s="183">
        <v>0.22326711963018561</v>
      </c>
      <c r="R55" s="183">
        <v>0.22728772509645434</v>
      </c>
      <c r="T55" s="183">
        <v>0.23148475814878408</v>
      </c>
      <c r="V55" s="183">
        <v>0.23588478461407747</v>
      </c>
      <c r="X55" s="183">
        <v>0.24051772558887577</v>
      </c>
      <c r="Z55" s="183">
        <v>0.24541530372605019</v>
      </c>
      <c r="AB55" s="183">
        <v>0.25060672613361074</v>
      </c>
      <c r="AD55" s="183">
        <v>0.25610982576734659</v>
      </c>
      <c r="AF55" s="183">
        <v>0.26191642480205685</v>
      </c>
      <c r="AH55" s="183">
        <v>0.26797461874092454</v>
      </c>
      <c r="AJ55" s="183">
        <v>0.27417804256173017</v>
      </c>
      <c r="AL55" s="183">
        <v>0.28037608349437998</v>
      </c>
      <c r="AN55" s="183">
        <v>0.28640753760078347</v>
      </c>
      <c r="AP55" s="183">
        <v>0.28758131651985464</v>
      </c>
      <c r="AR55" s="183">
        <v>0.28874211137310574</v>
      </c>
      <c r="AT55" s="183">
        <v>0.28988918256196544</v>
      </c>
      <c r="AV55" s="183">
        <v>0.29102188428721737</v>
      </c>
      <c r="XCS55" s="183"/>
      <c r="XFD55" s="183"/>
    </row>
    <row r="56" spans="1:48 16321:16384" x14ac:dyDescent="0.2">
      <c r="A56" t="s">
        <v>154</v>
      </c>
      <c r="B56" s="183">
        <v>2.9221206744340551E-2</v>
      </c>
      <c r="D56" s="183">
        <v>3.3099422212436044E-2</v>
      </c>
      <c r="F56" s="183">
        <v>3.7067629987534476E-2</v>
      </c>
      <c r="H56" s="183">
        <v>4.1136379118650042E-2</v>
      </c>
      <c r="J56" s="183">
        <v>4.5317604806561149E-2</v>
      </c>
      <c r="L56" s="183">
        <v>4.9624872910138694E-2</v>
      </c>
      <c r="N56" s="183">
        <v>5.4073671821546036E-2</v>
      </c>
      <c r="P56" s="183">
        <v>5.868172020978072E-2</v>
      </c>
      <c r="R56" s="183">
        <v>6.3469260267729866E-2</v>
      </c>
      <c r="T56" s="183">
        <v>6.8459362188532005E-2</v>
      </c>
      <c r="V56" s="183">
        <v>7.3677876538428957E-2</v>
      </c>
      <c r="X56" s="183">
        <v>7.9152723427799013E-2</v>
      </c>
      <c r="Z56" s="183">
        <v>8.4911727028618933E-2</v>
      </c>
      <c r="AB56" s="183">
        <v>9.0977531631663708E-2</v>
      </c>
      <c r="AD56" s="183">
        <v>9.7357905457058705E-2</v>
      </c>
      <c r="AF56" s="183">
        <v>0.10403057847484476</v>
      </c>
      <c r="AH56" s="183">
        <v>0.11092601528367321</v>
      </c>
      <c r="AJ56" s="183">
        <v>0.11791898242754112</v>
      </c>
      <c r="AL56" s="183">
        <v>0.12484266452278835</v>
      </c>
      <c r="AN56" s="183">
        <v>0.13152604683184463</v>
      </c>
      <c r="AP56" s="183">
        <v>0.1328210574507524</v>
      </c>
      <c r="AR56" s="183">
        <v>0.13410005024916916</v>
      </c>
      <c r="AT56" s="183">
        <v>0.13536231457534917</v>
      </c>
      <c r="AV56" s="183">
        <v>0.13660724130395327</v>
      </c>
      <c r="XFD56" s="183"/>
    </row>
    <row r="57" spans="1:48 16321:16384" x14ac:dyDescent="0.2">
      <c r="A57" t="s">
        <v>155</v>
      </c>
      <c r="B57" s="183">
        <v>0.15852881819439493</v>
      </c>
      <c r="D57" s="183">
        <v>0.15799472661480862</v>
      </c>
      <c r="F57" s="183">
        <v>0.15744217272597941</v>
      </c>
      <c r="H57" s="183">
        <v>0.15686992245421497</v>
      </c>
      <c r="J57" s="183">
        <v>0.15627673686005641</v>
      </c>
      <c r="L57" s="183">
        <v>0.15566141736027975</v>
      </c>
      <c r="N57" s="183">
        <v>0.15502287874057991</v>
      </c>
      <c r="P57" s="183">
        <v>0.15436022470968397</v>
      </c>
      <c r="R57" s="183">
        <v>0.15367288156790879</v>
      </c>
      <c r="T57" s="183">
        <v>0.15296078682338057</v>
      </c>
      <c r="V57" s="183">
        <v>0.15222465050570677</v>
      </c>
      <c r="X57" s="183">
        <v>0.15146633234790469</v>
      </c>
      <c r="Y57" s="183"/>
      <c r="Z57" s="183">
        <v>0.15068936554040907</v>
      </c>
      <c r="AB57" s="183">
        <v>0.14989962059620515</v>
      </c>
      <c r="AD57" s="183">
        <v>0.14910603707854611</v>
      </c>
      <c r="AF57" s="183">
        <v>0.14832110752257691</v>
      </c>
      <c r="AH57" s="183">
        <v>0.14756050786660896</v>
      </c>
      <c r="AJ57" s="183">
        <v>0.14684115370529344</v>
      </c>
      <c r="AL57" s="183">
        <v>0.14617779640621081</v>
      </c>
      <c r="AN57" s="183">
        <v>0.14557966706243197</v>
      </c>
      <c r="AP57" s="183">
        <v>0.14546819107264564</v>
      </c>
      <c r="AR57" s="183">
        <v>0.14535942570309698</v>
      </c>
      <c r="AT57" s="183">
        <v>0.14525334886004179</v>
      </c>
      <c r="AV57" s="183">
        <v>0.14514993129598108</v>
      </c>
      <c r="XFD57" s="183"/>
    </row>
    <row r="58" spans="1:48 16321:16384" x14ac:dyDescent="0.2">
      <c r="A58" t="s">
        <v>156</v>
      </c>
      <c r="B58" s="183">
        <v>1.075269412108535E-2</v>
      </c>
      <c r="D58" s="183">
        <v>1.0679631997108615E-2</v>
      </c>
      <c r="F58" s="183">
        <v>1.0605999186246324E-2</v>
      </c>
      <c r="H58" s="183">
        <v>1.0531689446292137E-2</v>
      </c>
      <c r="J58" s="183">
        <v>1.0456583397771863E-2</v>
      </c>
      <c r="L58" s="183">
        <v>1.0380550888501134E-2</v>
      </c>
      <c r="N58" s="183">
        <v>1.03034587199989E-2</v>
      </c>
      <c r="P58" s="183">
        <v>1.0225174710720894E-2</v>
      </c>
      <c r="R58" s="183">
        <v>1.0145583260815719E-2</v>
      </c>
      <c r="T58" s="183">
        <v>1.0064609136871443E-2</v>
      </c>
      <c r="V58" s="183">
        <v>9.982257569941734E-3</v>
      </c>
      <c r="X58" s="183">
        <v>9.8986698131720372E-3</v>
      </c>
      <c r="Y58" s="183"/>
      <c r="Z58" s="183">
        <v>9.8142111570221815E-3</v>
      </c>
      <c r="AB58" s="183">
        <v>9.7295739057418878E-3</v>
      </c>
      <c r="AD58" s="183">
        <v>9.6458832317417482E-3</v>
      </c>
      <c r="AF58" s="183">
        <v>9.5647388046352332E-3</v>
      </c>
      <c r="AH58" s="183">
        <v>9.4880955906423668E-3</v>
      </c>
      <c r="AJ58" s="183">
        <v>9.4179064288956414E-3</v>
      </c>
      <c r="AL58" s="183">
        <v>9.3556225653808455E-3</v>
      </c>
      <c r="AN58" s="183">
        <v>9.301823706506852E-3</v>
      </c>
      <c r="AP58" s="183">
        <v>9.2920679964565919E-3</v>
      </c>
      <c r="AR58" s="183">
        <v>9.2826354208395759E-3</v>
      </c>
      <c r="AT58" s="183">
        <v>9.2735191265744983E-3</v>
      </c>
      <c r="AV58" s="183">
        <v>9.2647116872830067E-3</v>
      </c>
      <c r="XFD58" s="183"/>
    </row>
    <row r="59" spans="1:48 16321:16384" x14ac:dyDescent="0.2">
      <c r="A59" t="s">
        <v>157</v>
      </c>
      <c r="B59" s="183">
        <v>5.5174232040962052E-4</v>
      </c>
      <c r="D59" s="183">
        <v>4.4770936878593343E-3</v>
      </c>
      <c r="F59" s="183">
        <v>8.4930085047766682E-3</v>
      </c>
      <c r="H59" s="183">
        <v>1.26100876482941E-2</v>
      </c>
      <c r="J59" s="183">
        <v>1.6840321448652166E-2</v>
      </c>
      <c r="L59" s="183">
        <v>2.1197333821454549E-2</v>
      </c>
      <c r="N59" s="183">
        <v>2.5696672380424158E-2</v>
      </c>
      <c r="P59" s="183">
        <v>3.0356116937312688E-2</v>
      </c>
      <c r="R59" s="183">
        <v>3.519597085865029E-2</v>
      </c>
      <c r="T59" s="183">
        <v>4.0239363857566504E-2</v>
      </c>
      <c r="V59" s="183">
        <v>4.5512199147367177E-2</v>
      </c>
      <c r="X59" s="183">
        <v>5.1042435268544753E-2</v>
      </c>
      <c r="Z59" s="183">
        <v>5.685790153391497E-2</v>
      </c>
      <c r="AB59" s="183">
        <v>6.2981181549455145E-2</v>
      </c>
      <c r="AD59" s="183">
        <v>6.9419858276500976E-2</v>
      </c>
      <c r="AF59" s="183">
        <v>7.6151267761255345E-2</v>
      </c>
      <c r="AH59" s="183">
        <v>8.3105187660504037E-2</v>
      </c>
      <c r="AJ59" s="183">
        <v>9.0155393264182357E-2</v>
      </c>
      <c r="AL59" s="183">
        <v>9.7133909766981066E-2</v>
      </c>
      <c r="AN59" s="183">
        <v>0.10386866208704984</v>
      </c>
      <c r="AP59" s="183">
        <v>0.10517346063877948</v>
      </c>
      <c r="AR59" s="183">
        <v>0.10646206931167325</v>
      </c>
      <c r="AT59" s="183">
        <v>0.10773377462098603</v>
      </c>
      <c r="AV59" s="183">
        <v>0.10898796525285141</v>
      </c>
      <c r="XFD59" s="183"/>
    </row>
    <row r="60" spans="1:48 16321:16384" x14ac:dyDescent="0.2">
      <c r="A60" t="s">
        <v>158</v>
      </c>
      <c r="B60" s="183">
        <v>2.8669464423930927E-2</v>
      </c>
      <c r="D60" s="183">
        <v>2.8622328524576711E-2</v>
      </c>
      <c r="F60" s="183">
        <v>2.8574621482757804E-2</v>
      </c>
      <c r="H60" s="183">
        <v>2.8526291470355944E-2</v>
      </c>
      <c r="J60" s="183">
        <v>2.8477283357908976E-2</v>
      </c>
      <c r="L60" s="183">
        <v>2.8427539088684145E-2</v>
      </c>
      <c r="N60" s="183">
        <v>2.8376999441121879E-2</v>
      </c>
      <c r="P60" s="183">
        <v>2.8325603272468036E-2</v>
      </c>
      <c r="R60" s="183">
        <v>2.827328940907959E-2</v>
      </c>
      <c r="T60" s="183">
        <v>2.8219998330965505E-2</v>
      </c>
      <c r="V60" s="183">
        <v>2.8165677391061777E-2</v>
      </c>
      <c r="X60" s="183">
        <v>2.8110288159254263E-2</v>
      </c>
      <c r="Z60" s="183">
        <v>2.8053825494703973E-2</v>
      </c>
      <c r="AB60" s="183">
        <v>2.799635008220857E-2</v>
      </c>
      <c r="AD60" s="183">
        <v>2.7938047180557729E-2</v>
      </c>
      <c r="AF60" s="183">
        <v>2.7879310713589418E-2</v>
      </c>
      <c r="AH60" s="183">
        <v>2.7820827623169182E-2</v>
      </c>
      <c r="AJ60" s="183">
        <v>2.7763589163358759E-2</v>
      </c>
      <c r="AL60" s="183">
        <v>2.770875475580728E-2</v>
      </c>
      <c r="AN60" s="183">
        <v>2.7657384744794792E-2</v>
      </c>
      <c r="AP60" s="183">
        <v>2.7647596811972906E-2</v>
      </c>
      <c r="AR60" s="183">
        <v>2.7637980937495903E-2</v>
      </c>
      <c r="AT60" s="183">
        <v>2.7628539954363117E-2</v>
      </c>
      <c r="AV60" s="183">
        <v>2.761927605110186E-2</v>
      </c>
      <c r="XFD60" s="183"/>
    </row>
    <row r="62" spans="1:48 16321:16384" x14ac:dyDescent="0.2">
      <c r="A62" t="s">
        <v>159</v>
      </c>
      <c r="B62">
        <v>1</v>
      </c>
      <c r="D62">
        <v>0.99954171422321914</v>
      </c>
      <c r="F62">
        <v>0.99902666422218278</v>
      </c>
      <c r="H62">
        <v>0.99846481222276395</v>
      </c>
      <c r="J62">
        <v>0.99787112683691992</v>
      </c>
      <c r="L62">
        <v>0.9972675292789458</v>
      </c>
      <c r="N62">
        <v>0.99668550352120711</v>
      </c>
      <c r="P62">
        <v>0.99616946334185241</v>
      </c>
      <c r="R62">
        <v>0.99578130409504961</v>
      </c>
      <c r="T62">
        <v>0.99560647883434239</v>
      </c>
      <c r="V62">
        <v>0.99576104165863644</v>
      </c>
      <c r="X62">
        <v>0.99639987362453242</v>
      </c>
      <c r="Z62">
        <v>0.99772342382119195</v>
      </c>
      <c r="AB62">
        <v>0.99997859910241038</v>
      </c>
      <c r="AD62">
        <v>1.0034445448081677</v>
      </c>
      <c r="AF62">
        <v>1.0083911328383779</v>
      </c>
      <c r="AH62">
        <v>1.015003927098834</v>
      </c>
      <c r="AJ62">
        <v>1.0232948861177029</v>
      </c>
      <c r="AL62">
        <v>1.0330525018573058</v>
      </c>
      <c r="AN62">
        <v>1.0438811313072949</v>
      </c>
      <c r="AP62">
        <v>1.0461341295117872</v>
      </c>
      <c r="AR62">
        <v>1.0484074431940256</v>
      </c>
      <c r="AT62">
        <v>1.0506974930143012</v>
      </c>
      <c r="AV62">
        <v>1.0530008384417879</v>
      </c>
    </row>
    <row r="65" spans="1:48 16384:16384" x14ac:dyDescent="0.2">
      <c r="A65" t="s">
        <v>160</v>
      </c>
      <c r="B65" s="181">
        <v>1</v>
      </c>
      <c r="C65" s="181"/>
      <c r="D65" s="181">
        <v>0.99876286384581292</v>
      </c>
      <c r="E65" s="181"/>
      <c r="F65" s="181">
        <v>0.99749919832968525</v>
      </c>
      <c r="G65" s="181"/>
      <c r="H65" s="181">
        <v>0.99620534232921754</v>
      </c>
      <c r="I65" s="181"/>
      <c r="J65" s="181">
        <v>0.994877428836625</v>
      </c>
      <c r="K65" s="181"/>
      <c r="L65" s="181">
        <v>0.9935115848502768</v>
      </c>
      <c r="M65" s="181"/>
      <c r="N65" s="181">
        <v>0.99210427646048205</v>
      </c>
      <c r="O65" s="181"/>
      <c r="P65" s="181">
        <v>0.99065284440477486</v>
      </c>
      <c r="Q65" s="181"/>
      <c r="R65" s="181">
        <v>0.98915637787055233</v>
      </c>
      <c r="S65" s="181"/>
      <c r="T65" s="181">
        <v>0.98761705135833755</v>
      </c>
      <c r="U65" s="181"/>
      <c r="V65" s="181">
        <v>0.9860420427874268</v>
      </c>
      <c r="W65" s="181"/>
      <c r="X65" s="181">
        <v>0.98444618353020696</v>
      </c>
      <c r="Y65" s="181"/>
      <c r="Z65" s="181">
        <v>0.9828551865835049</v>
      </c>
      <c r="AA65" s="181"/>
      <c r="AB65" s="181">
        <v>0.98130881885492316</v>
      </c>
      <c r="AC65" s="181"/>
      <c r="AD65" s="181">
        <v>0.97986224082388329</v>
      </c>
      <c r="AE65" s="181"/>
      <c r="AF65" s="181">
        <v>0.97858239078265663</v>
      </c>
      <c r="AG65" s="181"/>
      <c r="AH65" s="181">
        <v>0.9775361544866753</v>
      </c>
      <c r="AI65" s="181"/>
      <c r="AJ65" s="181">
        <v>0.97677119741348184</v>
      </c>
      <c r="AK65" s="181"/>
      <c r="AL65" s="181">
        <v>0.97629849302833338</v>
      </c>
      <c r="AM65" s="181"/>
      <c r="AN65" s="181">
        <v>0.97608912245613177</v>
      </c>
      <c r="AO65" s="181"/>
      <c r="AP65" s="181">
        <v>0.97607422985643699</v>
      </c>
      <c r="AQ65" s="181"/>
      <c r="AR65" s="181">
        <v>0.97606717854154168</v>
      </c>
      <c r="AS65" s="181"/>
      <c r="AT65" s="181">
        <v>0.97606746049376536</v>
      </c>
      <c r="AU65" s="181"/>
      <c r="AV65" s="181">
        <v>0.97607457102433781</v>
      </c>
    </row>
    <row r="66" spans="1:48 16384:16384" x14ac:dyDescent="0.2">
      <c r="A66" t="s">
        <v>166</v>
      </c>
      <c r="B66" s="181">
        <v>1</v>
      </c>
      <c r="C66" s="181"/>
      <c r="D66" s="181">
        <v>0.99863971587803757</v>
      </c>
      <c r="E66" s="181"/>
      <c r="F66" s="181">
        <v>0.99724893179227048</v>
      </c>
      <c r="G66" s="181"/>
      <c r="H66" s="181">
        <v>0.99582351835225402</v>
      </c>
      <c r="I66" s="181"/>
      <c r="J66" s="181">
        <v>0.99435909848535198</v>
      </c>
      <c r="K66" s="181"/>
      <c r="L66" s="181">
        <v>0.99285126553393799</v>
      </c>
      <c r="M66" s="181"/>
      <c r="N66" s="181">
        <v>0.99129596310541901</v>
      </c>
      <c r="O66" s="181"/>
      <c r="P66" s="181">
        <v>0.98969007834270306</v>
      </c>
      <c r="Q66" s="181"/>
      <c r="R66" s="181">
        <v>0.98803241459427815</v>
      </c>
      <c r="S66" s="181"/>
      <c r="T66" s="181">
        <v>0.98632518612443609</v>
      </c>
      <c r="U66" s="181"/>
      <c r="V66" s="181">
        <v>0.98457617181912249</v>
      </c>
      <c r="W66" s="181"/>
      <c r="X66" s="181">
        <v>0.9828017030192796</v>
      </c>
      <c r="Y66" s="181"/>
      <c r="Z66" s="181">
        <v>0.98103032193887729</v>
      </c>
      <c r="AA66" s="181"/>
      <c r="AB66" s="181">
        <v>0.97930640638431432</v>
      </c>
      <c r="AC66" s="181"/>
      <c r="AD66" s="181">
        <v>0.97769176405449199</v>
      </c>
      <c r="AE66" s="181"/>
      <c r="AF66" s="181">
        <v>0.97626166353187926</v>
      </c>
      <c r="AG66" s="181"/>
      <c r="AH66" s="181">
        <v>0.97509158430467313</v>
      </c>
      <c r="AI66" s="181"/>
      <c r="AJ66" s="181">
        <v>0.97423561354821486</v>
      </c>
      <c r="AK66" s="181"/>
      <c r="AL66" s="181">
        <v>0.97370665113893173</v>
      </c>
      <c r="AM66" s="181"/>
      <c r="AN66" s="181">
        <v>0.97347265791601489</v>
      </c>
      <c r="AO66" s="181"/>
      <c r="AP66" s="181">
        <v>0.97345609404929856</v>
      </c>
      <c r="AQ66" s="181"/>
      <c r="AR66" s="181">
        <v>0.97344831757100092</v>
      </c>
      <c r="AS66" s="181"/>
      <c r="AT66" s="181">
        <v>0.97344875904901074</v>
      </c>
      <c r="AU66" s="181"/>
      <c r="AV66" s="181">
        <v>0.97345685263051629</v>
      </c>
      <c r="XFD66" s="181"/>
    </row>
    <row r="67" spans="1:48 16384:16384" x14ac:dyDescent="0.2">
      <c r="A67" t="s">
        <v>167</v>
      </c>
      <c r="B67" s="181">
        <v>1</v>
      </c>
      <c r="C67" s="181"/>
      <c r="D67" s="181">
        <v>1</v>
      </c>
      <c r="E67" s="181"/>
      <c r="F67" s="181">
        <v>1</v>
      </c>
      <c r="G67" s="181"/>
      <c r="H67" s="181">
        <v>1</v>
      </c>
      <c r="I67" s="181"/>
      <c r="J67" s="181">
        <v>1</v>
      </c>
      <c r="K67" s="181"/>
      <c r="L67" s="181">
        <v>1</v>
      </c>
      <c r="M67" s="181"/>
      <c r="N67" s="181">
        <v>1</v>
      </c>
      <c r="O67" s="181"/>
      <c r="P67" s="181">
        <v>1</v>
      </c>
      <c r="Q67" s="181"/>
      <c r="R67" s="181">
        <v>1</v>
      </c>
      <c r="S67" s="181"/>
      <c r="T67" s="181">
        <v>1</v>
      </c>
      <c r="U67" s="181"/>
      <c r="V67" s="181">
        <v>1</v>
      </c>
      <c r="W67" s="181"/>
      <c r="X67" s="181">
        <v>1</v>
      </c>
      <c r="Y67" s="181"/>
      <c r="Z67" s="181">
        <v>1</v>
      </c>
      <c r="AA67" s="181"/>
      <c r="AB67" s="181">
        <v>1</v>
      </c>
      <c r="AC67" s="181"/>
      <c r="AD67" s="181">
        <v>1</v>
      </c>
      <c r="AE67" s="181"/>
      <c r="AF67" s="181">
        <v>1</v>
      </c>
      <c r="AG67" s="181"/>
      <c r="AH67" s="181">
        <v>1</v>
      </c>
      <c r="AI67" s="181"/>
      <c r="AJ67" s="181">
        <v>1</v>
      </c>
      <c r="AK67" s="181"/>
      <c r="AL67" s="181">
        <v>1</v>
      </c>
      <c r="AM67" s="181"/>
      <c r="AN67" s="181">
        <v>1</v>
      </c>
      <c r="AO67" s="181"/>
      <c r="AP67" s="181">
        <v>1</v>
      </c>
      <c r="AQ67" s="181"/>
      <c r="AR67" s="181">
        <v>1</v>
      </c>
      <c r="AS67" s="181"/>
      <c r="AT67" s="181">
        <v>1</v>
      </c>
      <c r="AU67" s="181"/>
      <c r="AV67" s="181">
        <v>1</v>
      </c>
      <c r="XFD67" s="181"/>
    </row>
    <row r="68" spans="1:48 16384:16384" x14ac:dyDescent="0.2">
      <c r="A68" t="s">
        <v>165</v>
      </c>
      <c r="B68" s="181">
        <v>1</v>
      </c>
      <c r="C68" s="181"/>
      <c r="D68" s="181">
        <v>0.99863971587803757</v>
      </c>
      <c r="E68" s="181"/>
      <c r="F68" s="181">
        <v>0.99724893179227048</v>
      </c>
      <c r="G68" s="181"/>
      <c r="H68" s="181">
        <v>0.99582351835225402</v>
      </c>
      <c r="I68" s="181"/>
      <c r="J68" s="181">
        <v>0.99435909848535198</v>
      </c>
      <c r="K68" s="181"/>
      <c r="L68" s="181">
        <v>0.99285126553393799</v>
      </c>
      <c r="M68" s="181"/>
      <c r="N68" s="181">
        <v>0.99129596310541901</v>
      </c>
      <c r="O68" s="181"/>
      <c r="P68" s="181">
        <v>0.98969007834270306</v>
      </c>
      <c r="Q68" s="181"/>
      <c r="R68" s="181">
        <v>0.98803241459427815</v>
      </c>
      <c r="S68" s="181"/>
      <c r="T68" s="181">
        <v>0.98632518612443609</v>
      </c>
      <c r="U68" s="181"/>
      <c r="V68" s="181">
        <v>0.98457617181912249</v>
      </c>
      <c r="W68" s="181"/>
      <c r="X68" s="181">
        <v>0.9828017030192796</v>
      </c>
      <c r="Y68" s="181"/>
      <c r="Z68" s="181">
        <v>0.98103032193887729</v>
      </c>
      <c r="AA68" s="181"/>
      <c r="AB68" s="181">
        <v>0.97930640638431432</v>
      </c>
      <c r="AC68" s="181"/>
      <c r="AD68" s="181">
        <v>0.97769176405449199</v>
      </c>
      <c r="AE68" s="181"/>
      <c r="AF68" s="181">
        <v>0.97626166353187926</v>
      </c>
      <c r="AG68" s="181"/>
      <c r="AH68" s="181">
        <v>0.97509158430467313</v>
      </c>
      <c r="AI68" s="181"/>
      <c r="AJ68" s="181">
        <v>0.97423561354821486</v>
      </c>
      <c r="AK68" s="181"/>
      <c r="AL68" s="181">
        <v>0.97370665113893173</v>
      </c>
      <c r="AM68" s="181"/>
      <c r="AN68" s="181">
        <v>0.97347265791601489</v>
      </c>
      <c r="AO68" s="181"/>
      <c r="AP68" s="181">
        <v>0.97345609404929856</v>
      </c>
      <c r="AQ68" s="181"/>
      <c r="AR68" s="181">
        <v>0.97344831757100092</v>
      </c>
      <c r="AS68" s="181"/>
      <c r="AT68" s="181">
        <v>0.97344875904901074</v>
      </c>
      <c r="AU68" s="181"/>
      <c r="AV68" s="181">
        <v>0.97345685263051629</v>
      </c>
      <c r="XFD68" s="181"/>
    </row>
    <row r="69" spans="1:48 16384:16384" x14ac:dyDescent="0.2">
      <c r="A69" t="s">
        <v>161</v>
      </c>
      <c r="B69" s="181">
        <v>1</v>
      </c>
      <c r="C69" s="181"/>
      <c r="D69" s="181">
        <v>0.99649049662466704</v>
      </c>
      <c r="E69" s="181"/>
      <c r="F69" s="181">
        <v>0.99227002780292395</v>
      </c>
      <c r="G69" s="181"/>
      <c r="H69" s="181">
        <v>0.98719950051852712</v>
      </c>
      <c r="I69" s="181"/>
      <c r="J69" s="181">
        <v>0.98110364164607544</v>
      </c>
      <c r="K69" s="181"/>
      <c r="L69" s="181">
        <v>0.97375892231412919</v>
      </c>
      <c r="M69" s="181"/>
      <c r="N69" s="181">
        <v>0.96487669608834026</v>
      </c>
      <c r="O69" s="181"/>
      <c r="P69" s="181">
        <v>0.95408044944602155</v>
      </c>
      <c r="Q69" s="181"/>
      <c r="R69" s="181">
        <v>0.94087327595930836</v>
      </c>
      <c r="S69" s="181"/>
      <c r="T69" s="181">
        <v>0.92459168385515378</v>
      </c>
      <c r="U69" s="181"/>
      <c r="V69" s="181">
        <v>0.90434213475440461</v>
      </c>
      <c r="W69" s="181"/>
      <c r="X69" s="181">
        <v>0.87891390238415057</v>
      </c>
      <c r="Y69" s="181"/>
      <c r="Z69" s="181">
        <v>0.84666739595614482</v>
      </c>
      <c r="AA69" s="181"/>
      <c r="AB69" s="181">
        <v>0.80540829164998506</v>
      </c>
      <c r="AC69" s="181"/>
      <c r="AD69" s="181">
        <v>0.75228698972852615</v>
      </c>
      <c r="AE69" s="181"/>
      <c r="AF69" s="181">
        <v>0.68381481349125472</v>
      </c>
      <c r="AG69" s="181"/>
      <c r="AH69" s="181">
        <v>0.59613497496620227</v>
      </c>
      <c r="AI69" s="181"/>
      <c r="AJ69" s="181">
        <v>0.48563760342477397</v>
      </c>
      <c r="AK69" s="181"/>
      <c r="AL69" s="181">
        <v>0.34977229779052244</v>
      </c>
      <c r="AM69" s="181"/>
      <c r="AN69" s="181">
        <v>0.18763869624004276</v>
      </c>
      <c r="AO69" s="181"/>
      <c r="AP69" s="181">
        <v>0.15210222176980154</v>
      </c>
      <c r="AQ69" s="181"/>
      <c r="AR69" s="181">
        <v>0.11555474403800729</v>
      </c>
      <c r="AS69" s="181"/>
      <c r="AT69" s="181">
        <v>7.8010926321451429E-2</v>
      </c>
      <c r="AU69" s="181"/>
      <c r="AV69" s="181">
        <v>3.9486889869841932E-2</v>
      </c>
    </row>
    <row r="70" spans="1:48 16384:16384" x14ac:dyDescent="0.2">
      <c r="A70" t="s">
        <v>162</v>
      </c>
      <c r="B70" s="129">
        <v>1</v>
      </c>
      <c r="C70" s="129"/>
      <c r="D70" s="129">
        <v>0.99551709491480078</v>
      </c>
      <c r="E70" s="129"/>
      <c r="F70" s="129">
        <v>0.99032806189436129</v>
      </c>
      <c r="G70" s="129"/>
      <c r="H70" s="129">
        <v>0.98429672668772406</v>
      </c>
      <c r="I70" s="129"/>
      <c r="J70" s="129">
        <v>0.97725147591318662</v>
      </c>
      <c r="K70" s="129"/>
      <c r="L70" s="129">
        <v>0.96897332836187589</v>
      </c>
      <c r="M70" s="129"/>
      <c r="N70" s="129">
        <v>0.95917929044448424</v>
      </c>
      <c r="O70" s="129"/>
      <c r="P70" s="129">
        <v>0.94749978547034674</v>
      </c>
      <c r="Q70" s="129"/>
      <c r="R70" s="129">
        <v>0.93344644786285524</v>
      </c>
      <c r="S70" s="129"/>
      <c r="T70" s="129">
        <v>0.91636635839468461</v>
      </c>
      <c r="U70" s="129"/>
      <c r="V70" s="129">
        <v>0.89537940403950245</v>
      </c>
      <c r="W70" s="129"/>
      <c r="X70" s="129">
        <v>0.86929255218646062</v>
      </c>
      <c r="Y70" s="129"/>
      <c r="Z70" s="129">
        <v>0.83649106543469742</v>
      </c>
      <c r="AA70" s="129"/>
      <c r="AB70" s="129">
        <v>0.79481789526570712</v>
      </c>
      <c r="AC70" s="129"/>
      <c r="AD70" s="129">
        <v>0.74148218788778286</v>
      </c>
      <c r="AE70" s="129"/>
      <c r="AF70" s="129">
        <v>0.6730883011530272</v>
      </c>
      <c r="AG70" s="129"/>
      <c r="AH70" s="129">
        <v>0.58591914362348751</v>
      </c>
      <c r="AI70" s="129"/>
      <c r="AJ70" s="129">
        <v>0.47655195173669807</v>
      </c>
      <c r="AK70" s="129"/>
      <c r="AL70" s="129">
        <v>0.34264793525803788</v>
      </c>
      <c r="AM70" s="129"/>
      <c r="AN70" s="129">
        <v>0.18349900824726745</v>
      </c>
      <c r="AO70" s="129"/>
      <c r="AP70" s="129">
        <v>0.14869520913899284</v>
      </c>
      <c r="AQ70" s="129"/>
      <c r="AR70" s="129">
        <v>0.1129275468737746</v>
      </c>
      <c r="AS70" s="129"/>
      <c r="AT70" s="129">
        <v>7.6211238234547798E-2</v>
      </c>
      <c r="AU70" s="129"/>
      <c r="AV70" s="129">
        <v>3.8562832236138982E-2</v>
      </c>
    </row>
    <row r="71" spans="1:48 16384:16384" x14ac:dyDescent="0.2">
      <c r="A71" t="s">
        <v>163</v>
      </c>
      <c r="B71" s="129">
        <v>1</v>
      </c>
      <c r="D71" s="129">
        <v>0.93198534215353845</v>
      </c>
      <c r="E71" s="129"/>
      <c r="F71" s="129">
        <v>0.8642806598159678</v>
      </c>
      <c r="G71" s="129"/>
      <c r="H71" s="129">
        <v>0.79694900048044404</v>
      </c>
      <c r="I71" s="129"/>
      <c r="J71" s="129">
        <v>0.73007148257080723</v>
      </c>
      <c r="K71" s="129"/>
      <c r="L71" s="129">
        <v>0.66375451306994304</v>
      </c>
      <c r="M71" s="129"/>
      <c r="N71" s="129">
        <v>0.59814086162273272</v>
      </c>
      <c r="O71" s="129"/>
      <c r="P71" s="129">
        <v>0.53342012976432063</v>
      </c>
      <c r="Q71" s="129"/>
      <c r="R71" s="129">
        <v>0.46984578983704184</v>
      </c>
      <c r="S71" s="129"/>
      <c r="T71" s="129">
        <v>0.40775533738863279</v>
      </c>
      <c r="U71" s="129"/>
      <c r="V71" s="129">
        <v>0.34759543218443373</v>
      </c>
      <c r="W71" s="129"/>
      <c r="X71" s="129">
        <v>0.28994576787869786</v>
      </c>
      <c r="Y71" s="129"/>
      <c r="Z71" s="129">
        <v>0.23553942130583505</v>
      </c>
      <c r="AA71" s="129"/>
      <c r="AB71" s="129">
        <v>0.18525766487070466</v>
      </c>
      <c r="AC71" s="129"/>
      <c r="AD71" s="129">
        <v>0.14007618471901706</v>
      </c>
      <c r="AE71" s="129"/>
      <c r="AF71" s="129">
        <v>0.10092840376006776</v>
      </c>
      <c r="AG71" s="129"/>
      <c r="AH71" s="129">
        <v>6.847942294548906E-2</v>
      </c>
      <c r="AI71" s="129"/>
      <c r="AJ71" s="129">
        <v>4.2877259761204517E-2</v>
      </c>
      <c r="AK71" s="129"/>
      <c r="AL71" s="129">
        <v>2.363339172427667E-2</v>
      </c>
      <c r="AM71" s="129"/>
      <c r="AN71" s="129">
        <v>9.745894800072423E-3</v>
      </c>
      <c r="AO71" s="129"/>
      <c r="AP71" s="129">
        <v>7.5043560460305303E-3</v>
      </c>
      <c r="AQ71" s="129"/>
      <c r="AR71" s="129">
        <v>5.4183969070145882E-3</v>
      </c>
      <c r="AS71" s="129"/>
      <c r="AT71" s="129">
        <v>3.47846807669702E-3</v>
      </c>
      <c r="AU71" s="129"/>
      <c r="AV71" s="129">
        <v>1.6753112214123768E-3</v>
      </c>
      <c r="XFD71" s="129"/>
    </row>
    <row r="72" spans="1:48 16384:16384" x14ac:dyDescent="0.2">
      <c r="A72" t="s">
        <v>164</v>
      </c>
      <c r="B72" s="129">
        <v>1</v>
      </c>
      <c r="D72" s="129">
        <v>1.0169957571522354</v>
      </c>
      <c r="E72" s="129"/>
      <c r="F72" s="129">
        <v>1.0358100985137235</v>
      </c>
      <c r="G72" s="129"/>
      <c r="H72" s="129">
        <v>1.0564848561440947</v>
      </c>
      <c r="I72" s="129"/>
      <c r="J72" s="129">
        <v>1.0790021384596953</v>
      </c>
      <c r="K72" s="129"/>
      <c r="L72" s="129">
        <v>1.1032476098686528</v>
      </c>
      <c r="M72" s="129"/>
      <c r="N72" s="129">
        <v>1.1289555431997669</v>
      </c>
      <c r="O72" s="129"/>
      <c r="P72" s="129">
        <v>1.1556268227678106</v>
      </c>
      <c r="Q72" s="129"/>
      <c r="R72" s="129">
        <v>1.1824084795375147</v>
      </c>
      <c r="S72" s="129"/>
      <c r="T72" s="129">
        <v>1.2079228495130865</v>
      </c>
      <c r="U72" s="129"/>
      <c r="V72" s="129">
        <v>1.2300281812945033</v>
      </c>
      <c r="W72" s="129"/>
      <c r="X72" s="129">
        <v>1.2455035127978094</v>
      </c>
      <c r="Y72" s="129"/>
      <c r="Z72" s="129">
        <v>1.2496783238875762</v>
      </c>
      <c r="AA72" s="129"/>
      <c r="AB72" s="129">
        <v>1.2360891724418321</v>
      </c>
      <c r="AC72" s="129"/>
      <c r="AD72" s="129">
        <v>1.1963811736222005</v>
      </c>
      <c r="AE72" s="129"/>
      <c r="AF72" s="129">
        <v>1.1208332167864414</v>
      </c>
      <c r="AG72" s="129"/>
      <c r="AH72" s="129">
        <v>0.99990174486309313</v>
      </c>
      <c r="AI72" s="129"/>
      <c r="AJ72" s="129">
        <v>0.82669232833592587</v>
      </c>
      <c r="AK72" s="129"/>
      <c r="AL72" s="129">
        <v>0.59926521900319885</v>
      </c>
      <c r="AM72" s="129"/>
      <c r="AN72" s="129">
        <v>0.32120258683023495</v>
      </c>
      <c r="AO72" s="129"/>
      <c r="AP72" s="129">
        <v>0.26013363246801841</v>
      </c>
      <c r="AQ72" s="129"/>
      <c r="AR72" s="129">
        <v>0.1974062945390444</v>
      </c>
      <c r="AS72" s="129"/>
      <c r="AT72" s="129">
        <v>0.13309302173925255</v>
      </c>
      <c r="AU72" s="129"/>
      <c r="AV72" s="129">
        <v>6.7266701443343457E-2</v>
      </c>
      <c r="XFD72" s="129"/>
    </row>
    <row r="73" spans="1:48 16384:16384" x14ac:dyDescent="0.2">
      <c r="A73" t="s">
        <v>168</v>
      </c>
      <c r="B73" s="183">
        <v>0.47641153352875076</v>
      </c>
      <c r="D73" s="183">
        <v>0.4744672202853738</v>
      </c>
      <c r="E73" s="129"/>
      <c r="F73" s="183">
        <v>0.47248070498556999</v>
      </c>
      <c r="G73" s="129"/>
      <c r="H73" s="183">
        <v>0.47044654938995339</v>
      </c>
      <c r="I73" s="129"/>
      <c r="J73" s="183">
        <v>0.4683584588313614</v>
      </c>
      <c r="K73" s="129"/>
      <c r="L73" s="183">
        <v>0.46620914720682927</v>
      </c>
      <c r="M73" s="129"/>
      <c r="N73" s="183">
        <v>0.46399014499178476</v>
      </c>
      <c r="O73" s="129"/>
      <c r="P73" s="183">
        <v>0.46169153952847408</v>
      </c>
      <c r="Q73" s="129"/>
      <c r="R73" s="183">
        <v>0.45930167179708764</v>
      </c>
      <c r="S73" s="129"/>
      <c r="T73" s="183">
        <v>0.4568069454015462</v>
      </c>
      <c r="U73" s="129"/>
      <c r="V73" s="183">
        <v>0.45419156067276378</v>
      </c>
      <c r="W73" s="129"/>
      <c r="X73" s="183">
        <v>0.45143773222114297</v>
      </c>
      <c r="Y73" s="129"/>
      <c r="Z73" s="183">
        <v>0.44852660232509373</v>
      </c>
      <c r="AA73" s="129"/>
      <c r="AB73" s="183">
        <v>0.44544081076029024</v>
      </c>
      <c r="AC73" s="129"/>
      <c r="AD73" s="183">
        <v>0.44216975662376168</v>
      </c>
      <c r="AE73" s="129"/>
      <c r="AF73" s="183">
        <v>0.43871830356378611</v>
      </c>
      <c r="AG73" s="129"/>
      <c r="AH73" s="183">
        <v>0.43511730189015452</v>
      </c>
      <c r="AI73" s="129"/>
      <c r="AJ73" s="183">
        <v>0.43142997539623806</v>
      </c>
      <c r="AK73" s="129"/>
      <c r="AL73" s="183">
        <v>0.42774585138267679</v>
      </c>
      <c r="AM73" s="129"/>
      <c r="AN73" s="183">
        <v>0.42416074860881775</v>
      </c>
      <c r="AO73" s="129"/>
      <c r="AP73" s="183">
        <v>0.42346304839065407</v>
      </c>
      <c r="AQ73" s="129"/>
      <c r="AR73" s="183">
        <v>0.4227730604950799</v>
      </c>
      <c r="AS73" s="129"/>
      <c r="AT73" s="183">
        <v>0.42209123470299503</v>
      </c>
      <c r="AU73" s="129"/>
      <c r="AV73" s="183">
        <v>0.42141796821680455</v>
      </c>
      <c r="XFD73" s="183"/>
    </row>
    <row r="74" spans="1:48 16384:16384" x14ac:dyDescent="0.2">
      <c r="A74" t="s">
        <v>169</v>
      </c>
      <c r="B74" s="183">
        <v>0.22604620456442484</v>
      </c>
      <c r="D74" s="183">
        <v>0.22604620456442484</v>
      </c>
      <c r="E74" s="129"/>
      <c r="F74" s="183">
        <v>0.22604620456442487</v>
      </c>
      <c r="G74" s="129"/>
      <c r="H74" s="183">
        <v>0.22604620456442487</v>
      </c>
      <c r="I74" s="129"/>
      <c r="J74" s="183">
        <v>0.22604620456442484</v>
      </c>
      <c r="K74" s="129"/>
      <c r="L74" s="183">
        <v>0.22604620456442481</v>
      </c>
      <c r="M74" s="129"/>
      <c r="N74" s="183">
        <v>0.22604620456442484</v>
      </c>
      <c r="O74" s="129"/>
      <c r="P74" s="183">
        <v>0.22604620456442484</v>
      </c>
      <c r="Q74" s="129"/>
      <c r="R74" s="183">
        <v>0.22604620456442484</v>
      </c>
      <c r="S74" s="129"/>
      <c r="T74" s="183">
        <v>0.22604620456442484</v>
      </c>
      <c r="U74" s="129"/>
      <c r="V74" s="183">
        <v>0.22604620456442484</v>
      </c>
      <c r="W74" s="129"/>
      <c r="X74" s="183">
        <v>0.22604620456442484</v>
      </c>
      <c r="Y74" s="129"/>
      <c r="Z74" s="183">
        <v>0.22604620456442484</v>
      </c>
      <c r="AA74" s="129"/>
      <c r="AB74" s="183">
        <v>0.22604620456442484</v>
      </c>
      <c r="AC74" s="129"/>
      <c r="AD74" s="183">
        <v>0.22604620456442484</v>
      </c>
      <c r="AE74" s="129"/>
      <c r="AF74" s="183">
        <v>0.22604620456442484</v>
      </c>
      <c r="AG74" s="129"/>
      <c r="AH74" s="183">
        <v>0.22604620456442484</v>
      </c>
      <c r="AI74" s="129"/>
      <c r="AJ74" s="183">
        <v>0.22604620456442484</v>
      </c>
      <c r="AK74" s="129"/>
      <c r="AL74" s="183">
        <v>0.22604620456442484</v>
      </c>
      <c r="AM74" s="129"/>
      <c r="AN74" s="183">
        <v>0.22604620456442484</v>
      </c>
      <c r="AO74" s="129"/>
      <c r="AP74" s="183">
        <v>0.22604620456442484</v>
      </c>
      <c r="AQ74" s="129"/>
      <c r="AR74" s="183">
        <v>0.22604620456442484</v>
      </c>
      <c r="AS74" s="129"/>
      <c r="AT74" s="183">
        <v>0.22604620456442487</v>
      </c>
      <c r="AU74" s="129"/>
      <c r="AV74" s="183">
        <v>0.22604620456442481</v>
      </c>
      <c r="XFD74" s="183"/>
    </row>
    <row r="75" spans="1:48 16384:16384" x14ac:dyDescent="0.2">
      <c r="A75" t="s">
        <v>170</v>
      </c>
      <c r="B75" s="183">
        <v>0.22038438833194082</v>
      </c>
      <c r="D75" s="183">
        <v>0.22232870533973004</v>
      </c>
      <c r="E75" s="129"/>
      <c r="F75" s="183">
        <v>0.2243152167357691</v>
      </c>
      <c r="G75" s="129"/>
      <c r="H75" s="183">
        <v>0.22634937220617199</v>
      </c>
      <c r="I75" s="129"/>
      <c r="J75" s="183">
        <v>0.22843746400248349</v>
      </c>
      <c r="K75" s="129"/>
      <c r="L75" s="183">
        <v>0.23058677404992456</v>
      </c>
      <c r="M75" s="129"/>
      <c r="N75" s="183">
        <v>0.23280577576289152</v>
      </c>
      <c r="O75" s="129"/>
      <c r="P75" s="183">
        <v>0.23510438634516362</v>
      </c>
      <c r="Q75" s="129"/>
      <c r="R75" s="183">
        <v>0.23749425050380243</v>
      </c>
      <c r="S75" s="129"/>
      <c r="T75" s="183">
        <v>0.23998897563191687</v>
      </c>
      <c r="U75" s="129"/>
      <c r="V75" s="183">
        <v>0.24260436079750344</v>
      </c>
      <c r="W75" s="129"/>
      <c r="X75" s="183">
        <v>0.24535818965201545</v>
      </c>
      <c r="Y75" s="129"/>
      <c r="Z75" s="183">
        <v>0.24826931960336501</v>
      </c>
      <c r="AA75" s="129"/>
      <c r="AB75" s="183">
        <v>0.251355110836189</v>
      </c>
      <c r="AC75" s="129"/>
      <c r="AD75" s="183">
        <v>0.25462616378949882</v>
      </c>
      <c r="AE75" s="129"/>
      <c r="AF75" s="183">
        <v>0.25807761833691989</v>
      </c>
      <c r="AG75" s="129"/>
      <c r="AH75" s="183">
        <v>0.261678620001082</v>
      </c>
      <c r="AI75" s="129"/>
      <c r="AJ75" s="183">
        <v>0.26536594645659323</v>
      </c>
      <c r="AK75" s="129"/>
      <c r="AL75" s="183">
        <v>0.26905007137014897</v>
      </c>
      <c r="AM75" s="129"/>
      <c r="AN75" s="183">
        <v>0.27263517527982589</v>
      </c>
      <c r="AO75" s="129"/>
      <c r="AP75" s="183">
        <v>0.27333287459122091</v>
      </c>
      <c r="AQ75" s="129"/>
      <c r="AR75" s="183">
        <v>0.27402286059737258</v>
      </c>
      <c r="AS75" s="129"/>
      <c r="AT75" s="183">
        <v>0.27470468549137694</v>
      </c>
      <c r="AU75" s="129"/>
      <c r="AV75" s="183">
        <v>0.27537795467985809</v>
      </c>
      <c r="XFD75" s="183"/>
    </row>
    <row r="76" spans="1:48 16384:16384" x14ac:dyDescent="0.2">
      <c r="A76" t="s">
        <v>171</v>
      </c>
      <c r="B76" s="183">
        <v>0.22301874374724867</v>
      </c>
      <c r="D76" s="183">
        <v>0.22302392775805191</v>
      </c>
      <c r="E76" s="129"/>
      <c r="F76" s="183">
        <v>0.22307342734411253</v>
      </c>
      <c r="G76" s="129"/>
      <c r="H76" s="183">
        <v>0.22317178538118806</v>
      </c>
      <c r="I76" s="129"/>
      <c r="J76" s="183">
        <v>0.22332382980943977</v>
      </c>
      <c r="K76" s="129"/>
      <c r="L76" s="183">
        <v>0.22353451752944542</v>
      </c>
      <c r="M76" s="129"/>
      <c r="N76" s="183">
        <v>0.22380866680732692</v>
      </c>
      <c r="O76" s="129"/>
      <c r="P76" s="183">
        <v>0.22415047490069617</v>
      </c>
      <c r="Q76" s="129"/>
      <c r="R76" s="183">
        <v>0.22456276317381516</v>
      </c>
      <c r="S76" s="129"/>
      <c r="T76" s="183">
        <v>0.22504577547351567</v>
      </c>
      <c r="U76" s="129"/>
      <c r="V76" s="183">
        <v>0.22559544576293517</v>
      </c>
      <c r="W76" s="129"/>
      <c r="X76" s="183">
        <v>0.2262009364022344</v>
      </c>
      <c r="Y76" s="129"/>
      <c r="Z76" s="183">
        <v>0.22684162904624927</v>
      </c>
      <c r="AA76" s="129"/>
      <c r="AB76" s="183">
        <v>0.22748408076643414</v>
      </c>
      <c r="AC76" s="129"/>
      <c r="AD76" s="183">
        <v>0.2280806544652296</v>
      </c>
      <c r="AE76" s="129"/>
      <c r="AF76" s="183">
        <v>0.22857274698164165</v>
      </c>
      <c r="AG76" s="129"/>
      <c r="AH76" s="183">
        <v>0.22890168230272112</v>
      </c>
      <c r="AI76" s="129"/>
      <c r="AJ76" s="183">
        <v>0.22902630137406629</v>
      </c>
      <c r="AK76" s="129"/>
      <c r="AL76" s="183">
        <v>0.22893862539610613</v>
      </c>
      <c r="AM76" s="129"/>
      <c r="AN76" s="183">
        <v>0.22866590659756783</v>
      </c>
      <c r="AO76" s="129"/>
      <c r="AP76" s="183">
        <v>0.22859330601309791</v>
      </c>
      <c r="AQ76" s="129"/>
      <c r="AR76" s="183">
        <v>0.22851569771778371</v>
      </c>
      <c r="AS76" s="129"/>
      <c r="AT76" s="183">
        <v>0.22843352033348252</v>
      </c>
      <c r="AU76" s="129"/>
      <c r="AV76" s="183">
        <v>0.22834720665820746</v>
      </c>
      <c r="XFD76" s="183"/>
    </row>
    <row r="77" spans="1:48 16384:16384" x14ac:dyDescent="0.2">
      <c r="A77" t="s">
        <v>172</v>
      </c>
      <c r="B77" s="183">
        <v>0.14586087017236485</v>
      </c>
      <c r="D77" s="183">
        <v>0.1458660579475804</v>
      </c>
      <c r="E77" s="129"/>
      <c r="F77" s="183">
        <v>0.14591555362987643</v>
      </c>
      <c r="G77" s="129"/>
      <c r="H77" s="183">
        <v>0.14601391154173823</v>
      </c>
      <c r="I77" s="129"/>
      <c r="J77" s="183">
        <v>0.14616595720770931</v>
      </c>
      <c r="K77" s="129"/>
      <c r="L77" s="183">
        <v>0.14637664335062398</v>
      </c>
      <c r="M77" s="129"/>
      <c r="N77" s="183">
        <v>0.14665079212642781</v>
      </c>
      <c r="O77" s="129"/>
      <c r="P77" s="183">
        <v>0.14699260533875882</v>
      </c>
      <c r="Q77" s="129"/>
      <c r="R77" s="183">
        <v>0.14740489003913007</v>
      </c>
      <c r="S77" s="129"/>
      <c r="T77" s="183">
        <v>0.14788790107140354</v>
      </c>
      <c r="U77" s="129"/>
      <c r="V77" s="183">
        <v>0.14843757179762712</v>
      </c>
      <c r="W77" s="129"/>
      <c r="X77" s="183">
        <v>0.14904306283981769</v>
      </c>
      <c r="Y77" s="129"/>
      <c r="Z77" s="183">
        <v>0.14968375553913271</v>
      </c>
      <c r="AA77" s="129"/>
      <c r="AB77" s="183">
        <v>0.15032620692733839</v>
      </c>
      <c r="AC77" s="129"/>
      <c r="AD77" s="183">
        <v>0.15092277944291482</v>
      </c>
      <c r="AE77" s="129"/>
      <c r="AF77" s="183">
        <v>0.15141487344677257</v>
      </c>
      <c r="AG77" s="129"/>
      <c r="AH77" s="183">
        <v>0.15174380875838234</v>
      </c>
      <c r="AI77" s="129"/>
      <c r="AJ77" s="183">
        <v>0.15186842779132242</v>
      </c>
      <c r="AK77" s="129"/>
      <c r="AL77" s="183">
        <v>0.15178075271335675</v>
      </c>
      <c r="AM77" s="129"/>
      <c r="AN77" s="183">
        <v>0.15150803505063629</v>
      </c>
      <c r="AO77" s="129"/>
      <c r="AP77" s="183">
        <v>0.15143543355939759</v>
      </c>
      <c r="AQ77" s="129"/>
      <c r="AR77" s="183">
        <v>0.15135782337466094</v>
      </c>
      <c r="AS77" s="129"/>
      <c r="AT77" s="183">
        <v>0.15127564509227948</v>
      </c>
      <c r="AU77" s="129"/>
      <c r="AV77" s="183">
        <v>0.15118933411929478</v>
      </c>
      <c r="XFD77" s="183"/>
    </row>
    <row r="78" spans="1:48 16384:16384" x14ac:dyDescent="0.2">
      <c r="A78" t="s">
        <v>173</v>
      </c>
      <c r="B78" s="183">
        <v>0.346887593115773</v>
      </c>
      <c r="D78" s="183">
        <v>0.34571891132872457</v>
      </c>
      <c r="E78" s="129"/>
      <c r="F78" s="183">
        <v>0.34450983091832438</v>
      </c>
      <c r="G78" s="129"/>
      <c r="H78" s="183">
        <v>0.34325765152474075</v>
      </c>
      <c r="I78" s="129"/>
      <c r="J78" s="183">
        <v>0.34195966214102952</v>
      </c>
      <c r="K78" s="129"/>
      <c r="L78" s="183">
        <v>0.34061324006644494</v>
      </c>
      <c r="M78" s="129"/>
      <c r="N78" s="183">
        <v>0.33921601067041474</v>
      </c>
      <c r="O78" s="129"/>
      <c r="P78" s="183">
        <v>0.33776601271758772</v>
      </c>
      <c r="Q78" s="129"/>
      <c r="R78" s="183">
        <v>0.33626199085701552</v>
      </c>
      <c r="S78" s="129"/>
      <c r="T78" s="183">
        <v>0.33470380834601704</v>
      </c>
      <c r="U78" s="129"/>
      <c r="V78" s="183">
        <v>0.33309301884823717</v>
      </c>
      <c r="W78" s="129"/>
      <c r="X78" s="183">
        <v>0.33143369177085125</v>
      </c>
      <c r="Y78" s="129"/>
      <c r="Z78" s="183">
        <v>0.32973355832601287</v>
      </c>
      <c r="AA78" s="129"/>
      <c r="AB78" s="183">
        <v>0.32800546417890125</v>
      </c>
      <c r="AC78" s="129"/>
      <c r="AD78" s="183">
        <v>0.32626897059046411</v>
      </c>
      <c r="AE78" s="129"/>
      <c r="AF78" s="183">
        <v>0.32455141331894194</v>
      </c>
      <c r="AG78" s="129"/>
      <c r="AH78" s="183">
        <v>0.3228870939416294</v>
      </c>
      <c r="AI78" s="129"/>
      <c r="AJ78" s="183">
        <v>0.32131302661141964</v>
      </c>
      <c r="AK78" s="129"/>
      <c r="AL78" s="183">
        <v>0.31986148979006784</v>
      </c>
      <c r="AM78" s="129"/>
      <c r="AN78" s="183">
        <v>0.31855268265456677</v>
      </c>
      <c r="AO78" s="129"/>
      <c r="AP78" s="183">
        <v>0.31830875452700225</v>
      </c>
      <c r="AQ78" s="129"/>
      <c r="AR78" s="183">
        <v>0.31807075769029586</v>
      </c>
      <c r="AS78" s="129"/>
      <c r="AT78" s="183">
        <v>0.31783864379963639</v>
      </c>
      <c r="AU78" s="129"/>
      <c r="AV78" s="183">
        <v>0.31761234885660006</v>
      </c>
      <c r="XFD78" s="183"/>
    </row>
    <row r="79" spans="1:48 16384:16384" x14ac:dyDescent="0.2">
      <c r="A79" t="s">
        <v>174</v>
      </c>
      <c r="B79" s="183">
        <v>0.45460968782440875</v>
      </c>
      <c r="D79" s="183">
        <v>0.45250732467222188</v>
      </c>
      <c r="F79" s="183">
        <v>0.45037436562468613</v>
      </c>
      <c r="H79" s="183">
        <v>0.44820435491585148</v>
      </c>
      <c r="J79" s="183">
        <v>0.44598942214513165</v>
      </c>
      <c r="L79" s="183">
        <v>0.44371991389050774</v>
      </c>
      <c r="N79" s="183">
        <v>0.44138397153418174</v>
      </c>
      <c r="P79" s="183">
        <v>0.43896686735771434</v>
      </c>
      <c r="R79" s="183">
        <v>0.43645028394752788</v>
      </c>
      <c r="T79" s="183">
        <v>0.43381142663474187</v>
      </c>
      <c r="V79" s="183">
        <v>0.43102219995000934</v>
      </c>
      <c r="X79" s="183">
        <v>0.42804857922181699</v>
      </c>
      <c r="Z79" s="183">
        <v>0.42485113467173591</v>
      </c>
      <c r="AB79" s="183">
        <v>0.42138781036634282</v>
      </c>
      <c r="AD79" s="183">
        <v>0.41762120805622832</v>
      </c>
      <c r="AF79" s="183">
        <v>0.41353215724806891</v>
      </c>
      <c r="AH79" s="183">
        <v>0.40913828580654654</v>
      </c>
      <c r="AJ79" s="183">
        <v>0.40450893490946299</v>
      </c>
      <c r="AL79" s="183">
        <v>0.39976243195913969</v>
      </c>
      <c r="AN79" s="183">
        <v>0.3950397917934696</v>
      </c>
      <c r="AP79" s="183">
        <v>0.39410993442365388</v>
      </c>
      <c r="AR79" s="183">
        <v>0.39318712703809483</v>
      </c>
      <c r="AT79" s="183">
        <v>0.39227216480765487</v>
      </c>
      <c r="AV79" s="183">
        <v>0.39136577209093282</v>
      </c>
      <c r="XFD79" s="183"/>
    </row>
    <row r="80" spans="1:48 16384:16384" x14ac:dyDescent="0.2">
      <c r="A80" t="s">
        <v>153</v>
      </c>
      <c r="B80" s="195">
        <v>0.19850271905982084</v>
      </c>
      <c r="D80" s="195">
        <v>0.20177378082435329</v>
      </c>
      <c r="F80" s="195">
        <v>0.2051158018997602</v>
      </c>
      <c r="H80" s="195">
        <v>0.20853799101915715</v>
      </c>
      <c r="J80" s="195">
        <v>0.21205092506438941</v>
      </c>
      <c r="L80" s="195">
        <v>0.2156668411589196</v>
      </c>
      <c r="N80" s="195">
        <v>0.21940000928212483</v>
      </c>
      <c r="P80" s="195">
        <v>0.22326711963018561</v>
      </c>
      <c r="R80" s="195">
        <v>0.22728772509645434</v>
      </c>
      <c r="T80" s="195">
        <v>0.23148475814878408</v>
      </c>
      <c r="V80" s="195">
        <v>0.23588478461407747</v>
      </c>
      <c r="X80" s="195">
        <v>0.24051772558887577</v>
      </c>
      <c r="Z80" s="195">
        <v>0.24541530372605019</v>
      </c>
      <c r="AB80" s="195">
        <v>0.25060672613361074</v>
      </c>
      <c r="AD80" s="195">
        <v>0.25610982576734659</v>
      </c>
      <c r="AF80" s="195">
        <v>0.26191642480205685</v>
      </c>
      <c r="AH80" s="195">
        <v>0.26797461874092454</v>
      </c>
      <c r="AJ80" s="195">
        <v>0.27417804256173017</v>
      </c>
      <c r="AL80" s="195">
        <v>0.28037608349437998</v>
      </c>
      <c r="AN80" s="195">
        <v>0.28640753760078347</v>
      </c>
      <c r="AP80" s="195">
        <v>0.28758131651985464</v>
      </c>
      <c r="AR80" s="195">
        <v>0.28874211137310574</v>
      </c>
      <c r="AT80" s="195">
        <v>0.28988918256196544</v>
      </c>
      <c r="AV80" s="195">
        <v>0.29102188428721737</v>
      </c>
      <c r="XFD80" s="195"/>
    </row>
    <row r="81" spans="1:48 16384:16384" x14ac:dyDescent="0.2">
      <c r="A81" t="s">
        <v>175</v>
      </c>
      <c r="B81" s="195">
        <v>-2.7543485504603994E-2</v>
      </c>
      <c r="D81" s="195">
        <v>-2.4272423740071561E-2</v>
      </c>
      <c r="F81" s="195">
        <v>-2.0930402664664671E-2</v>
      </c>
      <c r="H81" s="195">
        <v>-1.7508213545267697E-2</v>
      </c>
      <c r="J81" s="195">
        <v>-1.3995279500035408E-2</v>
      </c>
      <c r="L81" s="195">
        <v>-1.0379363405505236E-2</v>
      </c>
      <c r="N81" s="195">
        <v>-6.6461952822999921E-3</v>
      </c>
      <c r="P81" s="195">
        <v>-2.7790849342392335E-3</v>
      </c>
      <c r="R81" s="195">
        <v>1.2415205320295004E-3</v>
      </c>
      <c r="T81" s="195">
        <v>5.438553584359242E-3</v>
      </c>
      <c r="V81" s="195">
        <v>9.8385800496526288E-3</v>
      </c>
      <c r="X81" s="195">
        <v>1.4471521024450925E-2</v>
      </c>
      <c r="Z81" s="195">
        <v>1.9369099161625353E-2</v>
      </c>
      <c r="AB81" s="195">
        <v>2.4560521569185891E-2</v>
      </c>
      <c r="AD81" s="195">
        <v>3.0063621202921761E-2</v>
      </c>
      <c r="AF81" s="195">
        <v>3.5870220237632019E-2</v>
      </c>
      <c r="AH81" s="195">
        <v>4.1928414176499673E-2</v>
      </c>
      <c r="AJ81" s="195">
        <v>4.8131837997305353E-2</v>
      </c>
      <c r="AL81" s="195">
        <v>5.4329878929955153E-2</v>
      </c>
      <c r="AN81" s="195">
        <v>6.0361333036358641E-2</v>
      </c>
      <c r="AP81" s="195">
        <v>6.1535111955429801E-2</v>
      </c>
      <c r="AR81" s="195">
        <v>6.2695906808680882E-2</v>
      </c>
      <c r="AT81" s="195">
        <v>6.3842977997540573E-2</v>
      </c>
      <c r="AV81" s="195">
        <v>6.4975679722792543E-2</v>
      </c>
      <c r="XFD81" s="195"/>
    </row>
    <row r="82" spans="1:48 16384:16384" x14ac:dyDescent="0.2">
      <c r="A82" t="s">
        <v>176</v>
      </c>
      <c r="B82" s="195">
        <v>0.14069693704202227</v>
      </c>
      <c r="D82" s="195">
        <v>0.14022292196890423</v>
      </c>
      <c r="F82" s="195">
        <v>0.13973252129226763</v>
      </c>
      <c r="H82" s="195">
        <v>0.13922463975138602</v>
      </c>
      <c r="J82" s="195">
        <v>0.13869817776708471</v>
      </c>
      <c r="L82" s="195">
        <v>0.13815207157701237</v>
      </c>
      <c r="N82" s="195">
        <v>0.13758535803560037</v>
      </c>
      <c r="P82" s="195">
        <v>0.13699724166958241</v>
      </c>
      <c r="R82" s="195">
        <v>0.13638721331104112</v>
      </c>
      <c r="T82" s="195">
        <v>0.13575521749740946</v>
      </c>
      <c r="V82" s="195">
        <v>0.13510188439165771</v>
      </c>
      <c r="X82" s="195">
        <v>0.13442886453746772</v>
      </c>
      <c r="Z82" s="195">
        <v>0.13373929369954032</v>
      </c>
      <c r="AB82" s="195">
        <v>0.13303838205483443</v>
      </c>
      <c r="AD82" s="195">
        <v>0.13233406361296762</v>
      </c>
      <c r="AF82" s="195">
        <v>0.13163742570462722</v>
      </c>
      <c r="AH82" s="195">
        <v>0.13096238098323987</v>
      </c>
      <c r="AJ82" s="195">
        <v>0.13032394231765027</v>
      </c>
      <c r="AL82" s="195">
        <v>0.12973520178953413</v>
      </c>
      <c r="AN82" s="195">
        <v>0.12920435214602358</v>
      </c>
      <c r="AP82" s="195">
        <v>0.1291054153691315</v>
      </c>
      <c r="AR82" s="195">
        <v>0.129008884312343</v>
      </c>
      <c r="AT82" s="195">
        <v>0.12891473936709619</v>
      </c>
      <c r="AV82" s="195">
        <v>0.12882295457575405</v>
      </c>
    </row>
    <row r="83" spans="1:48 16384:16384" x14ac:dyDescent="0.2">
      <c r="A83" t="s">
        <v>177</v>
      </c>
      <c r="B83" s="195">
        <v>0.18438881036940691</v>
      </c>
      <c r="D83" s="195">
        <v>0.18353609593991163</v>
      </c>
      <c r="F83" s="195">
        <v>0.18267097187442166</v>
      </c>
      <c r="H83" s="195">
        <v>0.18179081972675021</v>
      </c>
      <c r="J83" s="195">
        <v>0.18089244727763737</v>
      </c>
      <c r="L83" s="195">
        <v>0.17997193911777762</v>
      </c>
      <c r="N83" s="195">
        <v>0.17902448541472143</v>
      </c>
      <c r="P83" s="195">
        <v>0.17804411263434661</v>
      </c>
      <c r="R83" s="195">
        <v>0.17702339126912375</v>
      </c>
      <c r="T83" s="195">
        <v>0.17595307584542966</v>
      </c>
      <c r="V83" s="195">
        <v>0.1748217708952213</v>
      </c>
      <c r="X83" s="195">
        <v>0.17361567607752135</v>
      </c>
      <c r="Z83" s="195">
        <v>0.17231879875043871</v>
      </c>
      <c r="AB83" s="195">
        <v>0.17091408110869427</v>
      </c>
      <c r="AD83" s="195">
        <v>0.1693863544946391</v>
      </c>
      <c r="AF83" s="195">
        <v>0.16772784339324831</v>
      </c>
      <c r="AH83" s="195">
        <v>0.16594569763235251</v>
      </c>
      <c r="AJ83" s="195">
        <v>0.16406804185959326</v>
      </c>
      <c r="AL83" s="195">
        <v>0.16214286944055975</v>
      </c>
      <c r="AN83" s="195">
        <v>0.16022737572084159</v>
      </c>
      <c r="AP83" s="195">
        <v>0.15985022736957333</v>
      </c>
      <c r="AR83" s="195">
        <v>0.15947593847828812</v>
      </c>
      <c r="AT83" s="195">
        <v>0.15910483156675009</v>
      </c>
      <c r="AV83" s="195">
        <v>0.1587372004334065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6"/>
  <dimension ref="A1:XFD83"/>
  <sheetViews>
    <sheetView showGridLines="0" workbookViewId="0">
      <pane xSplit="1" ySplit="1" topLeftCell="AO30" activePane="bottomRight" state="frozen"/>
      <selection pane="topRight" activeCell="B1" sqref="B1"/>
      <selection pane="bottomLeft" activeCell="A2" sqref="A2"/>
      <selection pane="bottomRight" activeCell="AR65" sqref="AR65"/>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4.6616560900795224E-2</v>
      </c>
      <c r="E2" s="189"/>
      <c r="F2" s="188">
        <v>9.0570189780028496E-2</v>
      </c>
      <c r="G2" s="189"/>
      <c r="H2" s="188">
        <v>0.13795858296821159</v>
      </c>
      <c r="I2" s="189"/>
      <c r="J2" s="188">
        <v>0.18914053993188792</v>
      </c>
      <c r="K2" s="189"/>
      <c r="L2" s="188">
        <v>0.24450906318125445</v>
      </c>
      <c r="M2" s="189"/>
      <c r="N2" s="188">
        <v>0.30448463319685992</v>
      </c>
      <c r="O2" s="189"/>
      <c r="P2" s="188">
        <v>0.36950799849981214</v>
      </c>
      <c r="Q2" s="189"/>
      <c r="R2" s="188">
        <v>0.44002601008515024</v>
      </c>
      <c r="S2" s="189"/>
      <c r="T2" s="188">
        <v>0.51648305564793218</v>
      </c>
      <c r="U2" s="189"/>
      <c r="V2" s="188">
        <v>0.59934479071597546</v>
      </c>
      <c r="W2" s="189"/>
      <c r="X2" s="188">
        <v>0.68924795464333877</v>
      </c>
      <c r="Y2" s="189"/>
      <c r="Z2" s="188">
        <v>0.78752593116657377</v>
      </c>
      <c r="AA2" s="189"/>
      <c r="AB2" s="188">
        <v>0.8977580899117632</v>
      </c>
      <c r="AC2" s="189"/>
      <c r="AD2" s="188">
        <v>1.0299650993547727</v>
      </c>
      <c r="AE2" s="189"/>
      <c r="AF2" s="188">
        <v>1.2117233761951891</v>
      </c>
      <c r="AG2" s="189"/>
      <c r="AH2" s="188">
        <v>1.5197381628728401</v>
      </c>
      <c r="AI2" s="189"/>
      <c r="AJ2" s="188">
        <v>2.1913791855995992</v>
      </c>
      <c r="AK2" s="189"/>
      <c r="AL2" s="188">
        <v>4.1595695026330812</v>
      </c>
      <c r="AM2" s="189"/>
      <c r="AN2" s="188">
        <v>13.169923289859858</v>
      </c>
      <c r="AO2" s="189"/>
      <c r="AP2" s="188">
        <v>18.647168398919394</v>
      </c>
      <c r="AQ2" s="189"/>
      <c r="AR2" s="188">
        <v>28.630274528412649</v>
      </c>
      <c r="AS2" s="189"/>
      <c r="AT2" s="188">
        <v>50.647409509597196</v>
      </c>
      <c r="AU2" s="189"/>
      <c r="AV2" s="188">
        <v>124.31276869687984</v>
      </c>
      <c r="AW2" s="189"/>
    </row>
    <row r="3" spans="1:49" x14ac:dyDescent="0.2">
      <c r="A3" t="s">
        <v>12</v>
      </c>
      <c r="B3" s="81">
        <v>1000</v>
      </c>
      <c r="C3" s="82">
        <v>1000</v>
      </c>
      <c r="D3" s="81">
        <v>998.0231366575581</v>
      </c>
      <c r="E3" s="82">
        <v>1018.7536863657314</v>
      </c>
      <c r="F3" s="81">
        <v>996.27041354048822</v>
      </c>
      <c r="G3" s="82">
        <v>1039.5369656767632</v>
      </c>
      <c r="H3" s="81">
        <v>994.80335697317207</v>
      </c>
      <c r="I3" s="82">
        <v>1062.6345419112179</v>
      </c>
      <c r="J3" s="81">
        <v>993.70677325007773</v>
      </c>
      <c r="K3" s="82">
        <v>1088.3803547747705</v>
      </c>
      <c r="L3" s="81">
        <v>993.09807406346499</v>
      </c>
      <c r="M3" s="82">
        <v>1117.1677094659387</v>
      </c>
      <c r="N3" s="81">
        <v>993.14383683585322</v>
      </c>
      <c r="O3" s="82">
        <v>1149.4614837945182</v>
      </c>
      <c r="P3" s="81">
        <v>994.08345640001005</v>
      </c>
      <c r="Q3" s="82">
        <v>1185.8154081978046</v>
      </c>
      <c r="R3" s="81">
        <v>996.26765930644842</v>
      </c>
      <c r="S3" s="82">
        <v>1226.897905855684</v>
      </c>
      <c r="T3" s="81">
        <v>1000.2202094156316</v>
      </c>
      <c r="U3" s="82">
        <v>1273.5403379602726</v>
      </c>
      <c r="V3" s="81">
        <v>1006.7385455778999</v>
      </c>
      <c r="W3" s="82">
        <v>1326.8358700263695</v>
      </c>
      <c r="X3" s="81">
        <v>1017.0625727851963</v>
      </c>
      <c r="Y3" s="82">
        <v>1388.3663139590806</v>
      </c>
      <c r="Z3" s="81">
        <v>1033.1638805434009</v>
      </c>
      <c r="AA3" s="82">
        <v>1460.7376914122872</v>
      </c>
      <c r="AB3" s="81">
        <v>1058.2549053922287</v>
      </c>
      <c r="AC3" s="82">
        <v>1548.8510066272031</v>
      </c>
      <c r="AD3" s="81">
        <v>1097.7185184589159</v>
      </c>
      <c r="AE3" s="82">
        <v>1662.9051538719016</v>
      </c>
      <c r="AF3" s="81">
        <v>1160.9307378771382</v>
      </c>
      <c r="AG3" s="82">
        <v>1825.6216301351783</v>
      </c>
      <c r="AH3" s="81">
        <v>1265.5390373027572</v>
      </c>
      <c r="AI3" s="82">
        <v>2091.4068381987777</v>
      </c>
      <c r="AJ3" s="81">
        <v>1450.6313610101197</v>
      </c>
      <c r="AK3" s="82">
        <v>2610.2998363855845</v>
      </c>
      <c r="AL3" s="81">
        <v>1823.986719236625</v>
      </c>
      <c r="AM3" s="82">
        <v>3912.6146178496037</v>
      </c>
      <c r="AN3" s="81">
        <v>2791.2344217981204</v>
      </c>
      <c r="AO3" s="82">
        <v>8944.1377997708787</v>
      </c>
      <c r="AP3" s="81">
        <v>3196.9191649491499</v>
      </c>
      <c r="AQ3" s="82">
        <v>11774.647514884171</v>
      </c>
      <c r="AR3" s="81">
        <v>3796.7265448214694</v>
      </c>
      <c r="AS3" s="82">
        <v>16752.896813996278</v>
      </c>
      <c r="AT3" s="81">
        <v>4806.583680132012</v>
      </c>
      <c r="AU3" s="82">
        <v>27309.709250794524</v>
      </c>
      <c r="AV3" s="81">
        <v>7063.9339802346603</v>
      </c>
      <c r="AW3" s="82">
        <v>61016.451273092418</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997.92482905930069</v>
      </c>
      <c r="E5" s="40">
        <v>1016.3181517200885</v>
      </c>
      <c r="F5" s="39">
        <v>996.08349636477783</v>
      </c>
      <c r="G5" s="40">
        <v>1034.0575974793835</v>
      </c>
      <c r="H5" s="39">
        <v>994.54121864494391</v>
      </c>
      <c r="I5" s="40">
        <v>1053.3511411382585</v>
      </c>
      <c r="J5" s="39">
        <v>993.38778082578801</v>
      </c>
      <c r="K5" s="40">
        <v>1074.3390525247028</v>
      </c>
      <c r="L5" s="39">
        <v>992.74728904817357</v>
      </c>
      <c r="M5" s="40">
        <v>1097.1668960086265</v>
      </c>
      <c r="N5" s="39">
        <v>992.79544770940549</v>
      </c>
      <c r="O5" s="40">
        <v>1121.9810210582889</v>
      </c>
      <c r="P5" s="39">
        <v>993.78405399849089</v>
      </c>
      <c r="Q5" s="40">
        <v>1148.9234915118691</v>
      </c>
      <c r="R5" s="39">
        <v>996.080600656721</v>
      </c>
      <c r="S5" s="40">
        <v>1178.1271871587392</v>
      </c>
      <c r="T5" s="39">
        <v>1000.2310534395598</v>
      </c>
      <c r="U5" s="40">
        <v>1209.7157816190024</v>
      </c>
      <c r="V5" s="39">
        <v>1007.0607852451111</v>
      </c>
      <c r="W5" s="40">
        <v>1243.8215690760685</v>
      </c>
      <c r="X5" s="39">
        <v>1017.8407056425966</v>
      </c>
      <c r="Y5" s="40">
        <v>1280.6456419954163</v>
      </c>
      <c r="Z5" s="39">
        <v>1034.564806508874</v>
      </c>
      <c r="AA5" s="40">
        <v>1320.6097277578897</v>
      </c>
      <c r="AB5" s="39">
        <v>1060.4228214977397</v>
      </c>
      <c r="AC5" s="40">
        <v>1364.6663009094298</v>
      </c>
      <c r="AD5" s="39">
        <v>1100.6277448381766</v>
      </c>
      <c r="AE5" s="40">
        <v>1414.803922508235</v>
      </c>
      <c r="AF5" s="39">
        <v>1163.9649470369377</v>
      </c>
      <c r="AG5" s="40">
        <v>1474.5061408213314</v>
      </c>
      <c r="AH5" s="39">
        <v>1266.3112727776463</v>
      </c>
      <c r="AI5" s="40">
        <v>1547.9369497181856</v>
      </c>
      <c r="AJ5" s="39">
        <v>1441.2449735825053</v>
      </c>
      <c r="AK5" s="40">
        <v>1634.2448457854468</v>
      </c>
      <c r="AL5" s="39">
        <v>1775.5611140893261</v>
      </c>
      <c r="AM5" s="40">
        <v>1712.3665402144991</v>
      </c>
      <c r="AN5" s="39">
        <v>2556.3485530220864</v>
      </c>
      <c r="AO5" s="40">
        <v>1746.7881090124599</v>
      </c>
      <c r="AP5" s="39">
        <v>2853.9289562947579</v>
      </c>
      <c r="AQ5" s="40">
        <v>1748.6281750704086</v>
      </c>
      <c r="AR5" s="39">
        <v>3266.3416546375629</v>
      </c>
      <c r="AS5" s="40">
        <v>1749.56838790611</v>
      </c>
      <c r="AT5" s="39">
        <v>3895.7002714114424</v>
      </c>
      <c r="AU5" s="40">
        <v>1749.953575123754</v>
      </c>
      <c r="AV5" s="39">
        <v>5067.3730536797775</v>
      </c>
      <c r="AW5" s="40">
        <v>1750.0588719894643</v>
      </c>
    </row>
    <row r="6" spans="1:49" x14ac:dyDescent="0.2">
      <c r="A6" t="s">
        <v>77</v>
      </c>
      <c r="B6" s="39">
        <v>999.99999999999943</v>
      </c>
      <c r="C6" s="40">
        <v>999.99999999999909</v>
      </c>
      <c r="D6" s="39">
        <v>997.76645312523374</v>
      </c>
      <c r="E6" s="40">
        <v>1020.2140308499082</v>
      </c>
      <c r="F6" s="39">
        <v>995.78518458898941</v>
      </c>
      <c r="G6" s="40">
        <v>1042.5508929612829</v>
      </c>
      <c r="H6" s="39">
        <v>994.12612889082709</v>
      </c>
      <c r="I6" s="40">
        <v>1067.3018692139533</v>
      </c>
      <c r="J6" s="39">
        <v>992.88560994520537</v>
      </c>
      <c r="K6" s="40">
        <v>1094.8081302127689</v>
      </c>
      <c r="L6" s="39">
        <v>992.19685790145729</v>
      </c>
      <c r="M6" s="40">
        <v>1125.4710198034495</v>
      </c>
      <c r="N6" s="39">
        <v>992.24864303802201</v>
      </c>
      <c r="O6" s="40">
        <v>1159.7644564670165</v>
      </c>
      <c r="P6" s="39">
        <v>993.31177648828987</v>
      </c>
      <c r="Q6" s="40">
        <v>1198.2526092087564</v>
      </c>
      <c r="R6" s="39">
        <v>995.78207050004289</v>
      </c>
      <c r="S6" s="40">
        <v>1241.616461700555</v>
      </c>
      <c r="T6" s="39">
        <v>1000.2487312584248</v>
      </c>
      <c r="U6" s="40">
        <v>1290.7036981636143</v>
      </c>
      <c r="V6" s="39">
        <v>1007.604972602863</v>
      </c>
      <c r="W6" s="40">
        <v>1346.6311101559743</v>
      </c>
      <c r="X6" s="39">
        <v>1019.231585622417</v>
      </c>
      <c r="Y6" s="40">
        <v>1411.0195209896808</v>
      </c>
      <c r="Z6" s="39">
        <v>1037.3073044463904</v>
      </c>
      <c r="AA6" s="40">
        <v>1486.5475045575115</v>
      </c>
      <c r="AB6" s="39">
        <v>1065.3465802241813</v>
      </c>
      <c r="AC6" s="40">
        <v>1578.2623409989208</v>
      </c>
      <c r="AD6" s="39">
        <v>1109.1650076789476</v>
      </c>
      <c r="AE6" s="40">
        <v>1696.6703682075988</v>
      </c>
      <c r="AF6" s="39">
        <v>1178.7484335966274</v>
      </c>
      <c r="AG6" s="40">
        <v>1865.1541252001493</v>
      </c>
      <c r="AH6" s="39">
        <v>1292.6425990556111</v>
      </c>
      <c r="AI6" s="40">
        <v>2139.610470001161</v>
      </c>
      <c r="AJ6" s="39">
        <v>1491.5872858379219</v>
      </c>
      <c r="AK6" s="40">
        <v>2673.964526360598</v>
      </c>
      <c r="AL6" s="39">
        <v>1887.5347265554019</v>
      </c>
      <c r="AM6" s="40">
        <v>4011.9412409870051</v>
      </c>
      <c r="AN6" s="39">
        <v>2901.7928124069786</v>
      </c>
      <c r="AO6" s="40">
        <v>9174.640395491424</v>
      </c>
      <c r="AP6" s="39">
        <v>3325.5096451045724</v>
      </c>
      <c r="AQ6" s="40">
        <v>12078.328799140882</v>
      </c>
      <c r="AR6" s="39">
        <v>3951.3113276388153</v>
      </c>
      <c r="AS6" s="40">
        <v>17185.141272980203</v>
      </c>
      <c r="AT6" s="39">
        <v>5004.060297336393</v>
      </c>
      <c r="AU6" s="40">
        <v>28014.444312513446</v>
      </c>
      <c r="AV6" s="39">
        <v>7355.8885738167592</v>
      </c>
      <c r="AW6" s="40">
        <v>62591.067325490978</v>
      </c>
    </row>
    <row r="7" spans="1:49" x14ac:dyDescent="0.2">
      <c r="A7" t="s">
        <v>13</v>
      </c>
      <c r="B7" s="31">
        <v>1015.9116825427475</v>
      </c>
      <c r="C7" s="32">
        <v>1015.9116825427475</v>
      </c>
      <c r="D7" s="31">
        <v>1013.8034921408178</v>
      </c>
      <c r="E7" s="32">
        <v>1013.8034921408178</v>
      </c>
      <c r="F7" s="31">
        <v>1011.9328607450041</v>
      </c>
      <c r="G7" s="32">
        <v>1011.9328607450041</v>
      </c>
      <c r="H7" s="31">
        <v>1010.3660427916994</v>
      </c>
      <c r="I7" s="32">
        <v>1010.3660427916994</v>
      </c>
      <c r="J7" s="31">
        <v>1009.1942518361324</v>
      </c>
      <c r="K7" s="32">
        <v>1009.1942518361324</v>
      </c>
      <c r="L7" s="31">
        <v>1008.5435687566812</v>
      </c>
      <c r="M7" s="32">
        <v>1008.5435687566812</v>
      </c>
      <c r="N7" s="31">
        <v>1008.5924937032423</v>
      </c>
      <c r="O7" s="32">
        <v>1008.5924937032423</v>
      </c>
      <c r="P7" s="31">
        <v>1009.5968303817594</v>
      </c>
      <c r="Q7" s="32">
        <v>1009.5968303817594</v>
      </c>
      <c r="R7" s="31">
        <v>1011.9299189613599</v>
      </c>
      <c r="S7" s="32">
        <v>1011.9299189613599</v>
      </c>
      <c r="T7" s="31">
        <v>1016.1464124312879</v>
      </c>
      <c r="U7" s="32">
        <v>1016.1464124312879</v>
      </c>
      <c r="V7" s="31">
        <v>1023.0848167611813</v>
      </c>
      <c r="W7" s="32">
        <v>1023.0848167611813</v>
      </c>
      <c r="X7" s="31">
        <v>1034.0362638298677</v>
      </c>
      <c r="Y7" s="32">
        <v>1034.0362638298677</v>
      </c>
      <c r="Z7" s="31">
        <v>1051.0264732799421</v>
      </c>
      <c r="AA7" s="32">
        <v>1051.0264732799421</v>
      </c>
      <c r="AB7" s="31">
        <v>1077.2959327944964</v>
      </c>
      <c r="AC7" s="32">
        <v>1077.2959327944964</v>
      </c>
      <c r="AD7" s="31">
        <v>1118.1405841117817</v>
      </c>
      <c r="AE7" s="32">
        <v>1118.1405841117817</v>
      </c>
      <c r="AF7" s="31">
        <v>1182.4855877650753</v>
      </c>
      <c r="AG7" s="32">
        <v>1182.4855877650753</v>
      </c>
      <c r="AH7" s="31">
        <v>1286.4604157503866</v>
      </c>
      <c r="AI7" s="32">
        <v>1286.4604157503866</v>
      </c>
      <c r="AJ7" s="31">
        <v>1464.1776060684806</v>
      </c>
      <c r="AK7" s="32">
        <v>1464.1776060684806</v>
      </c>
      <c r="AL7" s="31">
        <v>1803.8132788719624</v>
      </c>
      <c r="AM7" s="32">
        <v>1803.8132788719624</v>
      </c>
      <c r="AN7" s="31">
        <v>2597.0243596663859</v>
      </c>
      <c r="AO7" s="32">
        <v>2597.0243596663859</v>
      </c>
      <c r="AP7" s="31">
        <v>2899.3397678468746</v>
      </c>
      <c r="AQ7" s="32">
        <v>2899.3397678468746</v>
      </c>
      <c r="AR7" s="31">
        <v>3318.3146461223082</v>
      </c>
      <c r="AS7" s="32">
        <v>3318.3146461223082</v>
      </c>
      <c r="AT7" s="31">
        <v>3957.6874174118361</v>
      </c>
      <c r="AU7" s="32">
        <v>3957.6874174118361</v>
      </c>
      <c r="AV7" s="31">
        <v>5148.0034850356033</v>
      </c>
      <c r="AW7" s="32">
        <v>5148.0034850356033</v>
      </c>
    </row>
    <row r="8" spans="1:49" x14ac:dyDescent="0.2">
      <c r="B8" s="33">
        <v>1005.7716594496609</v>
      </c>
      <c r="C8" s="34">
        <v>1005.7716594496609</v>
      </c>
      <c r="D8" s="33">
        <v>1063.6954087343315</v>
      </c>
      <c r="E8" s="34">
        <v>1063.6954087343315</v>
      </c>
      <c r="F8" s="33">
        <v>1127.7123903265715</v>
      </c>
      <c r="G8" s="34">
        <v>1127.7123903265715</v>
      </c>
      <c r="H8" s="33">
        <v>1198.6699719376413</v>
      </c>
      <c r="I8" s="34">
        <v>1198.6699719376413</v>
      </c>
      <c r="J8" s="33">
        <v>1277.5401209891379</v>
      </c>
      <c r="K8" s="34">
        <v>1277.5401209891379</v>
      </c>
      <c r="L8" s="33">
        <v>1365.4341459051807</v>
      </c>
      <c r="M8" s="34">
        <v>1365.4341459051807</v>
      </c>
      <c r="N8" s="33">
        <v>1463.6070007090602</v>
      </c>
      <c r="O8" s="34">
        <v>1463.6070007090602</v>
      </c>
      <c r="P8" s="33">
        <v>1573.4599112898359</v>
      </c>
      <c r="Q8" s="34">
        <v>1573.4599112898359</v>
      </c>
      <c r="R8" s="33">
        <v>1696.5337926970403</v>
      </c>
      <c r="S8" s="34">
        <v>1696.5337926970403</v>
      </c>
      <c r="T8" s="33">
        <v>1834.5134849751114</v>
      </c>
      <c r="U8" s="34">
        <v>1834.5134849751114</v>
      </c>
      <c r="V8" s="33">
        <v>1989.299547081981</v>
      </c>
      <c r="W8" s="34">
        <v>1989.299547081981</v>
      </c>
      <c r="X8" s="33">
        <v>2163.3280313636624</v>
      </c>
      <c r="Y8" s="34">
        <v>2163.3280313636624</v>
      </c>
      <c r="Z8" s="33">
        <v>2360.6241333180569</v>
      </c>
      <c r="AA8" s="34">
        <v>2360.6241333180569</v>
      </c>
      <c r="AB8" s="33">
        <v>2589.8065125808307</v>
      </c>
      <c r="AC8" s="34">
        <v>2589.8065125808307</v>
      </c>
      <c r="AD8" s="33">
        <v>2872.0025851219511</v>
      </c>
      <c r="AE8" s="34">
        <v>2872.0025851219511</v>
      </c>
      <c r="AF8" s="33">
        <v>3261.1996999978937</v>
      </c>
      <c r="AG8" s="34">
        <v>3261.1996999978937</v>
      </c>
      <c r="AH8" s="33">
        <v>3900.3958059258885</v>
      </c>
      <c r="AI8" s="34">
        <v>3900.3958059258885</v>
      </c>
      <c r="AJ8" s="33">
        <v>5215.4949850131015</v>
      </c>
      <c r="AK8" s="34">
        <v>5215.4949850131015</v>
      </c>
      <c r="AL8" s="33">
        <v>8835.074178220053</v>
      </c>
      <c r="AM8" s="34">
        <v>8835.074178220053</v>
      </c>
      <c r="AN8" s="33">
        <v>24751.853508345917</v>
      </c>
      <c r="AO8" s="34">
        <v>24751.853508345917</v>
      </c>
      <c r="AP8" s="33">
        <v>34355.592222703424</v>
      </c>
      <c r="AQ8" s="34">
        <v>34355.592222703424</v>
      </c>
      <c r="AR8" s="33">
        <v>51840.191639890392</v>
      </c>
      <c r="AS8" s="34">
        <v>51840.191639890392</v>
      </c>
      <c r="AT8" s="33">
        <v>90380.568917200188</v>
      </c>
      <c r="AU8" s="34">
        <v>90380.568917200188</v>
      </c>
      <c r="AV8" s="33">
        <v>219304.72263153817</v>
      </c>
      <c r="AW8" s="34">
        <v>219304.72263153817</v>
      </c>
    </row>
    <row r="9" spans="1:49" x14ac:dyDescent="0.2">
      <c r="A9" t="s">
        <v>14</v>
      </c>
      <c r="B9" s="39">
        <v>1015.9116825427475</v>
      </c>
      <c r="C9" s="40">
        <v>1005.7716594496609</v>
      </c>
      <c r="D9" s="39">
        <v>1013.8034921408178</v>
      </c>
      <c r="E9" s="40">
        <v>1063.6954087343315</v>
      </c>
      <c r="F9" s="39">
        <v>1011.9328607450041</v>
      </c>
      <c r="G9" s="40">
        <v>1127.7123903265715</v>
      </c>
      <c r="H9" s="39">
        <v>1010.3660427916994</v>
      </c>
      <c r="I9" s="40">
        <v>1198.6699719376413</v>
      </c>
      <c r="J9" s="39">
        <v>1009.1942518361324</v>
      </c>
      <c r="K9" s="40">
        <v>1277.5401209891379</v>
      </c>
      <c r="L9" s="39">
        <v>1008.5435687566812</v>
      </c>
      <c r="M9" s="40">
        <v>1365.4341459051807</v>
      </c>
      <c r="N9" s="39">
        <v>1008.5924937032423</v>
      </c>
      <c r="O9" s="40">
        <v>1463.6070007090602</v>
      </c>
      <c r="P9" s="39">
        <v>1009.5968303817594</v>
      </c>
      <c r="Q9" s="40">
        <v>1573.4599112898359</v>
      </c>
      <c r="R9" s="39">
        <v>1011.9299189613599</v>
      </c>
      <c r="S9" s="40">
        <v>1696.5337926970403</v>
      </c>
      <c r="T9" s="39">
        <v>1016.1464124312879</v>
      </c>
      <c r="U9" s="40">
        <v>1834.5134849751114</v>
      </c>
      <c r="V9" s="39">
        <v>1023.0848167611813</v>
      </c>
      <c r="W9" s="40">
        <v>1989.299547081981</v>
      </c>
      <c r="X9" s="39">
        <v>1034.0362638298677</v>
      </c>
      <c r="Y9" s="40">
        <v>2163.3280313636624</v>
      </c>
      <c r="Z9" s="39">
        <v>1051.0264732799421</v>
      </c>
      <c r="AA9" s="40">
        <v>2360.6241333180569</v>
      </c>
      <c r="AB9" s="39">
        <v>1077.2959327944964</v>
      </c>
      <c r="AC9" s="40">
        <v>2589.8065125808307</v>
      </c>
      <c r="AD9" s="39">
        <v>1118.1405841117817</v>
      </c>
      <c r="AE9" s="40">
        <v>2872.0025851219511</v>
      </c>
      <c r="AF9" s="39">
        <v>1182.4855877650753</v>
      </c>
      <c r="AG9" s="40">
        <v>3261.1996999978937</v>
      </c>
      <c r="AH9" s="39">
        <v>1286.4604157503866</v>
      </c>
      <c r="AI9" s="40">
        <v>3900.3958059258885</v>
      </c>
      <c r="AJ9" s="39">
        <v>1464.1776060684806</v>
      </c>
      <c r="AK9" s="40">
        <v>5215.4949850131015</v>
      </c>
      <c r="AL9" s="39">
        <v>1803.8132788719624</v>
      </c>
      <c r="AM9" s="40">
        <v>8835.074178220053</v>
      </c>
      <c r="AN9" s="39">
        <v>2597.0243596663859</v>
      </c>
      <c r="AO9" s="40">
        <v>24751.853508345917</v>
      </c>
      <c r="AP9" s="39">
        <v>2899.3397678468746</v>
      </c>
      <c r="AQ9" s="40">
        <v>34355.592222703424</v>
      </c>
      <c r="AR9" s="39">
        <v>3318.3146461223082</v>
      </c>
      <c r="AS9" s="40">
        <v>51840.191639890392</v>
      </c>
      <c r="AT9" s="39">
        <v>3957.6874174118361</v>
      </c>
      <c r="AU9" s="40">
        <v>90380.568917200188</v>
      </c>
      <c r="AV9" s="39">
        <v>5148.0034850356033</v>
      </c>
      <c r="AW9" s="40">
        <v>219304.72263153817</v>
      </c>
    </row>
    <row r="10" spans="1:49" x14ac:dyDescent="0.2">
      <c r="A10" t="s">
        <v>15</v>
      </c>
      <c r="B10" s="39">
        <v>1015.9116825427475</v>
      </c>
      <c r="C10" s="40">
        <v>1005.7716594496609</v>
      </c>
      <c r="D10" s="39">
        <v>1013.8034921408178</v>
      </c>
      <c r="E10" s="40">
        <v>1063.6954087343315</v>
      </c>
      <c r="F10" s="39">
        <v>1011.9328607450041</v>
      </c>
      <c r="G10" s="40">
        <v>1127.7123903265715</v>
      </c>
      <c r="H10" s="39">
        <v>1010.3660427916994</v>
      </c>
      <c r="I10" s="40">
        <v>1198.6699719376413</v>
      </c>
      <c r="J10" s="39">
        <v>1009.1942518361324</v>
      </c>
      <c r="K10" s="40">
        <v>1277.5401209891379</v>
      </c>
      <c r="L10" s="39">
        <v>1008.5435687566812</v>
      </c>
      <c r="M10" s="40">
        <v>1365.4341459051807</v>
      </c>
      <c r="N10" s="39">
        <v>1008.5924937032423</v>
      </c>
      <c r="O10" s="40">
        <v>1463.6070007090602</v>
      </c>
      <c r="P10" s="39">
        <v>1009.5968303817594</v>
      </c>
      <c r="Q10" s="40">
        <v>1573.4599112898359</v>
      </c>
      <c r="R10" s="39">
        <v>1011.9299189613599</v>
      </c>
      <c r="S10" s="40">
        <v>1696.5337926970403</v>
      </c>
      <c r="T10" s="39">
        <v>1016.1464124312879</v>
      </c>
      <c r="U10" s="40">
        <v>1834.5134849751114</v>
      </c>
      <c r="V10" s="39">
        <v>1023.0848167611813</v>
      </c>
      <c r="W10" s="40">
        <v>1989.299547081981</v>
      </c>
      <c r="X10" s="39">
        <v>1034.0362638298677</v>
      </c>
      <c r="Y10" s="40">
        <v>2163.3280313636624</v>
      </c>
      <c r="Z10" s="39">
        <v>1051.0264732799421</v>
      </c>
      <c r="AA10" s="40">
        <v>2360.6241333180569</v>
      </c>
      <c r="AB10" s="39">
        <v>1077.2959327944964</v>
      </c>
      <c r="AC10" s="40">
        <v>2589.8065125808307</v>
      </c>
      <c r="AD10" s="39">
        <v>1118.1405841117817</v>
      </c>
      <c r="AE10" s="40">
        <v>2872.0025851219511</v>
      </c>
      <c r="AF10" s="39">
        <v>1182.4855877650753</v>
      </c>
      <c r="AG10" s="40">
        <v>3261.1996999978937</v>
      </c>
      <c r="AH10" s="39">
        <v>1286.4604157503866</v>
      </c>
      <c r="AI10" s="40">
        <v>3900.3958059258885</v>
      </c>
      <c r="AJ10" s="39">
        <v>1464.1776060684806</v>
      </c>
      <c r="AK10" s="40">
        <v>5215.4949850131015</v>
      </c>
      <c r="AL10" s="39">
        <v>1803.8132788719624</v>
      </c>
      <c r="AM10" s="40">
        <v>8835.074178220053</v>
      </c>
      <c r="AN10" s="39">
        <v>2597.0243596663859</v>
      </c>
      <c r="AO10" s="40">
        <v>24751.853508345917</v>
      </c>
      <c r="AP10" s="39">
        <v>2899.3397678468746</v>
      </c>
      <c r="AQ10" s="40">
        <v>34355.592222703424</v>
      </c>
      <c r="AR10" s="39">
        <v>3318.3146461223082</v>
      </c>
      <c r="AS10" s="40">
        <v>51840.191639890392</v>
      </c>
      <c r="AT10" s="39">
        <v>3957.6874174118361</v>
      </c>
      <c r="AU10" s="40">
        <v>90380.568917200188</v>
      </c>
      <c r="AV10" s="39">
        <v>5148.0034850356033</v>
      </c>
      <c r="AW10" s="40">
        <v>219304.72263153817</v>
      </c>
    </row>
    <row r="11" spans="1:49" x14ac:dyDescent="0.2">
      <c r="A11" t="s">
        <v>29</v>
      </c>
      <c r="B11" s="39">
        <v>1015.9116825427475</v>
      </c>
      <c r="C11" s="40">
        <v>1005.7716594496609</v>
      </c>
      <c r="D11" s="39">
        <v>1013.8034921408178</v>
      </c>
      <c r="E11" s="40">
        <v>1063.6954087343315</v>
      </c>
      <c r="F11" s="39">
        <v>1011.9328607450041</v>
      </c>
      <c r="G11" s="40">
        <v>1127.7123903265715</v>
      </c>
      <c r="H11" s="39">
        <v>1010.3660427916994</v>
      </c>
      <c r="I11" s="40">
        <v>1198.6699719376413</v>
      </c>
      <c r="J11" s="39">
        <v>1009.1942518361324</v>
      </c>
      <c r="K11" s="40">
        <v>1277.5401209891379</v>
      </c>
      <c r="L11" s="39">
        <v>1008.5435687566812</v>
      </c>
      <c r="M11" s="40">
        <v>1365.4341459051807</v>
      </c>
      <c r="N11" s="39">
        <v>1008.5924937032423</v>
      </c>
      <c r="O11" s="40">
        <v>1463.6070007090602</v>
      </c>
      <c r="P11" s="39">
        <v>1009.5968303817594</v>
      </c>
      <c r="Q11" s="40">
        <v>1573.4599112898359</v>
      </c>
      <c r="R11" s="39">
        <v>1011.9299189613599</v>
      </c>
      <c r="S11" s="40">
        <v>1696.5337926970403</v>
      </c>
      <c r="T11" s="39">
        <v>1016.1464124312879</v>
      </c>
      <c r="U11" s="40">
        <v>1834.5134849751114</v>
      </c>
      <c r="V11" s="39">
        <v>1023.0848167611813</v>
      </c>
      <c r="W11" s="40">
        <v>1989.299547081981</v>
      </c>
      <c r="X11" s="39">
        <v>1034.0362638298677</v>
      </c>
      <c r="Y11" s="40">
        <v>2163.3280313636624</v>
      </c>
      <c r="Z11" s="39">
        <v>1051.0264732799421</v>
      </c>
      <c r="AA11" s="40">
        <v>2360.6241333180569</v>
      </c>
      <c r="AB11" s="39">
        <v>1077.2959327944964</v>
      </c>
      <c r="AC11" s="40">
        <v>2589.8065125808307</v>
      </c>
      <c r="AD11" s="39">
        <v>1118.1405841117817</v>
      </c>
      <c r="AE11" s="40">
        <v>2872.0025851219511</v>
      </c>
      <c r="AF11" s="39">
        <v>1182.4855877650753</v>
      </c>
      <c r="AG11" s="40">
        <v>3261.1996999978937</v>
      </c>
      <c r="AH11" s="39">
        <v>1286.4604157503866</v>
      </c>
      <c r="AI11" s="40">
        <v>3900.3958059258885</v>
      </c>
      <c r="AJ11" s="39">
        <v>1464.1776060684806</v>
      </c>
      <c r="AK11" s="40">
        <v>5215.4949850131015</v>
      </c>
      <c r="AL11" s="39">
        <v>1803.8132788719624</v>
      </c>
      <c r="AM11" s="40">
        <v>8835.074178220053</v>
      </c>
      <c r="AN11" s="39">
        <v>2597.0243596663859</v>
      </c>
      <c r="AO11" s="40">
        <v>24751.853508345917</v>
      </c>
      <c r="AP11" s="39">
        <v>2899.3397678468746</v>
      </c>
      <c r="AQ11" s="40">
        <v>34355.592222703424</v>
      </c>
      <c r="AR11" s="39">
        <v>3318.3146461223082</v>
      </c>
      <c r="AS11" s="40">
        <v>51840.191639890392</v>
      </c>
      <c r="AT11" s="39">
        <v>3957.6874174118361</v>
      </c>
      <c r="AU11" s="40">
        <v>90380.568917200188</v>
      </c>
      <c r="AV11" s="39">
        <v>5148.0034850356033</v>
      </c>
      <c r="AW11" s="40">
        <v>219304.72263153817</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993.49488361028875</v>
      </c>
      <c r="E13" s="94">
        <v>993.49488361028875</v>
      </c>
      <c r="F13" s="93">
        <v>986.88131103831768</v>
      </c>
      <c r="G13" s="94">
        <v>986.88131103831768</v>
      </c>
      <c r="H13" s="93">
        <v>980.18272208827273</v>
      </c>
      <c r="I13" s="94">
        <v>980.18272208827273</v>
      </c>
      <c r="J13" s="93">
        <v>973.44089170062227</v>
      </c>
      <c r="K13" s="94">
        <v>973.44089170062227</v>
      </c>
      <c r="L13" s="93">
        <v>966.72447621026424</v>
      </c>
      <c r="M13" s="94">
        <v>966.72447621026424</v>
      </c>
      <c r="N13" s="93">
        <v>960.1450120353644</v>
      </c>
      <c r="O13" s="94">
        <v>960.1450120353644</v>
      </c>
      <c r="P13" s="93">
        <v>953.87969164877723</v>
      </c>
      <c r="Q13" s="94">
        <v>953.87969164877723</v>
      </c>
      <c r="R13" s="93">
        <v>948.20887932325036</v>
      </c>
      <c r="S13" s="94">
        <v>948.20887932325036</v>
      </c>
      <c r="T13" s="93">
        <v>943.57599236199235</v>
      </c>
      <c r="U13" s="94">
        <v>943.57599236199235</v>
      </c>
      <c r="V13" s="93">
        <v>940.68423905908878</v>
      </c>
      <c r="W13" s="94">
        <v>940.68423905908878</v>
      </c>
      <c r="X13" s="93">
        <v>940.65635713462905</v>
      </c>
      <c r="Y13" s="94">
        <v>940.65635713462905</v>
      </c>
      <c r="Z13" s="93">
        <v>945.30319946562793</v>
      </c>
      <c r="AA13" s="94">
        <v>945.30319946562793</v>
      </c>
      <c r="AB13" s="93">
        <v>957.58920088839636</v>
      </c>
      <c r="AC13" s="94">
        <v>957.58920088839636</v>
      </c>
      <c r="AD13" s="93">
        <v>982.47686514082829</v>
      </c>
      <c r="AE13" s="94">
        <v>982.47686514082829</v>
      </c>
      <c r="AF13" s="93">
        <v>1028.5925657272983</v>
      </c>
      <c r="AG13" s="94">
        <v>1028.5925657272983</v>
      </c>
      <c r="AH13" s="93">
        <v>1112.2008754122858</v>
      </c>
      <c r="AI13" s="94">
        <v>1112.2008754122858</v>
      </c>
      <c r="AJ13" s="93">
        <v>1269.7851716510449</v>
      </c>
      <c r="AK13" s="94">
        <v>1269.7851716510449</v>
      </c>
      <c r="AL13" s="93">
        <v>1605.8680618027158</v>
      </c>
      <c r="AM13" s="94">
        <v>1605.8680618027158</v>
      </c>
      <c r="AN13" s="93">
        <v>2552.6440853020649</v>
      </c>
      <c r="AO13" s="94">
        <v>2552.6440853020649</v>
      </c>
      <c r="AP13" s="93">
        <v>2979.8529387496992</v>
      </c>
      <c r="AQ13" s="94">
        <v>2979.8529387496992</v>
      </c>
      <c r="AR13" s="93">
        <v>3642.8944291452435</v>
      </c>
      <c r="AS13" s="94">
        <v>3642.8944291452435</v>
      </c>
      <c r="AT13" s="93">
        <v>4839.8864080847425</v>
      </c>
      <c r="AU13" s="94">
        <v>4839.8864080847425</v>
      </c>
      <c r="AV13" s="93">
        <v>7841.8214638411346</v>
      </c>
      <c r="AW13" s="94">
        <v>7841.8214638411346</v>
      </c>
    </row>
    <row r="14" spans="1:49" x14ac:dyDescent="0.2">
      <c r="A14" t="s">
        <v>36</v>
      </c>
      <c r="B14" s="39">
        <v>1457.0034251455234</v>
      </c>
      <c r="C14" s="40">
        <v>1457.0034251455236</v>
      </c>
      <c r="D14" s="39">
        <v>1447.5254482847438</v>
      </c>
      <c r="E14" s="40">
        <v>1447.525448284744</v>
      </c>
      <c r="F14" s="39">
        <v>1437.8894503949334</v>
      </c>
      <c r="G14" s="40">
        <v>1437.8894503949336</v>
      </c>
      <c r="H14" s="39">
        <v>1428.129583351076</v>
      </c>
      <c r="I14" s="40">
        <v>1428.1295833510762</v>
      </c>
      <c r="J14" s="39">
        <v>1418.3067133845191</v>
      </c>
      <c r="K14" s="40">
        <v>1418.3067133845193</v>
      </c>
      <c r="L14" s="39">
        <v>1408.520873010367</v>
      </c>
      <c r="M14" s="40">
        <v>1408.520873010367</v>
      </c>
      <c r="N14" s="39">
        <v>1398.9345711719156</v>
      </c>
      <c r="O14" s="40">
        <v>1398.9345711719159</v>
      </c>
      <c r="P14" s="39">
        <v>1389.805977909024</v>
      </c>
      <c r="Q14" s="40">
        <v>1389.8059779090243</v>
      </c>
      <c r="R14" s="39">
        <v>1381.543584927374</v>
      </c>
      <c r="S14" s="40">
        <v>1381.5435849273742</v>
      </c>
      <c r="T14" s="39">
        <v>1374.7934527565089</v>
      </c>
      <c r="U14" s="40">
        <v>1374.7934527565092</v>
      </c>
      <c r="V14" s="39">
        <v>1370.5801582895026</v>
      </c>
      <c r="W14" s="40">
        <v>1370.5801582895028</v>
      </c>
      <c r="X14" s="39">
        <v>1370.5395342300651</v>
      </c>
      <c r="Y14" s="40">
        <v>1370.5395342300653</v>
      </c>
      <c r="Z14" s="39">
        <v>1377.3099994224417</v>
      </c>
      <c r="AA14" s="40">
        <v>1377.3099994224419</v>
      </c>
      <c r="AB14" s="39">
        <v>1395.210745576758</v>
      </c>
      <c r="AC14" s="40">
        <v>1395.2107455767582</v>
      </c>
      <c r="AD14" s="39">
        <v>1431.4721576364232</v>
      </c>
      <c r="AE14" s="40">
        <v>1431.4721576364234</v>
      </c>
      <c r="AF14" s="39">
        <v>1498.6628913438954</v>
      </c>
      <c r="AG14" s="40">
        <v>1498.6628913438956</v>
      </c>
      <c r="AH14" s="39">
        <v>1620.4804849255497</v>
      </c>
      <c r="AI14" s="40">
        <v>1620.4804849255499</v>
      </c>
      <c r="AJ14" s="39">
        <v>1850.0813442945687</v>
      </c>
      <c r="AK14" s="40">
        <v>1850.0813442945689</v>
      </c>
      <c r="AL14" s="39">
        <v>2339.7552663783599</v>
      </c>
      <c r="AM14" s="40">
        <v>2339.7552663783604</v>
      </c>
      <c r="AN14" s="39">
        <v>3719.2111754625698</v>
      </c>
      <c r="AO14" s="40">
        <v>3719.2111754625703</v>
      </c>
      <c r="AP14" s="39">
        <v>4341.6559381882653</v>
      </c>
      <c r="AQ14" s="40">
        <v>4341.6559381882653</v>
      </c>
      <c r="AR14" s="39">
        <v>5307.7096607081658</v>
      </c>
      <c r="AS14" s="40">
        <v>5307.7096607081667</v>
      </c>
      <c r="AT14" s="39">
        <v>7051.7310738947335</v>
      </c>
      <c r="AU14" s="40">
        <v>7051.7310738947344</v>
      </c>
      <c r="AV14" s="39">
        <v>11425.560732196214</v>
      </c>
      <c r="AW14" s="40">
        <v>11425.560732196216</v>
      </c>
    </row>
    <row r="15" spans="1:49" x14ac:dyDescent="0.2">
      <c r="A15" t="s">
        <v>18</v>
      </c>
      <c r="B15" s="144">
        <v>1000</v>
      </c>
      <c r="C15" s="145">
        <v>1000</v>
      </c>
      <c r="D15" s="144">
        <v>997.92482905930069</v>
      </c>
      <c r="E15" s="145">
        <v>997.92482905930069</v>
      </c>
      <c r="F15" s="144">
        <v>996.08349636477783</v>
      </c>
      <c r="G15" s="145">
        <v>996.08349636477783</v>
      </c>
      <c r="H15" s="144">
        <v>994.54121864494391</v>
      </c>
      <c r="I15" s="145">
        <v>994.54121864494391</v>
      </c>
      <c r="J15" s="144">
        <v>993.38778082578801</v>
      </c>
      <c r="K15" s="145">
        <v>993.38778082578801</v>
      </c>
      <c r="L15" s="144">
        <v>992.74728904817357</v>
      </c>
      <c r="M15" s="145">
        <v>992.74728904817357</v>
      </c>
      <c r="N15" s="144">
        <v>992.79544770940549</v>
      </c>
      <c r="O15" s="145">
        <v>992.79544770940549</v>
      </c>
      <c r="P15" s="144">
        <v>993.78405399849089</v>
      </c>
      <c r="Q15" s="145">
        <v>993.78405399849089</v>
      </c>
      <c r="R15" s="144">
        <v>996.080600656721</v>
      </c>
      <c r="S15" s="145">
        <v>996.080600656721</v>
      </c>
      <c r="T15" s="144">
        <v>1000.2310534395598</v>
      </c>
      <c r="U15" s="145">
        <v>1000.2310534395598</v>
      </c>
      <c r="V15" s="144">
        <v>1007.0607852451111</v>
      </c>
      <c r="W15" s="145">
        <v>1007.0607852451111</v>
      </c>
      <c r="X15" s="144">
        <v>1017.8407056425966</v>
      </c>
      <c r="Y15" s="145">
        <v>1017.8407056425966</v>
      </c>
      <c r="Z15" s="144">
        <v>1034.564806508874</v>
      </c>
      <c r="AA15" s="145">
        <v>1034.564806508874</v>
      </c>
      <c r="AB15" s="144">
        <v>1060.4228214977397</v>
      </c>
      <c r="AC15" s="145">
        <v>1060.4228214977397</v>
      </c>
      <c r="AD15" s="144">
        <v>1100.6277448381766</v>
      </c>
      <c r="AE15" s="145">
        <v>1100.6277448381766</v>
      </c>
      <c r="AF15" s="144">
        <v>1163.9649470369377</v>
      </c>
      <c r="AG15" s="145">
        <v>1163.9649470369377</v>
      </c>
      <c r="AH15" s="144">
        <v>1266.3112727776463</v>
      </c>
      <c r="AI15" s="145">
        <v>1266.3112727776463</v>
      </c>
      <c r="AJ15" s="144">
        <v>1441.2449735825053</v>
      </c>
      <c r="AK15" s="145">
        <v>1441.2449735825053</v>
      </c>
      <c r="AL15" s="144">
        <v>1775.5611140893261</v>
      </c>
      <c r="AM15" s="145">
        <v>1775.5611140893261</v>
      </c>
      <c r="AN15" s="144">
        <v>2556.3485530220864</v>
      </c>
      <c r="AO15" s="145">
        <v>2556.3485530220864</v>
      </c>
      <c r="AP15" s="144">
        <v>2853.9289562947579</v>
      </c>
      <c r="AQ15" s="145">
        <v>2853.9289562947579</v>
      </c>
      <c r="AR15" s="144">
        <v>3266.3416546375629</v>
      </c>
      <c r="AS15" s="145">
        <v>3266.3416546375629</v>
      </c>
      <c r="AT15" s="144">
        <v>3895.7002714114424</v>
      </c>
      <c r="AU15" s="145">
        <v>3895.7002714114424</v>
      </c>
      <c r="AV15" s="144">
        <v>5067.3730536797775</v>
      </c>
      <c r="AW15" s="145">
        <v>5067.3730536797775</v>
      </c>
    </row>
    <row r="16" spans="1:49" s="27" customFormat="1" x14ac:dyDescent="0.2">
      <c r="A16" t="s">
        <v>61</v>
      </c>
      <c r="B16" s="39">
        <v>1000</v>
      </c>
      <c r="C16" s="40">
        <v>1000</v>
      </c>
      <c r="D16" s="39">
        <v>995.56223434782282</v>
      </c>
      <c r="E16" s="40">
        <v>996.66010615071082</v>
      </c>
      <c r="F16" s="39">
        <v>991.17409294514619</v>
      </c>
      <c r="G16" s="40">
        <v>993.45564780102711</v>
      </c>
      <c r="H16" s="39">
        <v>986.87808136358956</v>
      </c>
      <c r="I16" s="40">
        <v>990.4397389970128</v>
      </c>
      <c r="J16" s="39">
        <v>982.73783917254264</v>
      </c>
      <c r="K16" s="40">
        <v>987.68823779004902</v>
      </c>
      <c r="L16" s="39">
        <v>978.8472199573954</v>
      </c>
      <c r="M16" s="40">
        <v>985.3091429129264</v>
      </c>
      <c r="N16" s="39">
        <v>975.34685246771016</v>
      </c>
      <c r="O16" s="40">
        <v>983.45949206889213</v>
      </c>
      <c r="P16" s="39">
        <v>972.44767635403684</v>
      </c>
      <c r="Q16" s="40">
        <v>982.36934899162452</v>
      </c>
      <c r="R16" s="39">
        <v>970.46938696998632</v>
      </c>
      <c r="S16" s="40">
        <v>982.38079183472485</v>
      </c>
      <c r="T16" s="39">
        <v>969.90162163747004</v>
      </c>
      <c r="U16" s="40">
        <v>984.00984641216303</v>
      </c>
      <c r="V16" s="39">
        <v>971.50262699227494</v>
      </c>
      <c r="W16" s="40">
        <v>988.0462099978439</v>
      </c>
      <c r="X16" s="39">
        <v>976.46199346005903</v>
      </c>
      <c r="Y16" s="40">
        <v>995.71756285659717</v>
      </c>
      <c r="Z16" s="39">
        <v>986.6735505571246</v>
      </c>
      <c r="AA16" s="40">
        <v>1008.9646082151559</v>
      </c>
      <c r="AB16" s="39">
        <v>1005.2046070179651</v>
      </c>
      <c r="AC16" s="40">
        <v>1030.9118469748053</v>
      </c>
      <c r="AD16" s="39">
        <v>1037.1337020108056</v>
      </c>
      <c r="AE16" s="40">
        <v>1066.7004181133964</v>
      </c>
      <c r="AF16" s="39">
        <v>1091.1651541288013</v>
      </c>
      <c r="AG16" s="40">
        <v>1125.0718185203384</v>
      </c>
      <c r="AH16" s="39">
        <v>1183.3994110273891</v>
      </c>
      <c r="AI16" s="40">
        <v>1222.0203835715483</v>
      </c>
      <c r="AJ16" s="39">
        <v>1349.0189701676925</v>
      </c>
      <c r="AK16" s="40">
        <v>1391.9759498460774</v>
      </c>
      <c r="AL16" s="39">
        <v>1684.451455205588</v>
      </c>
      <c r="AM16" s="40">
        <v>1726.8669459994026</v>
      </c>
      <c r="AN16" s="39">
        <v>2554.3732874932816</v>
      </c>
      <c r="AO16" s="40">
        <v>2555.2911195447464</v>
      </c>
      <c r="AP16" s="39">
        <v>2920.8633346880133</v>
      </c>
      <c r="AQ16" s="40">
        <v>2889.7875865777887</v>
      </c>
      <c r="AR16" s="39">
        <v>3465.5709288026451</v>
      </c>
      <c r="AS16" s="40">
        <v>3373.1879146055539</v>
      </c>
      <c r="AT16" s="39">
        <v>4391.4669927010191</v>
      </c>
      <c r="AU16" s="40">
        <v>4162.0314415778148</v>
      </c>
      <c r="AV16" s="39">
        <v>6501.6760253413204</v>
      </c>
      <c r="AW16" s="40">
        <v>5840.442850268626</v>
      </c>
    </row>
    <row r="17" spans="1:49" x14ac:dyDescent="0.2">
      <c r="A17" t="s">
        <v>62</v>
      </c>
      <c r="B17" s="33">
        <v>1000.0000000000002</v>
      </c>
      <c r="C17" s="34">
        <v>999.99999999999977</v>
      </c>
      <c r="D17" s="33">
        <v>998.11456264886181</v>
      </c>
      <c r="E17" s="34">
        <v>1028.9715719850831</v>
      </c>
      <c r="F17" s="33">
        <v>996.44425662280401</v>
      </c>
      <c r="G17" s="34">
        <v>1060.9746157439058</v>
      </c>
      <c r="H17" s="33">
        <v>995.04717311352408</v>
      </c>
      <c r="I17" s="34">
        <v>1096.4295755451678</v>
      </c>
      <c r="J17" s="33">
        <v>994.00348092154377</v>
      </c>
      <c r="K17" s="34">
        <v>1135.8238196514635</v>
      </c>
      <c r="L17" s="33">
        <v>993.42436033070157</v>
      </c>
      <c r="M17" s="34">
        <v>1179.7228565855805</v>
      </c>
      <c r="N17" s="33">
        <v>993.46789344694469</v>
      </c>
      <c r="O17" s="34">
        <v>1228.7802476236927</v>
      </c>
      <c r="P17" s="33">
        <v>994.36193939871441</v>
      </c>
      <c r="Q17" s="34">
        <v>1283.7511025568397</v>
      </c>
      <c r="R17" s="33">
        <v>996.44163415445348</v>
      </c>
      <c r="S17" s="34">
        <v>1345.5099029185935</v>
      </c>
      <c r="T17" s="33">
        <v>1000.2101250739876</v>
      </c>
      <c r="U17" s="34">
        <v>1415.0877241045876</v>
      </c>
      <c r="V17" s="33">
        <v>1006.4389464245562</v>
      </c>
      <c r="W17" s="34">
        <v>1493.7654781667241</v>
      </c>
      <c r="X17" s="33">
        <v>1016.3393287404089</v>
      </c>
      <c r="Y17" s="34">
        <v>1583.3259593820342</v>
      </c>
      <c r="Z17" s="33">
        <v>1031.8622940585633</v>
      </c>
      <c r="AA17" s="34">
        <v>1686.7236953370293</v>
      </c>
      <c r="AB17" s="33">
        <v>1056.2416572067311</v>
      </c>
      <c r="AC17" s="34">
        <v>1809.7992839286112</v>
      </c>
      <c r="AD17" s="33">
        <v>1095.0179439860935</v>
      </c>
      <c r="AE17" s="34">
        <v>1965.5336033853955</v>
      </c>
      <c r="AF17" s="33">
        <v>1158.1140747295713</v>
      </c>
      <c r="AG17" s="34">
        <v>2184.6093587175033</v>
      </c>
      <c r="AH17" s="33">
        <v>1264.8211997185722</v>
      </c>
      <c r="AI17" s="34">
        <v>2543.9638782147385</v>
      </c>
      <c r="AJ17" s="33">
        <v>1459.3984689155609</v>
      </c>
      <c r="AK17" s="34">
        <v>3263.6952366585965</v>
      </c>
      <c r="AL17" s="33">
        <v>1869.8423751860473</v>
      </c>
      <c r="AM17" s="34">
        <v>5152.7691720499288</v>
      </c>
      <c r="AN17" s="33">
        <v>3022.8503618570821</v>
      </c>
      <c r="AO17" s="34">
        <v>12946.797947633762</v>
      </c>
      <c r="AP17" s="33">
        <v>3540.8568285914953</v>
      </c>
      <c r="AQ17" s="34">
        <v>17498.986450063818</v>
      </c>
      <c r="AR17" s="33">
        <v>4341.5080961325311</v>
      </c>
      <c r="AS17" s="34">
        <v>25660.067576752928</v>
      </c>
      <c r="AT17" s="33">
        <v>5778.6221185538116</v>
      </c>
      <c r="AU17" s="34">
        <v>43350.811283985444</v>
      </c>
      <c r="AV17" s="33">
        <v>9362.9936289599482</v>
      </c>
      <c r="AW17" s="34">
        <v>101394.22078704322</v>
      </c>
    </row>
    <row r="18" spans="1:49" x14ac:dyDescent="0.2">
      <c r="A18" t="s">
        <v>19</v>
      </c>
      <c r="B18" s="31">
        <v>27857.010133999996</v>
      </c>
      <c r="C18" s="32">
        <v>1236.7674480000003</v>
      </c>
      <c r="D18" s="31">
        <v>27685.978066941771</v>
      </c>
      <c r="E18" s="32">
        <v>1153.7750714345309</v>
      </c>
      <c r="F18" s="31">
        <v>27487.284394072532</v>
      </c>
      <c r="G18" s="32">
        <v>1071.0407602057237</v>
      </c>
      <c r="H18" s="31">
        <v>27255.030241800396</v>
      </c>
      <c r="I18" s="32">
        <v>988.65297019332968</v>
      </c>
      <c r="J18" s="31">
        <v>26981.671709156955</v>
      </c>
      <c r="K18" s="32">
        <v>906.72777875140309</v>
      </c>
      <c r="L18" s="31">
        <v>26657.587334689295</v>
      </c>
      <c r="M18" s="32">
        <v>825.41223940333521</v>
      </c>
      <c r="N18" s="31">
        <v>26270.371171193532</v>
      </c>
      <c r="O18" s="32">
        <v>744.90029626909234</v>
      </c>
      <c r="P18" s="31">
        <v>25804.09088392694</v>
      </c>
      <c r="Q18" s="32">
        <v>665.44141426292629</v>
      </c>
      <c r="R18" s="31">
        <v>25238.400148873792</v>
      </c>
      <c r="S18" s="32">
        <v>587.35417062020849</v>
      </c>
      <c r="T18" s="31">
        <v>24547.770688203735</v>
      </c>
      <c r="U18" s="32">
        <v>511.03449208475519</v>
      </c>
      <c r="V18" s="31">
        <v>23701.329898277396</v>
      </c>
      <c r="W18" s="32">
        <v>436.95123951668808</v>
      </c>
      <c r="X18" s="31">
        <v>22664.249735111265</v>
      </c>
      <c r="Y18" s="32">
        <v>365.61705840312277</v>
      </c>
      <c r="Z18" s="31">
        <v>21402.339328311686</v>
      </c>
      <c r="AA18" s="32">
        <v>297.52105567263288</v>
      </c>
      <c r="AB18" s="31">
        <v>19891.818454690452</v>
      </c>
      <c r="AC18" s="32">
        <v>233.02693654006652</v>
      </c>
      <c r="AD18" s="31">
        <v>18134.741039693647</v>
      </c>
      <c r="AE18" s="32">
        <v>172.32347599806803</v>
      </c>
      <c r="AF18" s="31">
        <v>16174.03985862714</v>
      </c>
      <c r="AG18" s="32">
        <v>115.70378650289975</v>
      </c>
      <c r="AH18" s="31">
        <v>14088.095345093257</v>
      </c>
      <c r="AI18" s="32">
        <v>64.74405099996423</v>
      </c>
      <c r="AJ18" s="31">
        <v>11935.701397513849</v>
      </c>
      <c r="AK18" s="32">
        <v>24.665772366263816</v>
      </c>
      <c r="AL18" s="31">
        <v>9647.5239404104177</v>
      </c>
      <c r="AM18" s="32">
        <v>3.903746539431582</v>
      </c>
      <c r="AN18" s="31">
        <v>6814.8396750030288</v>
      </c>
      <c r="AO18" s="32">
        <v>7.7225635886203306E-2</v>
      </c>
      <c r="AP18" s="31">
        <v>6075.0353192687207</v>
      </c>
      <c r="AQ18" s="32">
        <v>2.0653467068369964E-2</v>
      </c>
      <c r="AR18" s="31">
        <v>5215.8443703196162</v>
      </c>
      <c r="AS18" s="32">
        <v>3.7878638615702997E-3</v>
      </c>
      <c r="AT18" s="31">
        <v>4169.5825241494776</v>
      </c>
      <c r="AU18" s="32">
        <v>3.5790381493875045E-4</v>
      </c>
      <c r="AV18" s="31">
        <v>2777.9606525969421</v>
      </c>
      <c r="AW18" s="32">
        <v>7.1832084529096607E-6</v>
      </c>
    </row>
    <row r="19" spans="1:49" x14ac:dyDescent="0.2">
      <c r="A19" t="s">
        <v>3</v>
      </c>
      <c r="B19" s="39">
        <v>1886.3937399999918</v>
      </c>
      <c r="C19" s="40">
        <v>262.78711299999759</v>
      </c>
      <c r="D19" s="39">
        <v>1865.4864055961311</v>
      </c>
      <c r="E19" s="40">
        <v>266.34616266627802</v>
      </c>
      <c r="F19" s="39">
        <v>1843.9020885936943</v>
      </c>
      <c r="G19" s="40">
        <v>270.41175186179362</v>
      </c>
      <c r="H19" s="39">
        <v>1821.5285509751811</v>
      </c>
      <c r="I19" s="40">
        <v>274.9892278885028</v>
      </c>
      <c r="J19" s="39">
        <v>1798.2375544595886</v>
      </c>
      <c r="K19" s="40">
        <v>280.06544252889415</v>
      </c>
      <c r="L19" s="39">
        <v>1773.8863620642301</v>
      </c>
      <c r="M19" s="40">
        <v>285.59863929222882</v>
      </c>
      <c r="N19" s="39">
        <v>1748.3235321398838</v>
      </c>
      <c r="O19" s="40">
        <v>291.5037771869919</v>
      </c>
      <c r="P19" s="39">
        <v>1721.4049609324622</v>
      </c>
      <c r="Q19" s="40">
        <v>297.63364335858478</v>
      </c>
      <c r="R19" s="39">
        <v>1693.0306068348618</v>
      </c>
      <c r="S19" s="40">
        <v>303.75543179923318</v>
      </c>
      <c r="T19" s="39">
        <v>1663.2237886984783</v>
      </c>
      <c r="U19" s="40">
        <v>309.52811905225332</v>
      </c>
      <c r="V19" s="39">
        <v>1632.2939578864998</v>
      </c>
      <c r="W19" s="40">
        <v>314.4896218653692</v>
      </c>
      <c r="X19" s="39">
        <v>1601.1622437202479</v>
      </c>
      <c r="Y19" s="40">
        <v>318.0771888625593</v>
      </c>
      <c r="Z19" s="39">
        <v>1571.9922625649417</v>
      </c>
      <c r="AA19" s="40">
        <v>319.71431201957921</v>
      </c>
      <c r="AB19" s="39">
        <v>1549.3709684997823</v>
      </c>
      <c r="AC19" s="40">
        <v>318.99066714062354</v>
      </c>
      <c r="AD19" s="39">
        <v>1542.4527162480167</v>
      </c>
      <c r="AE19" s="40">
        <v>315.87145744445434</v>
      </c>
      <c r="AF19" s="39">
        <v>1568.8746532367618</v>
      </c>
      <c r="AG19" s="40">
        <v>310.54925177458875</v>
      </c>
      <c r="AH19" s="39">
        <v>1663.0790391218648</v>
      </c>
      <c r="AI19" s="40">
        <v>301.74992082888832</v>
      </c>
      <c r="AJ19" s="39">
        <v>1901.1936555675422</v>
      </c>
      <c r="AK19" s="40">
        <v>281.16667618437577</v>
      </c>
      <c r="AL19" s="39">
        <v>2492.5860918860135</v>
      </c>
      <c r="AM19" s="40">
        <v>225.9389046049705</v>
      </c>
      <c r="AN19" s="39">
        <v>4199.7792703911282</v>
      </c>
      <c r="AO19" s="40">
        <v>122.33056380462759</v>
      </c>
      <c r="AP19" s="39">
        <v>4922.845300458428</v>
      </c>
      <c r="AQ19" s="40">
        <v>98.277463790269337</v>
      </c>
      <c r="AR19" s="39">
        <v>5972.6742585157854</v>
      </c>
      <c r="AS19" s="40">
        <v>73.866753227515417</v>
      </c>
      <c r="AT19" s="39">
        <v>7663.1537597517517</v>
      </c>
      <c r="AU19" s="40">
        <v>49.28788344458583</v>
      </c>
      <c r="AV19" s="39">
        <v>11037.51327641585</v>
      </c>
      <c r="AW19" s="40">
        <v>24.649873685391501</v>
      </c>
    </row>
    <row r="20" spans="1:49" x14ac:dyDescent="0.2">
      <c r="A20" t="s">
        <v>114</v>
      </c>
      <c r="B20" s="79">
        <v>26548.356269999993</v>
      </c>
      <c r="C20" s="80">
        <v>1408.5418709999938</v>
      </c>
      <c r="D20" s="79">
        <v>26363.418449810528</v>
      </c>
      <c r="E20" s="80">
        <v>1338.1147774499941</v>
      </c>
      <c r="F20" s="79">
        <v>26154.815364416634</v>
      </c>
      <c r="G20" s="80">
        <v>1267.6876838999945</v>
      </c>
      <c r="H20" s="79">
        <v>25917.654686031783</v>
      </c>
      <c r="I20" s="80">
        <v>1197.2605903499946</v>
      </c>
      <c r="J20" s="79">
        <v>25645.709990772939</v>
      </c>
      <c r="K20" s="80">
        <v>1126.8334967999951</v>
      </c>
      <c r="L20" s="79">
        <v>25331.077629765939</v>
      </c>
      <c r="M20" s="80">
        <v>1056.4064032499953</v>
      </c>
      <c r="N20" s="79">
        <v>24963.618642807847</v>
      </c>
      <c r="O20" s="80">
        <v>985.97930969999561</v>
      </c>
      <c r="P20" s="79">
        <v>24530.380951900264</v>
      </c>
      <c r="Q20" s="80">
        <v>915.55221614999596</v>
      </c>
      <c r="R20" s="79">
        <v>24014.919532739375</v>
      </c>
      <c r="S20" s="80">
        <v>845.12512259999642</v>
      </c>
      <c r="T20" s="79">
        <v>23396.7379638682</v>
      </c>
      <c r="U20" s="80">
        <v>774.69802904999653</v>
      </c>
      <c r="V20" s="79">
        <v>22651.256252354167</v>
      </c>
      <c r="W20" s="80">
        <v>704.27093549999688</v>
      </c>
      <c r="X20" s="79">
        <v>21751.088757655591</v>
      </c>
      <c r="Y20" s="80">
        <v>633.84384194999723</v>
      </c>
      <c r="Z20" s="79">
        <v>20669.991270590988</v>
      </c>
      <c r="AA20" s="80">
        <v>563.41674839999746</v>
      </c>
      <c r="AB20" s="79">
        <v>19391.105630710765</v>
      </c>
      <c r="AC20" s="80">
        <v>492.98965484999781</v>
      </c>
      <c r="AD20" s="79">
        <v>17919.927028458274</v>
      </c>
      <c r="AE20" s="80">
        <v>422.56256129999804</v>
      </c>
      <c r="AF20" s="79">
        <v>16297.227699875701</v>
      </c>
      <c r="AG20" s="80">
        <v>352.13546774999827</v>
      </c>
      <c r="AH20" s="79">
        <v>14596.11357901203</v>
      </c>
      <c r="AI20" s="80">
        <v>281.70837419999856</v>
      </c>
      <c r="AJ20" s="79">
        <v>12881.191459267908</v>
      </c>
      <c r="AK20" s="80">
        <v>211.28128064999879</v>
      </c>
      <c r="AL20" s="79">
        <v>11127.156791065348</v>
      </c>
      <c r="AM20" s="80">
        <v>140.85418709999905</v>
      </c>
      <c r="AN20" s="79">
        <v>9044.6469393706993</v>
      </c>
      <c r="AO20" s="80">
        <v>70.42709354999927</v>
      </c>
      <c r="AP20" s="79">
        <v>8506.1916440377663</v>
      </c>
      <c r="AQ20" s="80">
        <v>56.341674839999335</v>
      </c>
      <c r="AR20" s="79">
        <v>7878.6335554516554</v>
      </c>
      <c r="AS20" s="80">
        <v>42.256256129999379</v>
      </c>
      <c r="AT20" s="79">
        <v>7106.2708937425732</v>
      </c>
      <c r="AU20" s="80">
        <v>28.170837419999433</v>
      </c>
      <c r="AV20" s="79">
        <v>6049.3787183832646</v>
      </c>
      <c r="AW20" s="80">
        <v>14.08541870999948</v>
      </c>
    </row>
    <row r="21" spans="1:49" x14ac:dyDescent="0.2">
      <c r="A21" t="s">
        <v>76</v>
      </c>
      <c r="B21" s="79">
        <v>24661.962529999968</v>
      </c>
      <c r="C21" s="80">
        <v>1145.7547579999991</v>
      </c>
      <c r="D21" s="79">
        <v>24497.94072810674</v>
      </c>
      <c r="E21" s="80">
        <v>1071.9360621640953</v>
      </c>
      <c r="F21" s="79">
        <v>24310.943962767597</v>
      </c>
      <c r="G21" s="80">
        <v>997.98521892285964</v>
      </c>
      <c r="H21" s="79">
        <v>24096.185208437473</v>
      </c>
      <c r="I21" s="80">
        <v>923.96220622251656</v>
      </c>
      <c r="J21" s="79">
        <v>23847.558202079439</v>
      </c>
      <c r="K21" s="80">
        <v>849.95331948141961</v>
      </c>
      <c r="L21" s="79">
        <v>23557.293187634325</v>
      </c>
      <c r="M21" s="80">
        <v>776.0799667918983</v>
      </c>
      <c r="N21" s="79">
        <v>23215.39422266954</v>
      </c>
      <c r="O21" s="80">
        <v>702.51016618987899</v>
      </c>
      <c r="P21" s="79">
        <v>22809.048488535176</v>
      </c>
      <c r="Q21" s="80">
        <v>629.47153070112711</v>
      </c>
      <c r="R21" s="79">
        <v>22321.917143813862</v>
      </c>
      <c r="S21" s="80">
        <v>557.26505566754179</v>
      </c>
      <c r="T21" s="79">
        <v>21733.514270709744</v>
      </c>
      <c r="U21" s="80">
        <v>486.27450073668928</v>
      </c>
      <c r="V21" s="79">
        <v>21019.0486724535</v>
      </c>
      <c r="W21" s="80">
        <v>416.96475853958475</v>
      </c>
      <c r="X21" s="79">
        <v>20150.456067352778</v>
      </c>
      <c r="Y21" s="80">
        <v>349.85496505786614</v>
      </c>
      <c r="Z21" s="79">
        <v>19099.887926746702</v>
      </c>
      <c r="AA21" s="80">
        <v>285.45293633085743</v>
      </c>
      <c r="AB21" s="79">
        <v>17847.149797453276</v>
      </c>
      <c r="AC21" s="80">
        <v>224.15519418193418</v>
      </c>
      <c r="AD21" s="79">
        <v>16391.353895767304</v>
      </c>
      <c r="AE21" s="80">
        <v>166.19122520134448</v>
      </c>
      <c r="AF21" s="79">
        <v>14761.866599825446</v>
      </c>
      <c r="AG21" s="80">
        <v>111.88173495426425</v>
      </c>
      <c r="AH21" s="79">
        <v>13012.215552034073</v>
      </c>
      <c r="AI21" s="80">
        <v>62.776328593962909</v>
      </c>
      <c r="AJ21" s="79">
        <v>11171.829466453504</v>
      </c>
      <c r="AK21" s="80">
        <v>23.978879578314388</v>
      </c>
      <c r="AL21" s="79">
        <v>9146.512948621852</v>
      </c>
      <c r="AM21" s="80">
        <v>3.8024224878276311</v>
      </c>
      <c r="AN21" s="79">
        <v>6520.6208952221623</v>
      </c>
      <c r="AO21" s="80">
        <v>7.5277706611292891E-2</v>
      </c>
      <c r="AP21" s="79">
        <v>5819.6256832182844</v>
      </c>
      <c r="AQ21" s="80">
        <v>2.0133262425759364E-2</v>
      </c>
      <c r="AR21" s="79">
        <v>5001.2851599930864</v>
      </c>
      <c r="AS21" s="80">
        <v>3.6925313335320338E-3</v>
      </c>
      <c r="AT21" s="79">
        <v>4000.9005692220267</v>
      </c>
      <c r="AU21" s="80">
        <v>3.4889900034713287E-4</v>
      </c>
      <c r="AV21" s="79">
        <v>2666.835588359806</v>
      </c>
      <c r="AW21" s="80">
        <v>7.0024960799416882E-6</v>
      </c>
    </row>
    <row r="22" spans="1:49" x14ac:dyDescent="0.2">
      <c r="A22" t="s">
        <v>28</v>
      </c>
      <c r="B22" s="39">
        <v>6533.6044688320662</v>
      </c>
      <c r="C22" s="40">
        <v>379.90788307663382</v>
      </c>
      <c r="D22" s="39">
        <v>6468.6684918858009</v>
      </c>
      <c r="E22" s="40">
        <v>363.25225836973618</v>
      </c>
      <c r="F22" s="39">
        <v>6396.6932453418194</v>
      </c>
      <c r="G22" s="40">
        <v>346.44880046398242</v>
      </c>
      <c r="H22" s="39">
        <v>6316.3300991886335</v>
      </c>
      <c r="I22" s="40">
        <v>329.49119802732963</v>
      </c>
      <c r="J22" s="39">
        <v>6225.8813184789333</v>
      </c>
      <c r="K22" s="40">
        <v>312.37228828339784</v>
      </c>
      <c r="L22" s="39">
        <v>6123.2149814966106</v>
      </c>
      <c r="M22" s="40">
        <v>295.08380832345227</v>
      </c>
      <c r="N22" s="39">
        <v>6005.6257710786085</v>
      </c>
      <c r="O22" s="40">
        <v>277.61603542399399</v>
      </c>
      <c r="P22" s="39">
        <v>5869.6954478843854</v>
      </c>
      <c r="Q22" s="40">
        <v>259.95757385878306</v>
      </c>
      <c r="R22" s="39">
        <v>5711.1317267679251</v>
      </c>
      <c r="S22" s="40">
        <v>242.09535655271537</v>
      </c>
      <c r="T22" s="39">
        <v>5524.6473578641026</v>
      </c>
      <c r="U22" s="40">
        <v>224.01511318095763</v>
      </c>
      <c r="V22" s="39">
        <v>5303.98148137728</v>
      </c>
      <c r="W22" s="40">
        <v>205.70289401290103</v>
      </c>
      <c r="X22" s="39">
        <v>5042.2640621854116</v>
      </c>
      <c r="Y22" s="40">
        <v>187.14798279236535</v>
      </c>
      <c r="Z22" s="39">
        <v>4733.0575601150658</v>
      </c>
      <c r="AA22" s="40">
        <v>168.34700825427203</v>
      </c>
      <c r="AB22" s="39">
        <v>4372.4610427305961</v>
      </c>
      <c r="AC22" s="40">
        <v>149.30628820957662</v>
      </c>
      <c r="AD22" s="39">
        <v>3962.3259265857096</v>
      </c>
      <c r="AE22" s="40">
        <v>130.03153103047495</v>
      </c>
      <c r="AF22" s="39">
        <v>3513.2774895411653</v>
      </c>
      <c r="AG22" s="40">
        <v>110.4778108126597</v>
      </c>
      <c r="AH22" s="39">
        <v>3043.3785672763779</v>
      </c>
      <c r="AI22" s="40">
        <v>90.414930985667468</v>
      </c>
      <c r="AJ22" s="39">
        <v>2566.660834385244</v>
      </c>
      <c r="AK22" s="40">
        <v>69.224360071833516</v>
      </c>
      <c r="AL22" s="39">
        <v>2071.1690391293864</v>
      </c>
      <c r="AM22" s="40">
        <v>46.144070518414146</v>
      </c>
      <c r="AN22" s="39">
        <v>1476.3981906961542</v>
      </c>
      <c r="AO22" s="40">
        <v>22.061549495240726</v>
      </c>
      <c r="AP22" s="39">
        <v>1324.1244853436792</v>
      </c>
      <c r="AQ22" s="40">
        <v>17.362863444347884</v>
      </c>
      <c r="AR22" s="39">
        <v>1148.4951142285761</v>
      </c>
      <c r="AS22" s="40">
        <v>12.758254484122867</v>
      </c>
      <c r="AT22" s="39">
        <v>935.77346948219895</v>
      </c>
      <c r="AU22" s="40">
        <v>8.2775556473953884</v>
      </c>
      <c r="AV22" s="39">
        <v>652.42817222049064</v>
      </c>
      <c r="AW22" s="40">
        <v>3.9700752992675068</v>
      </c>
    </row>
    <row r="23" spans="1:49" x14ac:dyDescent="0.2">
      <c r="A23" t="s">
        <v>7</v>
      </c>
      <c r="B23" s="110">
        <v>3278.5018080150408</v>
      </c>
      <c r="C23" s="8">
        <v>0</v>
      </c>
      <c r="D23" s="110">
        <v>3262.0024329186949</v>
      </c>
      <c r="E23" s="8">
        <v>0</v>
      </c>
      <c r="F23" s="110">
        <v>3242.1442761110143</v>
      </c>
      <c r="G23" s="8">
        <v>0</v>
      </c>
      <c r="H23" s="110">
        <v>3218.200897385399</v>
      </c>
      <c r="I23" s="8">
        <v>0</v>
      </c>
      <c r="J23" s="110">
        <v>3189.2425652026736</v>
      </c>
      <c r="K23" s="8">
        <v>0</v>
      </c>
      <c r="L23" s="110">
        <v>3154.0836512968203</v>
      </c>
      <c r="M23" s="8">
        <v>0</v>
      </c>
      <c r="N23" s="110">
        <v>3111.1958863760087</v>
      </c>
      <c r="O23" s="8">
        <v>0</v>
      </c>
      <c r="P23" s="110">
        <v>3058.6189664789481</v>
      </c>
      <c r="Q23" s="8">
        <v>0</v>
      </c>
      <c r="R23" s="110">
        <v>2993.8545636373269</v>
      </c>
      <c r="S23" s="8">
        <v>0</v>
      </c>
      <c r="T23" s="110">
        <v>2913.7786450802118</v>
      </c>
      <c r="U23" s="8">
        <v>0</v>
      </c>
      <c r="V23" s="110">
        <v>2814.6355157427611</v>
      </c>
      <c r="W23" s="8">
        <v>0</v>
      </c>
      <c r="X23" s="110">
        <v>2692.2365284716916</v>
      </c>
      <c r="Y23" s="8">
        <v>0</v>
      </c>
      <c r="Z23" s="110">
        <v>2542.5796351112895</v>
      </c>
      <c r="AA23" s="8">
        <v>0</v>
      </c>
      <c r="AB23" s="110">
        <v>2363.1560075688817</v>
      </c>
      <c r="AC23" s="8">
        <v>0</v>
      </c>
      <c r="AD23" s="110">
        <v>2155.0362612572208</v>
      </c>
      <c r="AE23" s="8">
        <v>0</v>
      </c>
      <c r="AF23" s="110">
        <v>1925.049322002651</v>
      </c>
      <c r="AG23" s="8">
        <v>0</v>
      </c>
      <c r="AH23" s="110">
        <v>1685.7104761071796</v>
      </c>
      <c r="AI23" s="8">
        <v>0</v>
      </c>
      <c r="AJ23" s="110">
        <v>1449.7066314825734</v>
      </c>
      <c r="AK23" s="8">
        <v>0</v>
      </c>
      <c r="AL23" s="110">
        <v>1218.170586088416</v>
      </c>
      <c r="AM23" s="8">
        <v>0</v>
      </c>
      <c r="AN23" s="110">
        <v>951.38539524129033</v>
      </c>
      <c r="AO23" s="8">
        <v>0</v>
      </c>
      <c r="AP23" s="110">
        <v>881.4423415301319</v>
      </c>
      <c r="AQ23" s="8">
        <v>0</v>
      </c>
      <c r="AR23" s="110">
        <v>798.66511225627551</v>
      </c>
      <c r="AS23" s="8">
        <v>0</v>
      </c>
      <c r="AT23" s="110">
        <v>694.44610725878613</v>
      </c>
      <c r="AU23" s="8">
        <v>0</v>
      </c>
      <c r="AV23" s="110">
        <v>546.26779779988294</v>
      </c>
      <c r="AW23" s="8">
        <v>0</v>
      </c>
    </row>
    <row r="24" spans="1:49" x14ac:dyDescent="0.2">
      <c r="A24" t="s">
        <v>8</v>
      </c>
      <c r="B24" s="93">
        <v>3196.3846373657216</v>
      </c>
      <c r="C24" s="8">
        <v>0</v>
      </c>
      <c r="D24" s="93">
        <v>3196.3846373657216</v>
      </c>
      <c r="E24" s="8">
        <v>0</v>
      </c>
      <c r="F24" s="93">
        <v>3196.3846373657216</v>
      </c>
      <c r="G24" s="8">
        <v>0</v>
      </c>
      <c r="H24" s="93">
        <v>3196.3846373657216</v>
      </c>
      <c r="I24" s="8">
        <v>0</v>
      </c>
      <c r="J24" s="93">
        <v>3196.3846373657216</v>
      </c>
      <c r="K24" s="8">
        <v>0</v>
      </c>
      <c r="L24" s="93">
        <v>3196.3846373657216</v>
      </c>
      <c r="M24" s="8">
        <v>0</v>
      </c>
      <c r="N24" s="93">
        <v>3196.3846373657216</v>
      </c>
      <c r="O24" s="8">
        <v>0</v>
      </c>
      <c r="P24" s="93">
        <v>3196.3846373657216</v>
      </c>
      <c r="Q24" s="8">
        <v>0</v>
      </c>
      <c r="R24" s="93">
        <v>3196.3846373657216</v>
      </c>
      <c r="S24" s="8">
        <v>0</v>
      </c>
      <c r="T24" s="93">
        <v>3196.3846373657216</v>
      </c>
      <c r="U24" s="8">
        <v>0</v>
      </c>
      <c r="V24" s="93">
        <v>3196.3846373657216</v>
      </c>
      <c r="W24" s="8">
        <v>0</v>
      </c>
      <c r="X24" s="93">
        <v>3196.3846373657216</v>
      </c>
      <c r="Y24" s="8">
        <v>0</v>
      </c>
      <c r="Z24" s="93">
        <v>3196.3846373657216</v>
      </c>
      <c r="AA24" s="8">
        <v>0</v>
      </c>
      <c r="AB24" s="93">
        <v>3196.3846373657216</v>
      </c>
      <c r="AC24" s="8">
        <v>0</v>
      </c>
      <c r="AD24" s="93">
        <v>3196.3846373657216</v>
      </c>
      <c r="AE24" s="8">
        <v>0</v>
      </c>
      <c r="AF24" s="93">
        <v>3196.3846373657216</v>
      </c>
      <c r="AG24" s="8">
        <v>0</v>
      </c>
      <c r="AH24" s="93">
        <v>3196.3846373657216</v>
      </c>
      <c r="AI24" s="8">
        <v>0</v>
      </c>
      <c r="AJ24" s="93">
        <v>3196.3846373657216</v>
      </c>
      <c r="AK24" s="8">
        <v>0</v>
      </c>
      <c r="AL24" s="93">
        <v>3196.3846373657216</v>
      </c>
      <c r="AM24" s="8">
        <v>0</v>
      </c>
      <c r="AN24" s="93">
        <v>3196.3846373657216</v>
      </c>
      <c r="AO24" s="8">
        <v>0</v>
      </c>
      <c r="AP24" s="93">
        <v>3196.3846373657216</v>
      </c>
      <c r="AQ24" s="8">
        <v>0</v>
      </c>
      <c r="AR24" s="93">
        <v>3196.3846373657216</v>
      </c>
      <c r="AS24" s="8">
        <v>0</v>
      </c>
      <c r="AT24" s="93">
        <v>3196.3846373657216</v>
      </c>
      <c r="AU24" s="8">
        <v>0</v>
      </c>
      <c r="AV24" s="93">
        <v>3196.3846373657216</v>
      </c>
      <c r="AW24" s="8">
        <v>0</v>
      </c>
    </row>
    <row r="25" spans="1:49" x14ac:dyDescent="0.2">
      <c r="A25" t="s">
        <v>0</v>
      </c>
      <c r="B25" s="39">
        <v>3195.0476040000012</v>
      </c>
      <c r="C25" s="40">
        <v>91.012690000004397</v>
      </c>
      <c r="D25" s="39">
        <v>3188.0232697232855</v>
      </c>
      <c r="E25" s="40">
        <v>81.80816843077811</v>
      </c>
      <c r="F25" s="39">
        <v>3176.2903894704759</v>
      </c>
      <c r="G25" s="40">
        <v>72.935678755106196</v>
      </c>
      <c r="H25" s="39">
        <v>3158.7482552044589</v>
      </c>
      <c r="I25" s="40">
        <v>64.430265692689758</v>
      </c>
      <c r="J25" s="39">
        <v>3133.9725252879043</v>
      </c>
      <c r="K25" s="40">
        <v>56.328662269438993</v>
      </c>
      <c r="L25" s="39">
        <v>3100.126335473894</v>
      </c>
      <c r="M25" s="40">
        <v>48.668511112402264</v>
      </c>
      <c r="N25" s="39">
        <v>3054.8137469328344</v>
      </c>
      <c r="O25" s="40">
        <v>41.48806737779281</v>
      </c>
      <c r="P25" s="39">
        <v>2994.9232772700966</v>
      </c>
      <c r="Q25" s="40">
        <v>34.824873890438028</v>
      </c>
      <c r="R25" s="39">
        <v>2916.4369214375633</v>
      </c>
      <c r="S25" s="40">
        <v>28.714225800920008</v>
      </c>
      <c r="T25" s="39">
        <v>2814.2562439636754</v>
      </c>
      <c r="U25" s="40">
        <v>23.186687443187388</v>
      </c>
      <c r="V25" s="39">
        <v>2682.1443802586637</v>
      </c>
      <c r="W25" s="40">
        <v>18.264697032334539</v>
      </c>
      <c r="X25" s="39">
        <v>2512.9788433800345</v>
      </c>
      <c r="Y25" s="40">
        <v>13.958290071153911</v>
      </c>
      <c r="Z25" s="39">
        <v>2299.6706729825887</v>
      </c>
      <c r="AA25" s="40">
        <v>10.260939808648123</v>
      </c>
      <c r="AB25" s="39">
        <v>2037.2144006658643</v>
      </c>
      <c r="AC25" s="40">
        <v>7.1482666715105552</v>
      </c>
      <c r="AD25" s="39">
        <v>1726.1248615371014</v>
      </c>
      <c r="AE25" s="40">
        <v>4.5858874566006058</v>
      </c>
      <c r="AF25" s="39">
        <v>1376.4128542451936</v>
      </c>
      <c r="AG25" s="40">
        <v>2.5547001365498634</v>
      </c>
      <c r="AH25" s="39">
        <v>1008.8904730117769</v>
      </c>
      <c r="AI25" s="40">
        <v>1.0892729698908197</v>
      </c>
      <c r="AJ25" s="39">
        <v>650.54396441276572</v>
      </c>
      <c r="AK25" s="40">
        <v>0.26639608102088097</v>
      </c>
      <c r="AL25" s="39">
        <v>332.59472145572164</v>
      </c>
      <c r="AM25" s="40">
        <v>1.8765553152692922E-2</v>
      </c>
      <c r="AN25" s="39">
        <v>100.32423336116806</v>
      </c>
      <c r="AO25" s="40">
        <v>7.1039260915869146E-5</v>
      </c>
      <c r="AP25" s="39">
        <v>68.175499404393221</v>
      </c>
      <c r="AQ25" s="40">
        <v>1.0962536219471375E-5</v>
      </c>
      <c r="AR25" s="39">
        <v>41.500068943930643</v>
      </c>
      <c r="AS25" s="40">
        <v>9.9318108382215195E-7</v>
      </c>
      <c r="AT25" s="39">
        <v>20.699620805448472</v>
      </c>
      <c r="AU25" s="40">
        <v>3.5313932235673828E-8</v>
      </c>
      <c r="AV25" s="39">
        <v>6.385216949044727</v>
      </c>
      <c r="AW25" s="40">
        <v>1.4198369807356695E-10</v>
      </c>
    </row>
    <row r="26" spans="1:49" x14ac:dyDescent="0.2">
      <c r="A26" t="s">
        <v>27</v>
      </c>
      <c r="B26" s="31">
        <v>5036.2953101960647</v>
      </c>
      <c r="C26" s="32">
        <v>74.905331803938267</v>
      </c>
      <c r="D26" s="31">
        <v>5014.5911388889399</v>
      </c>
      <c r="E26" s="32">
        <v>70.226355790461781</v>
      </c>
      <c r="F26" s="31">
        <v>4988.5291368795433</v>
      </c>
      <c r="G26" s="32">
        <v>65.538955984606858</v>
      </c>
      <c r="H26" s="31">
        <v>4957.0793981728248</v>
      </c>
      <c r="I26" s="32">
        <v>60.845156277526407</v>
      </c>
      <c r="J26" s="31">
        <v>4918.9036896875159</v>
      </c>
      <c r="K26" s="32">
        <v>56.148129310636854</v>
      </c>
      <c r="L26" s="31">
        <v>4872.2690807614563</v>
      </c>
      <c r="M26" s="32">
        <v>51.452488877886886</v>
      </c>
      <c r="N26" s="31">
        <v>4814.9054726352451</v>
      </c>
      <c r="O26" s="32">
        <v>46.765149308208457</v>
      </c>
      <c r="P26" s="31">
        <v>4743.8506786032276</v>
      </c>
      <c r="Q26" s="32">
        <v>42.096007367034424</v>
      </c>
      <c r="R26" s="31">
        <v>4655.2582966645077</v>
      </c>
      <c r="S26" s="32">
        <v>37.458935690081518</v>
      </c>
      <c r="T26" s="31">
        <v>4544.2145672772212</v>
      </c>
      <c r="U26" s="32">
        <v>32.872635169856075</v>
      </c>
      <c r="V26" s="31">
        <v>4404.65244664069</v>
      </c>
      <c r="W26" s="32">
        <v>28.360970773177261</v>
      </c>
      <c r="X26" s="31">
        <v>4229.5414907720515</v>
      </c>
      <c r="Y26" s="32">
        <v>23.952027534857486</v>
      </c>
      <c r="Z26" s="31">
        <v>4011.6773526354609</v>
      </c>
      <c r="AA26" s="32">
        <v>19.675013622771456</v>
      </c>
      <c r="AB26" s="31">
        <v>3745.4762838421857</v>
      </c>
      <c r="AC26" s="32">
        <v>15.555074628656266</v>
      </c>
      <c r="AD26" s="31">
        <v>3429.9188166004624</v>
      </c>
      <c r="AE26" s="32">
        <v>11.611066484841363</v>
      </c>
      <c r="AF26" s="31">
        <v>3071.554540719173</v>
      </c>
      <c r="AG26" s="32">
        <v>7.8736142826735556</v>
      </c>
      <c r="AH26" s="31">
        <v>2683.7050482302252</v>
      </c>
      <c r="AI26" s="32">
        <v>4.4605829494460876</v>
      </c>
      <c r="AJ26" s="31">
        <v>2275.9206184606523</v>
      </c>
      <c r="AK26" s="32">
        <v>1.7332746284492919</v>
      </c>
      <c r="AL26" s="31">
        <v>1832.0699990997846</v>
      </c>
      <c r="AM26" s="32">
        <v>0.28528791305757711</v>
      </c>
      <c r="AN26" s="31">
        <v>1267.8050137942657</v>
      </c>
      <c r="AO26" s="32">
        <v>6.1661750168413489E-3</v>
      </c>
      <c r="AP26" s="31">
        <v>1119.0649179750424</v>
      </c>
      <c r="AQ26" s="32">
        <v>1.7003263050911594E-3</v>
      </c>
      <c r="AR26" s="31">
        <v>946.60931969863634</v>
      </c>
      <c r="AS26" s="32">
        <v>3.2441704963555393E-4</v>
      </c>
      <c r="AT26" s="31">
        <v>738.27384055741129</v>
      </c>
      <c r="AU26" s="32">
        <v>3.2385189826467603E-5</v>
      </c>
      <c r="AV26" s="31">
        <v>467.7591826477514</v>
      </c>
      <c r="AW26" s="32">
        <v>7.1128088902359717E-7</v>
      </c>
    </row>
    <row r="27" spans="1:49" x14ac:dyDescent="0.2">
      <c r="A27" t="s">
        <v>2</v>
      </c>
      <c r="B27" s="33">
        <v>6425.1981590000414</v>
      </c>
      <c r="C27" s="34">
        <v>273.22915400000028</v>
      </c>
      <c r="D27" s="33">
        <v>6388.975367535405</v>
      </c>
      <c r="E27" s="34">
        <v>255.99097321560126</v>
      </c>
      <c r="F27" s="33">
        <v>6346.5632676743935</v>
      </c>
      <c r="G27" s="34">
        <v>238.73125376125859</v>
      </c>
      <c r="H27" s="33">
        <v>6296.6056018231156</v>
      </c>
      <c r="I27" s="34">
        <v>221.45879889991554</v>
      </c>
      <c r="J27" s="33">
        <v>6237.3612045179543</v>
      </c>
      <c r="K27" s="34">
        <v>204.1870814101477</v>
      </c>
      <c r="L27" s="33">
        <v>6166.6004046998733</v>
      </c>
      <c r="M27" s="34">
        <v>186.93484458385655</v>
      </c>
      <c r="N27" s="33">
        <v>6081.4371513157885</v>
      </c>
      <c r="O27" s="34">
        <v>169.72981454557601</v>
      </c>
      <c r="P27" s="33">
        <v>5978.1502727862635</v>
      </c>
      <c r="Q27" s="34">
        <v>152.6108528876577</v>
      </c>
      <c r="R27" s="33">
        <v>5851.9685486797907</v>
      </c>
      <c r="S27" s="34">
        <v>135.63168002688673</v>
      </c>
      <c r="T27" s="33">
        <v>5696.8808059857838</v>
      </c>
      <c r="U27" s="34">
        <v>118.86399617392355</v>
      </c>
      <c r="V27" s="33">
        <v>5505.5845799631879</v>
      </c>
      <c r="W27" s="34">
        <v>102.39852146547757</v>
      </c>
      <c r="X27" s="33">
        <v>5269.798172547441</v>
      </c>
      <c r="Y27" s="34">
        <v>86.34142945662326</v>
      </c>
      <c r="Z27" s="33">
        <v>4981.33057903596</v>
      </c>
      <c r="AA27" s="34">
        <v>70.802945888899501</v>
      </c>
      <c r="AB27" s="33">
        <v>4634.3885424495811</v>
      </c>
      <c r="AC27" s="34">
        <v>55.878075544696109</v>
      </c>
      <c r="AD27" s="33">
        <v>4229.2537451299659</v>
      </c>
      <c r="AE27" s="34">
        <v>41.637887816120653</v>
      </c>
      <c r="AF27" s="33">
        <v>3775.9359092392733</v>
      </c>
      <c r="AG27" s="34">
        <v>28.192522630748734</v>
      </c>
      <c r="AH27" s="33">
        <v>3293.085067526752</v>
      </c>
      <c r="AI27" s="34">
        <v>15.957039942848199</v>
      </c>
      <c r="AJ27" s="33">
        <v>2795.311315158061</v>
      </c>
      <c r="AK27" s="34">
        <v>6.2034108165347188</v>
      </c>
      <c r="AL27" s="33">
        <v>2267.9301378414089</v>
      </c>
      <c r="AM27" s="34">
        <v>1.0250705730349878</v>
      </c>
      <c r="AN27" s="33">
        <v>1616.7350829420134</v>
      </c>
      <c r="AO27" s="34">
        <v>2.2487214427162585E-2</v>
      </c>
      <c r="AP27" s="33">
        <v>1446.2924588015583</v>
      </c>
      <c r="AQ27" s="34">
        <v>6.2425120696486328E-3</v>
      </c>
      <c r="AR27" s="33">
        <v>1247.8477704987358</v>
      </c>
      <c r="AS27" s="34">
        <v>1.2028895719542745E-3</v>
      </c>
      <c r="AT27" s="33">
        <v>1005.2352487002967</v>
      </c>
      <c r="AU27" s="34">
        <v>1.2203887948406221E-4</v>
      </c>
      <c r="AV27" s="33">
        <v>680.28028091591716</v>
      </c>
      <c r="AW27" s="34">
        <v>2.7701326471366623E-6</v>
      </c>
    </row>
    <row r="28" spans="1:49" x14ac:dyDescent="0.2">
      <c r="A28" t="s">
        <v>35</v>
      </c>
      <c r="B28" s="39">
        <v>13763.097676000029</v>
      </c>
      <c r="C28" s="40">
        <v>382.36647899999997</v>
      </c>
      <c r="D28" s="39">
        <v>13695.241711443141</v>
      </c>
      <c r="E28" s="40">
        <v>358.3109057268702</v>
      </c>
      <c r="F28" s="39">
        <v>13614.823516301727</v>
      </c>
      <c r="G28" s="40">
        <v>334.2212972266185</v>
      </c>
      <c r="H28" s="39">
        <v>13518.980506457125</v>
      </c>
      <c r="I28" s="40">
        <v>310.1093982083425</v>
      </c>
      <c r="J28" s="39">
        <v>13404.014790615771</v>
      </c>
      <c r="K28" s="40">
        <v>285.99330195449022</v>
      </c>
      <c r="L28" s="39">
        <v>13265.163622149319</v>
      </c>
      <c r="M28" s="40">
        <v>261.89847785355016</v>
      </c>
      <c r="N28" s="39">
        <v>13096.223984353735</v>
      </c>
      <c r="O28" s="40">
        <v>237.86274188652649</v>
      </c>
      <c r="P28" s="39">
        <v>12889.148432469514</v>
      </c>
      <c r="Q28" s="40">
        <v>213.93940576564333</v>
      </c>
      <c r="R28" s="39">
        <v>12633.551091600633</v>
      </c>
      <c r="S28" s="40">
        <v>190.20245424624014</v>
      </c>
      <c r="T28" s="39">
        <v>12316.252760683614</v>
      </c>
      <c r="U28" s="40">
        <v>166.75091648191471</v>
      </c>
      <c r="V28" s="39">
        <v>11921.107834896497</v>
      </c>
      <c r="W28" s="40">
        <v>143.71040322990061</v>
      </c>
      <c r="X28" s="39">
        <v>11429.598888609349</v>
      </c>
      <c r="Y28" s="40">
        <v>121.22817418137923</v>
      </c>
      <c r="Z28" s="39">
        <v>10823.065676353042</v>
      </c>
      <c r="AA28" s="40">
        <v>99.457233878985733</v>
      </c>
      <c r="AB28" s="39">
        <v>10087.63794155693</v>
      </c>
      <c r="AC28" s="40">
        <v>78.529501855513644</v>
      </c>
      <c r="AD28" s="39">
        <v>9222.2124131538149</v>
      </c>
      <c r="AE28" s="40">
        <v>58.543834707500537</v>
      </c>
      <c r="AF28" s="39">
        <v>8246.48937465989</v>
      </c>
      <c r="AG28" s="40">
        <v>39.655247711749439</v>
      </c>
      <c r="AH28" s="39">
        <v>7198.7211771429738</v>
      </c>
      <c r="AI28" s="40">
        <v>22.450416989434096</v>
      </c>
      <c r="AJ28" s="39">
        <v>6107.6729401738985</v>
      </c>
      <c r="AK28" s="40">
        <v>8.7266836143107529</v>
      </c>
      <c r="AL28" s="39">
        <v>4935.401352943084</v>
      </c>
      <c r="AM28" s="40">
        <v>1.4405159305712323</v>
      </c>
      <c r="AN28" s="39">
        <v>3463.9310584792538</v>
      </c>
      <c r="AO28" s="40">
        <v>3.1471351534029718E-2</v>
      </c>
      <c r="AP28" s="39">
        <v>3076.5598195107218</v>
      </c>
      <c r="AQ28" s="40">
        <v>8.7196435724209691E-3</v>
      </c>
      <c r="AR28" s="39">
        <v>2625.8947715856939</v>
      </c>
      <c r="AS28" s="40">
        <v>1.6752579359092764E-3</v>
      </c>
      <c r="AT28" s="39">
        <v>2077.2566044056111</v>
      </c>
      <c r="AU28" s="40">
        <v>1.6909976660384811E-4</v>
      </c>
      <c r="AV28" s="39">
        <v>1352.2120880183395</v>
      </c>
      <c r="AW28" s="40">
        <v>3.7949311541312567E-6</v>
      </c>
    </row>
    <row r="29" spans="1:49" x14ac:dyDescent="0.2">
      <c r="A29" t="s">
        <v>53</v>
      </c>
      <c r="B29" s="33">
        <v>14362.768558000025</v>
      </c>
      <c r="C29" s="34">
        <v>817.26650999999993</v>
      </c>
      <c r="D29" s="33">
        <v>14273.671014323541</v>
      </c>
      <c r="E29" s="34">
        <v>759.76597817016182</v>
      </c>
      <c r="F29" s="33">
        <v>14170.411211878349</v>
      </c>
      <c r="G29" s="34">
        <v>702.71444955031086</v>
      </c>
      <c r="H29" s="33">
        <v>14049.983966483227</v>
      </c>
      <c r="I29" s="34">
        <v>646.19061743102441</v>
      </c>
      <c r="J29" s="33">
        <v>13908.546768157899</v>
      </c>
      <c r="K29" s="34">
        <v>590.29211252289758</v>
      </c>
      <c r="L29" s="33">
        <v>13741.199175923553</v>
      </c>
      <c r="M29" s="34">
        <v>535.13701881906013</v>
      </c>
      <c r="N29" s="33">
        <v>13541.622091472989</v>
      </c>
      <c r="O29" s="34">
        <v>480.87353399827759</v>
      </c>
      <c r="P29" s="33">
        <v>13301.697601550624</v>
      </c>
      <c r="Q29" s="34">
        <v>427.6841637239919</v>
      </c>
      <c r="R29" s="33">
        <v>13011.051586929958</v>
      </c>
      <c r="S29" s="34">
        <v>375.79262113392031</v>
      </c>
      <c r="T29" s="33">
        <v>12656.650358586045</v>
      </c>
      <c r="U29" s="34">
        <v>325.46638528017115</v>
      </c>
      <c r="V29" s="33">
        <v>12222.69174884134</v>
      </c>
      <c r="W29" s="34">
        <v>277.01023030195495</v>
      </c>
      <c r="X29" s="33">
        <v>11691.258577342369</v>
      </c>
      <c r="Y29" s="34">
        <v>230.74320143601238</v>
      </c>
      <c r="Z29" s="33">
        <v>11044.5528016845</v>
      </c>
      <c r="AA29" s="34">
        <v>186.95120290538711</v>
      </c>
      <c r="AB29" s="33">
        <v>10269.68318568882</v>
      </c>
      <c r="AC29" s="34">
        <v>145.8191334334455</v>
      </c>
      <c r="AD29" s="33">
        <v>9366.2090488347512</v>
      </c>
      <c r="AE29" s="34">
        <v>107.40031493576429</v>
      </c>
      <c r="AF29" s="33">
        <v>8353.3494222089212</v>
      </c>
      <c r="AG29" s="34">
        <v>71.801938938326842</v>
      </c>
      <c r="AH29" s="33">
        <v>7266.5527273441194</v>
      </c>
      <c r="AI29" s="34">
        <v>39.948472703182659</v>
      </c>
      <c r="AJ29" s="33">
        <v>6128.0151243682612</v>
      </c>
      <c r="AK29" s="34">
        <v>15.073484381648667</v>
      </c>
      <c r="AL29" s="33">
        <v>4888.4502183611467</v>
      </c>
      <c r="AM29" s="34">
        <v>2.342645119351658</v>
      </c>
      <c r="AN29" s="33">
        <v>3322.9596475255462</v>
      </c>
      <c r="AO29" s="34">
        <v>4.4835166689411177E-2</v>
      </c>
      <c r="AP29" s="33">
        <v>2916.0083896861011</v>
      </c>
      <c r="AQ29" s="34">
        <v>1.1880805341291902E-2</v>
      </c>
      <c r="AR29" s="33">
        <v>2448.3098341640748</v>
      </c>
      <c r="AS29" s="34">
        <v>2.1560620715878821E-3</v>
      </c>
      <c r="AT29" s="33">
        <v>1889.7518636690561</v>
      </c>
      <c r="AU29" s="34">
        <v>2.0118886048425938E-4</v>
      </c>
      <c r="AV29" s="33">
        <v>1175.9045824853365</v>
      </c>
      <c r="AW29" s="34">
        <v>3.9737078705621543E-6</v>
      </c>
    </row>
    <row r="30" spans="1:49" x14ac:dyDescent="0.2">
      <c r="A30" t="s">
        <v>48</v>
      </c>
      <c r="B30" s="112">
        <v>2924829.9599999995</v>
      </c>
      <c r="D30" s="112">
        <v>2946965.7533587352</v>
      </c>
      <c r="F30" s="112">
        <v>2966721.5958412662</v>
      </c>
      <c r="H30" s="112">
        <v>2983530.0939425072</v>
      </c>
      <c r="J30" s="112">
        <v>2996654.1557487878</v>
      </c>
      <c r="L30" s="112">
        <v>3005143.2783574797</v>
      </c>
      <c r="N30" s="112">
        <v>3007763.7348801102</v>
      </c>
      <c r="P30" s="112">
        <v>3002930.1864870419</v>
      </c>
      <c r="R30" s="112">
        <v>2988632.7849881779</v>
      </c>
      <c r="T30" s="112">
        <v>2962402.7538452134</v>
      </c>
      <c r="V30" s="112">
        <v>2921390.9494769471</v>
      </c>
      <c r="X30" s="112">
        <v>2862719.2497330564</v>
      </c>
      <c r="Z30" s="112">
        <v>2784391.3772491189</v>
      </c>
      <c r="AB30" s="112">
        <v>2687191.7489161594</v>
      </c>
      <c r="AD30" s="112">
        <v>2578030.4962287294</v>
      </c>
      <c r="AF30" s="112">
        <v>2474906.6614773469</v>
      </c>
      <c r="AH30" s="112">
        <v>2413555.4936039988</v>
      </c>
      <c r="AJ30" s="112">
        <v>2460439.2883389653</v>
      </c>
      <c r="AL30" s="112">
        <v>2749620.850919914</v>
      </c>
      <c r="AN30" s="112">
        <v>3561114.0066478718</v>
      </c>
      <c r="AP30" s="112">
        <v>3843369.2134419344</v>
      </c>
      <c r="AR30" s="112">
        <v>4199949.5913047269</v>
      </c>
      <c r="AT30" s="112">
        <v>4669321.5487171914</v>
      </c>
      <c r="AV30" s="112">
        <v>5325450.63064312</v>
      </c>
    </row>
    <row r="31" spans="1:49" x14ac:dyDescent="0.2">
      <c r="A31" t="s">
        <v>47</v>
      </c>
      <c r="B31" s="77">
        <v>1</v>
      </c>
      <c r="D31" s="77">
        <v>0.98816454279996269</v>
      </c>
      <c r="F31" s="77">
        <v>0.97518218535637691</v>
      </c>
      <c r="H31" s="77">
        <v>0.96085075658470442</v>
      </c>
      <c r="J31" s="77">
        <v>0.94491872878262417</v>
      </c>
      <c r="L31" s="77">
        <v>0.9270738865736311</v>
      </c>
      <c r="N31" s="77">
        <v>0.90692468648557722</v>
      </c>
      <c r="P31" s="77">
        <v>0.88398222509350821</v>
      </c>
      <c r="R31" s="77">
        <v>0.85763994181165737</v>
      </c>
      <c r="T31" s="77">
        <v>0.82715993194648152</v>
      </c>
      <c r="V31" s="77">
        <v>0.79168007783096828</v>
      </c>
      <c r="X31" s="77">
        <v>0.75026915129722682</v>
      </c>
      <c r="Z31" s="77">
        <v>0.70207394029696268</v>
      </c>
      <c r="AB31" s="77">
        <v>0.64660662134622093</v>
      </c>
      <c r="AD31" s="77">
        <v>0.58417015680156736</v>
      </c>
      <c r="AF31" s="77">
        <v>0.51622805013680273</v>
      </c>
      <c r="AH31" s="77">
        <v>0.44512398216414961</v>
      </c>
      <c r="AJ31" s="77">
        <v>0.37232232305958662</v>
      </c>
      <c r="AL31" s="77">
        <v>0.29515775345489081</v>
      </c>
      <c r="AN31" s="77">
        <v>0.20126797982258654</v>
      </c>
      <c r="AP31" s="77">
        <v>0.17748065399921875</v>
      </c>
      <c r="AR31" s="77">
        <v>0.15037940349418308</v>
      </c>
      <c r="AT31" s="77">
        <v>0.11820047279475669</v>
      </c>
      <c r="AV31" s="77">
        <v>7.6857603044381342E-2</v>
      </c>
    </row>
    <row r="32" spans="1:49" x14ac:dyDescent="0.2">
      <c r="A32" t="s">
        <v>64</v>
      </c>
      <c r="B32" s="83">
        <v>14734457.915000005</v>
      </c>
      <c r="D32" s="83">
        <v>14629882.701358467</v>
      </c>
      <c r="F32" s="83">
        <v>14513989.91013803</v>
      </c>
      <c r="H32" s="83">
        <v>14384496.797305273</v>
      </c>
      <c r="J32" s="83">
        <v>14238528.227959452</v>
      </c>
      <c r="L32" s="83">
        <v>14072480.39384524</v>
      </c>
      <c r="N32" s="83">
        <v>13881802.720314709</v>
      </c>
      <c r="P32" s="83">
        <v>13660800.099930827</v>
      </c>
      <c r="R32" s="83">
        <v>13402441.380519476</v>
      </c>
      <c r="T32" s="83">
        <v>13098320.861093242</v>
      </c>
      <c r="V32" s="83">
        <v>12739036.545302778</v>
      </c>
      <c r="X32" s="83">
        <v>12315491.899594083</v>
      </c>
      <c r="Z32" s="83">
        <v>11822001.223483449</v>
      </c>
      <c r="AB32" s="83">
        <v>11262380.451901192</v>
      </c>
      <c r="AD32" s="83">
        <v>10659915.783976173</v>
      </c>
      <c r="AF32" s="83">
        <v>10070255.695694681</v>
      </c>
      <c r="AH32" s="83">
        <v>9593612.9699959531</v>
      </c>
      <c r="AJ32" s="83">
        <v>9390239.4392151386</v>
      </c>
      <c r="AL32" s="83">
        <v>9720810.324383324</v>
      </c>
      <c r="AN32" s="83">
        <v>10930380.590257933</v>
      </c>
      <c r="AP32" s="83">
        <v>11305656.906679064</v>
      </c>
      <c r="AR32" s="83">
        <v>11724249.67034376</v>
      </c>
      <c r="AT32" s="83">
        <v>12158578.933296859</v>
      </c>
      <c r="AV32" s="83">
        <v>12440768.613016138</v>
      </c>
    </row>
    <row r="33" spans="1:49 16319:16384" x14ac:dyDescent="0.2">
      <c r="A33" t="s">
        <v>54</v>
      </c>
      <c r="B33" s="111">
        <v>7019665.6909999885</v>
      </c>
      <c r="D33" s="111">
        <v>6944348.4660153668</v>
      </c>
      <c r="F33" s="111">
        <v>6863718.6999639999</v>
      </c>
      <c r="H33" s="111">
        <v>6776756.6523764413</v>
      </c>
      <c r="J33" s="111">
        <v>6682191.7701901253</v>
      </c>
      <c r="L33" s="111">
        <v>6578446.5974915475</v>
      </c>
      <c r="N33" s="111">
        <v>6463549.8456562832</v>
      </c>
      <c r="P33" s="111">
        <v>6335058.7405932778</v>
      </c>
      <c r="R33" s="111">
        <v>6189988.0188926384</v>
      </c>
      <c r="T33" s="111">
        <v>6024809.3386102933</v>
      </c>
      <c r="V33" s="111">
        <v>5835627.5958728893</v>
      </c>
      <c r="X33" s="111">
        <v>5618746.3692937037</v>
      </c>
      <c r="Z33" s="111">
        <v>5371972.8056956315</v>
      </c>
      <c r="AB33" s="111">
        <v>5097108.8952104831</v>
      </c>
      <c r="AD33" s="111">
        <v>4803888.3192606894</v>
      </c>
      <c r="AF33" s="111">
        <v>4514690.2006805614</v>
      </c>
      <c r="AH33" s="111">
        <v>4267840.0745537598</v>
      </c>
      <c r="AJ33" s="111">
        <v>4119086.6188753042</v>
      </c>
      <c r="AL33" s="111">
        <v>4143688.501485277</v>
      </c>
      <c r="AN33" s="111">
        <v>4380306.3070786102</v>
      </c>
      <c r="AP33" s="111">
        <v>4435598.2342492053</v>
      </c>
      <c r="AR33" s="111">
        <v>4472458.5159920165</v>
      </c>
      <c r="AT33" s="111">
        <v>4451629.0743728951</v>
      </c>
      <c r="AV33" s="111">
        <v>4229358.7666586749</v>
      </c>
    </row>
    <row r="34" spans="1:49 16319:16384" x14ac:dyDescent="0.2">
      <c r="A34" t="s">
        <v>75</v>
      </c>
      <c r="B34" s="111">
        <v>1136879.4410000162</v>
      </c>
      <c r="D34" s="111">
        <v>1137998.8698916542</v>
      </c>
      <c r="F34" s="111">
        <v>1134912.2277700938</v>
      </c>
      <c r="H34" s="111">
        <v>1126660.7420334644</v>
      </c>
      <c r="J34" s="111">
        <v>1111998.1905688606</v>
      </c>
      <c r="L34" s="111">
        <v>1089309.8452298376</v>
      </c>
      <c r="N34" s="111">
        <v>1056474.5049837516</v>
      </c>
      <c r="P34" s="111">
        <v>1010709.5468694879</v>
      </c>
      <c r="R34" s="111">
        <v>948365.10860438831</v>
      </c>
      <c r="T34" s="111">
        <v>864691.02365613123</v>
      </c>
      <c r="V34" s="111">
        <v>753625.49753912911</v>
      </c>
      <c r="X34" s="111">
        <v>607697.70086838119</v>
      </c>
      <c r="Z34" s="111">
        <v>418225.03820671601</v>
      </c>
      <c r="AB34" s="111">
        <v>176001.03169696906</v>
      </c>
      <c r="AD34" s="111">
        <v>-127613.42469876906</v>
      </c>
      <c r="AF34" s="111">
        <v>-500456.35062960704</v>
      </c>
      <c r="AH34" s="111">
        <v>-954849.2139690856</v>
      </c>
      <c r="AJ34" s="111">
        <v>-1531549.9712581316</v>
      </c>
      <c r="AL34" s="111">
        <v>-2385911.5094821095</v>
      </c>
      <c r="AN34" s="111">
        <v>-4221785.5297953272</v>
      </c>
      <c r="AP34" s="111">
        <v>-4952947.2538817683</v>
      </c>
      <c r="AR34" s="111">
        <v>-6005040.9418061888</v>
      </c>
      <c r="AT34" s="111">
        <v>-7691742.0223555751</v>
      </c>
      <c r="AV34" s="111">
        <v>-11055777.933152055</v>
      </c>
    </row>
    <row r="35" spans="1:49 16319:16384" x14ac:dyDescent="0.2">
      <c r="A35" t="s">
        <v>78</v>
      </c>
      <c r="B35" s="192">
        <v>1</v>
      </c>
      <c r="D35" s="192">
        <v>1.0011199694790875</v>
      </c>
      <c r="F35" s="192">
        <v>1.002674521361578</v>
      </c>
      <c r="H35" s="192">
        <v>1.0047528220599151</v>
      </c>
      <c r="J35" s="192">
        <v>1.0074712229287346</v>
      </c>
      <c r="L35" s="192">
        <v>1.010983126949154</v>
      </c>
      <c r="N35" s="192">
        <v>1.0154956914862736</v>
      </c>
      <c r="P35" s="192">
        <v>1.021293669495547</v>
      </c>
      <c r="R35" s="192">
        <v>1.0287777638413984</v>
      </c>
      <c r="T35" s="192">
        <v>1.0385263550808246</v>
      </c>
      <c r="V35" s="192">
        <v>1.0513975223831382</v>
      </c>
      <c r="X35" s="192">
        <v>1.0687045371958068</v>
      </c>
      <c r="Z35" s="192">
        <v>1.0925274744922577</v>
      </c>
      <c r="AB35" s="192">
        <v>1.1262854205953352</v>
      </c>
      <c r="AD35" s="192">
        <v>1.1758277196604945</v>
      </c>
      <c r="AF35" s="192">
        <v>1.2516586944821739</v>
      </c>
      <c r="AH35" s="192">
        <v>1.3742882049776781</v>
      </c>
      <c r="AJ35" s="192">
        <v>1.5909514320567624</v>
      </c>
      <c r="AL35" s="192">
        <v>2.0386960599339057</v>
      </c>
      <c r="AN35" s="192">
        <v>3.2880744132119379</v>
      </c>
      <c r="AP35" s="192">
        <v>3.8518237414182934</v>
      </c>
      <c r="AR35" s="192">
        <v>4.7273370688348653</v>
      </c>
      <c r="AT35" s="192">
        <v>6.3091678986146391</v>
      </c>
      <c r="AV35" s="192">
        <v>10.279730352116294</v>
      </c>
    </row>
    <row r="36" spans="1:49 16319:16384" x14ac:dyDescent="0.2">
      <c r="A36" t="s">
        <v>21</v>
      </c>
      <c r="B36" s="35">
        <v>0.47195767671988198</v>
      </c>
      <c r="C36" s="36">
        <v>0.31738834428178964</v>
      </c>
      <c r="D36" s="35">
        <v>0.47199022163460325</v>
      </c>
      <c r="E36" s="36">
        <v>0.31969139724625167</v>
      </c>
      <c r="F36" s="35">
        <v>0.47201966952417307</v>
      </c>
      <c r="G36" s="36">
        <v>0.32216728631917796</v>
      </c>
      <c r="H36" s="35">
        <v>0.47204475128449513</v>
      </c>
      <c r="I36" s="36">
        <v>0.32483092854885809</v>
      </c>
      <c r="J36" s="35">
        <v>0.47206375859596245</v>
      </c>
      <c r="K36" s="36">
        <v>0.32769712532255962</v>
      </c>
      <c r="L36" s="35">
        <v>0.47207440600196016</v>
      </c>
      <c r="M36" s="36">
        <v>0.33077970603698709</v>
      </c>
      <c r="N36" s="35">
        <v>0.47207360305332546</v>
      </c>
      <c r="O36" s="36">
        <v>0.33408971103826546</v>
      </c>
      <c r="P36" s="35">
        <v>0.47205720455984418</v>
      </c>
      <c r="Q36" s="36">
        <v>0.33763288715162398</v>
      </c>
      <c r="R36" s="35">
        <v>0.47201971665365167</v>
      </c>
      <c r="S36" s="36">
        <v>0.34140576798909655</v>
      </c>
      <c r="T36" s="35">
        <v>0.47195409497785573</v>
      </c>
      <c r="U36" s="36">
        <v>0.34539043339360082</v>
      </c>
      <c r="V36" s="35">
        <v>0.47185195960186543</v>
      </c>
      <c r="W36" s="36">
        <v>0.34954855118963479</v>
      </c>
      <c r="X36" s="35">
        <v>0.47170508162153268</v>
      </c>
      <c r="Y36" s="36">
        <v>0.35381762398386857</v>
      </c>
      <c r="Z36" s="35">
        <v>0.47151022428464262</v>
      </c>
      <c r="AA36" s="36">
        <v>0.35811792582901719</v>
      </c>
      <c r="AB36" s="35">
        <v>0.47128206404165029</v>
      </c>
      <c r="AC36" s="36">
        <v>0.36239039255073091</v>
      </c>
      <c r="AD36" s="35">
        <v>0.47108408094069376</v>
      </c>
      <c r="AE36" s="36">
        <v>0.36670803955976233</v>
      </c>
      <c r="AF36" s="35">
        <v>0.47109613420741775</v>
      </c>
      <c r="AG36" s="36">
        <v>0.37154017225082447</v>
      </c>
      <c r="AH36" s="35">
        <v>0.47175618827886012</v>
      </c>
      <c r="AI36" s="36">
        <v>0.37831650710392084</v>
      </c>
      <c r="AJ36" s="35">
        <v>0.47410718184508321</v>
      </c>
      <c r="AK36" s="36">
        <v>0.39072786137754367</v>
      </c>
      <c r="AL36" s="35">
        <v>0.48093157070641052</v>
      </c>
      <c r="AM36" s="36">
        <v>0.41849182648861427</v>
      </c>
      <c r="AN36" s="35">
        <v>0.50191066620261149</v>
      </c>
      <c r="AO36" s="36">
        <v>0.4919969588179578</v>
      </c>
      <c r="AP36" s="35">
        <v>0.51098129505243817</v>
      </c>
      <c r="AQ36" s="36">
        <v>0.52121587973110217</v>
      </c>
      <c r="AR36" s="35">
        <v>0.52438040073106595</v>
      </c>
      <c r="AS36" s="36">
        <v>0.56247196399343113</v>
      </c>
      <c r="AT36" s="35">
        <v>0.5467373393267615</v>
      </c>
      <c r="AU36" s="36">
        <v>0.62747584643019605</v>
      </c>
      <c r="AV36" s="35">
        <v>0.59550811276234117</v>
      </c>
      <c r="AW36" s="36">
        <v>0.75826916793852239</v>
      </c>
    </row>
    <row r="37" spans="1:49 16319:16384" x14ac:dyDescent="0.2">
      <c r="B37" s="37">
        <v>2.1403217525954466E-2</v>
      </c>
      <c r="C37" s="38">
        <v>0.3496246130199252</v>
      </c>
      <c r="D37" s="37">
        <v>2.079133940805698E-2</v>
      </c>
      <c r="E37" s="38">
        <v>0.34602414504749796</v>
      </c>
      <c r="F37" s="37">
        <v>2.0174512431424468E-2</v>
      </c>
      <c r="G37" s="38">
        <v>0.34237396753730681</v>
      </c>
      <c r="H37" s="37">
        <v>1.9553580099451053E-2</v>
      </c>
      <c r="I37" s="38">
        <v>0.33867897898349153</v>
      </c>
      <c r="J37" s="37">
        <v>1.8929741447619622E-2</v>
      </c>
      <c r="K37" s="38">
        <v>0.33494643180255951</v>
      </c>
      <c r="L37" s="37">
        <v>1.8304628505458755E-2</v>
      </c>
      <c r="M37" s="38">
        <v>0.33118647257746509</v>
      </c>
      <c r="N37" s="37">
        <v>1.7680488578956478E-2</v>
      </c>
      <c r="O37" s="38">
        <v>0.32741332826592606</v>
      </c>
      <c r="P37" s="37">
        <v>1.7060353075817224E-2</v>
      </c>
      <c r="Q37" s="38">
        <v>0.32364642988067333</v>
      </c>
      <c r="R37" s="37">
        <v>1.6448274857207675E-2</v>
      </c>
      <c r="S37" s="38">
        <v>0.31991196085887519</v>
      </c>
      <c r="T37" s="37">
        <v>1.5849552194781871E-2</v>
      </c>
      <c r="U37" s="38">
        <v>0.3162443178733062</v>
      </c>
      <c r="V37" s="37">
        <v>1.5270838051611271E-2</v>
      </c>
      <c r="W37" s="38">
        <v>0.31268682432503242</v>
      </c>
      <c r="X37" s="37">
        <v>1.4719843685601933E-2</v>
      </c>
      <c r="Y37" s="38">
        <v>0.30928983211183758</v>
      </c>
      <c r="Z37" s="37">
        <v>1.4203960068509804E-2</v>
      </c>
      <c r="AA37" s="38">
        <v>0.30610189894535161</v>
      </c>
      <c r="AB37" s="37">
        <v>1.3726368309778088E-2</v>
      </c>
      <c r="AC37" s="38">
        <v>0.3031449591574365</v>
      </c>
      <c r="AD37" s="37">
        <v>1.3276872828012732E-2</v>
      </c>
      <c r="AE37" s="38">
        <v>0.30035592989091514</v>
      </c>
      <c r="AF37" s="37">
        <v>1.2813099969082174E-2</v>
      </c>
      <c r="AG37" s="38">
        <v>0.29746706585928628</v>
      </c>
      <c r="AH37" s="37">
        <v>1.2228170257835616E-2</v>
      </c>
      <c r="AI37" s="38">
        <v>0.29380018575079636</v>
      </c>
      <c r="AJ37" s="37">
        <v>1.130670763579111E-2</v>
      </c>
      <c r="AK37" s="38">
        <v>0.2879875034005781</v>
      </c>
      <c r="AL37" s="37">
        <v>9.704604321809111E-3</v>
      </c>
      <c r="AM37" s="38">
        <v>0.2778649087374106</v>
      </c>
      <c r="AN37" s="37">
        <v>7.0941274744527015E-3</v>
      </c>
      <c r="AO37" s="38">
        <v>0.26160566675602437</v>
      </c>
      <c r="AP37" s="37">
        <v>6.4153525540089889E-3</v>
      </c>
      <c r="AQ37" s="38">
        <v>0.25748857758493654</v>
      </c>
      <c r="AR37" s="37">
        <v>5.6552767564468035E-3</v>
      </c>
      <c r="AS37" s="38">
        <v>0.25296817508500902</v>
      </c>
      <c r="AT37" s="37">
        <v>4.7710275364102996E-3</v>
      </c>
      <c r="AU37" s="38">
        <v>0.24786735551386749</v>
      </c>
      <c r="AV37" s="37">
        <v>3.6412832791395166E-3</v>
      </c>
      <c r="AW37" s="38">
        <v>0.24169627760123849</v>
      </c>
    </row>
    <row r="38" spans="1:49 16319:16384" x14ac:dyDescent="0.2">
      <c r="A38" t="s">
        <v>22</v>
      </c>
      <c r="B38" s="35">
        <v>0.18079094942242827</v>
      </c>
      <c r="C38" s="36">
        <v>6.0565413429233668E-2</v>
      </c>
      <c r="D38" s="35">
        <v>0.18112385723791979</v>
      </c>
      <c r="E38" s="36">
        <v>6.0866591356620987E-2</v>
      </c>
      <c r="F38" s="35">
        <v>0.18148497557493493</v>
      </c>
      <c r="G38" s="36">
        <v>6.1191841076168048E-2</v>
      </c>
      <c r="H38" s="35">
        <v>0.18187759669296824</v>
      </c>
      <c r="I38" s="36">
        <v>6.1543492116984407E-2</v>
      </c>
      <c r="J38" s="35">
        <v>0.18230537168748345</v>
      </c>
      <c r="K38" s="36">
        <v>6.1923909939050129E-2</v>
      </c>
      <c r="L38" s="35">
        <v>0.18277231992488732</v>
      </c>
      <c r="M38" s="36">
        <v>6.2335505122967753E-2</v>
      </c>
      <c r="N38" s="35">
        <v>0.18328273480638801</v>
      </c>
      <c r="O38" s="36">
        <v>6.2780414429201306E-2</v>
      </c>
      <c r="P38" s="35">
        <v>0.18384103125129339</v>
      </c>
      <c r="Q38" s="36">
        <v>6.3260275757952206E-2</v>
      </c>
      <c r="R38" s="35">
        <v>0.18445140219683212</v>
      </c>
      <c r="S38" s="36">
        <v>6.3775720959855065E-2</v>
      </c>
      <c r="T38" s="35">
        <v>0.18511719964293591</v>
      </c>
      <c r="U38" s="36">
        <v>6.432566818680438E-2</v>
      </c>
      <c r="V38" s="35">
        <v>0.18583988601250678</v>
      </c>
      <c r="W38" s="36">
        <v>6.4906488890035738E-2</v>
      </c>
      <c r="X38" s="35">
        <v>0.18661731759069355</v>
      </c>
      <c r="Y38" s="36">
        <v>6.5511241842683421E-2</v>
      </c>
      <c r="Z38" s="35">
        <v>0.18744106852509754</v>
      </c>
      <c r="AA38" s="36">
        <v>6.6129819209905544E-2</v>
      </c>
      <c r="AB38" s="35">
        <v>0.18829230180104573</v>
      </c>
      <c r="AC38" s="36">
        <v>6.675225988726731E-2</v>
      </c>
      <c r="AD38" s="35">
        <v>0.18913525200569417</v>
      </c>
      <c r="AE38" s="36">
        <v>6.7379481626586607E-2</v>
      </c>
      <c r="AF38" s="35">
        <v>0.18990645303008966</v>
      </c>
      <c r="AG38" s="36">
        <v>6.8049754642007576E-2</v>
      </c>
      <c r="AH38" s="35">
        <v>0.19049452622883709</v>
      </c>
      <c r="AI38" s="36">
        <v>6.8895641847442513E-2</v>
      </c>
      <c r="AJ38" s="35">
        <v>0.1906817657933966</v>
      </c>
      <c r="AK38" s="36">
        <v>7.0270438026905177E-2</v>
      </c>
      <c r="AL38" s="35">
        <v>0.18990053929027575</v>
      </c>
      <c r="AM38" s="36">
        <v>7.3080542032095505E-2</v>
      </c>
      <c r="AN38" s="35">
        <v>0.18603592663296253</v>
      </c>
      <c r="AO38" s="36">
        <v>7.9846218759889329E-2</v>
      </c>
      <c r="AP38" s="35">
        <v>0.18420714599396754</v>
      </c>
      <c r="AQ38" s="36">
        <v>8.2326434562415313E-2</v>
      </c>
      <c r="AR38" s="35">
        <v>0.18148726313331892</v>
      </c>
      <c r="AS38" s="36">
        <v>8.5646438597469385E-2</v>
      </c>
      <c r="AT38" s="35">
        <v>0.17706181285091757</v>
      </c>
      <c r="AU38" s="36">
        <v>9.0485735202375017E-2</v>
      </c>
      <c r="AV38" s="35">
        <v>0.16838222032067751</v>
      </c>
      <c r="AW38" s="36">
        <v>9.9019942646309075E-2</v>
      </c>
    </row>
    <row r="39" spans="1:49 16319:16384" x14ac:dyDescent="0.2">
      <c r="A39" t="s">
        <v>23</v>
      </c>
      <c r="B39" s="37">
        <v>0.23064923795098771</v>
      </c>
      <c r="C39" s="38">
        <v>0.22092201281804777</v>
      </c>
      <c r="D39" s="37">
        <v>0.23076574546463691</v>
      </c>
      <c r="E39" s="38">
        <v>0.22187251185564122</v>
      </c>
      <c r="F39" s="37">
        <v>0.23089087945853945</v>
      </c>
      <c r="G39" s="38">
        <v>0.22289651582952219</v>
      </c>
      <c r="H39" s="37">
        <v>0.2310254490991597</v>
      </c>
      <c r="I39" s="38">
        <v>0.22400053970060857</v>
      </c>
      <c r="J39" s="37">
        <v>0.23117030226118784</v>
      </c>
      <c r="K39" s="38">
        <v>0.22519116122296451</v>
      </c>
      <c r="L39" s="37">
        <v>0.23132627597829636</v>
      </c>
      <c r="M39" s="38">
        <v>0.22647452467991741</v>
      </c>
      <c r="N39" s="37">
        <v>0.2314941464544025</v>
      </c>
      <c r="O39" s="38">
        <v>0.22785574847490969</v>
      </c>
      <c r="P39" s="37">
        <v>0.23167451624928131</v>
      </c>
      <c r="Q39" s="38">
        <v>0.22933777432036831</v>
      </c>
      <c r="R39" s="37">
        <v>0.23186765064983414</v>
      </c>
      <c r="S39" s="38">
        <v>0.23091975304043272</v>
      </c>
      <c r="T39" s="37">
        <v>0.23207324519791858</v>
      </c>
      <c r="U39" s="38">
        <v>0.23259486006320279</v>
      </c>
      <c r="V39" s="37">
        <v>0.2322901121410631</v>
      </c>
      <c r="W39" s="38">
        <v>0.23434770794732293</v>
      </c>
      <c r="X39" s="37">
        <v>0.23251588886189839</v>
      </c>
      <c r="Y39" s="38">
        <v>0.23615262874694637</v>
      </c>
      <c r="Z39" s="37">
        <v>0.23274701436242065</v>
      </c>
      <c r="AA39" s="38">
        <v>0.2379762525674993</v>
      </c>
      <c r="AB39" s="37">
        <v>0.23297963195299529</v>
      </c>
      <c r="AC39" s="38">
        <v>0.23979234492956769</v>
      </c>
      <c r="AD39" s="37">
        <v>0.23321280055077154</v>
      </c>
      <c r="AE39" s="38">
        <v>0.24162632267577672</v>
      </c>
      <c r="AF39" s="37">
        <v>0.23345657252261628</v>
      </c>
      <c r="AG39" s="38">
        <v>0.24366119279978946</v>
      </c>
      <c r="AH39" s="37">
        <v>0.23374948755395106</v>
      </c>
      <c r="AI39" s="38">
        <v>0.24646341550140283</v>
      </c>
      <c r="AJ39" s="37">
        <v>0.23419749054214034</v>
      </c>
      <c r="AK39" s="38">
        <v>0.25149874589045207</v>
      </c>
      <c r="AL39" s="37">
        <v>0.23507898522456824</v>
      </c>
      <c r="AM39" s="38">
        <v>0.26258635459059454</v>
      </c>
      <c r="AN39" s="37">
        <v>0.23723743478107501</v>
      </c>
      <c r="AO39" s="38">
        <v>0.29118846570974011</v>
      </c>
      <c r="AP39" s="37">
        <v>0.23807144860775148</v>
      </c>
      <c r="AQ39" s="38">
        <v>0.30225007980421909</v>
      </c>
      <c r="AR39" s="37">
        <v>0.23924175682839063</v>
      </c>
      <c r="AS39" s="38">
        <v>0.31756409837168847</v>
      </c>
      <c r="AT39" s="37">
        <v>0.24108774508674516</v>
      </c>
      <c r="AU39" s="38">
        <v>0.34098233768462965</v>
      </c>
      <c r="AV39" s="37">
        <v>0.24488477915623663</v>
      </c>
      <c r="AW39" s="38">
        <v>0.38564001940032533</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v>6.0999999999999999E-2</v>
      </c>
      <c r="C42" s="126"/>
      <c r="D42" s="167">
        <v>6.584695809639575E-2</v>
      </c>
      <c r="E42" s="126"/>
      <c r="F42" s="167">
        <v>7.1496059027253075E-2</v>
      </c>
      <c r="G42" s="126"/>
      <c r="H42" s="167">
        <v>7.813613930343602E-2</v>
      </c>
      <c r="I42" s="126"/>
      <c r="J42" s="167">
        <v>8.6012468449822438E-2</v>
      </c>
      <c r="K42" s="126"/>
      <c r="L42" s="167">
        <v>9.5442562770882505E-2</v>
      </c>
      <c r="M42" s="126"/>
      <c r="N42" s="167">
        <v>0.10684220132305658</v>
      </c>
      <c r="O42" s="126"/>
      <c r="P42" s="167">
        <v>0.12075376161175685</v>
      </c>
      <c r="Q42" s="126"/>
      <c r="R42" s="167">
        <v>0.13788133360056881</v>
      </c>
      <c r="S42" s="126"/>
      <c r="T42" s="167">
        <v>0.15912420894202048</v>
      </c>
      <c r="U42" s="126"/>
      <c r="V42" s="167">
        <v>0.18559260523906884</v>
      </c>
      <c r="W42" s="126"/>
      <c r="X42" s="167">
        <v>0.21857295507629873</v>
      </c>
      <c r="Y42" s="152"/>
      <c r="Z42" s="167">
        <v>0.25938343315842827</v>
      </c>
      <c r="AA42" s="126"/>
      <c r="AB42" s="167">
        <v>0.30904523360244984</v>
      </c>
      <c r="AC42" s="126"/>
      <c r="AD42" s="167">
        <v>0.36774218298881295</v>
      </c>
      <c r="AE42" s="126"/>
      <c r="AF42" s="167">
        <v>0.43426540257764895</v>
      </c>
      <c r="AG42" s="126"/>
      <c r="AH42" s="167">
        <v>0.50614587364545305</v>
      </c>
      <c r="AI42" s="126"/>
      <c r="AJ42" s="167">
        <v>0.58156269819730855</v>
      </c>
      <c r="AK42" s="126"/>
      <c r="AL42" s="167">
        <v>0.66337036343934286</v>
      </c>
      <c r="AM42" s="126"/>
      <c r="AN42" s="167">
        <v>0.7670851172993034</v>
      </c>
      <c r="AO42" s="126"/>
      <c r="AP42" s="167">
        <v>0.79441160146399814</v>
      </c>
      <c r="AQ42" s="126"/>
      <c r="AR42" s="167">
        <v>0.82609439188894429</v>
      </c>
      <c r="AS42" s="126"/>
      <c r="AT42" s="167">
        <v>0.86436862583781515</v>
      </c>
      <c r="AU42" s="126"/>
      <c r="AV42" s="167">
        <v>0.91406600837288532</v>
      </c>
      <c r="XFD42" s="167"/>
    </row>
    <row r="43" spans="1:49 16319:16384" x14ac:dyDescent="0.2">
      <c r="A43" t="s">
        <v>95</v>
      </c>
      <c r="B43" s="152">
        <v>0.56058995943839207</v>
      </c>
      <c r="C43" s="126"/>
      <c r="D43" s="152">
        <v>0.56759599190374921</v>
      </c>
      <c r="E43" s="126"/>
      <c r="F43" s="152">
        <v>0.56805669413920445</v>
      </c>
      <c r="G43" s="126"/>
      <c r="H43" s="152">
        <v>0.56859070856655081</v>
      </c>
      <c r="I43" s="126"/>
      <c r="J43" s="152">
        <v>0.56920716444883723</v>
      </c>
      <c r="K43" s="126"/>
      <c r="L43" s="152">
        <v>0.56991621978214779</v>
      </c>
      <c r="M43" s="126"/>
      <c r="N43" s="152">
        <v>0.57072906958879777</v>
      </c>
      <c r="O43" s="126"/>
      <c r="P43" s="152">
        <v>0.57165762470725734</v>
      </c>
      <c r="Q43" s="126"/>
      <c r="R43" s="152">
        <v>0.57271385261074514</v>
      </c>
      <c r="S43" s="126"/>
      <c r="T43" s="152">
        <v>0.57390839827101592</v>
      </c>
      <c r="U43" s="126"/>
      <c r="V43" s="152">
        <v>0.57524787788981868</v>
      </c>
      <c r="W43" s="126"/>
      <c r="X43" s="152">
        <v>0.57672993156453423</v>
      </c>
      <c r="Y43" s="126"/>
      <c r="Z43" s="152">
        <v>0.57833427636782775</v>
      </c>
      <c r="AA43" s="126"/>
      <c r="AB43" s="152">
        <v>0.58000656217408852</v>
      </c>
      <c r="AC43" s="126"/>
      <c r="AD43" s="152">
        <v>0.58162936516687547</v>
      </c>
      <c r="AE43" s="126"/>
      <c r="AF43" s="152">
        <v>0.58297151536831404</v>
      </c>
      <c r="AG43" s="126"/>
      <c r="AH43" s="152">
        <v>0.583599411009744</v>
      </c>
      <c r="AI43" s="126"/>
      <c r="AJ43" s="152">
        <v>0.58265302401989538</v>
      </c>
      <c r="AK43" s="126"/>
      <c r="AL43" s="152">
        <v>0.57790261682790134</v>
      </c>
      <c r="AM43" s="126"/>
      <c r="AN43" s="152">
        <v>0.56084222594604727</v>
      </c>
      <c r="AO43" s="126"/>
      <c r="AP43" s="152">
        <v>0.55313248593529651</v>
      </c>
      <c r="AQ43" s="126"/>
      <c r="AR43" s="152">
        <v>0.54169836893215617</v>
      </c>
      <c r="AS43" s="126"/>
      <c r="AT43" s="152">
        <v>0.52289506193182367</v>
      </c>
      <c r="AU43" s="126"/>
      <c r="AV43" s="152">
        <v>0.48448066368802345</v>
      </c>
    </row>
    <row r="44" spans="1:49 16319:16384" x14ac:dyDescent="0.2">
      <c r="A44" t="s">
        <v>129</v>
      </c>
      <c r="B44" s="183">
        <v>0.29754226190682465</v>
      </c>
      <c r="D44" s="183">
        <v>0.29928502277545366</v>
      </c>
      <c r="F44" s="183">
        <v>0.30105015264265245</v>
      </c>
      <c r="H44" s="183">
        <v>0.3028384865117365</v>
      </c>
      <c r="J44" s="183">
        <v>0.30465025063038553</v>
      </c>
      <c r="L44" s="183">
        <v>0.30648491906260067</v>
      </c>
      <c r="N44" s="183">
        <v>0.30834064879450618</v>
      </c>
      <c r="P44" s="183">
        <v>0.31021384651227918</v>
      </c>
      <c r="R44" s="183">
        <v>0.31209853763979617</v>
      </c>
      <c r="T44" s="183">
        <v>0.31398572758146115</v>
      </c>
      <c r="V44" s="183">
        <v>0.31586361136866153</v>
      </c>
      <c r="X44" s="183">
        <v>0.31771977611240898</v>
      </c>
      <c r="Z44" s="183">
        <v>0.31954910504993705</v>
      </c>
      <c r="AB44" s="183">
        <v>0.32137550464004044</v>
      </c>
      <c r="AD44" s="183">
        <v>0.32330405142147861</v>
      </c>
      <c r="AF44" s="183">
        <v>0.32563447394995293</v>
      </c>
      <c r="AH44" s="183">
        <v>0.32909114693167585</v>
      </c>
      <c r="AJ44" s="183">
        <v>0.33529760934586361</v>
      </c>
      <c r="AL44" s="183">
        <v>0.34768393076272985</v>
      </c>
      <c r="AN44" s="183">
        <v>0.37320779479011684</v>
      </c>
      <c r="AP44" s="183">
        <v>0.38161938524939842</v>
      </c>
      <c r="AR44" s="183">
        <v>0.39248302828661169</v>
      </c>
      <c r="AT44" s="183">
        <v>0.40782309062254046</v>
      </c>
      <c r="AV44" s="183">
        <v>0.43399419179551452</v>
      </c>
    </row>
    <row r="45" spans="1:49 16319:16384" x14ac:dyDescent="0.2">
      <c r="A45" t="s">
        <v>82</v>
      </c>
      <c r="B45" s="183">
        <v>0.22038438833194082</v>
      </c>
      <c r="D45" s="183">
        <v>0.22149910383667878</v>
      </c>
      <c r="F45" s="183">
        <v>0.22285578742696788</v>
      </c>
      <c r="H45" s="183">
        <v>0.2245138319958741</v>
      </c>
      <c r="J45" s="183">
        <v>0.22655241827259401</v>
      </c>
      <c r="L45" s="183">
        <v>0.2290778227481329</v>
      </c>
      <c r="N45" s="183">
        <v>0.23223565535314999</v>
      </c>
      <c r="P45" s="183">
        <v>0.23622773007136844</v>
      </c>
      <c r="R45" s="183">
        <v>0.24133791413258632</v>
      </c>
      <c r="T45" s="183">
        <v>0.24797031745171111</v>
      </c>
      <c r="V45" s="183">
        <v>0.25670485985247948</v>
      </c>
      <c r="X45" s="183">
        <v>0.268375608147148</v>
      </c>
      <c r="Z45" s="183">
        <v>0.28417226568910653</v>
      </c>
      <c r="AB45" s="183">
        <v>0.30574816613477279</v>
      </c>
      <c r="AD45" s="183">
        <v>0.33527538658817813</v>
      </c>
      <c r="AF45" s="183">
        <v>0.37533096287262913</v>
      </c>
      <c r="AH45" s="183">
        <v>0.42862082537038071</v>
      </c>
      <c r="AJ45" s="183">
        <v>0.49839781367740971</v>
      </c>
      <c r="AL45" s="183">
        <v>0.59312761599721864</v>
      </c>
      <c r="AN45" s="183">
        <v>0.75945102712167301</v>
      </c>
      <c r="AP45" s="183">
        <v>0.81971398645348292</v>
      </c>
      <c r="AR45" s="183">
        <v>0.90467281532226407</v>
      </c>
      <c r="AT45" s="183">
        <v>1.0404415951824251</v>
      </c>
      <c r="AV45" s="183">
        <v>1.3226674142509955</v>
      </c>
      <c r="XCQ45" s="183"/>
    </row>
    <row r="46" spans="1:49 16319:16384" x14ac:dyDescent="0.2">
      <c r="A46" t="s">
        <v>126</v>
      </c>
      <c r="B46" s="183">
        <v>7.7157873574883795E-2</v>
      </c>
      <c r="D46" s="183">
        <v>7.7785918938774859E-2</v>
      </c>
      <c r="F46" s="183">
        <v>7.8194365215684555E-2</v>
      </c>
      <c r="H46" s="183">
        <v>7.8324654515862374E-2</v>
      </c>
      <c r="J46" s="183">
        <v>7.8097832357791594E-2</v>
      </c>
      <c r="L46" s="183">
        <v>7.7407096314467752E-2</v>
      </c>
      <c r="N46" s="183">
        <v>7.6104993441356197E-2</v>
      </c>
      <c r="P46" s="183">
        <v>7.3986116440910785E-2</v>
      </c>
      <c r="R46" s="183">
        <v>7.0760623507209838E-2</v>
      </c>
      <c r="T46" s="183">
        <v>6.6015410129750055E-2</v>
      </c>
      <c r="V46" s="183">
        <v>5.9158751516182037E-2</v>
      </c>
      <c r="X46" s="183">
        <v>4.9344167965260956E-2</v>
      </c>
      <c r="Z46" s="183">
        <v>3.5376839360830532E-2</v>
      </c>
      <c r="AB46" s="183">
        <v>1.5627338505267641E-2</v>
      </c>
      <c r="AD46" s="183">
        <v>-1.1971335166699503E-2</v>
      </c>
      <c r="AF46" s="183">
        <v>-4.9696488922676141E-2</v>
      </c>
      <c r="AH46" s="183">
        <v>-9.9529678438704874E-2</v>
      </c>
      <c r="AJ46" s="183">
        <v>-0.16310020433154607</v>
      </c>
      <c r="AL46" s="183">
        <v>-0.24544368523448878</v>
      </c>
      <c r="AN46" s="183">
        <v>-0.38624323233155616</v>
      </c>
      <c r="AP46" s="183">
        <v>-0.4380946012040845</v>
      </c>
      <c r="AR46" s="183">
        <v>-0.51218978703565243</v>
      </c>
      <c r="AT46" s="183">
        <v>-0.63261850455988455</v>
      </c>
      <c r="AV46" s="183">
        <v>-0.88867322245548097</v>
      </c>
      <c r="XCS46" s="183"/>
    </row>
    <row r="48" spans="1:49 16319:16384" x14ac:dyDescent="0.2">
      <c r="A48" t="s">
        <v>143</v>
      </c>
      <c r="B48" s="181">
        <v>1</v>
      </c>
      <c r="C48" s="181"/>
      <c r="D48" s="181">
        <v>1</v>
      </c>
      <c r="E48" s="181"/>
      <c r="F48" s="181">
        <v>1</v>
      </c>
      <c r="G48" s="181"/>
      <c r="H48" s="181">
        <v>1</v>
      </c>
      <c r="I48" s="181"/>
      <c r="J48" s="181">
        <v>1</v>
      </c>
      <c r="K48" s="181"/>
      <c r="L48" s="181">
        <v>1</v>
      </c>
      <c r="M48" s="181"/>
      <c r="N48" s="181">
        <v>1</v>
      </c>
      <c r="O48" s="181"/>
      <c r="P48" s="181">
        <v>1</v>
      </c>
      <c r="Q48" s="181"/>
      <c r="R48" s="181">
        <v>1</v>
      </c>
      <c r="S48" s="181"/>
      <c r="T48" s="181">
        <v>1</v>
      </c>
      <c r="U48" s="181"/>
      <c r="V48" s="181">
        <v>1</v>
      </c>
      <c r="W48" s="181"/>
      <c r="X48" s="181">
        <v>1</v>
      </c>
      <c r="Y48" s="181"/>
      <c r="Z48" s="181">
        <v>1</v>
      </c>
      <c r="AA48" s="181"/>
      <c r="AB48" s="181">
        <v>1</v>
      </c>
      <c r="AC48" s="181"/>
      <c r="AD48" s="181">
        <v>1</v>
      </c>
      <c r="AE48" s="181"/>
      <c r="AF48" s="181">
        <v>1</v>
      </c>
      <c r="AG48" s="181"/>
      <c r="AH48" s="181">
        <v>1</v>
      </c>
      <c r="AI48" s="181"/>
      <c r="AJ48" s="181">
        <v>1</v>
      </c>
      <c r="AK48" s="181"/>
      <c r="AL48" s="181">
        <v>1</v>
      </c>
      <c r="AM48" s="181"/>
      <c r="AN48" s="181">
        <v>1</v>
      </c>
      <c r="AO48" s="181"/>
      <c r="AP48" s="181">
        <v>1</v>
      </c>
      <c r="AQ48" s="181"/>
      <c r="AR48" s="181">
        <v>1</v>
      </c>
      <c r="AS48" s="181"/>
      <c r="AT48" s="181">
        <v>1</v>
      </c>
      <c r="AU48" s="181"/>
      <c r="AV48" s="181">
        <v>1</v>
      </c>
    </row>
    <row r="49" spans="1:48 16321:16384" x14ac:dyDescent="0.2">
      <c r="A49" t="s">
        <v>144</v>
      </c>
      <c r="B49" s="181">
        <v>1</v>
      </c>
      <c r="C49" s="181"/>
      <c r="D49" s="181">
        <v>0.99238344444096316</v>
      </c>
      <c r="E49" s="181"/>
      <c r="F49" s="181">
        <v>0.98424891628659916</v>
      </c>
      <c r="G49" s="181"/>
      <c r="H49" s="181">
        <v>0.97554612494516857</v>
      </c>
      <c r="I49" s="181"/>
      <c r="J49" s="181">
        <v>0.96622203150459662</v>
      </c>
      <c r="K49" s="181"/>
      <c r="L49" s="181">
        <v>0.95622216676113159</v>
      </c>
      <c r="M49" s="181"/>
      <c r="N49" s="181">
        <v>0.94549392979708435</v>
      </c>
      <c r="O49" s="181"/>
      <c r="P49" s="181">
        <v>0.93399158355689416</v>
      </c>
      <c r="Q49" s="181"/>
      <c r="R49" s="181">
        <v>0.92168485036330072</v>
      </c>
      <c r="S49" s="181"/>
      <c r="T49" s="181">
        <v>0.90857202395076186</v>
      </c>
      <c r="U49" s="181"/>
      <c r="V49" s="181">
        <v>0.89469893074019957</v>
      </c>
      <c r="W49" s="181"/>
      <c r="X49" s="181">
        <v>0.8801837405901114</v>
      </c>
      <c r="Y49" s="181"/>
      <c r="Z49" s="181">
        <v>0.86524432706367316</v>
      </c>
      <c r="AA49" s="181"/>
      <c r="AB49" s="181">
        <v>0.85021894395315101</v>
      </c>
      <c r="AC49" s="181"/>
      <c r="AD49" s="181">
        <v>0.83556191839439387</v>
      </c>
      <c r="AE49" s="181"/>
      <c r="AF49" s="181">
        <v>0.82178358226708059</v>
      </c>
      <c r="AG49" s="181"/>
      <c r="AH49" s="181">
        <v>0.80929230956351739</v>
      </c>
      <c r="AI49" s="181"/>
      <c r="AJ49" s="181">
        <v>0.7981294375589344</v>
      </c>
      <c r="AK49" s="181"/>
      <c r="AL49" s="181">
        <v>0.78769370940697159</v>
      </c>
      <c r="AM49" s="181"/>
      <c r="AN49" s="181">
        <v>0.7763340376498743</v>
      </c>
      <c r="AO49" s="181"/>
      <c r="AP49" s="181">
        <v>0.77362131260255362</v>
      </c>
      <c r="AQ49" s="181"/>
      <c r="AR49" s="181">
        <v>0.77060179464695933</v>
      </c>
      <c r="AS49" s="181"/>
      <c r="AT49" s="181">
        <v>0.76711960845858607</v>
      </c>
      <c r="AU49" s="181"/>
      <c r="AV49" s="181">
        <v>0.7628431092287099</v>
      </c>
    </row>
    <row r="51" spans="1:48 16321:16384" x14ac:dyDescent="0.2">
      <c r="A51" t="s">
        <v>150</v>
      </c>
      <c r="B51" s="27">
        <v>-405838.32800000021</v>
      </c>
      <c r="D51" s="27">
        <v>-360063.70450608106</v>
      </c>
      <c r="F51" s="27">
        <v>-314110.73643179284</v>
      </c>
      <c r="H51" s="27">
        <v>-268030.81165747438</v>
      </c>
      <c r="J51" s="27">
        <v>-221911.10876487195</v>
      </c>
      <c r="L51" s="27">
        <v>-175887.50347851915</v>
      </c>
      <c r="N51" s="27">
        <v>-130165.08255913761</v>
      </c>
      <c r="P51" s="27">
        <v>-85041.827415637206</v>
      </c>
      <c r="R51" s="27">
        <v>-40938.220975439996</v>
      </c>
      <c r="T51" s="27">
        <v>1577.0370280570351</v>
      </c>
      <c r="V51" s="27">
        <v>41780.088603751268</v>
      </c>
      <c r="X51" s="27">
        <v>78849.048485895153</v>
      </c>
      <c r="Z51" s="27">
        <v>112072.87032469828</v>
      </c>
      <c r="AB51" s="27">
        <v>141373.3934033229</v>
      </c>
      <c r="AD51" s="27">
        <v>168396.99228451028</v>
      </c>
      <c r="AF51" s="27">
        <v>198563.58247228246</v>
      </c>
      <c r="AH51" s="27">
        <v>244955.69367637439</v>
      </c>
      <c r="AJ51" s="27">
        <v>337811.30315320985</v>
      </c>
      <c r="AL51" s="27">
        <v>552268.57180238795</v>
      </c>
      <c r="AN51" s="27">
        <v>1090342.9597754083</v>
      </c>
      <c r="AP51" s="27">
        <v>1287768.3795795562</v>
      </c>
      <c r="AQ51" s="27"/>
      <c r="AR51" s="27">
        <v>1549727.4519578107</v>
      </c>
      <c r="AT51" s="27">
        <v>1920920.9279484632</v>
      </c>
      <c r="AV51" s="27">
        <v>2513262.1038065986</v>
      </c>
      <c r="XFD51" s="27"/>
    </row>
    <row r="52" spans="1:48 16321:16384" x14ac:dyDescent="0.2">
      <c r="A52" t="s">
        <v>151</v>
      </c>
      <c r="B52" s="27">
        <v>2073093.0976150823</v>
      </c>
      <c r="D52" s="27">
        <v>2048976.04313664</v>
      </c>
      <c r="F52" s="27">
        <v>2023027.9800488681</v>
      </c>
      <c r="H52" s="27">
        <v>1994927.1739702336</v>
      </c>
      <c r="J52" s="27">
        <v>1964278.5332560583</v>
      </c>
      <c r="L52" s="27">
        <v>1930598.9987492186</v>
      </c>
      <c r="N52" s="27">
        <v>1893294.7827433278</v>
      </c>
      <c r="P52" s="27">
        <v>1851643.3296868734</v>
      </c>
      <c r="R52" s="27">
        <v>1804780.0418897341</v>
      </c>
      <c r="T52" s="27">
        <v>1751708.9347376579</v>
      </c>
      <c r="V52" s="27">
        <v>1691370.6470523383</v>
      </c>
      <c r="X52" s="27">
        <v>1622828.5749373438</v>
      </c>
      <c r="Z52" s="27">
        <v>1545673.509139793</v>
      </c>
      <c r="AB52" s="27">
        <v>1460770.7703653453</v>
      </c>
      <c r="AD52" s="27">
        <v>1371417.7101007903</v>
      </c>
      <c r="AF52" s="27">
        <v>1284722.508963078</v>
      </c>
      <c r="AH52" s="27">
        <v>1212649.0553426652</v>
      </c>
      <c r="AJ52" s="27">
        <v>1173042.7981304575</v>
      </c>
      <c r="AL52" s="27">
        <v>1193480.7604605411</v>
      </c>
      <c r="AN52" s="27">
        <v>1312625.142403705</v>
      </c>
      <c r="AP52" s="27">
        <v>1352529.1948755467</v>
      </c>
      <c r="AQ52" s="27"/>
      <c r="AR52" s="27">
        <v>1398663.9663806651</v>
      </c>
      <c r="AT52" s="27">
        <v>1449267.4697655074</v>
      </c>
      <c r="AV52" s="27">
        <v>1487767.7795748888</v>
      </c>
    </row>
    <row r="53" spans="1:48 16321:16384" x14ac:dyDescent="0.2">
      <c r="A53" t="s">
        <v>152</v>
      </c>
      <c r="B53" s="27">
        <v>2716869.1663849424</v>
      </c>
      <c r="D53" s="27">
        <v>2689592.5287822159</v>
      </c>
      <c r="F53" s="27">
        <v>2660521.8113231491</v>
      </c>
      <c r="H53" s="27">
        <v>2629282.8594800513</v>
      </c>
      <c r="J53" s="27">
        <v>2595403.9200116042</v>
      </c>
      <c r="L53" s="27">
        <v>2558291.5094473558</v>
      </c>
      <c r="N53" s="27">
        <v>2517194.3713434059</v>
      </c>
      <c r="P53" s="27">
        <v>2471168.1325724977</v>
      </c>
      <c r="R53" s="27">
        <v>2419040.582572476</v>
      </c>
      <c r="T53" s="27">
        <v>2359399.8682277533</v>
      </c>
      <c r="V53" s="27">
        <v>2290647.4736566483</v>
      </c>
      <c r="X53" s="27">
        <v>2211197.7263690759</v>
      </c>
      <c r="Z53" s="27">
        <v>2119963.5642878693</v>
      </c>
      <c r="AB53" s="27">
        <v>2017309.215662529</v>
      </c>
      <c r="AD53" s="27">
        <v>1906579.347813678</v>
      </c>
      <c r="AF53" s="27">
        <v>1795936.3819942819</v>
      </c>
      <c r="AH53" s="27">
        <v>1699568.3799958855</v>
      </c>
      <c r="AJ53" s="27">
        <v>1637670.7463385405</v>
      </c>
      <c r="AL53" s="27">
        <v>1634020.2097928857</v>
      </c>
      <c r="AN53" s="27">
        <v>1676335.1355542634</v>
      </c>
      <c r="AP53" s="27">
        <v>1674160.2652128623</v>
      </c>
      <c r="AQ53" s="27"/>
      <c r="AR53" s="27">
        <v>1653177.597267658</v>
      </c>
      <c r="AT53" s="27">
        <v>1588360.8466247392</v>
      </c>
      <c r="AV53" s="27">
        <v>1398191.4362682533</v>
      </c>
      <c r="XFD53" s="27"/>
    </row>
    <row r="55" spans="1:48 16321:16384" x14ac:dyDescent="0.2">
      <c r="A55" t="s">
        <v>153</v>
      </c>
      <c r="B55" s="183">
        <v>0.19850271905982084</v>
      </c>
      <c r="D55" s="183">
        <v>0.20143468088675057</v>
      </c>
      <c r="F55" s="183">
        <v>0.20440427575115025</v>
      </c>
      <c r="H55" s="183">
        <v>0.20741289292103901</v>
      </c>
      <c r="J55" s="183">
        <v>0.21046094847530766</v>
      </c>
      <c r="L55" s="183">
        <v>0.21354751928962101</v>
      </c>
      <c r="N55" s="183">
        <v>0.21666953460435881</v>
      </c>
      <c r="P55" s="183">
        <v>0.21982095957192491</v>
      </c>
      <c r="R55" s="183">
        <v>0.22299166996038294</v>
      </c>
      <c r="T55" s="183">
        <v>0.22616660450307205</v>
      </c>
      <c r="V55" s="183">
        <v>0.22932589439459153</v>
      </c>
      <c r="X55" s="183">
        <v>0.23244863242753716</v>
      </c>
      <c r="Z55" s="183">
        <v>0.23552622983308028</v>
      </c>
      <c r="AB55" s="183">
        <v>0.23859891435851263</v>
      </c>
      <c r="AD55" s="183">
        <v>0.24184342057410871</v>
      </c>
      <c r="AF55" s="183">
        <v>0.2457640338303862</v>
      </c>
      <c r="AH55" s="183">
        <v>0.25157941029645442</v>
      </c>
      <c r="AJ55" s="183">
        <v>0.26202093186929593</v>
      </c>
      <c r="AL55" s="183">
        <v>0.28285922255090873</v>
      </c>
      <c r="AN55" s="183">
        <v>0.32579963499366466</v>
      </c>
      <c r="AP55" s="183">
        <v>0.33995098605649177</v>
      </c>
      <c r="AR55" s="183">
        <v>0.35822758039078695</v>
      </c>
      <c r="AT55" s="183">
        <v>0.38403513883765045</v>
      </c>
      <c r="AV55" s="183">
        <v>0.42806443848424081</v>
      </c>
      <c r="XCS55" s="183"/>
      <c r="XFD55" s="183"/>
    </row>
    <row r="56" spans="1:48 16321:16384" x14ac:dyDescent="0.2">
      <c r="A56" t="s">
        <v>154</v>
      </c>
      <c r="B56" s="183">
        <v>2.9221206744340551E-2</v>
      </c>
      <c r="D56" s="183">
        <v>3.2947088968980069E-2</v>
      </c>
      <c r="F56" s="183">
        <v>3.6741256521494695E-2</v>
      </c>
      <c r="H56" s="183">
        <v>4.0608082791193392E-2</v>
      </c>
      <c r="J56" s="183">
        <v>4.4551089261775124E-2</v>
      </c>
      <c r="L56" s="183">
        <v>4.8572533697019367E-2</v>
      </c>
      <c r="N56" s="183">
        <v>5.2672379387344925E-2</v>
      </c>
      <c r="P56" s="183">
        <v>5.6847233168782388E-2</v>
      </c>
      <c r="R56" s="183">
        <v>6.1088761856994536E-2</v>
      </c>
      <c r="T56" s="183">
        <v>6.5382199929084769E-2</v>
      </c>
      <c r="V56" s="183">
        <v>6.9705657399860357E-2</v>
      </c>
      <c r="X56" s="183">
        <v>7.4033081905557768E-2</v>
      </c>
      <c r="Z56" s="183">
        <v>7.8347483274435303E-2</v>
      </c>
      <c r="AB56" s="183">
        <v>8.2679655295403789E-2</v>
      </c>
      <c r="AD56" s="183">
        <v>8.7203916042042931E-2</v>
      </c>
      <c r="AF56" s="183">
        <v>9.2449814524434099E-2</v>
      </c>
      <c r="AH56" s="183">
        <v>9.9733702213852762E-2</v>
      </c>
      <c r="AJ56" s="183">
        <v>0.11203662614473374</v>
      </c>
      <c r="AL56" s="183">
        <v>0.13554728644591937</v>
      </c>
      <c r="AN56" s="183">
        <v>0.1818855424710871</v>
      </c>
      <c r="AP56" s="183">
        <v>0.19666296704540481</v>
      </c>
      <c r="AR56" s="183">
        <v>0.21546098313871903</v>
      </c>
      <c r="AT56" s="183">
        <v>0.24158218840862947</v>
      </c>
      <c r="AV56" s="183">
        <v>0.28552195265073854</v>
      </c>
      <c r="XFD56" s="183"/>
    </row>
    <row r="57" spans="1:48 16321:16384" x14ac:dyDescent="0.2">
      <c r="A57" t="s">
        <v>155</v>
      </c>
      <c r="B57" s="183">
        <v>0.15852881819439493</v>
      </c>
      <c r="D57" s="183">
        <v>0.15780458432257041</v>
      </c>
      <c r="F57" s="183">
        <v>0.15705025708693099</v>
      </c>
      <c r="H57" s="183">
        <v>0.1562629256965507</v>
      </c>
      <c r="J57" s="183">
        <v>0.15543955666938761</v>
      </c>
      <c r="L57" s="183">
        <v>0.15457704593889454</v>
      </c>
      <c r="N57" s="183">
        <v>0.15367242654643698</v>
      </c>
      <c r="P57" s="183">
        <v>0.15272311649338288</v>
      </c>
      <c r="R57" s="183">
        <v>0.15172737433655203</v>
      </c>
      <c r="T57" s="183">
        <v>0.15068495728380993</v>
      </c>
      <c r="V57" s="183">
        <v>0.14959799913146396</v>
      </c>
      <c r="X57" s="183">
        <v>0.14847196704054394</v>
      </c>
      <c r="Y57" s="183"/>
      <c r="Z57" s="183">
        <v>0.14731614405402504</v>
      </c>
      <c r="AB57" s="183">
        <v>0.14614213751210414</v>
      </c>
      <c r="AD57" s="183">
        <v>0.1449571223452801</v>
      </c>
      <c r="AF57" s="183">
        <v>0.14374488982970934</v>
      </c>
      <c r="AH57" s="183">
        <v>0.14242181559712813</v>
      </c>
      <c r="AJ57" s="183">
        <v>0.14075400795921555</v>
      </c>
      <c r="AL57" s="183">
        <v>0.13833641995895701</v>
      </c>
      <c r="AN57" s="183">
        <v>0.135309725665721</v>
      </c>
      <c r="AP57" s="183">
        <v>0.13479519942570006</v>
      </c>
      <c r="AR57" s="183">
        <v>0.13441629086545578</v>
      </c>
      <c r="AT57" s="183">
        <v>0.13430411043375065</v>
      </c>
      <c r="AV57" s="183">
        <v>0.13474464526119498</v>
      </c>
      <c r="XFD57" s="183"/>
    </row>
    <row r="58" spans="1:48 16321:16384" x14ac:dyDescent="0.2">
      <c r="A58" t="s">
        <v>156</v>
      </c>
      <c r="B58" s="183">
        <v>1.075269412108535E-2</v>
      </c>
      <c r="D58" s="183">
        <v>1.0683007595200062E-2</v>
      </c>
      <c r="F58" s="183">
        <v>1.0612762142724615E-2</v>
      </c>
      <c r="H58" s="183">
        <v>1.0541884433294957E-2</v>
      </c>
      <c r="J58" s="183">
        <v>1.0470302544144883E-2</v>
      </c>
      <c r="L58" s="183">
        <v>1.0397939653707108E-2</v>
      </c>
      <c r="N58" s="183">
        <v>1.0324728670576917E-2</v>
      </c>
      <c r="P58" s="183">
        <v>1.0250609909759626E-2</v>
      </c>
      <c r="R58" s="183">
        <v>1.0175533766836371E-2</v>
      </c>
      <c r="T58" s="183">
        <v>1.0099447290177357E-2</v>
      </c>
      <c r="V58" s="183">
        <v>1.0022237863267195E-2</v>
      </c>
      <c r="X58" s="183">
        <v>9.9435834814354546E-3</v>
      </c>
      <c r="Y58" s="183"/>
      <c r="Z58" s="183">
        <v>9.8626025046199221E-3</v>
      </c>
      <c r="AB58" s="183">
        <v>9.7771215510046895E-3</v>
      </c>
      <c r="AD58" s="183">
        <v>9.6823821867856805E-3</v>
      </c>
      <c r="AF58" s="183">
        <v>9.5693294762427498E-3</v>
      </c>
      <c r="AH58" s="183">
        <v>9.4238924854735447E-3</v>
      </c>
      <c r="AJ58" s="183">
        <v>9.2302977653465988E-3</v>
      </c>
      <c r="AL58" s="183">
        <v>8.9755161460323384E-3</v>
      </c>
      <c r="AN58" s="183">
        <v>8.6043668568565723E-3</v>
      </c>
      <c r="AP58" s="183">
        <v>8.4928195853869008E-3</v>
      </c>
      <c r="AR58" s="183">
        <v>8.3503063866121573E-3</v>
      </c>
      <c r="AT58" s="183">
        <v>8.1488399952703502E-3</v>
      </c>
      <c r="AV58" s="183">
        <v>7.797840572307287E-3</v>
      </c>
      <c r="XFD58" s="183"/>
    </row>
    <row r="59" spans="1:48 16321:16384" x14ac:dyDescent="0.2">
      <c r="A59" t="s">
        <v>157</v>
      </c>
      <c r="B59" s="183">
        <v>5.5174232040962052E-4</v>
      </c>
      <c r="D59" s="183">
        <v>4.3333367067883901E-3</v>
      </c>
      <c r="F59" s="183">
        <v>8.1800406480685307E-3</v>
      </c>
      <c r="H59" s="183">
        <v>1.2095279494548151E-2</v>
      </c>
      <c r="J59" s="183">
        <v>1.6081280794292413E-2</v>
      </c>
      <c r="L59" s="183">
        <v>2.013854222152154E-2</v>
      </c>
      <c r="N59" s="183">
        <v>2.4264582516989992E-2</v>
      </c>
      <c r="P59" s="183">
        <v>2.8452598465742173E-2</v>
      </c>
      <c r="R59" s="183">
        <v>3.2689450647328498E-2</v>
      </c>
      <c r="T59" s="183">
        <v>3.6953557213786473E-2</v>
      </c>
      <c r="V59" s="183">
        <v>4.1213357940986392E-2</v>
      </c>
      <c r="X59" s="183">
        <v>4.5429188006466316E-2</v>
      </c>
      <c r="Z59" s="183">
        <v>4.9565342076424469E-2</v>
      </c>
      <c r="AB59" s="183">
        <v>5.3628222974191911E-2</v>
      </c>
      <c r="AD59" s="183">
        <v>5.7763833380614631E-2</v>
      </c>
      <c r="AF59" s="183">
        <v>6.2476881540905763E-2</v>
      </c>
      <c r="AH59" s="183">
        <v>6.9077975297448316E-2</v>
      </c>
      <c r="AJ59" s="183">
        <v>8.0578468807100873E-2</v>
      </c>
      <c r="AL59" s="183">
        <v>0.1032077739224762</v>
      </c>
      <c r="AN59" s="183">
        <v>0.14822721675828454</v>
      </c>
      <c r="AP59" s="183">
        <v>0.16249661395667886</v>
      </c>
      <c r="AR59" s="183">
        <v>0.18053540869239176</v>
      </c>
      <c r="AT59" s="183">
        <v>0.20535283514083527</v>
      </c>
      <c r="AV59" s="183">
        <v>0.24631504906861806</v>
      </c>
      <c r="XFD59" s="183"/>
    </row>
    <row r="60" spans="1:48 16321:16384" x14ac:dyDescent="0.2">
      <c r="A60" t="s">
        <v>158</v>
      </c>
      <c r="B60" s="183">
        <v>2.8669464423930927E-2</v>
      </c>
      <c r="D60" s="183">
        <v>2.8613752262191681E-2</v>
      </c>
      <c r="F60" s="183">
        <v>2.8561215873426159E-2</v>
      </c>
      <c r="H60" s="183">
        <v>2.8512803296645239E-2</v>
      </c>
      <c r="J60" s="183">
        <v>2.8469808467482708E-2</v>
      </c>
      <c r="L60" s="183">
        <v>2.8433991475497831E-2</v>
      </c>
      <c r="N60" s="183">
        <v>2.8407796870354933E-2</v>
      </c>
      <c r="P60" s="183">
        <v>2.8394634703040218E-2</v>
      </c>
      <c r="R60" s="183">
        <v>2.8399311209666038E-2</v>
      </c>
      <c r="T60" s="183">
        <v>2.842864271529829E-2</v>
      </c>
      <c r="V60" s="183">
        <v>2.8492299458873962E-2</v>
      </c>
      <c r="X60" s="183">
        <v>2.8603893899091459E-2</v>
      </c>
      <c r="Z60" s="183">
        <v>2.8782141198010831E-2</v>
      </c>
      <c r="AB60" s="183">
        <v>2.9051432321211868E-2</v>
      </c>
      <c r="AD60" s="183">
        <v>2.9440082661428304E-2</v>
      </c>
      <c r="AF60" s="183">
        <v>2.9972932983528339E-2</v>
      </c>
      <c r="AH60" s="183">
        <v>3.0655726916404436E-2</v>
      </c>
      <c r="AJ60" s="183">
        <v>3.1458157337632867E-2</v>
      </c>
      <c r="AL60" s="183">
        <v>3.2339512523443185E-2</v>
      </c>
      <c r="AN60" s="183">
        <v>3.3658325712802563E-2</v>
      </c>
      <c r="AP60" s="183">
        <v>3.4166353088725981E-2</v>
      </c>
      <c r="AR60" s="183">
        <v>3.4925574446327282E-2</v>
      </c>
      <c r="AT60" s="183">
        <v>3.6229353267794202E-2</v>
      </c>
      <c r="AV60" s="183">
        <v>3.9206903582120457E-2</v>
      </c>
      <c r="XFD60" s="183"/>
    </row>
    <row r="62" spans="1:48 16321:16384" x14ac:dyDescent="0.2">
      <c r="A62" t="s">
        <v>159</v>
      </c>
      <c r="B62">
        <v>1</v>
      </c>
      <c r="D62">
        <v>0.99556084254042676</v>
      </c>
      <c r="F62">
        <v>0.99076163257393213</v>
      </c>
      <c r="H62">
        <v>0.98556269334293201</v>
      </c>
      <c r="J62">
        <v>0.97992033976038617</v>
      </c>
      <c r="L62">
        <v>0.97378707237482409</v>
      </c>
      <c r="N62">
        <v>0.96711262551679433</v>
      </c>
      <c r="P62">
        <v>0.95984604282071295</v>
      </c>
      <c r="R62">
        <v>0.95193991198914163</v>
      </c>
      <c r="T62">
        <v>0.94335802624529208</v>
      </c>
      <c r="V62">
        <v>0.93408883837149237</v>
      </c>
      <c r="X62">
        <v>0.92416853827904388</v>
      </c>
      <c r="Z62">
        <v>0.9137206229308551</v>
      </c>
      <c r="AB62">
        <v>0.90302583222030119</v>
      </c>
      <c r="AD62">
        <v>0.89265137077321288</v>
      </c>
      <c r="AF62">
        <v>0.88369720097306037</v>
      </c>
      <c r="AH62">
        <v>0.87829975087616463</v>
      </c>
      <c r="AJ62">
        <v>0.88103354733285733</v>
      </c>
      <c r="AL62">
        <v>0.90442849252550528</v>
      </c>
      <c r="AN62">
        <v>0.99855087534301923</v>
      </c>
      <c r="AP62">
        <v>1.0441230263203285</v>
      </c>
      <c r="AR62">
        <v>1.1152827273818859</v>
      </c>
      <c r="AT62">
        <v>1.2423662168268439</v>
      </c>
      <c r="AV62">
        <v>1.5475121686860285</v>
      </c>
    </row>
    <row r="65" spans="1:48 16384:16384" x14ac:dyDescent="0.2">
      <c r="A65" t="s">
        <v>160</v>
      </c>
      <c r="B65" s="181">
        <v>1</v>
      </c>
      <c r="C65" s="181"/>
      <c r="D65" s="181">
        <v>0.99811324796627798</v>
      </c>
      <c r="E65" s="181"/>
      <c r="F65" s="181">
        <v>0.99644148494641482</v>
      </c>
      <c r="G65" s="181"/>
      <c r="H65" s="181">
        <v>0.99504289660424616</v>
      </c>
      <c r="I65" s="181"/>
      <c r="J65" s="181">
        <v>0.99399780485016687</v>
      </c>
      <c r="K65" s="181"/>
      <c r="L65" s="181">
        <v>0.99341760000254398</v>
      </c>
      <c r="M65" s="181"/>
      <c r="N65" s="181">
        <v>0.99346067343524436</v>
      </c>
      <c r="O65" s="181"/>
      <c r="P65" s="181">
        <v>0.99435531218536677</v>
      </c>
      <c r="Q65" s="181"/>
      <c r="R65" s="181">
        <v>0.99643724586027649</v>
      </c>
      <c r="S65" s="181"/>
      <c r="T65" s="181">
        <v>1.0002103925093158</v>
      </c>
      <c r="U65" s="181"/>
      <c r="V65" s="181">
        <v>1.0064472397713025</v>
      </c>
      <c r="W65" s="181"/>
      <c r="X65" s="181">
        <v>1.0163600833448128</v>
      </c>
      <c r="Y65" s="181"/>
      <c r="Z65" s="181">
        <v>1.0319010995700231</v>
      </c>
      <c r="AA65" s="181"/>
      <c r="AB65" s="181">
        <v>1.0563065497667596</v>
      </c>
      <c r="AC65" s="181"/>
      <c r="AD65" s="181">
        <v>1.0951304478146424</v>
      </c>
      <c r="AE65" s="181"/>
      <c r="AF65" s="181">
        <v>1.1583804823560033</v>
      </c>
      <c r="AG65" s="181"/>
      <c r="AH65" s="181">
        <v>1.2658660866887836</v>
      </c>
      <c r="AI65" s="181"/>
      <c r="AJ65" s="181">
        <v>1.4653180744987697</v>
      </c>
      <c r="AK65" s="181"/>
      <c r="AL65" s="181">
        <v>1.9166901295539474</v>
      </c>
      <c r="AM65" s="181"/>
      <c r="AN65" s="181">
        <v>3.965628931326858</v>
      </c>
      <c r="AO65" s="181"/>
      <c r="AP65" s="181">
        <v>6.7717821446440718</v>
      </c>
      <c r="AQ65" s="181"/>
      <c r="AR65" s="181" t="e">
        <v>#NUM!</v>
      </c>
      <c r="AS65" s="181"/>
      <c r="AT65" s="181" t="e">
        <v>#NUM!</v>
      </c>
      <c r="AU65" s="181"/>
      <c r="AV65" s="181" t="e">
        <v>#NUM!</v>
      </c>
    </row>
    <row r="66" spans="1:48 16384:16384" x14ac:dyDescent="0.2">
      <c r="A66" t="s">
        <v>166</v>
      </c>
      <c r="B66" s="181">
        <v>1</v>
      </c>
      <c r="C66" s="181"/>
      <c r="D66" s="181">
        <v>0.99792482905930069</v>
      </c>
      <c r="E66" s="181"/>
      <c r="F66" s="181">
        <v>0.99608349636477778</v>
      </c>
      <c r="G66" s="181"/>
      <c r="H66" s="181">
        <v>0.99454121864494383</v>
      </c>
      <c r="I66" s="181"/>
      <c r="J66" s="181">
        <v>0.99338778082578805</v>
      </c>
      <c r="K66" s="181"/>
      <c r="L66" s="181">
        <v>0.99274728904817344</v>
      </c>
      <c r="M66" s="181"/>
      <c r="N66" s="181">
        <v>0.99279544770940542</v>
      </c>
      <c r="O66" s="181"/>
      <c r="P66" s="181">
        <v>0.9937840539984909</v>
      </c>
      <c r="Q66" s="181"/>
      <c r="R66" s="181">
        <v>0.99608060065672088</v>
      </c>
      <c r="S66" s="181"/>
      <c r="T66" s="181">
        <v>1.0002310534395598</v>
      </c>
      <c r="U66" s="181"/>
      <c r="V66" s="181">
        <v>1.007060785245111</v>
      </c>
      <c r="W66" s="181"/>
      <c r="X66" s="181">
        <v>1.0178407056425967</v>
      </c>
      <c r="Y66" s="181"/>
      <c r="Z66" s="181">
        <v>1.0345648065088739</v>
      </c>
      <c r="AA66" s="181"/>
      <c r="AB66" s="181">
        <v>1.0604228214977398</v>
      </c>
      <c r="AC66" s="181"/>
      <c r="AD66" s="181">
        <v>1.1006277448381765</v>
      </c>
      <c r="AE66" s="181"/>
      <c r="AF66" s="181">
        <v>1.1639649470369375</v>
      </c>
      <c r="AG66" s="181"/>
      <c r="AH66" s="181">
        <v>1.2663112727776462</v>
      </c>
      <c r="AI66" s="181"/>
      <c r="AJ66" s="181">
        <v>1.4412449735825053</v>
      </c>
      <c r="AK66" s="181"/>
      <c r="AL66" s="181">
        <v>1.7755611140893262</v>
      </c>
      <c r="AM66" s="181"/>
      <c r="AN66" s="181">
        <v>2.5563485530220866</v>
      </c>
      <c r="AO66" s="181"/>
      <c r="AP66" s="181">
        <v>2.8539289562947574</v>
      </c>
      <c r="AQ66" s="181"/>
      <c r="AR66" s="181">
        <v>3.266341654637563</v>
      </c>
      <c r="AS66" s="181"/>
      <c r="AT66" s="181">
        <v>3.8957002714114424</v>
      </c>
      <c r="AU66" s="181"/>
      <c r="AV66" s="181">
        <v>5.067373053679777</v>
      </c>
      <c r="XFD66" s="181"/>
    </row>
    <row r="67" spans="1:48 16384:16384" x14ac:dyDescent="0.2">
      <c r="A67" t="s">
        <v>167</v>
      </c>
      <c r="B67" s="181">
        <v>1</v>
      </c>
      <c r="C67" s="181"/>
      <c r="D67" s="181">
        <v>1</v>
      </c>
      <c r="E67" s="181"/>
      <c r="F67" s="181">
        <v>1</v>
      </c>
      <c r="G67" s="181"/>
      <c r="H67" s="181">
        <v>1</v>
      </c>
      <c r="I67" s="181"/>
      <c r="J67" s="181">
        <v>1</v>
      </c>
      <c r="K67" s="181"/>
      <c r="L67" s="181">
        <v>1</v>
      </c>
      <c r="M67" s="181"/>
      <c r="N67" s="181">
        <v>1</v>
      </c>
      <c r="O67" s="181"/>
      <c r="P67" s="181">
        <v>1</v>
      </c>
      <c r="Q67" s="181"/>
      <c r="R67" s="181">
        <v>1</v>
      </c>
      <c r="S67" s="181"/>
      <c r="T67" s="181">
        <v>1</v>
      </c>
      <c r="U67" s="181"/>
      <c r="V67" s="181">
        <v>1</v>
      </c>
      <c r="W67" s="181"/>
      <c r="X67" s="181">
        <v>1</v>
      </c>
      <c r="Y67" s="181"/>
      <c r="Z67" s="181">
        <v>1</v>
      </c>
      <c r="AA67" s="181"/>
      <c r="AB67" s="181">
        <v>1</v>
      </c>
      <c r="AC67" s="181"/>
      <c r="AD67" s="181">
        <v>1</v>
      </c>
      <c r="AE67" s="181"/>
      <c r="AF67" s="181">
        <v>1</v>
      </c>
      <c r="AG67" s="181"/>
      <c r="AH67" s="181">
        <v>1</v>
      </c>
      <c r="AI67" s="181"/>
      <c r="AJ67" s="181">
        <v>1</v>
      </c>
      <c r="AK67" s="181"/>
      <c r="AL67" s="181">
        <v>1</v>
      </c>
      <c r="AM67" s="181"/>
      <c r="AN67" s="181">
        <v>1</v>
      </c>
      <c r="AO67" s="181"/>
      <c r="AP67" s="181">
        <v>1</v>
      </c>
      <c r="AQ67" s="181"/>
      <c r="AR67" s="181">
        <v>1</v>
      </c>
      <c r="AS67" s="181"/>
      <c r="AT67" s="181">
        <v>1</v>
      </c>
      <c r="AU67" s="181"/>
      <c r="AV67" s="181">
        <v>1</v>
      </c>
      <c r="XFD67" s="181"/>
    </row>
    <row r="68" spans="1:48 16384:16384" x14ac:dyDescent="0.2">
      <c r="A68" t="s">
        <v>165</v>
      </c>
      <c r="B68" s="181">
        <v>1</v>
      </c>
      <c r="C68" s="181"/>
      <c r="D68" s="181">
        <v>0.99792482905930069</v>
      </c>
      <c r="E68" s="181"/>
      <c r="F68" s="181">
        <v>0.99608349636477778</v>
      </c>
      <c r="G68" s="181"/>
      <c r="H68" s="181">
        <v>0.99454121864494383</v>
      </c>
      <c r="I68" s="181"/>
      <c r="J68" s="181">
        <v>0.99338778082578805</v>
      </c>
      <c r="K68" s="181"/>
      <c r="L68" s="181">
        <v>0.99274728904817344</v>
      </c>
      <c r="M68" s="181"/>
      <c r="N68" s="181">
        <v>0.99279544770940542</v>
      </c>
      <c r="O68" s="181"/>
      <c r="P68" s="181">
        <v>0.9937840539984909</v>
      </c>
      <c r="Q68" s="181"/>
      <c r="R68" s="181">
        <v>0.99608060065672088</v>
      </c>
      <c r="S68" s="181"/>
      <c r="T68" s="181">
        <v>1.0002310534395598</v>
      </c>
      <c r="U68" s="181"/>
      <c r="V68" s="181">
        <v>1.007060785245111</v>
      </c>
      <c r="W68" s="181"/>
      <c r="X68" s="181">
        <v>1.0178407056425967</v>
      </c>
      <c r="Y68" s="181"/>
      <c r="Z68" s="181">
        <v>1.0345648065088739</v>
      </c>
      <c r="AA68" s="181"/>
      <c r="AB68" s="181">
        <v>1.0604228214977398</v>
      </c>
      <c r="AC68" s="181"/>
      <c r="AD68" s="181">
        <v>1.1006277448381765</v>
      </c>
      <c r="AE68" s="181"/>
      <c r="AF68" s="181">
        <v>1.1639649470369375</v>
      </c>
      <c r="AG68" s="181"/>
      <c r="AH68" s="181">
        <v>1.2663112727776462</v>
      </c>
      <c r="AI68" s="181"/>
      <c r="AJ68" s="181">
        <v>1.4412449735825053</v>
      </c>
      <c r="AK68" s="181"/>
      <c r="AL68" s="181">
        <v>1.7755611140893262</v>
      </c>
      <c r="AM68" s="181"/>
      <c r="AN68" s="181">
        <v>2.5563485530220866</v>
      </c>
      <c r="AO68" s="181"/>
      <c r="AP68" s="181">
        <v>2.8539289562947574</v>
      </c>
      <c r="AQ68" s="181"/>
      <c r="AR68" s="181">
        <v>3.266341654637563</v>
      </c>
      <c r="AS68" s="181"/>
      <c r="AT68" s="181">
        <v>3.8957002714114424</v>
      </c>
      <c r="AU68" s="181"/>
      <c r="AV68" s="181">
        <v>5.067373053679777</v>
      </c>
      <c r="XFD68" s="181"/>
    </row>
    <row r="69" spans="1:48 16384:16384" x14ac:dyDescent="0.2">
      <c r="A69" t="s">
        <v>161</v>
      </c>
      <c r="B69" s="181">
        <v>1</v>
      </c>
      <c r="C69" s="181"/>
      <c r="D69" s="181">
        <v>0.99477957894650781</v>
      </c>
      <c r="E69" s="181"/>
      <c r="F69" s="181">
        <v>0.98855503834533676</v>
      </c>
      <c r="G69" s="181"/>
      <c r="H69" s="181">
        <v>0.9811122708386657</v>
      </c>
      <c r="I69" s="181"/>
      <c r="J69" s="181">
        <v>0.97217738143534627</v>
      </c>
      <c r="K69" s="181"/>
      <c r="L69" s="181">
        <v>0.96140115522771397</v>
      </c>
      <c r="M69" s="181"/>
      <c r="N69" s="181">
        <v>0.94833335398678575</v>
      </c>
      <c r="O69" s="181"/>
      <c r="P69" s="181">
        <v>0.93239594352179267</v>
      </c>
      <c r="Q69" s="181"/>
      <c r="R69" s="181">
        <v>0.91285080116169803</v>
      </c>
      <c r="S69" s="181"/>
      <c r="T69" s="181">
        <v>0.88877145855791506</v>
      </c>
      <c r="U69" s="181"/>
      <c r="V69" s="181">
        <v>0.85903608571398871</v>
      </c>
      <c r="W69" s="181"/>
      <c r="X69" s="181">
        <v>0.82237519062132192</v>
      </c>
      <c r="Y69" s="181"/>
      <c r="Z69" s="181">
        <v>0.77753287769542245</v>
      </c>
      <c r="AA69" s="181"/>
      <c r="AB69" s="181">
        <v>0.72361249708780095</v>
      </c>
      <c r="AC69" s="181"/>
      <c r="AD69" s="181">
        <v>0.66062310249080525</v>
      </c>
      <c r="AE69" s="181"/>
      <c r="AF69" s="181">
        <v>0.59000420083244598</v>
      </c>
      <c r="AG69" s="181"/>
      <c r="AH69" s="181">
        <v>0.51435180271641634</v>
      </c>
      <c r="AI69" s="181"/>
      <c r="AJ69" s="181">
        <v>0.43492121949778212</v>
      </c>
      <c r="AK69" s="181"/>
      <c r="AL69" s="181">
        <v>0.34420438608617226</v>
      </c>
      <c r="AM69" s="181"/>
      <c r="AN69" s="181">
        <v>0.18706349626119781</v>
      </c>
      <c r="AO69" s="181"/>
      <c r="AP69" s="181">
        <v>0.11330750096906944</v>
      </c>
      <c r="AQ69" s="181"/>
      <c r="AR69" s="181" t="e">
        <v>#NUM!</v>
      </c>
      <c r="AS69" s="181"/>
      <c r="AT69" s="181" t="e">
        <v>#NUM!</v>
      </c>
      <c r="AU69" s="181"/>
      <c r="AV69" s="181" t="e">
        <v>#NUM!</v>
      </c>
    </row>
    <row r="70" spans="1:48 16384:16384" x14ac:dyDescent="0.2">
      <c r="A70" t="s">
        <v>162</v>
      </c>
      <c r="B70" s="129">
        <v>1</v>
      </c>
      <c r="C70" s="129"/>
      <c r="D70" s="129">
        <v>0.99386035808453554</v>
      </c>
      <c r="E70" s="129"/>
      <c r="F70" s="129">
        <v>0.98672773071664976</v>
      </c>
      <c r="G70" s="129"/>
      <c r="H70" s="129">
        <v>0.97839036245081901</v>
      </c>
      <c r="I70" s="129"/>
      <c r="J70" s="129">
        <v>0.96857744529537027</v>
      </c>
      <c r="K70" s="129"/>
      <c r="L70" s="129">
        <v>0.95694359180898658</v>
      </c>
      <c r="M70" s="129"/>
      <c r="N70" s="129">
        <v>0.9430434581753645</v>
      </c>
      <c r="O70" s="129"/>
      <c r="P70" s="129">
        <v>0.92630511170445273</v>
      </c>
      <c r="Q70" s="129"/>
      <c r="R70" s="129">
        <v>0.90599816805429012</v>
      </c>
      <c r="S70" s="129"/>
      <c r="T70" s="129">
        <v>0.88120622314175512</v>
      </c>
      <c r="U70" s="129"/>
      <c r="V70" s="129">
        <v>0.85082102437653506</v>
      </c>
      <c r="W70" s="129"/>
      <c r="X70" s="129">
        <v>0.81359232832561346</v>
      </c>
      <c r="Y70" s="129"/>
      <c r="Z70" s="129">
        <v>0.7682927645630474</v>
      </c>
      <c r="AA70" s="129"/>
      <c r="AB70" s="129">
        <v>0.71406867998414947</v>
      </c>
      <c r="AC70" s="129"/>
      <c r="AD70" s="129">
        <v>0.65099380559724385</v>
      </c>
      <c r="AE70" s="129"/>
      <c r="AF70" s="129">
        <v>0.58060932529462039</v>
      </c>
      <c r="AG70" s="129"/>
      <c r="AH70" s="129">
        <v>0.50572890907263868</v>
      </c>
      <c r="AI70" s="129"/>
      <c r="AJ70" s="129">
        <v>0.42846311718665403</v>
      </c>
      <c r="AK70" s="129"/>
      <c r="AL70" s="129">
        <v>0.34632302224837247</v>
      </c>
      <c r="AM70" s="129"/>
      <c r="AN70" s="129">
        <v>0.24463643593557768</v>
      </c>
      <c r="AO70" s="129"/>
      <c r="AP70" s="129">
        <v>0.21807922996926463</v>
      </c>
      <c r="AQ70" s="129"/>
      <c r="AR70" s="129">
        <v>0.18723633100716655</v>
      </c>
      <c r="AS70" s="129"/>
      <c r="AT70" s="129">
        <v>0.14967803450882278</v>
      </c>
      <c r="AU70" s="129"/>
      <c r="AV70" s="129">
        <v>9.972213957040528E-2</v>
      </c>
    </row>
    <row r="71" spans="1:48 16384:16384" x14ac:dyDescent="0.2">
      <c r="A71" t="s">
        <v>163</v>
      </c>
      <c r="B71" s="129">
        <v>1</v>
      </c>
      <c r="D71" s="129">
        <v>0.93289573015551319</v>
      </c>
      <c r="E71" s="129"/>
      <c r="F71" s="129">
        <v>0.86600012147613015</v>
      </c>
      <c r="G71" s="129"/>
      <c r="H71" s="129">
        <v>0.7993846957987929</v>
      </c>
      <c r="I71" s="129"/>
      <c r="J71" s="129">
        <v>0.73314330856434606</v>
      </c>
      <c r="K71" s="129"/>
      <c r="L71" s="129">
        <v>0.66739486128788783</v>
      </c>
      <c r="M71" s="129"/>
      <c r="N71" s="129">
        <v>0.60229616931920749</v>
      </c>
      <c r="O71" s="129"/>
      <c r="P71" s="129">
        <v>0.5380489398706475</v>
      </c>
      <c r="Q71" s="129"/>
      <c r="R71" s="129">
        <v>0.47491076157448181</v>
      </c>
      <c r="S71" s="129"/>
      <c r="T71" s="129">
        <v>0.41320176473851944</v>
      </c>
      <c r="U71" s="129"/>
      <c r="V71" s="129">
        <v>0.35330105123909111</v>
      </c>
      <c r="W71" s="129"/>
      <c r="X71" s="129">
        <v>0.29562312542618174</v>
      </c>
      <c r="Y71" s="129"/>
      <c r="Z71" s="129">
        <v>0.2405634593259709</v>
      </c>
      <c r="AA71" s="129"/>
      <c r="AB71" s="129">
        <v>0.18841613022472312</v>
      </c>
      <c r="AC71" s="129"/>
      <c r="AD71" s="129">
        <v>0.13933377392551488</v>
      </c>
      <c r="AE71" s="129"/>
      <c r="AF71" s="129">
        <v>9.355338927298458E-2</v>
      </c>
      <c r="AG71" s="129"/>
      <c r="AH71" s="129">
        <v>5.2349413872966211E-2</v>
      </c>
      <c r="AI71" s="129"/>
      <c r="AJ71" s="129">
        <v>1.9943743188059564E-2</v>
      </c>
      <c r="AK71" s="129"/>
      <c r="AL71" s="129">
        <v>3.1564111310856406E-3</v>
      </c>
      <c r="AM71" s="129"/>
      <c r="AN71" s="129">
        <v>6.2441517207690353E-5</v>
      </c>
      <c r="AO71" s="129"/>
      <c r="AP71" s="129">
        <v>1.6699555847600187E-5</v>
      </c>
      <c r="AQ71" s="129"/>
      <c r="AR71" s="129">
        <v>3.0627130975154021E-6</v>
      </c>
      <c r="AS71" s="129"/>
      <c r="AT71" s="129">
        <v>2.8938650957989185E-7</v>
      </c>
      <c r="AU71" s="129"/>
      <c r="AV71" s="129">
        <v>5.8080510321691933E-9</v>
      </c>
      <c r="XFD71" s="129"/>
    </row>
    <row r="72" spans="1:48 16384:16384" x14ac:dyDescent="0.2">
      <c r="A72" t="s">
        <v>164</v>
      </c>
      <c r="B72" s="129">
        <v>1</v>
      </c>
      <c r="D72" s="129">
        <v>1.0135434710844458</v>
      </c>
      <c r="E72" s="129"/>
      <c r="F72" s="129">
        <v>1.0290145082639426</v>
      </c>
      <c r="G72" s="129"/>
      <c r="H72" s="129">
        <v>1.0464334599562548</v>
      </c>
      <c r="I72" s="129"/>
      <c r="J72" s="129">
        <v>1.0657502924387952</v>
      </c>
      <c r="K72" s="129"/>
      <c r="L72" s="129">
        <v>1.0868061071633732</v>
      </c>
      <c r="M72" s="129"/>
      <c r="N72" s="129">
        <v>1.1092772924028225</v>
      </c>
      <c r="O72" s="129"/>
      <c r="P72" s="129">
        <v>1.132603650006945</v>
      </c>
      <c r="Q72" s="129"/>
      <c r="R72" s="129">
        <v>1.1558992689235714</v>
      </c>
      <c r="S72" s="129"/>
      <c r="T72" s="129">
        <v>1.1778664315713845</v>
      </c>
      <c r="U72" s="129"/>
      <c r="V72" s="129">
        <v>1.1967467440664492</v>
      </c>
      <c r="W72" s="129"/>
      <c r="X72" s="129">
        <v>1.2103987339080902</v>
      </c>
      <c r="Y72" s="129"/>
      <c r="Z72" s="129">
        <v>1.2166285795741518</v>
      </c>
      <c r="AA72" s="129"/>
      <c r="AB72" s="129">
        <v>1.2138748491088545</v>
      </c>
      <c r="AC72" s="129"/>
      <c r="AD72" s="129">
        <v>1.2020051281755861</v>
      </c>
      <c r="AE72" s="129"/>
      <c r="AF72" s="129">
        <v>1.181752210865042</v>
      </c>
      <c r="AG72" s="129"/>
      <c r="AH72" s="129">
        <v>1.1482675744030533</v>
      </c>
      <c r="AI72" s="129"/>
      <c r="AJ72" s="129">
        <v>1.0699408847509899</v>
      </c>
      <c r="AK72" s="129"/>
      <c r="AL72" s="129">
        <v>0.85977924117219773</v>
      </c>
      <c r="AM72" s="129"/>
      <c r="AN72" s="129">
        <v>0.46551203522917317</v>
      </c>
      <c r="AO72" s="129"/>
      <c r="AP72" s="129">
        <v>0.37398129104706224</v>
      </c>
      <c r="AQ72" s="129"/>
      <c r="AR72" s="129">
        <v>0.28108970940106981</v>
      </c>
      <c r="AS72" s="129"/>
      <c r="AT72" s="129">
        <v>0.18755822110875842</v>
      </c>
      <c r="AU72" s="129"/>
      <c r="AV72" s="129">
        <v>9.3801683819220341E-2</v>
      </c>
      <c r="XFD72" s="129"/>
    </row>
    <row r="73" spans="1:48 16384:16384" x14ac:dyDescent="0.2">
      <c r="A73" t="s">
        <v>168</v>
      </c>
      <c r="B73" s="183">
        <v>0.47641153352875076</v>
      </c>
      <c r="D73" s="183">
        <v>0.47466877266012159</v>
      </c>
      <c r="E73" s="129"/>
      <c r="F73" s="183">
        <v>0.47290364279292296</v>
      </c>
      <c r="G73" s="129"/>
      <c r="H73" s="183">
        <v>0.47111530892383863</v>
      </c>
      <c r="I73" s="129"/>
      <c r="J73" s="183">
        <v>0.46930354480518965</v>
      </c>
      <c r="K73" s="129"/>
      <c r="L73" s="183">
        <v>0.46746887637297452</v>
      </c>
      <c r="M73" s="129"/>
      <c r="N73" s="183">
        <v>0.46561314664106901</v>
      </c>
      <c r="O73" s="129"/>
      <c r="P73" s="183">
        <v>0.46373994892329612</v>
      </c>
      <c r="Q73" s="129"/>
      <c r="R73" s="183">
        <v>0.46185525779577896</v>
      </c>
      <c r="S73" s="129"/>
      <c r="T73" s="183">
        <v>0.45996806785411409</v>
      </c>
      <c r="U73" s="129"/>
      <c r="V73" s="183">
        <v>0.45809018406691371</v>
      </c>
      <c r="W73" s="129"/>
      <c r="X73" s="183">
        <v>0.45623401932316621</v>
      </c>
      <c r="Y73" s="129"/>
      <c r="Z73" s="183">
        <v>0.45440469038563835</v>
      </c>
      <c r="AA73" s="129"/>
      <c r="AB73" s="183">
        <v>0.45257829079553497</v>
      </c>
      <c r="AC73" s="129"/>
      <c r="AD73" s="183">
        <v>0.45064974401409669</v>
      </c>
      <c r="AE73" s="129"/>
      <c r="AF73" s="183">
        <v>0.44831932148562231</v>
      </c>
      <c r="AG73" s="129"/>
      <c r="AH73" s="183">
        <v>0.44486264850389945</v>
      </c>
      <c r="AI73" s="129"/>
      <c r="AJ73" s="183">
        <v>0.43865618608971152</v>
      </c>
      <c r="AK73" s="129"/>
      <c r="AL73" s="183">
        <v>0.42626986467284528</v>
      </c>
      <c r="AM73" s="129"/>
      <c r="AN73" s="183">
        <v>0.40074600064545834</v>
      </c>
      <c r="AO73" s="129"/>
      <c r="AP73" s="183">
        <v>0.39233441018617671</v>
      </c>
      <c r="AQ73" s="129"/>
      <c r="AR73" s="183">
        <v>0.38147076714896355</v>
      </c>
      <c r="AS73" s="129"/>
      <c r="AT73" s="183">
        <v>0.36613070481303478</v>
      </c>
      <c r="AU73" s="129"/>
      <c r="AV73" s="183">
        <v>0.33995960364006084</v>
      </c>
      <c r="XFD73" s="183"/>
    </row>
    <row r="74" spans="1:48 16384:16384" x14ac:dyDescent="0.2">
      <c r="A74" t="s">
        <v>169</v>
      </c>
      <c r="B74" s="183">
        <v>0.22604620456442484</v>
      </c>
      <c r="D74" s="183">
        <v>0.22604620456442484</v>
      </c>
      <c r="E74" s="129"/>
      <c r="F74" s="183">
        <v>0.22604620456442484</v>
      </c>
      <c r="G74" s="129"/>
      <c r="H74" s="183">
        <v>0.22604620456442484</v>
      </c>
      <c r="I74" s="129"/>
      <c r="J74" s="183">
        <v>0.22604620456442484</v>
      </c>
      <c r="K74" s="129"/>
      <c r="L74" s="183">
        <v>0.22604620456442484</v>
      </c>
      <c r="M74" s="129"/>
      <c r="N74" s="183">
        <v>0.22604620456442481</v>
      </c>
      <c r="O74" s="129"/>
      <c r="P74" s="183">
        <v>0.22604620456442484</v>
      </c>
      <c r="Q74" s="129"/>
      <c r="R74" s="183">
        <v>0.22604620456442484</v>
      </c>
      <c r="S74" s="129"/>
      <c r="T74" s="183">
        <v>0.22604620456442484</v>
      </c>
      <c r="U74" s="129"/>
      <c r="V74" s="183">
        <v>0.22604620456442484</v>
      </c>
      <c r="W74" s="129"/>
      <c r="X74" s="183">
        <v>0.22604620456442484</v>
      </c>
      <c r="Y74" s="129"/>
      <c r="Z74" s="183">
        <v>0.22604620456442487</v>
      </c>
      <c r="AA74" s="129"/>
      <c r="AB74" s="183">
        <v>0.22604620456442487</v>
      </c>
      <c r="AC74" s="129"/>
      <c r="AD74" s="183">
        <v>0.22604620456442484</v>
      </c>
      <c r="AE74" s="129"/>
      <c r="AF74" s="183">
        <v>0.22604620456442484</v>
      </c>
      <c r="AG74" s="129"/>
      <c r="AH74" s="183">
        <v>0.22604620456442481</v>
      </c>
      <c r="AI74" s="129"/>
      <c r="AJ74" s="183">
        <v>0.22604620456442487</v>
      </c>
      <c r="AK74" s="129"/>
      <c r="AL74" s="183">
        <v>0.22604620456442487</v>
      </c>
      <c r="AM74" s="129"/>
      <c r="AN74" s="183">
        <v>0.22604620456442484</v>
      </c>
      <c r="AO74" s="129"/>
      <c r="AP74" s="183">
        <v>0.22604620456442484</v>
      </c>
      <c r="AQ74" s="129"/>
      <c r="AR74" s="183">
        <v>0.22604620456442484</v>
      </c>
      <c r="AS74" s="129"/>
      <c r="AT74" s="183">
        <v>0.22604620456442484</v>
      </c>
      <c r="AU74" s="129"/>
      <c r="AV74" s="183">
        <v>0.22604620456442481</v>
      </c>
      <c r="XFD74" s="183"/>
    </row>
    <row r="75" spans="1:48 16384:16384" x14ac:dyDescent="0.2">
      <c r="A75" t="s">
        <v>170</v>
      </c>
      <c r="B75" s="183">
        <v>0.22038438833194082</v>
      </c>
      <c r="D75" s="183">
        <v>0.22149910383667878</v>
      </c>
      <c r="E75" s="129"/>
      <c r="F75" s="183">
        <v>0.22285578742696788</v>
      </c>
      <c r="G75" s="129"/>
      <c r="H75" s="183">
        <v>0.2245138319958741</v>
      </c>
      <c r="I75" s="129"/>
      <c r="J75" s="183">
        <v>0.22655241827259401</v>
      </c>
      <c r="K75" s="129"/>
      <c r="L75" s="183">
        <v>0.2290778227481329</v>
      </c>
      <c r="M75" s="129"/>
      <c r="N75" s="183">
        <v>0.23223565535314999</v>
      </c>
      <c r="O75" s="129"/>
      <c r="P75" s="183">
        <v>0.23622773007136844</v>
      </c>
      <c r="Q75" s="129"/>
      <c r="R75" s="183">
        <v>0.24133791413258632</v>
      </c>
      <c r="S75" s="129"/>
      <c r="T75" s="183">
        <v>0.24797031745171111</v>
      </c>
      <c r="U75" s="129"/>
      <c r="V75" s="183">
        <v>0.25670485985247948</v>
      </c>
      <c r="W75" s="129"/>
      <c r="X75" s="183">
        <v>0.268375608147148</v>
      </c>
      <c r="Y75" s="129"/>
      <c r="Z75" s="183">
        <v>0.28417226568910653</v>
      </c>
      <c r="AA75" s="129"/>
      <c r="AB75" s="183">
        <v>0.30574816613477279</v>
      </c>
      <c r="AC75" s="129"/>
      <c r="AD75" s="183">
        <v>0.33527538658817813</v>
      </c>
      <c r="AE75" s="129"/>
      <c r="AF75" s="183">
        <v>0.37533096287262913</v>
      </c>
      <c r="AG75" s="129"/>
      <c r="AH75" s="183">
        <v>0.42862082537038071</v>
      </c>
      <c r="AI75" s="129"/>
      <c r="AJ75" s="183">
        <v>0.49839781367740971</v>
      </c>
      <c r="AK75" s="129"/>
      <c r="AL75" s="183">
        <v>0.59312761599721864</v>
      </c>
      <c r="AM75" s="129"/>
      <c r="AN75" s="183">
        <v>0.75945102712167301</v>
      </c>
      <c r="AO75" s="129"/>
      <c r="AP75" s="183">
        <v>0.81971398645348292</v>
      </c>
      <c r="AQ75" s="129"/>
      <c r="AR75" s="183">
        <v>0.90467281532226407</v>
      </c>
      <c r="AS75" s="129"/>
      <c r="AT75" s="183">
        <v>1.0404415951824251</v>
      </c>
      <c r="AU75" s="129"/>
      <c r="AV75" s="183">
        <v>1.3226674142509955</v>
      </c>
      <c r="XFD75" s="183"/>
    </row>
    <row r="76" spans="1:48 16384:16384" x14ac:dyDescent="0.2">
      <c r="A76" t="s">
        <v>171</v>
      </c>
      <c r="B76" s="183">
        <v>0.22301874374724867</v>
      </c>
      <c r="D76" s="183">
        <v>0.22350359909929021</v>
      </c>
      <c r="E76" s="129"/>
      <c r="F76" s="183">
        <v>0.22386856325123913</v>
      </c>
      <c r="G76" s="129"/>
      <c r="H76" s="183">
        <v>0.22407308133997184</v>
      </c>
      <c r="I76" s="129"/>
      <c r="J76" s="183">
        <v>0.22406116253593655</v>
      </c>
      <c r="K76" s="129"/>
      <c r="L76" s="183">
        <v>0.22375549714487133</v>
      </c>
      <c r="M76" s="129"/>
      <c r="N76" s="183">
        <v>0.22304753040320052</v>
      </c>
      <c r="O76" s="129"/>
      <c r="P76" s="183">
        <v>0.22178409236629387</v>
      </c>
      <c r="Q76" s="129"/>
      <c r="R76" s="183">
        <v>0.21974736270954909</v>
      </c>
      <c r="S76" s="129"/>
      <c r="T76" s="183">
        <v>0.21662646391837112</v>
      </c>
      <c r="U76" s="129"/>
      <c r="V76" s="183">
        <v>0.21197906668120134</v>
      </c>
      <c r="W76" s="129"/>
      <c r="X76" s="183">
        <v>0.20518361378114958</v>
      </c>
      <c r="Y76" s="129"/>
      <c r="Z76" s="183">
        <v>0.19539260478189976</v>
      </c>
      <c r="AA76" s="129"/>
      <c r="AB76" s="183">
        <v>0.18152136451688311</v>
      </c>
      <c r="AC76" s="129"/>
      <c r="AD76" s="183">
        <v>0.16235688762150266</v>
      </c>
      <c r="AE76" s="129"/>
      <c r="AF76" s="183">
        <v>0.13693471109887417</v>
      </c>
      <c r="AG76" s="129"/>
      <c r="AH76" s="183">
        <v>0.1052762654841697</v>
      </c>
      <c r="AI76" s="129"/>
      <c r="AJ76" s="183">
        <v>6.9307110293258201E-2</v>
      </c>
      <c r="AK76" s="129"/>
      <c r="AL76" s="183">
        <v>3.4216642019499019E-2</v>
      </c>
      <c r="AM76" s="129"/>
      <c r="AN76" s="183">
        <v>9.1784822652787E-3</v>
      </c>
      <c r="AO76" s="129"/>
      <c r="AP76" s="183">
        <v>6.0302122140866729E-3</v>
      </c>
      <c r="AQ76" s="129"/>
      <c r="AR76" s="183">
        <v>3.539678111946496E-3</v>
      </c>
      <c r="AS76" s="129"/>
      <c r="AT76" s="183">
        <v>1.7024704082872289E-3</v>
      </c>
      <c r="AU76" s="129"/>
      <c r="AV76" s="183">
        <v>5.1324939381206609E-4</v>
      </c>
      <c r="XFD76" s="183"/>
    </row>
    <row r="77" spans="1:48 16384:16384" x14ac:dyDescent="0.2">
      <c r="A77" t="s">
        <v>172</v>
      </c>
      <c r="B77" s="183">
        <v>0.14586087017236485</v>
      </c>
      <c r="D77" s="183">
        <v>0.14571768016051534</v>
      </c>
      <c r="E77" s="129"/>
      <c r="F77" s="183">
        <v>0.14567419803555454</v>
      </c>
      <c r="G77" s="129"/>
      <c r="H77" s="183">
        <v>0.14574842682410943</v>
      </c>
      <c r="I77" s="129"/>
      <c r="J77" s="183">
        <v>0.14596333017814495</v>
      </c>
      <c r="K77" s="129"/>
      <c r="L77" s="183">
        <v>0.14634840083040357</v>
      </c>
      <c r="M77" s="129"/>
      <c r="N77" s="183">
        <v>0.14694253696184437</v>
      </c>
      <c r="O77" s="129"/>
      <c r="P77" s="183">
        <v>0.14779797592538307</v>
      </c>
      <c r="Q77" s="129"/>
      <c r="R77" s="183">
        <v>0.14898673920233926</v>
      </c>
      <c r="S77" s="129"/>
      <c r="T77" s="183">
        <v>0.15061105378862108</v>
      </c>
      <c r="U77" s="129"/>
      <c r="V77" s="183">
        <v>0.15282031516501929</v>
      </c>
      <c r="W77" s="129"/>
      <c r="X77" s="183">
        <v>0.1558394458158886</v>
      </c>
      <c r="Y77" s="129"/>
      <c r="Z77" s="183">
        <v>0.16001576542106921</v>
      </c>
      <c r="AA77" s="129"/>
      <c r="AB77" s="183">
        <v>0.16589402601161546</v>
      </c>
      <c r="AC77" s="129"/>
      <c r="AD77" s="183">
        <v>0.17432822278820218</v>
      </c>
      <c r="AE77" s="129"/>
      <c r="AF77" s="183">
        <v>0.18663120002155034</v>
      </c>
      <c r="AG77" s="129"/>
      <c r="AH77" s="183">
        <v>0.20480594392287454</v>
      </c>
      <c r="AI77" s="129"/>
      <c r="AJ77" s="183">
        <v>0.23240731462480424</v>
      </c>
      <c r="AK77" s="129"/>
      <c r="AL77" s="183">
        <v>0.27966032725398782</v>
      </c>
      <c r="AM77" s="129"/>
      <c r="AN77" s="183">
        <v>0.39542171459683484</v>
      </c>
      <c r="AO77" s="129"/>
      <c r="AP77" s="183">
        <v>0.44412481341817123</v>
      </c>
      <c r="AQ77" s="129"/>
      <c r="AR77" s="183">
        <v>0.51572946514759888</v>
      </c>
      <c r="AS77" s="129"/>
      <c r="AT77" s="183">
        <v>0.63432097496817175</v>
      </c>
      <c r="AU77" s="129"/>
      <c r="AV77" s="183">
        <v>0.88918647184929289</v>
      </c>
      <c r="XFD77" s="183"/>
    </row>
    <row r="78" spans="1:48 16384:16384" x14ac:dyDescent="0.2">
      <c r="A78" t="s">
        <v>173</v>
      </c>
      <c r="B78" s="183">
        <v>0.346887593115773</v>
      </c>
      <c r="D78" s="183">
        <v>0.34530284816206963</v>
      </c>
      <c r="E78" s="129"/>
      <c r="F78" s="183">
        <v>0.3436522538904857</v>
      </c>
      <c r="G78" s="129"/>
      <c r="H78" s="183">
        <v>0.34192944100318723</v>
      </c>
      <c r="I78" s="129"/>
      <c r="J78" s="183">
        <v>0.34012777173363878</v>
      </c>
      <c r="K78" s="129"/>
      <c r="L78" s="183">
        <v>0.33824045386459112</v>
      </c>
      <c r="M78" s="129"/>
      <c r="N78" s="183">
        <v>0.33626099519386127</v>
      </c>
      <c r="O78" s="129"/>
      <c r="P78" s="183">
        <v>0.33418374587619631</v>
      </c>
      <c r="Q78" s="129"/>
      <c r="R78" s="183">
        <v>0.33200489534238736</v>
      </c>
      <c r="S78" s="129"/>
      <c r="T78" s="183">
        <v>0.3297239123225989</v>
      </c>
      <c r="U78" s="129"/>
      <c r="V78" s="183">
        <v>0.32734546592036495</v>
      </c>
      <c r="W78" s="129"/>
      <c r="X78" s="183">
        <v>0.32488151919926223</v>
      </c>
      <c r="Y78" s="129"/>
      <c r="Z78" s="183">
        <v>0.32235238501137109</v>
      </c>
      <c r="AA78" s="129"/>
      <c r="AB78" s="183">
        <v>0.31978346216019754</v>
      </c>
      <c r="AC78" s="129"/>
      <c r="AD78" s="183">
        <v>0.31719045059481005</v>
      </c>
      <c r="AE78" s="129"/>
      <c r="AF78" s="183">
        <v>0.31453788291397766</v>
      </c>
      <c r="AG78" s="129"/>
      <c r="AH78" s="183">
        <v>0.31164277500059623</v>
      </c>
      <c r="AI78" s="129"/>
      <c r="AJ78" s="183">
        <v>0.3079933326854068</v>
      </c>
      <c r="AK78" s="129"/>
      <c r="AL78" s="183">
        <v>0.30270324541858001</v>
      </c>
      <c r="AM78" s="129"/>
      <c r="AN78" s="183">
        <v>0.2960803316137825</v>
      </c>
      <c r="AO78" s="129"/>
      <c r="AP78" s="183">
        <v>0.29495446206508696</v>
      </c>
      <c r="AQ78" s="129"/>
      <c r="AR78" s="183">
        <v>0.29412534670315371</v>
      </c>
      <c r="AS78" s="129"/>
      <c r="AT78" s="183">
        <v>0.29387987713874197</v>
      </c>
      <c r="AU78" s="129"/>
      <c r="AV78" s="183">
        <v>0.29484384109000566</v>
      </c>
      <c r="XFD78" s="183"/>
    </row>
    <row r="79" spans="1:48 16384:16384" x14ac:dyDescent="0.2">
      <c r="A79" t="s">
        <v>174</v>
      </c>
      <c r="B79" s="183">
        <v>0.45460968782440875</v>
      </c>
      <c r="D79" s="183">
        <v>0.45326247893176974</v>
      </c>
      <c r="F79" s="183">
        <v>0.45194348570696086</v>
      </c>
      <c r="H79" s="183">
        <v>0.4506576631527151</v>
      </c>
      <c r="J79" s="183">
        <v>0.44941129127903701</v>
      </c>
      <c r="L79" s="183">
        <v>0.44821202219312178</v>
      </c>
      <c r="N79" s="183">
        <v>0.44706946436405504</v>
      </c>
      <c r="P79" s="183">
        <v>0.44599530049483943</v>
      </c>
      <c r="R79" s="183">
        <v>0.44500343355139516</v>
      </c>
      <c r="T79" s="183">
        <v>0.44410948637536496</v>
      </c>
      <c r="V79" s="183">
        <v>0.44332864935916039</v>
      </c>
      <c r="X79" s="183">
        <v>0.44266984676460713</v>
      </c>
      <c r="Z79" s="183">
        <v>0.44212138400800938</v>
      </c>
      <c r="AB79" s="183">
        <v>0.44161762976054969</v>
      </c>
      <c r="AD79" s="183">
        <v>0.44096613159774239</v>
      </c>
      <c r="AF79" s="183">
        <v>0.43969808538390331</v>
      </c>
      <c r="AH79" s="183">
        <v>0.43677781622937639</v>
      </c>
      <c r="AJ79" s="183">
        <v>0.42998573607892315</v>
      </c>
      <c r="AL79" s="183">
        <v>0.41443753177302151</v>
      </c>
      <c r="AN79" s="183">
        <v>0.37812003350922585</v>
      </c>
      <c r="AP79" s="183">
        <v>0.3650945519753015</v>
      </c>
      <c r="AR79" s="183">
        <v>0.34764707295383296</v>
      </c>
      <c r="AT79" s="183">
        <v>0.32208498444637901</v>
      </c>
      <c r="AV79" s="183">
        <v>0.27709172043386932</v>
      </c>
      <c r="XFD79" s="183"/>
    </row>
    <row r="80" spans="1:48 16384:16384" x14ac:dyDescent="0.2">
      <c r="A80" t="s">
        <v>153</v>
      </c>
      <c r="B80" s="195">
        <v>0.19850271905982084</v>
      </c>
      <c r="D80" s="195">
        <v>0.20143468088675057</v>
      </c>
      <c r="F80" s="195">
        <v>0.20440427575115025</v>
      </c>
      <c r="H80" s="195">
        <v>0.20741289292103901</v>
      </c>
      <c r="J80" s="195">
        <v>0.21046094847530766</v>
      </c>
      <c r="L80" s="195">
        <v>0.21354751928962101</v>
      </c>
      <c r="N80" s="195">
        <v>0.21666953460435881</v>
      </c>
      <c r="P80" s="195">
        <v>0.21982095957192491</v>
      </c>
      <c r="R80" s="195">
        <v>0.22299166996038294</v>
      </c>
      <c r="T80" s="195">
        <v>0.22616660450307205</v>
      </c>
      <c r="V80" s="195">
        <v>0.22932589439459153</v>
      </c>
      <c r="X80" s="195">
        <v>0.23244863242753716</v>
      </c>
      <c r="Z80" s="195">
        <v>0.23552622983308028</v>
      </c>
      <c r="AB80" s="195">
        <v>0.23859891435851263</v>
      </c>
      <c r="AD80" s="195">
        <v>0.24184342057410871</v>
      </c>
      <c r="AF80" s="195">
        <v>0.2457640338303862</v>
      </c>
      <c r="AH80" s="195">
        <v>0.25157941029645442</v>
      </c>
      <c r="AJ80" s="195">
        <v>0.26202093186929593</v>
      </c>
      <c r="AL80" s="195">
        <v>0.28285922255090873</v>
      </c>
      <c r="AN80" s="195">
        <v>0.32579963499366466</v>
      </c>
      <c r="AP80" s="195">
        <v>0.33995098605649177</v>
      </c>
      <c r="AR80" s="195">
        <v>0.35822758039078695</v>
      </c>
      <c r="AT80" s="195">
        <v>0.38403513883765045</v>
      </c>
      <c r="AV80" s="195">
        <v>0.42806443848424081</v>
      </c>
      <c r="XFD80" s="195"/>
    </row>
    <row r="81" spans="1:48 16384:16384" x14ac:dyDescent="0.2">
      <c r="A81" t="s">
        <v>175</v>
      </c>
      <c r="B81" s="195">
        <v>-2.7543485504603994E-2</v>
      </c>
      <c r="D81" s="195">
        <v>-2.4611523677674267E-2</v>
      </c>
      <c r="F81" s="195">
        <v>-2.1641928813274588E-2</v>
      </c>
      <c r="H81" s="195">
        <v>-1.863331164338582E-2</v>
      </c>
      <c r="J81" s="195">
        <v>-1.5585256089117183E-2</v>
      </c>
      <c r="L81" s="195">
        <v>-1.2498685274803833E-2</v>
      </c>
      <c r="N81" s="195">
        <v>-9.3766699600660135E-3</v>
      </c>
      <c r="P81" s="195">
        <v>-6.2252449924999507E-3</v>
      </c>
      <c r="R81" s="195">
        <v>-3.0545346040419122E-3</v>
      </c>
      <c r="T81" s="195">
        <v>1.2039993864720526E-4</v>
      </c>
      <c r="V81" s="195">
        <v>3.2796898301666855E-3</v>
      </c>
      <c r="X81" s="195">
        <v>6.402427863112313E-3</v>
      </c>
      <c r="Z81" s="195">
        <v>9.48002526865541E-3</v>
      </c>
      <c r="AB81" s="195">
        <v>1.2552709794087786E-2</v>
      </c>
      <c r="AD81" s="195">
        <v>1.5797216009683878E-2</v>
      </c>
      <c r="AF81" s="195">
        <v>1.9717829265961339E-2</v>
      </c>
      <c r="AH81" s="195">
        <v>2.5533205732029621E-2</v>
      </c>
      <c r="AJ81" s="195">
        <v>3.597472730487105E-2</v>
      </c>
      <c r="AL81" s="195">
        <v>5.6813017986483874E-2</v>
      </c>
      <c r="AN81" s="195">
        <v>9.9753430429239842E-2</v>
      </c>
      <c r="AP81" s="195">
        <v>0.11390478149206694</v>
      </c>
      <c r="AR81" s="195">
        <v>0.13218137582636211</v>
      </c>
      <c r="AT81" s="195">
        <v>0.15798893427322563</v>
      </c>
      <c r="AV81" s="195">
        <v>0.20201823391981596</v>
      </c>
      <c r="XFD81" s="195"/>
    </row>
    <row r="82" spans="1:48 16384:16384" x14ac:dyDescent="0.2">
      <c r="A82" t="s">
        <v>176</v>
      </c>
      <c r="B82" s="195">
        <v>0.14069693704202227</v>
      </c>
      <c r="D82" s="195">
        <v>0.14005416755298941</v>
      </c>
      <c r="F82" s="195">
        <v>0.13938468970794737</v>
      </c>
      <c r="H82" s="195">
        <v>0.13868592013201006</v>
      </c>
      <c r="J82" s="195">
        <v>0.13795516655990522</v>
      </c>
      <c r="L82" s="195">
        <v>0.13718967408144966</v>
      </c>
      <c r="N82" s="195">
        <v>0.13638680947199094</v>
      </c>
      <c r="P82" s="195">
        <v>0.13554428116521883</v>
      </c>
      <c r="R82" s="195">
        <v>0.13466054360163007</v>
      </c>
      <c r="T82" s="195">
        <v>0.13373538129920667</v>
      </c>
      <c r="V82" s="195">
        <v>0.13277068803731407</v>
      </c>
      <c r="X82" s="195">
        <v>0.13177131601140771</v>
      </c>
      <c r="Z82" s="195">
        <v>0.13074550407501545</v>
      </c>
      <c r="AB82" s="195">
        <v>0.12970355393372934</v>
      </c>
      <c r="AD82" s="195">
        <v>0.12865183345653489</v>
      </c>
      <c r="AF82" s="195">
        <v>0.12757595713407091</v>
      </c>
      <c r="AH82" s="195">
        <v>0.12640170696224956</v>
      </c>
      <c r="AJ82" s="195">
        <v>0.12492150021560085</v>
      </c>
      <c r="AL82" s="195">
        <v>0.12277585104884289</v>
      </c>
      <c r="AN82" s="195">
        <v>0.12008961001537549</v>
      </c>
      <c r="AP82" s="195">
        <v>0.11963295950335363</v>
      </c>
      <c r="AR82" s="195">
        <v>0.11929667191569246</v>
      </c>
      <c r="AT82" s="195">
        <v>0.1191971099349956</v>
      </c>
      <c r="AV82" s="195">
        <v>0.11958809184975225</v>
      </c>
    </row>
    <row r="83" spans="1:48 16384:16384" x14ac:dyDescent="0.2">
      <c r="A83" t="s">
        <v>177</v>
      </c>
      <c r="B83" s="195">
        <v>0.18438881036940691</v>
      </c>
      <c r="D83" s="195">
        <v>0.18384238504745304</v>
      </c>
      <c r="F83" s="195">
        <v>0.1833074039458146</v>
      </c>
      <c r="H83" s="195">
        <v>0.18278587680401925</v>
      </c>
      <c r="J83" s="195">
        <v>0.18228035078198218</v>
      </c>
      <c r="L83" s="195">
        <v>0.18179392955958595</v>
      </c>
      <c r="N83" s="195">
        <v>0.18133051031331321</v>
      </c>
      <c r="P83" s="195">
        <v>0.18089483152491273</v>
      </c>
      <c r="R83" s="195">
        <v>0.18049253221047959</v>
      </c>
      <c r="T83" s="195">
        <v>0.18012994896437648</v>
      </c>
      <c r="V83" s="195">
        <v>0.17981324298039406</v>
      </c>
      <c r="X83" s="195">
        <v>0.17954603392187338</v>
      </c>
      <c r="Z83" s="195">
        <v>0.1793235784882794</v>
      </c>
      <c r="AB83" s="195">
        <v>0.1791192567395456</v>
      </c>
      <c r="AD83" s="195">
        <v>0.1788550103444175</v>
      </c>
      <c r="AF83" s="195">
        <v>0.17834069325191965</v>
      </c>
      <c r="AH83" s="195">
        <v>0.1771562377293403</v>
      </c>
      <c r="AJ83" s="195">
        <v>0.17440138315316711</v>
      </c>
      <c r="AL83" s="195">
        <v>0.16809506154997894</v>
      </c>
      <c r="AN83" s="195">
        <v>0.15336475447601092</v>
      </c>
      <c r="AP83" s="195">
        <v>0.14808164435131721</v>
      </c>
      <c r="AR83" s="195">
        <v>0.14100498059584449</v>
      </c>
      <c r="AT83" s="195">
        <v>0.13063704692288799</v>
      </c>
      <c r="AV83" s="195">
        <v>0.11238786603629917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6"/>
  <dimension ref="A1:Z78"/>
  <sheetViews>
    <sheetView workbookViewId="0">
      <selection activeCell="B37" sqref="B37"/>
    </sheetView>
  </sheetViews>
  <sheetFormatPr baseColWidth="10" defaultRowHeight="10" x14ac:dyDescent="0.2"/>
  <cols>
    <col min="1" max="1" width="19.6640625" customWidth="1"/>
    <col min="26" max="26" width="12"/>
  </cols>
  <sheetData>
    <row r="1" spans="1:26" ht="10.5" x14ac:dyDescent="0.25">
      <c r="A1" s="92" t="s">
        <v>183</v>
      </c>
    </row>
    <row r="2" spans="1:26" x14ac:dyDescent="0.2">
      <c r="A2" t="s">
        <v>182</v>
      </c>
      <c r="B2" s="204">
        <v>0</v>
      </c>
      <c r="C2" s="204">
        <v>0.05</v>
      </c>
      <c r="D2" s="204">
        <v>0.1</v>
      </c>
      <c r="E2" s="204">
        <v>0.15000000000000002</v>
      </c>
      <c r="F2" s="204">
        <v>0.2</v>
      </c>
      <c r="G2" s="204">
        <v>0.25</v>
      </c>
      <c r="H2" s="204">
        <v>0.3</v>
      </c>
      <c r="I2" s="204">
        <v>0.35</v>
      </c>
      <c r="J2" s="204">
        <v>0.39999999999999997</v>
      </c>
      <c r="K2" s="204">
        <v>0.44999999999999996</v>
      </c>
      <c r="L2" s="204">
        <v>0.49999999999999994</v>
      </c>
      <c r="M2" s="204">
        <v>0.54999999999999993</v>
      </c>
      <c r="N2" s="204">
        <v>0.6</v>
      </c>
      <c r="O2" s="204">
        <v>0.65</v>
      </c>
      <c r="P2" s="204">
        <v>0.70000000000000007</v>
      </c>
      <c r="Q2" s="204">
        <v>0.75000000000000011</v>
      </c>
      <c r="R2" s="204">
        <v>0.80000000000000016</v>
      </c>
      <c r="S2" s="204">
        <v>0.8500000000000002</v>
      </c>
      <c r="T2" s="204">
        <v>0.90000000000000024</v>
      </c>
      <c r="U2" s="204">
        <v>0.95000000000000029</v>
      </c>
      <c r="V2" s="204">
        <v>0.9600000000000003</v>
      </c>
      <c r="W2" s="204">
        <v>0.97000000000000031</v>
      </c>
      <c r="X2" s="204">
        <v>0.98000000000000032</v>
      </c>
      <c r="Y2" s="204">
        <v>0.99000000000000032</v>
      </c>
    </row>
    <row r="3" spans="1:26" x14ac:dyDescent="0.2">
      <c r="A3" t="s">
        <v>89</v>
      </c>
      <c r="B3" s="129">
        <f>NeoClassical!B$31</f>
        <v>1</v>
      </c>
      <c r="C3" s="129">
        <f>NeoClassical!D$31</f>
        <v>0.99302062677919511</v>
      </c>
      <c r="D3" s="129">
        <f>NeoClassical!F$31</f>
        <v>0.98553972486380859</v>
      </c>
      <c r="E3" s="129">
        <f>NeoClassical!H$31</f>
        <v>0.97748996340967742</v>
      </c>
      <c r="F3" s="129">
        <f>NeoClassical!J$31</f>
        <v>0.96879045452105683</v>
      </c>
      <c r="G3" s="129">
        <f>NeoClassical!L$31</f>
        <v>0.9593428566500678</v>
      </c>
      <c r="H3" s="129">
        <f>NeoClassical!N$31</f>
        <v>0.94902557946986699</v>
      </c>
      <c r="I3" s="129">
        <f>NeoClassical!P$31</f>
        <v>0.93768551077657025</v>
      </c>
      <c r="J3" s="129">
        <f>NeoClassical!R$31</f>
        <v>0.92512554604070263</v>
      </c>
      <c r="K3" s="129">
        <f>NeoClassical!T$31</f>
        <v>0.91108484375636389</v>
      </c>
      <c r="L3" s="129">
        <f>NeoClassical!V$31</f>
        <v>0.8952070839223939</v>
      </c>
      <c r="M3" s="129">
        <f>NeoClassical!X$31</f>
        <v>0.87698688468025743</v>
      </c>
      <c r="N3" s="129">
        <f>NeoClassical!Z$31</f>
        <v>0.85567555501051518</v>
      </c>
      <c r="O3" s="129">
        <f>NeoClassical!AB$31</f>
        <v>0.83010944949893217</v>
      </c>
      <c r="P3" s="129">
        <f>NeoClassical!AD$31</f>
        <v>0.79838810296648222</v>
      </c>
      <c r="Q3" s="129">
        <f>NeoClassical!AF$31</f>
        <v>0.75728015797189818</v>
      </c>
      <c r="R3" s="129">
        <f>NeoClassical!AH$31</f>
        <v>0.70122795461443421</v>
      </c>
      <c r="S3" s="129">
        <f>NeoClassical!AJ$31</f>
        <v>0.62090077428746848</v>
      </c>
      <c r="T3" s="129">
        <f>NeoClassical!AL$31</f>
        <v>0.49998637086338488</v>
      </c>
      <c r="U3" s="129">
        <f>NeoClassical!AN$31</f>
        <v>0.30271960794022484</v>
      </c>
      <c r="V3" s="129">
        <f>NeoClassical!AP$31</f>
        <v>0.24781961832821592</v>
      </c>
      <c r="W3" s="129">
        <f>NeoClassical!AR$31</f>
        <v>0.18593055021836416</v>
      </c>
      <c r="X3" s="129">
        <f>NeoClassical!AT$31</f>
        <v>0.11716740552071138</v>
      </c>
      <c r="Y3" s="129">
        <f>NeoClassical!AV$31</f>
        <v>4.587695530615752E-2</v>
      </c>
    </row>
    <row r="4" spans="1:26" x14ac:dyDescent="0.2">
      <c r="A4" t="s">
        <v>147</v>
      </c>
      <c r="B4" s="129">
        <f>Kaldorian!B$31</f>
        <v>1</v>
      </c>
      <c r="C4" s="129">
        <f>Kaldorian!D$31</f>
        <v>0.99787249060470684</v>
      </c>
      <c r="D4" s="129">
        <f>Kaldorian!F$31</f>
        <v>0.99532889861171903</v>
      </c>
      <c r="E4" s="129">
        <f>Kaldorian!H$31</f>
        <v>0.992312529748827</v>
      </c>
      <c r="F4" s="129">
        <f>Kaldorian!J$31</f>
        <v>0.98875526526714752</v>
      </c>
      <c r="G4" s="129">
        <f>Kaldorian!L$31</f>
        <v>0.9845736509407903</v>
      </c>
      <c r="H4" s="129">
        <f>Kaldorian!N$31</f>
        <v>0.9796652696443181</v>
      </c>
      <c r="I4" s="129">
        <f>Kaldorian!P$31</f>
        <v>0.973900989527685</v>
      </c>
      <c r="J4" s="129">
        <f>Kaldorian!R$31</f>
        <v>0.96711542887366642</v>
      </c>
      <c r="K4" s="129">
        <f>Kaldorian!T$31</f>
        <v>0.95909165220050174</v>
      </c>
      <c r="L4" s="129">
        <f>Kaldorian!V$31</f>
        <v>0.94953659227144582</v>
      </c>
      <c r="M4" s="129">
        <f>Kaldorian!X$31</f>
        <v>0.93804056496524935</v>
      </c>
      <c r="N4" s="129">
        <f>Kaldorian!Z$31</f>
        <v>0.92400649813386526</v>
      </c>
      <c r="O4" s="129">
        <f>Kaldorian!AB$31</f>
        <v>0.90652052568700381</v>
      </c>
      <c r="P4" s="129">
        <f>Kaldorian!AD$31</f>
        <v>0.8841034548773955</v>
      </c>
      <c r="Q4" s="129">
        <f>Kaldorian!AF$31</f>
        <v>0.85422091138367884</v>
      </c>
      <c r="R4" s="129">
        <f>Kaldorian!AH$31</f>
        <v>0.81232022253755731</v>
      </c>
      <c r="S4" s="129">
        <f>Kaldorian!AJ$31</f>
        <v>0.74990401488347702</v>
      </c>
      <c r="T4" s="129">
        <f>Kaldorian!AL$31</f>
        <v>0.64947568599901417</v>
      </c>
      <c r="U4" s="129"/>
      <c r="V4" s="129"/>
      <c r="W4" s="129"/>
      <c r="X4" s="129"/>
      <c r="Y4" s="129"/>
    </row>
    <row r="5" spans="1:26" x14ac:dyDescent="0.2">
      <c r="A5" t="s">
        <v>90</v>
      </c>
      <c r="B5" s="129">
        <f>Johansen!B$31</f>
        <v>1</v>
      </c>
      <c r="C5" s="129">
        <f>Johansen!D$31</f>
        <v>0.99789423855811932</v>
      </c>
      <c r="D5" s="129">
        <f>Johansen!F$31</f>
        <v>0.99537296485269977</v>
      </c>
      <c r="E5" s="129">
        <f>Johansen!H$31</f>
        <v>0.99237958567328621</v>
      </c>
      <c r="F5" s="129">
        <f>Johansen!J$31</f>
        <v>0.98884592823561812</v>
      </c>
      <c r="G5" s="129">
        <f>Johansen!L$31</f>
        <v>0.98468892393764018</v>
      </c>
      <c r="H5" s="129">
        <f>Johansen!N$31</f>
        <v>0.97980579842137949</v>
      </c>
      <c r="I5" s="129">
        <f>Johansen!P$31</f>
        <v>0.97406732611841051</v>
      </c>
      <c r="J5" s="129">
        <f>Johansen!R$31</f>
        <v>0.96730777633696396</v>
      </c>
      <c r="K5" s="129">
        <f>Johansen!T$31</f>
        <v>0.95930941199306152</v>
      </c>
      <c r="L5" s="129">
        <f>Johansen!V$31</f>
        <v>0.94977784258756459</v>
      </c>
      <c r="M5" s="129">
        <f>Johansen!X$31</f>
        <v>0.93830113707549367</v>
      </c>
      <c r="N5" s="129">
        <f>Johansen!Z$31</f>
        <v>0.92427860103316728</v>
      </c>
      <c r="O5" s="129">
        <f>Johansen!AB$31</f>
        <v>0.90679055884660875</v>
      </c>
      <c r="P5" s="129">
        <f>Johansen!AD$31</f>
        <v>0.88434963265085353</v>
      </c>
      <c r="Q5" s="129">
        <f>Johansen!AF$31</f>
        <v>0.85441295093365555</v>
      </c>
      <c r="R5" s="129">
        <f>Johansen!AH$31</f>
        <v>0.81243162705890126</v>
      </c>
      <c r="S5" s="129">
        <f>Johansen!AJ$31</f>
        <v>0.74994186017707209</v>
      </c>
      <c r="T5" s="129">
        <f>Johansen!AL$31</f>
        <v>0.64948099060639797</v>
      </c>
      <c r="U5" s="129">
        <f>Johansen!AN$31</f>
        <v>0.46476536716926015</v>
      </c>
      <c r="V5" s="129">
        <f>Johansen!AP$31</f>
        <v>0.40734468798779588</v>
      </c>
      <c r="W5" s="129">
        <f>Johansen!AR$31</f>
        <v>0.3379880894319785</v>
      </c>
      <c r="X5" s="129">
        <f>Johansen!AT$31</f>
        <v>0.25229610600956093</v>
      </c>
      <c r="Y5" s="129">
        <f>Johansen!AV$31</f>
        <v>0.14335126240857823</v>
      </c>
    </row>
    <row r="6" spans="1:26" x14ac:dyDescent="0.2">
      <c r="A6" t="s">
        <v>130</v>
      </c>
      <c r="B6" s="129">
        <f>'Keynes-M'!B$31</f>
        <v>1</v>
      </c>
      <c r="C6" s="129">
        <f>'Keynes-M'!D$31</f>
        <v>1.0110824695187413</v>
      </c>
      <c r="D6" s="129">
        <f>'Keynes-M'!F$31</f>
        <v>1.0218181786199856</v>
      </c>
      <c r="E6" s="129">
        <f>'Keynes-M'!H$31</f>
        <v>1.032179696171124</v>
      </c>
      <c r="F6" s="129">
        <f>'Keynes-M'!J$31</f>
        <v>1.0421322517742855</v>
      </c>
      <c r="G6" s="129">
        <f>'Keynes-M'!L$31</f>
        <v>1.0516332404808972</v>
      </c>
      <c r="H6" s="129">
        <f>'Keynes-M'!N$31</f>
        <v>1.0606318497209446</v>
      </c>
      <c r="I6" s="129">
        <f>'Keynes-M'!P$31</f>
        <v>1.0690693524846639</v>
      </c>
      <c r="J6" s="129">
        <f>'Keynes-M'!R$31</f>
        <v>1.0768804230399354</v>
      </c>
      <c r="K6" s="129">
        <f>'Keynes-M'!T$31</f>
        <v>1.0839965383234167</v>
      </c>
      <c r="L6" s="129">
        <f>'Keynes-M'!V$31</f>
        <v>1.090352511170962</v>
      </c>
      <c r="M6" s="129">
        <f>'Keynes-M'!X$31</f>
        <v>1.0958958104021557</v>
      </c>
      <c r="N6" s="129">
        <f>'Keynes-M'!Z$31</f>
        <v>1.1005867761022399</v>
      </c>
      <c r="O6" s="129">
        <f>'Keynes-M'!AB$31</f>
        <v>1.1043198998500825</v>
      </c>
      <c r="P6" s="129">
        <f>'Keynes-M'!AD$31</f>
        <v>1.1064750305000075</v>
      </c>
      <c r="Q6" s="129">
        <f>'Keynes-M'!AF$31</f>
        <v>1.1043462260899115</v>
      </c>
      <c r="R6" s="129"/>
      <c r="S6" s="129"/>
      <c r="T6" s="129"/>
      <c r="U6" s="129"/>
      <c r="V6" s="129"/>
      <c r="W6" s="129"/>
      <c r="X6" s="129"/>
      <c r="Y6" s="129"/>
    </row>
    <row r="7" spans="1:26" x14ac:dyDescent="0.2">
      <c r="A7" t="s">
        <v>146</v>
      </c>
      <c r="B7" s="129">
        <f>Keynesian!B$31</f>
        <v>1</v>
      </c>
      <c r="C7" s="129">
        <f>Keynesian!D$31</f>
        <v>0.97787495790268164</v>
      </c>
      <c r="D7" s="129">
        <f>Keynesian!F$31</f>
        <v>0.95348428104338312</v>
      </c>
      <c r="E7" s="129">
        <f>Keynesian!H$31</f>
        <v>0.92660638681738461</v>
      </c>
      <c r="F7" s="129">
        <f>Keynesian!J$31</f>
        <v>0.89701157114703278</v>
      </c>
      <c r="G7" s="129">
        <f>Keynesian!L$31</f>
        <v>0.86447313770647982</v>
      </c>
      <c r="H7" s="129">
        <f>Keynesian!N$31</f>
        <v>0.82878219391947927</v>
      </c>
      <c r="I7" s="129">
        <f>Keynesian!P$31</f>
        <v>0.78977473492312456</v>
      </c>
      <c r="J7" s="129">
        <f>Keynesian!R$31</f>
        <v>0.74737443803428261</v>
      </c>
      <c r="K7" s="129">
        <f>Keynesian!T$31</f>
        <v>0.70166999085340565</v>
      </c>
      <c r="L7" s="129">
        <f>Keynesian!V$31</f>
        <v>0.65308406822730747</v>
      </c>
      <c r="M7" s="129">
        <f>Keynesian!X$31</f>
        <v>0.60285714982857719</v>
      </c>
      <c r="N7" s="129">
        <f>Keynesian!Z$31</f>
        <v>0.55499855572189494</v>
      </c>
      <c r="O7" s="129">
        <f>Keynesian!AB$31</f>
        <v>0.52283398020189853</v>
      </c>
      <c r="P7" s="129"/>
      <c r="Q7" s="129"/>
      <c r="R7" s="129"/>
      <c r="S7" s="129"/>
      <c r="T7" s="129"/>
      <c r="U7" s="129"/>
      <c r="V7" s="129"/>
      <c r="W7" s="129"/>
      <c r="X7" s="129"/>
      <c r="Y7" s="129"/>
    </row>
    <row r="8" spans="1:26" x14ac:dyDescent="0.2">
      <c r="A8" t="s">
        <v>131</v>
      </c>
      <c r="B8" s="129">
        <f>'Keynes-K'!B$31</f>
        <v>1</v>
      </c>
      <c r="C8" s="129">
        <f>'Keynes-K'!D$31</f>
        <v>1.002660843141975</v>
      </c>
      <c r="D8" s="129">
        <f>'Keynes-K'!F$31</f>
        <v>1.0043664683966231</v>
      </c>
      <c r="E8" s="129">
        <f>'Keynes-K'!H$31</f>
        <v>1.0050397748036626</v>
      </c>
      <c r="F8" s="129">
        <f>'Keynes-K'!J$31</f>
        <v>1.0045796398575031</v>
      </c>
      <c r="G8" s="129">
        <f>'Keynes-K'!L$31</f>
        <v>1.0028555522116873</v>
      </c>
      <c r="H8" s="129">
        <f>'Keynes-K'!N$31</f>
        <v>0.9996992768673072</v>
      </c>
      <c r="I8" s="129">
        <f>'Keynes-K'!P$31</f>
        <v>0.9948932750245304</v>
      </c>
      <c r="J8" s="129">
        <f>'Keynes-K'!R$31</f>
        <v>0.98815336839158974</v>
      </c>
      <c r="K8" s="129">
        <f>'Keynes-K'!T$31</f>
        <v>0.9791026211120395</v>
      </c>
      <c r="L8" s="129">
        <f>'Keynes-K'!V$31</f>
        <v>0.96723053120239089</v>
      </c>
      <c r="M8" s="129">
        <f>'Keynes-K'!X$31</f>
        <v>0.95182676826534718</v>
      </c>
      <c r="N8" s="129">
        <f>'Keynes-K'!Z$31</f>
        <v>0.9318694783979784</v>
      </c>
      <c r="O8" s="129">
        <f>'Keynes-K'!AB$31</f>
        <v>0.90582711556382089</v>
      </c>
      <c r="P8" s="129">
        <f>'Keynes-K'!AD$31</f>
        <v>0.87129305897331821</v>
      </c>
      <c r="Q8" s="129">
        <f>'Keynes-K'!AF$31</f>
        <v>0.82429093890316385</v>
      </c>
      <c r="R8" s="129">
        <f>'Keynes-K'!AH$31</f>
        <v>0.75797031705687434</v>
      </c>
      <c r="S8" s="129">
        <f>'Keynes-K'!AJ$31</f>
        <v>0.66039647482582453</v>
      </c>
      <c r="T8" s="129">
        <f>'Keynes-K'!AL$31</f>
        <v>0.51193011761588092</v>
      </c>
      <c r="U8" s="129"/>
      <c r="V8" s="129"/>
      <c r="W8" s="129"/>
      <c r="X8" s="129"/>
      <c r="Y8" s="129"/>
    </row>
    <row r="9" spans="1:26" x14ac:dyDescent="0.2">
      <c r="A9" t="s">
        <v>142</v>
      </c>
      <c r="B9" s="129">
        <f>'Neo-K1'!B$31</f>
        <v>1</v>
      </c>
      <c r="C9" s="129">
        <f>'Neo-K1'!D$31</f>
        <v>0.98928645183887631</v>
      </c>
      <c r="D9" s="129">
        <f>'Neo-K1'!F$31</f>
        <v>0.97764708462205241</v>
      </c>
      <c r="E9" s="129">
        <f>'Neo-K1'!H$31</f>
        <v>0.9649359723863532</v>
      </c>
      <c r="F9" s="129">
        <f>'Neo-K1'!J$31</f>
        <v>0.95097460963605918</v>
      </c>
      <c r="G9" s="129">
        <f>'Neo-K1'!L$31</f>
        <v>0.9355422161468836</v>
      </c>
      <c r="H9" s="129">
        <f>'Neo-K1'!N$31</f>
        <v>0.91836245579452236</v>
      </c>
      <c r="I9" s="129">
        <f>'Neo-K1'!P$31</f>
        <v>0.89908614082395288</v>
      </c>
      <c r="J9" s="129">
        <f>'Neo-K1'!R$31</f>
        <v>0.87726718802927728</v>
      </c>
      <c r="K9" s="129">
        <f>'Neo-K1'!T$31</f>
        <v>0.852329976864033</v>
      </c>
      <c r="L9" s="129">
        <f>'Neo-K1'!V$31</f>
        <v>0.82352655462288626</v>
      </c>
      <c r="M9" s="129">
        <f>'Neo-K1'!X$31</f>
        <v>0.78988213579540911</v>
      </c>
      <c r="N9" s="129">
        <f>'Neo-K1'!Z$31</f>
        <v>0.75013236683625095</v>
      </c>
      <c r="O9" s="129">
        <f>'Neo-K1'!AB$31</f>
        <v>0.7026672098303306</v>
      </c>
      <c r="P9" s="129">
        <f>'Neo-K1'!AD$31</f>
        <v>0.64551723409439998</v>
      </c>
      <c r="Q9" s="129">
        <f>'Neo-K1'!AF$31</f>
        <v>0.57644891158704858</v>
      </c>
      <c r="R9" s="129">
        <f>'Neo-K1'!AH$31</f>
        <v>0.49324528557055669</v>
      </c>
      <c r="S9" s="129">
        <f>'Neo-K1'!AJ$31</f>
        <v>0.39417717528152174</v>
      </c>
      <c r="T9" s="129">
        <f>'Neo-K1'!AL$31</f>
        <v>0.27849255785186017</v>
      </c>
      <c r="U9" s="129">
        <f>'Neo-K1'!AN$31</f>
        <v>0.14662839280827886</v>
      </c>
      <c r="V9" s="129">
        <f>'Neo-K1'!AP$31</f>
        <v>0.11842636021245553</v>
      </c>
      <c r="W9" s="129">
        <f>'Neo-K1'!AR$31</f>
        <v>8.9646894574572838E-2</v>
      </c>
      <c r="X9" s="129">
        <f>'Neo-K1'!AT$31</f>
        <v>6.0305380004513506E-2</v>
      </c>
      <c r="Y9" s="129">
        <f>'Neo-K1'!AV$31</f>
        <v>3.0417681270794666E-2</v>
      </c>
    </row>
    <row r="10" spans="1:26" x14ac:dyDescent="0.2">
      <c r="A10" t="s">
        <v>141</v>
      </c>
      <c r="B10" s="129">
        <f>'Neo-K2'!B$31</f>
        <v>1</v>
      </c>
      <c r="C10" s="129">
        <f>'Neo-K2'!D$31</f>
        <v>0.98816454279996269</v>
      </c>
      <c r="D10" s="129">
        <f>'Neo-K2'!F$31</f>
        <v>0.97518218535637691</v>
      </c>
      <c r="E10" s="129">
        <f>'Neo-K2'!H$31</f>
        <v>0.96085075658470442</v>
      </c>
      <c r="F10" s="129">
        <f>'Neo-K2'!J$31</f>
        <v>0.94491872878262417</v>
      </c>
      <c r="G10" s="129">
        <f>'Neo-K2'!L$31</f>
        <v>0.9270738865736311</v>
      </c>
      <c r="H10" s="129">
        <f>'Neo-K2'!N$31</f>
        <v>0.90692468648557722</v>
      </c>
      <c r="I10" s="129">
        <f>'Neo-K2'!P$31</f>
        <v>0.88398222509350821</v>
      </c>
      <c r="J10" s="129">
        <f>'Neo-K2'!R$31</f>
        <v>0.85763994181165737</v>
      </c>
      <c r="K10" s="129">
        <f>'Neo-K2'!T$31</f>
        <v>0.82715993194648152</v>
      </c>
      <c r="L10" s="129">
        <f>'Neo-K2'!V$31</f>
        <v>0.79168007783096828</v>
      </c>
      <c r="M10" s="129">
        <f>'Neo-K2'!X$31</f>
        <v>0.75026915129722682</v>
      </c>
      <c r="N10" s="129">
        <f>'Neo-K2'!Z$31</f>
        <v>0.70207394029696268</v>
      </c>
      <c r="O10" s="129">
        <f>'Neo-K2'!AB$31</f>
        <v>0.64660662134622093</v>
      </c>
      <c r="P10" s="129">
        <f>'Neo-K2'!AD$31</f>
        <v>0.58417015680156736</v>
      </c>
      <c r="Q10" s="129">
        <f>'Neo-K2'!AF$31</f>
        <v>0.51622805013680273</v>
      </c>
      <c r="R10" s="129">
        <f>'Neo-K2'!AH$31</f>
        <v>0.44512398216414961</v>
      </c>
      <c r="S10" s="129">
        <f>'Neo-K2'!AJ$31</f>
        <v>0.37232232305958662</v>
      </c>
      <c r="T10" s="129">
        <f>'Neo-K2'!AL$31</f>
        <v>0.29515775345489081</v>
      </c>
      <c r="U10" s="129">
        <f>'Neo-K2'!AN$31</f>
        <v>0.20126797982258654</v>
      </c>
      <c r="V10" s="129">
        <f>'Neo-K2'!AP$31</f>
        <v>0.17748065399921875</v>
      </c>
      <c r="W10" s="129">
        <f>'Neo-K2'!AR$31</f>
        <v>0.15037940349418308</v>
      </c>
      <c r="X10" s="129">
        <f>'Neo-K2'!AT$31</f>
        <v>0.11820047279475669</v>
      </c>
      <c r="Y10" s="129">
        <f>'Neo-K2'!AV$31</f>
        <v>7.6857603044381342E-2</v>
      </c>
    </row>
    <row r="12" spans="1:26" ht="10.5" x14ac:dyDescent="0.25">
      <c r="A12" s="92" t="s">
        <v>184</v>
      </c>
    </row>
    <row r="13" spans="1:26" x14ac:dyDescent="0.2">
      <c r="A13" t="s">
        <v>182</v>
      </c>
      <c r="B13" s="204">
        <v>0</v>
      </c>
      <c r="C13" s="204">
        <v>0.05</v>
      </c>
      <c r="D13" s="204">
        <v>0.1</v>
      </c>
      <c r="E13" s="204">
        <v>0.15000000000000002</v>
      </c>
      <c r="F13" s="204">
        <v>0.2</v>
      </c>
      <c r="G13" s="204">
        <v>0.25</v>
      </c>
      <c r="H13" s="204">
        <v>0.3</v>
      </c>
      <c r="I13" s="204">
        <v>0.35</v>
      </c>
      <c r="J13" s="204">
        <v>0.39999999999999997</v>
      </c>
      <c r="K13" s="204">
        <v>0.44999999999999996</v>
      </c>
      <c r="L13" s="204">
        <v>0.49999999999999994</v>
      </c>
      <c r="M13" s="204">
        <v>0.54999999999999993</v>
      </c>
      <c r="N13" s="204">
        <v>0.6</v>
      </c>
      <c r="O13" s="204">
        <v>0.65</v>
      </c>
      <c r="P13" s="204">
        <v>0.70000000000000007</v>
      </c>
      <c r="Q13" s="204">
        <v>0.75000000000000011</v>
      </c>
      <c r="R13" s="204">
        <v>0.80000000000000016</v>
      </c>
      <c r="S13" s="204">
        <v>0.8500000000000002</v>
      </c>
      <c r="T13" s="204">
        <v>0.90000000000000024</v>
      </c>
      <c r="U13" s="204">
        <v>0.95000000000000029</v>
      </c>
      <c r="V13" s="204">
        <v>0.9600000000000003</v>
      </c>
      <c r="W13" s="204">
        <v>0.97000000000000031</v>
      </c>
      <c r="X13" s="204">
        <v>0.98000000000000032</v>
      </c>
      <c r="Y13" s="204">
        <v>0.99000000000000032</v>
      </c>
      <c r="Z13" s="130"/>
    </row>
    <row r="14" spans="1:26" x14ac:dyDescent="0.2">
      <c r="A14" t="s">
        <v>89</v>
      </c>
      <c r="B14" s="129">
        <f>NeoClassical!B2</f>
        <v>5.7716594496607888E-3</v>
      </c>
      <c r="C14" s="129">
        <f>NeoClassical!D2</f>
        <v>5.3165634102402985E-2</v>
      </c>
      <c r="D14" s="129">
        <f>NeoClassical!F2</f>
        <v>0.10517172708076596</v>
      </c>
      <c r="E14" s="129">
        <f>NeoClassical!H2</f>
        <v>0.16254110393084323</v>
      </c>
      <c r="F14" s="129">
        <f>NeoClassical!J2</f>
        <v>0.22621358250856927</v>
      </c>
      <c r="G14" s="129">
        <f>NeoClassical!L2</f>
        <v>0.29738932563568649</v>
      </c>
      <c r="H14" s="129">
        <f>NeoClassical!N2</f>
        <v>0.3776351384841713</v>
      </c>
      <c r="I14" s="129">
        <f>NeoClassical!P2</f>
        <v>0.46904953635821289</v>
      </c>
      <c r="J14" s="129">
        <f>NeoClassical!R2</f>
        <v>0.57453002118101404</v>
      </c>
      <c r="K14" s="129">
        <f>NeoClassical!T2</f>
        <v>0.69822202809616474</v>
      </c>
      <c r="L14" s="129">
        <f>NeoClassical!V2</f>
        <v>0.84630845024498202</v>
      </c>
      <c r="M14" s="129">
        <f>NeoClassical!X2</f>
        <v>1.0284771248821325</v>
      </c>
      <c r="N14" s="129">
        <f>NeoClassical!Z2</f>
        <v>1.2608161454896041</v>
      </c>
      <c r="O14" s="129">
        <f>NeoClassical!AB2</f>
        <v>1.5719575718219867</v>
      </c>
      <c r="P14" s="129">
        <f>NeoClassical!AD2</f>
        <v>2.0171494675707931</v>
      </c>
      <c r="Q14" s="129">
        <f>NeoClassical!AF2</f>
        <v>2.7132011906473421</v>
      </c>
      <c r="R14" s="129">
        <f>NeoClassical!AH2</f>
        <v>3.9318810912339401</v>
      </c>
      <c r="S14" s="129">
        <f>NeoClassical!AJ2</f>
        <v>6.3753205661995018</v>
      </c>
      <c r="T14" s="129">
        <f>NeoClassical!AL2</f>
        <v>12.238896656659726</v>
      </c>
      <c r="U14" s="129">
        <f>NeoClassical!AN2</f>
        <v>32.418350434557162</v>
      </c>
      <c r="V14" s="129">
        <f>NeoClassical!AP2</f>
        <v>42.611586079030317</v>
      </c>
      <c r="W14" s="129">
        <f>NeoClassical!AR2</f>
        <v>58.862658915347311</v>
      </c>
      <c r="X14" s="129">
        <f>NeoClassical!AT2</f>
        <v>87.658202987240472</v>
      </c>
      <c r="Y14" s="129">
        <f>NeoClassical!AV2</f>
        <v>148.4184368000065</v>
      </c>
      <c r="Z14" s="129"/>
    </row>
    <row r="15" spans="1:26" x14ac:dyDescent="0.2">
      <c r="A15" t="s">
        <v>147</v>
      </c>
      <c r="B15" s="129">
        <f>Kaldorian!B2</f>
        <v>5.7716594496607888E-3</v>
      </c>
      <c r="C15" s="129">
        <f>Kaldorian!D2</f>
        <v>5.6613144183313743E-2</v>
      </c>
      <c r="D15" s="129">
        <f>Kaldorian!F2</f>
        <v>0.11238299223790056</v>
      </c>
      <c r="E15" s="129">
        <f>Kaldorian!H2</f>
        <v>0.1738781132406336</v>
      </c>
      <c r="F15" s="129">
        <f>Kaldorian!J2</f>
        <v>0.24209690208904491</v>
      </c>
      <c r="G15" s="129">
        <f>Kaldorian!L2</f>
        <v>0.31831153568559589</v>
      </c>
      <c r="H15" s="129">
        <f>Kaldorian!N2</f>
        <v>0.40419162312909251</v>
      </c>
      <c r="I15" s="129">
        <f>Kaldorian!P2</f>
        <v>0.50197315221493877</v>
      </c>
      <c r="J15" s="129">
        <f>Kaldorian!R2</f>
        <v>0.61475624813283969</v>
      </c>
      <c r="K15" s="129">
        <f>Kaldorian!T2</f>
        <v>0.74699888555461624</v>
      </c>
      <c r="L15" s="129">
        <f>Kaldorian!V2</f>
        <v>0.90539407028806029</v>
      </c>
      <c r="M15" s="129">
        <f>Kaldorian!X2</f>
        <v>1.1005158046198136</v>
      </c>
      <c r="N15" s="129">
        <f>Kaldorian!Z2</f>
        <v>1.3501042044668816</v>
      </c>
      <c r="O15" s="129">
        <f>Kaldorian!AB2</f>
        <v>1.6861089978417878</v>
      </c>
      <c r="P15" s="129">
        <f>Kaldorian!AD2</f>
        <v>2.1710424633437735</v>
      </c>
      <c r="Q15" s="129">
        <f>Kaldorian!AF2</f>
        <v>2.9390284943982472</v>
      </c>
      <c r="R15" s="129">
        <f>Kaldorian!AH2</f>
        <v>4.305973188490146</v>
      </c>
      <c r="S15" s="129">
        <f>Kaldorian!AJ2</f>
        <v>7.0932888892520785</v>
      </c>
      <c r="T15" s="129">
        <f>Kaldorian!AL2</f>
        <v>13.882121838816106</v>
      </c>
      <c r="U15" s="129"/>
      <c r="V15" s="129"/>
      <c r="W15" s="129"/>
      <c r="X15" s="129"/>
      <c r="Y15" s="129"/>
      <c r="Z15" s="129"/>
    </row>
    <row r="16" spans="1:26" x14ac:dyDescent="0.2">
      <c r="A16" t="s">
        <v>90</v>
      </c>
      <c r="B16" s="129">
        <f>Johansen!B2</f>
        <v>5.7716594496607888E-3</v>
      </c>
      <c r="C16" s="129">
        <f>Johansen!D2</f>
        <v>5.5014439997918968E-2</v>
      </c>
      <c r="D16" s="129">
        <f>Johansen!F2</f>
        <v>0.10906958458026007</v>
      </c>
      <c r="E16" s="129">
        <f>Johansen!H2</f>
        <v>0.16872438292690839</v>
      </c>
      <c r="F16" s="129">
        <f>Johansen!J2</f>
        <v>0.23496769938343354</v>
      </c>
      <c r="G16" s="129">
        <f>Johansen!L2</f>
        <v>0.30906615374944901</v>
      </c>
      <c r="H16" s="129">
        <f>Johansen!N2</f>
        <v>0.3926801580131119</v>
      </c>
      <c r="I16" s="129">
        <f>Johansen!P2</f>
        <v>0.48804509618252229</v>
      </c>
      <c r="J16" s="129">
        <f>Johansen!R2</f>
        <v>0.59826652270557557</v>
      </c>
      <c r="K16" s="129">
        <f>Johansen!T2</f>
        <v>0.72782096900058313</v>
      </c>
      <c r="L16" s="129">
        <f>Johansen!V2</f>
        <v>0.88344313079603487</v>
      </c>
      <c r="M16" s="129">
        <f>Johansen!X2</f>
        <v>1.0757925162930242</v>
      </c>
      <c r="N16" s="129">
        <f>Johansen!Z2</f>
        <v>1.3227809634877583</v>
      </c>
      <c r="O16" s="129">
        <f>Johansen!AB2</f>
        <v>1.6567067892971499</v>
      </c>
      <c r="P16" s="129">
        <f>Johansen!AD2</f>
        <v>2.1407933646851998</v>
      </c>
      <c r="Q16" s="129">
        <f>Johansen!AF2</f>
        <v>2.9104917708887981</v>
      </c>
      <c r="R16" s="129">
        <f>Johansen!AH2</f>
        <v>4.2833747151355865</v>
      </c>
      <c r="S16" s="129">
        <f>Johansen!AJ2</f>
        <v>7.0803307977105927</v>
      </c>
      <c r="T16" s="129">
        <f>Johansen!AL2</f>
        <v>13.877653156371668</v>
      </c>
      <c r="U16" s="129">
        <f>Johansen!AN2</f>
        <v>37.473069560641029</v>
      </c>
      <c r="V16" s="129">
        <f>Johansen!AP2</f>
        <v>49.321891324375379</v>
      </c>
      <c r="W16" s="129">
        <f>Johansen!AR2</f>
        <v>67.974409258132326</v>
      </c>
      <c r="X16" s="129">
        <f>Johansen!AT2</f>
        <v>100.12194069275338</v>
      </c>
      <c r="Y16" s="129">
        <f>Johansen!AV2</f>
        <v>163.76263899729508</v>
      </c>
      <c r="Z16" s="129"/>
    </row>
    <row r="17" spans="1:26" x14ac:dyDescent="0.2">
      <c r="A17" t="s">
        <v>130</v>
      </c>
      <c r="B17" s="129">
        <f>'Keynes-M'!B2</f>
        <v>5.7716594496607888E-3</v>
      </c>
      <c r="C17" s="129">
        <f>'Keynes-M'!D2</f>
        <v>6.0471261654331691E-2</v>
      </c>
      <c r="D17" s="129">
        <f>'Keynes-M'!F2</f>
        <v>0.12095345317981721</v>
      </c>
      <c r="E17" s="129">
        <f>'Keynes-M'!H2</f>
        <v>0.18829531151179513</v>
      </c>
      <c r="F17" s="129">
        <f>'Keynes-M'!J2</f>
        <v>0.26390198519849517</v>
      </c>
      <c r="G17" s="129">
        <f>'Keynes-M'!L2</f>
        <v>0.3496548940442159</v>
      </c>
      <c r="H17" s="129">
        <f>'Keynes-M'!N2</f>
        <v>0.44814776611328538</v>
      </c>
      <c r="I17" s="129">
        <f>'Keynes-M'!P2</f>
        <v>0.56307817410465788</v>
      </c>
      <c r="J17" s="129">
        <f>'Keynes-M'!R2</f>
        <v>0.69992436136584468</v>
      </c>
      <c r="K17" s="129">
        <f>'Keynes-M'!T2</f>
        <v>0.86717488759437344</v>
      </c>
      <c r="L17" s="129">
        <f>'Keynes-M'!V2</f>
        <v>1.0786936208042293</v>
      </c>
      <c r="M17" s="129">
        <f>'Keynes-M'!X2</f>
        <v>1.3585657211274431</v>
      </c>
      <c r="N17" s="129">
        <f>'Keynes-M'!Z2</f>
        <v>1.7516996252942383</v>
      </c>
      <c r="O17" s="129">
        <f>'Keynes-M'!AB2</f>
        <v>2.3483184573784062</v>
      </c>
      <c r="P17" s="129">
        <f>'Keynes-M'!AD2</f>
        <v>3.3414401207452875</v>
      </c>
      <c r="Q17" s="129">
        <f>'Keynes-M'!AF2</f>
        <v>5.1569811900103169</v>
      </c>
      <c r="R17" s="129"/>
      <c r="S17" s="129"/>
      <c r="T17" s="129"/>
      <c r="U17" s="129"/>
      <c r="V17" s="129"/>
      <c r="W17" s="129"/>
      <c r="X17" s="129"/>
      <c r="Y17" s="129"/>
      <c r="Z17" s="129"/>
    </row>
    <row r="18" spans="1:26" x14ac:dyDescent="0.2">
      <c r="A18" t="s">
        <v>146</v>
      </c>
      <c r="B18" s="129">
        <f>Keynesian!B2</f>
        <v>5.7716594496607888E-3</v>
      </c>
      <c r="C18" s="129">
        <f>Keynesian!D2</f>
        <v>3.5074944807207187E-2</v>
      </c>
      <c r="D18" s="129">
        <f>Keynesian!F2</f>
        <v>6.5450917189868188E-2</v>
      </c>
      <c r="E18" s="129">
        <f>Keynesian!H2</f>
        <v>9.6813906878356962E-2</v>
      </c>
      <c r="F18" s="129">
        <f>Keynesian!J2</f>
        <v>0.12902967722351788</v>
      </c>
      <c r="G18" s="129">
        <f>Keynesian!L2</f>
        <v>0.16190373369802477</v>
      </c>
      <c r="H18" s="129">
        <f>Keynesian!N2</f>
        <v>0.19516581074901948</v>
      </c>
      <c r="I18" s="129">
        <f>Keynesian!P2</f>
        <v>0.22845370229541914</v>
      </c>
      <c r="J18" s="129">
        <f>Keynesian!R2</f>
        <v>0.2612902252197572</v>
      </c>
      <c r="K18" s="129">
        <f>Keynesian!T2</f>
        <v>0.29304242272201791</v>
      </c>
      <c r="L18" s="129">
        <f>Keynesian!V2</f>
        <v>0.32282099290967115</v>
      </c>
      <c r="M18" s="129">
        <f>Keynesian!X2</f>
        <v>0.34913325965877384</v>
      </c>
      <c r="N18" s="129">
        <f>Keynesian!Z2</f>
        <v>0.36833406901092186</v>
      </c>
      <c r="O18" s="129">
        <f>Keynesian!AB2</f>
        <v>0.3692943055570726</v>
      </c>
      <c r="P18" s="129"/>
      <c r="Q18" s="129"/>
      <c r="R18" s="129"/>
      <c r="S18" s="129"/>
      <c r="T18" s="129"/>
      <c r="U18" s="129"/>
      <c r="V18" s="129"/>
      <c r="W18" s="129"/>
      <c r="X18" s="129"/>
      <c r="Y18" s="129"/>
      <c r="Z18" s="129"/>
    </row>
    <row r="19" spans="1:26" x14ac:dyDescent="0.2">
      <c r="A19" t="s">
        <v>131</v>
      </c>
      <c r="B19" s="129">
        <f>'Keynes-K'!B2</f>
        <v>5.7716594496607888E-3</v>
      </c>
      <c r="C19" s="129">
        <f>'Keynes-K'!D2</f>
        <v>6.0784297872703882E-2</v>
      </c>
      <c r="D19" s="129">
        <f>'Keynes-K'!F2</f>
        <v>0.12072509742981674</v>
      </c>
      <c r="E19" s="129">
        <f>'Keynes-K'!H2</f>
        <v>0.18637390962739658</v>
      </c>
      <c r="F19" s="129">
        <f>'Keynes-K'!J2</f>
        <v>0.25870018017358054</v>
      </c>
      <c r="G19" s="129">
        <f>'Keynes-K'!L2</f>
        <v>0.33892909007004124</v>
      </c>
      <c r="H19" s="129">
        <f>'Keynes-K'!N2</f>
        <v>0.42864748565690663</v>
      </c>
      <c r="I19" s="129">
        <f>'Keynes-K'!P2</f>
        <v>0.5299612844400039</v>
      </c>
      <c r="J19" s="129">
        <f>'Keynes-K'!R2</f>
        <v>0.64574689965076804</v>
      </c>
      <c r="K19" s="129">
        <f>'Keynes-K'!T2</f>
        <v>0.78006174262338579</v>
      </c>
      <c r="L19" s="129">
        <f>'Keynes-K'!V2</f>
        <v>0.93884190849685423</v>
      </c>
      <c r="M19" s="129">
        <f>'Keynes-K'!X2</f>
        <v>1.1311334665385189</v>
      </c>
      <c r="N19" s="129">
        <f>'Keynes-K'!Z2</f>
        <v>1.3713654537293865</v>
      </c>
      <c r="O19" s="129">
        <f>'Keynes-K'!AB2</f>
        <v>1.6837134809843308</v>
      </c>
      <c r="P19" s="129">
        <f>'Keynes-K'!AD2</f>
        <v>2.110732976573106</v>
      </c>
      <c r="Q19" s="129">
        <f>'Keynes-K'!AF2</f>
        <v>2.7302351744075088</v>
      </c>
      <c r="R19" s="129">
        <f>'Keynes-K'!AH2</f>
        <v>3.684286821000438</v>
      </c>
      <c r="S19" s="129">
        <f>'Keynes-K'!AJ2</f>
        <v>5.2057936576302772</v>
      </c>
      <c r="T19" s="129">
        <f>'Keynes-K'!AL2</f>
        <v>7.5277080317793974</v>
      </c>
      <c r="U19" s="129"/>
      <c r="V19" s="129"/>
      <c r="W19" s="129"/>
      <c r="X19" s="129"/>
      <c r="Y19" s="129"/>
      <c r="Z19" s="129"/>
    </row>
    <row r="20" spans="1:26" x14ac:dyDescent="0.2">
      <c r="A20" t="s">
        <v>141</v>
      </c>
      <c r="B20" s="129">
        <f>'Neo-K2'!B$2</f>
        <v>5.7716594496607888E-3</v>
      </c>
      <c r="C20" s="129">
        <f>'Neo-K2'!D$2</f>
        <v>4.6616560900795224E-2</v>
      </c>
      <c r="D20" s="129">
        <f>'Neo-K2'!F$2</f>
        <v>9.0570189780028496E-2</v>
      </c>
      <c r="E20" s="129">
        <f>'Neo-K2'!H$2</f>
        <v>0.13795858296821159</v>
      </c>
      <c r="F20" s="129">
        <f>'Neo-K2'!J$2</f>
        <v>0.18914053993188792</v>
      </c>
      <c r="G20" s="129">
        <f>'Neo-K2'!L$2</f>
        <v>0.24450906318125445</v>
      </c>
      <c r="H20" s="129">
        <f>'Neo-K2'!N$2</f>
        <v>0.30448463319685992</v>
      </c>
      <c r="I20" s="129">
        <f>'Neo-K2'!P$2</f>
        <v>0.36950799849981214</v>
      </c>
      <c r="J20" s="129">
        <f>'Neo-K2'!R$2</f>
        <v>0.44002601008515024</v>
      </c>
      <c r="K20" s="129">
        <f>'Neo-K2'!T$2</f>
        <v>0.51648305564793218</v>
      </c>
      <c r="L20" s="129">
        <f>'Neo-K2'!V$2</f>
        <v>0.59934479071597546</v>
      </c>
      <c r="M20" s="129">
        <f>'Neo-K2'!X$2</f>
        <v>0.68924795464333877</v>
      </c>
      <c r="N20" s="129">
        <f>'Neo-K2'!Z$2</f>
        <v>0.78752593116657377</v>
      </c>
      <c r="O20" s="129">
        <f>'Neo-K2'!AB$2</f>
        <v>0.8977580899117632</v>
      </c>
      <c r="P20" s="129">
        <f>'Neo-K2'!AD$2</f>
        <v>1.0299650993547727</v>
      </c>
      <c r="Q20" s="129">
        <f>'Neo-K2'!AF$2</f>
        <v>1.2117233761951891</v>
      </c>
      <c r="R20" s="129">
        <f>'Neo-K2'!AH$2</f>
        <v>1.5197381628728401</v>
      </c>
      <c r="S20" s="129">
        <f>'Neo-K2'!AJ$2</f>
        <v>2.1913791855995992</v>
      </c>
      <c r="T20" s="129">
        <f>'Neo-K2'!AL$2</f>
        <v>4.1595695026330812</v>
      </c>
      <c r="U20" s="129">
        <f>'Neo-K2'!AN$2</f>
        <v>13.169923289859858</v>
      </c>
      <c r="V20" s="129">
        <f>'Neo-K2'!AP$2</f>
        <v>18.647168398919394</v>
      </c>
      <c r="W20" s="129">
        <f>'Neo-K2'!AR$2</f>
        <v>28.630274528412649</v>
      </c>
      <c r="X20" s="129">
        <f>'Neo-K2'!AT$2</f>
        <v>50.647409509597196</v>
      </c>
      <c r="Y20" s="129">
        <f>'Neo-K2'!AV$2</f>
        <v>124.31276869687984</v>
      </c>
      <c r="Z20" s="129"/>
    </row>
    <row r="21" spans="1:26" x14ac:dyDescent="0.2">
      <c r="A21" t="s">
        <v>142</v>
      </c>
      <c r="B21" s="129">
        <f>'Neo-K1'!B$2</f>
        <v>5.7716594496607888E-3</v>
      </c>
      <c r="C21" s="129">
        <f>'Neo-K1'!D$2</f>
        <v>4.8236263315743218E-2</v>
      </c>
      <c r="D21" s="129">
        <f>'Neo-K1'!F$2</f>
        <v>9.4333614278895403E-2</v>
      </c>
      <c r="E21" s="129">
        <f>'Neo-K1'!H$2</f>
        <v>0.1445460708181428</v>
      </c>
      <c r="F21" s="129">
        <f>'Neo-K1'!J$2</f>
        <v>0.19944639100039627</v>
      </c>
      <c r="G21" s="129">
        <f>'Neo-K1'!L$2</f>
        <v>0.25972026561609324</v>
      </c>
      <c r="H21" s="129">
        <f>'Neo-K1'!N$2</f>
        <v>0.32619530278820824</v>
      </c>
      <c r="I21" s="129">
        <f>'Neo-K1'!P$2</f>
        <v>0.3998782158735289</v>
      </c>
      <c r="J21" s="129">
        <f>'Neo-K1'!R$2</f>
        <v>0.48200120658524204</v>
      </c>
      <c r="K21" s="129">
        <f>'Neo-K1'!T$2</f>
        <v>0.57407980237040201</v>
      </c>
      <c r="L21" s="129">
        <f>'Neo-K1'!V$2</f>
        <v>0.67797571593168926</v>
      </c>
      <c r="M21" s="129">
        <f>'Neo-K1'!X$2</f>
        <v>0.79595494790866261</v>
      </c>
      <c r="N21" s="129">
        <f>'Neo-K1'!Z$2</f>
        <v>0.93070716199072867</v>
      </c>
      <c r="O21" s="129">
        <f>'Neo-K1'!AB$2</f>
        <v>1.0852592982660039</v>
      </c>
      <c r="P21" s="129">
        <f>'Neo-K1'!AD$2</f>
        <v>1.2626655678379251</v>
      </c>
      <c r="Q21" s="129">
        <f>'Neo-K1'!AF$2</f>
        <v>1.465335939706746</v>
      </c>
      <c r="R21" s="129">
        <f>'Neo-K1'!AH$2</f>
        <v>1.6939794785809303</v>
      </c>
      <c r="S21" s="129">
        <f>'Neo-K1'!AJ$2</f>
        <v>1.9465108519059251</v>
      </c>
      <c r="T21" s="129">
        <f>'Neo-K1'!AL$2</f>
        <v>2.2176781779116448</v>
      </c>
      <c r="U21" s="129">
        <f>'Neo-K1'!AN$2</f>
        <v>2.4999915877256336</v>
      </c>
      <c r="V21" s="129">
        <f>'Neo-K1'!AP$2</f>
        <v>2.5570831363258324</v>
      </c>
      <c r="W21" s="129">
        <f>'Neo-K1'!AR$2</f>
        <v>2.6142408977752671</v>
      </c>
      <c r="X21" s="129">
        <f>'Neo-K1'!AT$2</f>
        <v>2.6714080519972465</v>
      </c>
      <c r="Y21" s="129">
        <f>'Neo-K1'!AV$2</f>
        <v>2.7285306678306651</v>
      </c>
    </row>
    <row r="23" spans="1:26" ht="10.5" x14ac:dyDescent="0.25">
      <c r="A23" s="92" t="s">
        <v>161</v>
      </c>
    </row>
    <row r="24" spans="1:26" x14ac:dyDescent="0.2">
      <c r="A24" t="s">
        <v>182</v>
      </c>
      <c r="B24" s="204">
        <v>0</v>
      </c>
      <c r="C24" s="204">
        <v>0.05</v>
      </c>
      <c r="D24" s="204">
        <v>0.1</v>
      </c>
      <c r="E24" s="204">
        <v>0.15000000000000002</v>
      </c>
      <c r="F24" s="204">
        <v>0.2</v>
      </c>
      <c r="G24" s="204">
        <v>0.25</v>
      </c>
      <c r="H24" s="204">
        <v>0.3</v>
      </c>
      <c r="I24" s="204">
        <v>0.35</v>
      </c>
      <c r="J24" s="204">
        <v>0.39999999999999997</v>
      </c>
      <c r="K24" s="204">
        <v>0.44999999999999996</v>
      </c>
      <c r="L24" s="204">
        <v>0.49999999999999994</v>
      </c>
      <c r="M24" s="204">
        <v>0.54999999999999993</v>
      </c>
      <c r="N24" s="204">
        <v>0.6</v>
      </c>
      <c r="O24" s="204">
        <v>0.65</v>
      </c>
      <c r="P24" s="204">
        <v>0.70000000000000007</v>
      </c>
      <c r="Q24" s="204">
        <v>0.75000000000000011</v>
      </c>
      <c r="R24" s="204">
        <v>0.80000000000000016</v>
      </c>
      <c r="S24" s="204">
        <v>0.8500000000000002</v>
      </c>
      <c r="T24" s="204">
        <v>0.90000000000000024</v>
      </c>
      <c r="U24" s="204">
        <v>0.95000000000000029</v>
      </c>
      <c r="V24" s="204">
        <v>0.9600000000000003</v>
      </c>
      <c r="W24" s="204">
        <v>0.97000000000000031</v>
      </c>
      <c r="X24" s="204">
        <v>0.98000000000000032</v>
      </c>
      <c r="Y24" s="204">
        <v>0.99000000000000032</v>
      </c>
    </row>
    <row r="25" spans="1:26" x14ac:dyDescent="0.2">
      <c r="A25" t="s">
        <v>89</v>
      </c>
      <c r="B25" s="129">
        <f>NeoClassical!B$69</f>
        <v>1</v>
      </c>
      <c r="C25" s="129">
        <f>NeoClassical!D$69</f>
        <v>1.0014662288848144</v>
      </c>
      <c r="D25" s="129">
        <f>NeoClassical!F$69</f>
        <v>1.0028091352068993</v>
      </c>
      <c r="E25" s="129">
        <f>NeoClassical!H$69</f>
        <v>1.0040089426367291</v>
      </c>
      <c r="F25" s="129">
        <f>NeoClassical!J$69</f>
        <v>1.0050414609852509</v>
      </c>
      <c r="G25" s="129">
        <f>NeoClassical!L$69</f>
        <v>1.0058767556612902</v>
      </c>
      <c r="H25" s="129">
        <f>NeoClassical!N$69</f>
        <v>1.006477328384328</v>
      </c>
      <c r="I25" s="129">
        <f>NeoClassical!P$69</f>
        <v>1.0067957305591344</v>
      </c>
      <c r="J25" s="129">
        <f>NeoClassical!R$69</f>
        <v>1.0067711314553953</v>
      </c>
      <c r="K25" s="129">
        <f>NeoClassical!T$69</f>
        <v>1.0063241950977737</v>
      </c>
      <c r="L25" s="129">
        <f>NeoClassical!V$69</f>
        <v>1.0053494334650619</v>
      </c>
      <c r="M25" s="129">
        <f>NeoClassical!X$69</f>
        <v>1.003702955870005</v>
      </c>
      <c r="N25" s="129">
        <f>NeoClassical!Z$69</f>
        <v>1.001181468806803</v>
      </c>
      <c r="O25" s="129">
        <f>NeoClassical!AB$69</f>
        <v>0.99748296877312193</v>
      </c>
      <c r="P25" s="129">
        <f>NeoClassical!AD$69</f>
        <v>0.99212248908687328</v>
      </c>
      <c r="Q25" s="129">
        <f>NeoClassical!AF$69</f>
        <v>0.98422209435155361</v>
      </c>
      <c r="R25" s="129">
        <f>NeoClassical!AH$69</f>
        <v>0.97190306497944112</v>
      </c>
      <c r="S25" s="129">
        <f>NeoClassical!AJ$69</f>
        <v>0.9503936561225389</v>
      </c>
      <c r="T25" s="129">
        <f>NeoClassical!AL$69</f>
        <v>0.90578816140380891</v>
      </c>
      <c r="U25" s="129">
        <f>NeoClassical!AN$69</f>
        <v>0.78473628060859946</v>
      </c>
      <c r="V25" s="129">
        <f>NeoClassical!AP$69</f>
        <v>0.73437922097621344</v>
      </c>
      <c r="W25" s="129">
        <f>NeoClassical!AR$69</f>
        <v>0.663112298788749</v>
      </c>
      <c r="X25" s="129">
        <f>NeoClassical!AT$69</f>
        <v>0.55518030323142575</v>
      </c>
      <c r="Y25" s="129">
        <f>NeoClassical!AV$69</f>
        <v>0.3732355634907451</v>
      </c>
    </row>
    <row r="26" spans="1:26" x14ac:dyDescent="0.2">
      <c r="A26" t="s">
        <v>147</v>
      </c>
      <c r="B26" s="129">
        <f>Kaldorian!B$69</f>
        <v>1</v>
      </c>
      <c r="C26" s="129">
        <f>Kaldorian!D$69</f>
        <v>1.0015432592960734</v>
      </c>
      <c r="D26" s="129">
        <f>Kaldorian!F$69</f>
        <v>1.0029683225446424</v>
      </c>
      <c r="E26" s="129">
        <f>Kaldorian!H$69</f>
        <v>1.0042561511606567</v>
      </c>
      <c r="F26" s="129">
        <f>Kaldorian!J$69</f>
        <v>1.0053834692802051</v>
      </c>
      <c r="G26" s="129">
        <f>Kaldorian!L$69</f>
        <v>1.0063211193041832</v>
      </c>
      <c r="H26" s="129">
        <f>Kaldorian!N$69</f>
        <v>1.0070330288026716</v>
      </c>
      <c r="I26" s="129">
        <f>Kaldorian!P$69</f>
        <v>1.007473307328103</v>
      </c>
      <c r="J26" s="129">
        <f>Kaldorian!R$69</f>
        <v>1.0075832172034391</v>
      </c>
      <c r="K26" s="129">
        <f>Kaldorian!T$69</f>
        <v>1.0072865219570288</v>
      </c>
      <c r="L26" s="129">
        <f>Kaldorian!V$69</f>
        <v>1.0064823531425899</v>
      </c>
      <c r="M26" s="129">
        <f>Kaldorian!X$69</f>
        <v>1.0050343393406358</v>
      </c>
      <c r="N26" s="129">
        <f>Kaldorian!Z$69</f>
        <v>1.0027521962988775</v>
      </c>
      <c r="O26" s="129">
        <f>Kaldorian!AB$69</f>
        <v>0.99935761777503695</v>
      </c>
      <c r="P26" s="129">
        <f>Kaldorian!AD$69</f>
        <v>0.99441037367624607</v>
      </c>
      <c r="Q26" s="129">
        <f>Kaldorian!AF$69</f>
        <v>0.98711629730066808</v>
      </c>
      <c r="R26" s="129">
        <f>Kaldorian!AH$69</f>
        <v>0.97573568953985279</v>
      </c>
      <c r="S26" s="129">
        <f>Kaldorian!AJ$69</f>
        <v>0.95566501224326739</v>
      </c>
      <c r="T26" s="129">
        <f>Kaldorian!AL$69</f>
        <v>0.91310722049607496</v>
      </c>
      <c r="U26" s="129"/>
      <c r="V26" s="129"/>
      <c r="W26" s="129"/>
      <c r="X26" s="129"/>
      <c r="Y26" s="129"/>
    </row>
    <row r="27" spans="1:26" x14ac:dyDescent="0.2">
      <c r="A27" t="s">
        <v>90</v>
      </c>
      <c r="B27" s="129">
        <f>Johansen!B$69</f>
        <v>1</v>
      </c>
      <c r="C27" s="129">
        <f>Johansen!D$69</f>
        <v>1.0015289785555348</v>
      </c>
      <c r="D27" s="129">
        <f>Johansen!F$69</f>
        <v>1.0029389599012843</v>
      </c>
      <c r="E27" s="129">
        <f>Johansen!H$69</f>
        <v>1.0042107820083273</v>
      </c>
      <c r="F27" s="129">
        <f>Johansen!J$69</f>
        <v>1.005320929829697</v>
      </c>
      <c r="G27" s="129">
        <f>Johansen!L$69</f>
        <v>1.0062403481049549</v>
      </c>
      <c r="H27" s="129">
        <f>Johansen!N$69</f>
        <v>1.0069326964785943</v>
      </c>
      <c r="I27" s="129">
        <f>Johansen!P$69</f>
        <v>1.0073521228780264</v>
      </c>
      <c r="J27" s="129">
        <f>Johansen!R$69</f>
        <v>1.0074401053094406</v>
      </c>
      <c r="K27" s="129">
        <f>Johansen!T$69</f>
        <v>1.0071208201288337</v>
      </c>
      <c r="L27" s="129">
        <f>Johansen!V$69</f>
        <v>1.0062943564966955</v>
      </c>
      <c r="M27" s="129">
        <f>Johansen!X$69</f>
        <v>1.0048261036197557</v>
      </c>
      <c r="N27" s="129">
        <f>Johansen!Z$69</f>
        <v>1.002528917129883</v>
      </c>
      <c r="O27" s="129">
        <f>Johansen!AB$69</f>
        <v>0.99912972284624169</v>
      </c>
      <c r="P27" s="129">
        <f>Johansen!AD$69</f>
        <v>0.99419645669163381</v>
      </c>
      <c r="Q27" s="129">
        <f>Johansen!AF$69</f>
        <v>0.98694420254539583</v>
      </c>
      <c r="R27" s="129">
        <f>Johansen!AH$69</f>
        <v>0.97563262694565345</v>
      </c>
      <c r="S27" s="129">
        <f>Johansen!AJ$69</f>
        <v>0.9556288099469229</v>
      </c>
      <c r="T27" s="129">
        <f>Johansen!AL$69</f>
        <v>0.91310199365386224</v>
      </c>
      <c r="U27" s="129">
        <f>Johansen!AN$69</f>
        <v>0.79407417329659269</v>
      </c>
      <c r="V27" s="129">
        <f>Johansen!AP$69</f>
        <v>0.74364475154977905</v>
      </c>
      <c r="W27" s="129">
        <f>Johansen!AR$69</f>
        <v>0.6716949648070919</v>
      </c>
      <c r="X27" s="129">
        <f>Johansen!AT$69</f>
        <v>0.56190796753386985</v>
      </c>
      <c r="Y27" s="129">
        <f>Johansen!AV$69</f>
        <v>0.3761608095396004</v>
      </c>
    </row>
    <row r="28" spans="1:26" x14ac:dyDescent="0.2">
      <c r="A28" t="s">
        <v>130</v>
      </c>
      <c r="B28" s="129">
        <f>'Keynes-M'!B$69</f>
        <v>1</v>
      </c>
      <c r="C28" s="129">
        <f>'Keynes-M'!D$69</f>
        <v>1.0155792098184471</v>
      </c>
      <c r="D28" s="129">
        <f>'Keynes-M'!F$69</f>
        <v>1.0313046663291843</v>
      </c>
      <c r="E28" s="129">
        <f>'Keynes-M'!H$69</f>
        <v>1.0472162140711576</v>
      </c>
      <c r="F28" s="129">
        <f>'Keynes-M'!J$69</f>
        <v>1.0633623086804298</v>
      </c>
      <c r="G28" s="129">
        <f>'Keynes-M'!L$69</f>
        <v>1.0798056439081865</v>
      </c>
      <c r="H28" s="129">
        <f>'Keynes-M'!N$69</f>
        <v>1.0966322455859898</v>
      </c>
      <c r="I28" s="129">
        <f>'Keynes-M'!P$69</f>
        <v>1.1139668382857051</v>
      </c>
      <c r="J28" s="129">
        <f>'Keynes-M'!R$69</f>
        <v>1.1319990051784525</v>
      </c>
      <c r="K28" s="129">
        <f>'Keynes-M'!T$69</f>
        <v>1.1510292468582031</v>
      </c>
      <c r="L28" s="129">
        <f>'Keynes-M'!V$69</f>
        <v>1.1715517923558654</v>
      </c>
      <c r="M28" s="129">
        <f>'Keynes-M'!X$69</f>
        <v>1.1944059539245977</v>
      </c>
      <c r="N28" s="129">
        <f>'Keynes-M'!Z$69</f>
        <v>1.2210479222679804</v>
      </c>
      <c r="O28" s="129">
        <f>'Keynes-M'!AB$69</f>
        <v>1.2539809206765722</v>
      </c>
      <c r="P28" s="129">
        <f>'Keynes-M'!AD$69</f>
        <v>1.297123259897228</v>
      </c>
      <c r="Q28" s="129">
        <f>'Keynes-M'!AF$69</f>
        <v>1.3550150000451877</v>
      </c>
      <c r="R28" s="129"/>
      <c r="S28" s="129"/>
      <c r="T28" s="129"/>
      <c r="U28" s="129"/>
      <c r="V28" s="129"/>
      <c r="W28" s="129"/>
      <c r="X28" s="129"/>
      <c r="Y28" s="129"/>
    </row>
    <row r="29" spans="1:26" x14ac:dyDescent="0.2">
      <c r="A29" t="s">
        <v>146</v>
      </c>
      <c r="B29" s="129">
        <f>Keynesian!B$69</f>
        <v>1</v>
      </c>
      <c r="C29" s="129">
        <f>Keynesian!D$69</f>
        <v>0.97996799359547548</v>
      </c>
      <c r="D29" s="129">
        <f>Keynesian!F$69</f>
        <v>0.95760998578911694</v>
      </c>
      <c r="E29" s="129">
        <f>Keynesian!H$69</f>
        <v>0.93267613660927551</v>
      </c>
      <c r="F29" s="129">
        <f>Keynesian!J$69</f>
        <v>0.90490426370501087</v>
      </c>
      <c r="G29" s="129">
        <f>Keynesian!L$69</f>
        <v>0.87403153309588333</v>
      </c>
      <c r="H29" s="129">
        <f>Keynesian!N$69</f>
        <v>0.83981038005887731</v>
      </c>
      <c r="I29" s="129">
        <f>Keynesian!P$69</f>
        <v>0.80203806566714453</v>
      </c>
      <c r="J29" s="129">
        <f>Keynesian!R$69</f>
        <v>0.76060379933864342</v>
      </c>
      <c r="K29" s="129">
        <f>Keynesian!T$69</f>
        <v>0.71557389402514415</v>
      </c>
      <c r="L29" s="129">
        <f>Keynesian!V$69</f>
        <v>0.66737684231086891</v>
      </c>
      <c r="M29" s="129">
        <f>Keynesian!X$69</f>
        <v>0.61732986678662671</v>
      </c>
      <c r="N29" s="129">
        <f>Keynesian!Z$69</f>
        <v>0.56975496805519199</v>
      </c>
      <c r="O29" s="129">
        <f>Keynesian!AB$69</f>
        <v>0.53909034897400709</v>
      </c>
      <c r="P29" s="129"/>
      <c r="Q29" s="129"/>
      <c r="R29" s="129"/>
      <c r="S29" s="129"/>
      <c r="T29" s="129"/>
      <c r="U29" s="129"/>
      <c r="V29" s="129"/>
      <c r="W29" s="129"/>
      <c r="X29" s="129"/>
      <c r="Y29" s="129"/>
    </row>
    <row r="30" spans="1:26" x14ac:dyDescent="0.2">
      <c r="A30" t="s">
        <v>131</v>
      </c>
      <c r="B30" s="129">
        <f>'Keynes-K'!B$69</f>
        <v>1</v>
      </c>
      <c r="C30" s="129">
        <f>'Keynes-K'!D$69</f>
        <v>1.0066943272377742</v>
      </c>
      <c r="D30" s="129">
        <f>'Keynes-K'!F$69</f>
        <v>1.0127553279507626</v>
      </c>
      <c r="E30" s="129">
        <f>'Keynes-K'!H$69</f>
        <v>1.0181377464419039</v>
      </c>
      <c r="F30" s="129">
        <f>'Keynes-K'!J$69</f>
        <v>1.0227772131009802</v>
      </c>
      <c r="G30" s="129">
        <f>'Keynes-K'!L$69</f>
        <v>1.0265860305123258</v>
      </c>
      <c r="H30" s="129">
        <f>'Keynes-K'!N$69</f>
        <v>1.0294462953201871</v>
      </c>
      <c r="I30" s="129">
        <f>'Keynes-K'!P$69</f>
        <v>1.0312003986283271</v>
      </c>
      <c r="J30" s="129">
        <f>'Keynes-K'!R$69</f>
        <v>1.0316366127543457</v>
      </c>
      <c r="K30" s="129">
        <f>'Keynes-K'!T$69</f>
        <v>1.0304670772110729</v>
      </c>
      <c r="L30" s="129">
        <f>'Keynes-K'!V$69</f>
        <v>1.0272927585759539</v>
      </c>
      <c r="M30" s="129">
        <f>'Keynes-K'!X$69</f>
        <v>1.0215446977682479</v>
      </c>
      <c r="N30" s="129">
        <f>'Keynes-K'!Z$69</f>
        <v>1.0123800905462261</v>
      </c>
      <c r="O30" s="129">
        <f>'Keynes-K'!AB$69</f>
        <v>0.99848430382257247</v>
      </c>
      <c r="P30" s="129">
        <f>'Keynes-K'!AD$69</f>
        <v>0.97766507287605642</v>
      </c>
      <c r="Q30" s="129">
        <f>'Keynes-K'!AF$69</f>
        <v>0.94595640809068193</v>
      </c>
      <c r="R30" s="129">
        <f>'Keynes-K'!AH$69</f>
        <v>0.89555560983400551</v>
      </c>
      <c r="S30" s="129">
        <f>'Keynes-K'!AJ$69</f>
        <v>0.8102680235982076</v>
      </c>
      <c r="T30" s="129">
        <f>'Keynes-K'!AL$69</f>
        <v>0.65747204401965931</v>
      </c>
      <c r="U30" s="129"/>
      <c r="V30" s="129"/>
      <c r="W30" s="129"/>
      <c r="X30" s="129"/>
      <c r="Y30" s="129"/>
    </row>
    <row r="31" spans="1:26" x14ac:dyDescent="0.2">
      <c r="A31" t="s">
        <v>142</v>
      </c>
      <c r="B31" s="129">
        <f>'Neo-K1'!B$69</f>
        <v>1</v>
      </c>
      <c r="C31" s="129">
        <f>'Neo-K1'!D$69</f>
        <v>0.99649049662466704</v>
      </c>
      <c r="D31" s="129">
        <f>'Neo-K1'!F$69</f>
        <v>0.99227002780292395</v>
      </c>
      <c r="E31" s="129">
        <f>'Neo-K1'!H$69</f>
        <v>0.98719950051852712</v>
      </c>
      <c r="F31" s="129">
        <f>'Neo-K1'!J$69</f>
        <v>0.98110364164607544</v>
      </c>
      <c r="G31" s="129">
        <f>'Neo-K1'!L$69</f>
        <v>0.97375892231412919</v>
      </c>
      <c r="H31" s="129">
        <f>'Neo-K1'!N$69</f>
        <v>0.96487669608834026</v>
      </c>
      <c r="I31" s="129">
        <f>'Neo-K1'!P$69</f>
        <v>0.95408044944602155</v>
      </c>
      <c r="J31" s="129">
        <f>'Neo-K1'!R$69</f>
        <v>0.94087327595930836</v>
      </c>
      <c r="K31" s="129">
        <f>'Neo-K1'!T$69</f>
        <v>0.92459168385515378</v>
      </c>
      <c r="L31" s="129">
        <f>'Neo-K1'!V$69</f>
        <v>0.90434213475440461</v>
      </c>
      <c r="M31" s="129">
        <f>'Neo-K1'!X$69</f>
        <v>0.87891390238415057</v>
      </c>
      <c r="N31" s="129">
        <f>'Neo-K1'!Z$69</f>
        <v>0.84666739595614482</v>
      </c>
      <c r="O31" s="129">
        <f>'Neo-K1'!AB$69</f>
        <v>0.80540829164998506</v>
      </c>
      <c r="P31" s="129">
        <f>'Neo-K1'!AD$69</f>
        <v>0.75228698972852615</v>
      </c>
      <c r="Q31" s="129">
        <f>'Neo-K1'!AF$69</f>
        <v>0.68381481349125472</v>
      </c>
      <c r="R31" s="129">
        <f>'Neo-K1'!AH$69</f>
        <v>0.59613497496620227</v>
      </c>
      <c r="S31" s="129">
        <f>'Neo-K1'!AJ$69</f>
        <v>0.48563760342477397</v>
      </c>
      <c r="T31" s="129">
        <f>'Neo-K1'!AL$69</f>
        <v>0.34977229779052244</v>
      </c>
      <c r="U31" s="129">
        <f>'Neo-K1'!AN$69</f>
        <v>0.18763869624004276</v>
      </c>
      <c r="V31" s="129">
        <f>'Neo-K1'!AP$69</f>
        <v>0.15210222176980154</v>
      </c>
      <c r="W31" s="129">
        <f>'Neo-K1'!AR$69</f>
        <v>0.11555474403800729</v>
      </c>
      <c r="X31" s="129">
        <f>'Neo-K1'!AT$69</f>
        <v>7.8010926321451429E-2</v>
      </c>
      <c r="Y31" s="129">
        <f>'Neo-K1'!AV$69</f>
        <v>3.9486889869841932E-2</v>
      </c>
    </row>
    <row r="32" spans="1:26" x14ac:dyDescent="0.2">
      <c r="A32" t="s">
        <v>141</v>
      </c>
      <c r="B32" s="129">
        <f>'Neo-K2'!B$69</f>
        <v>1</v>
      </c>
      <c r="C32" s="129">
        <f>'Neo-K2'!D$69</f>
        <v>0.99477957894650781</v>
      </c>
      <c r="D32" s="129">
        <f>'Neo-K2'!F$69</f>
        <v>0.98855503834533676</v>
      </c>
      <c r="E32" s="129">
        <f>'Neo-K2'!H$69</f>
        <v>0.9811122708386657</v>
      </c>
      <c r="F32" s="129">
        <f>'Neo-K2'!J$69</f>
        <v>0.97217738143534627</v>
      </c>
      <c r="G32" s="129">
        <f>'Neo-K2'!L$69</f>
        <v>0.96140115522771397</v>
      </c>
      <c r="H32" s="129">
        <f>'Neo-K2'!N$69</f>
        <v>0.94833335398678575</v>
      </c>
      <c r="I32" s="129">
        <f>'Neo-K2'!P$69</f>
        <v>0.93239594352179267</v>
      </c>
      <c r="J32" s="129">
        <f>'Neo-K2'!R$69</f>
        <v>0.91285080116169803</v>
      </c>
      <c r="K32" s="129">
        <f>'Neo-K2'!T$69</f>
        <v>0.88877145855791506</v>
      </c>
      <c r="L32" s="129">
        <f>'Neo-K2'!V$69</f>
        <v>0.85903608571398871</v>
      </c>
      <c r="M32" s="129">
        <f>'Neo-K2'!X$69</f>
        <v>0.82237519062132192</v>
      </c>
      <c r="N32" s="129">
        <f>'Neo-K2'!Z$69</f>
        <v>0.77753287769542245</v>
      </c>
      <c r="O32" s="129">
        <f>'Neo-K2'!AB$69</f>
        <v>0.72361249708780095</v>
      </c>
      <c r="P32" s="129">
        <f>'Neo-K2'!AD$69</f>
        <v>0.66062310249080525</v>
      </c>
      <c r="Q32" s="129">
        <f>'Neo-K2'!AF$69</f>
        <v>0.59000420083244598</v>
      </c>
      <c r="R32" s="129">
        <f>'Neo-K2'!AH$69</f>
        <v>0.51435180271641634</v>
      </c>
      <c r="S32" s="129">
        <f>'Neo-K2'!AJ$69</f>
        <v>0.43492121949778212</v>
      </c>
      <c r="T32" s="129">
        <f>'Neo-K2'!AL$69</f>
        <v>0.34420438608617226</v>
      </c>
      <c r="U32" s="129">
        <f>'Neo-K2'!AN$69</f>
        <v>0.18706349626119781</v>
      </c>
      <c r="V32" s="129">
        <f>'Neo-K2'!AP$69</f>
        <v>0.11330750096906944</v>
      </c>
      <c r="W32" s="129"/>
      <c r="X32" s="129"/>
      <c r="Y32" s="129"/>
    </row>
    <row r="34" spans="1:26" ht="10.5" x14ac:dyDescent="0.25">
      <c r="A34" s="92" t="s">
        <v>185</v>
      </c>
    </row>
    <row r="35" spans="1:26" x14ac:dyDescent="0.2">
      <c r="A35" t="s">
        <v>182</v>
      </c>
      <c r="B35" s="204">
        <v>0</v>
      </c>
      <c r="C35" s="204">
        <v>0.05</v>
      </c>
      <c r="D35" s="204">
        <v>0.1</v>
      </c>
      <c r="E35" s="204">
        <v>0.15000000000000002</v>
      </c>
      <c r="F35" s="204">
        <v>0.2</v>
      </c>
      <c r="G35" s="204">
        <v>0.25</v>
      </c>
      <c r="H35" s="204">
        <v>0.3</v>
      </c>
      <c r="I35" s="204">
        <v>0.35</v>
      </c>
      <c r="J35" s="204">
        <v>0.39999999999999997</v>
      </c>
      <c r="K35" s="204">
        <v>0.44999999999999996</v>
      </c>
      <c r="L35" s="204">
        <v>0.49999999999999994</v>
      </c>
      <c r="M35" s="204">
        <v>0.54999999999999993</v>
      </c>
      <c r="N35" s="204">
        <v>0.6</v>
      </c>
      <c r="O35" s="204">
        <v>0.65</v>
      </c>
      <c r="P35" s="204">
        <v>0.70000000000000007</v>
      </c>
      <c r="Q35" s="204">
        <v>0.75000000000000011</v>
      </c>
      <c r="R35" s="204">
        <v>0.80000000000000016</v>
      </c>
      <c r="S35" s="204">
        <v>0.8500000000000002</v>
      </c>
      <c r="T35" s="204">
        <v>0.90000000000000024</v>
      </c>
      <c r="U35" s="204">
        <v>0.95000000000000029</v>
      </c>
      <c r="V35" s="204">
        <v>0.9600000000000003</v>
      </c>
      <c r="W35" s="204">
        <v>0.97000000000000031</v>
      </c>
      <c r="X35" s="204">
        <v>0.98000000000000032</v>
      </c>
      <c r="Y35" s="204">
        <v>0.99000000000000032</v>
      </c>
      <c r="Z35" s="130"/>
    </row>
    <row r="36" spans="1:26" x14ac:dyDescent="0.2">
      <c r="A36" t="s">
        <v>89</v>
      </c>
      <c r="B36" s="167">
        <f>NeoClassical!B$43</f>
        <v>0.56058995943839207</v>
      </c>
      <c r="C36" s="167">
        <f>NeoClassical!D$43</f>
        <v>0.565763869663093</v>
      </c>
      <c r="D36" s="167">
        <f>NeoClassical!F$43</f>
        <v>0.56432334774738924</v>
      </c>
      <c r="E36" s="167">
        <f>NeoClassical!H$43</f>
        <v>0.56287849526781586</v>
      </c>
      <c r="F36" s="167">
        <f>NeoClassical!J$43</f>
        <v>0.56142883863450199</v>
      </c>
      <c r="G36" s="167">
        <f>NeoClassical!L$43</f>
        <v>0.55997403161783776</v>
      </c>
      <c r="H36" s="167">
        <f>NeoClassical!N$43</f>
        <v>0.55851405086407413</v>
      </c>
      <c r="I36" s="167">
        <f>NeoClassical!P$43</f>
        <v>0.55704943743052737</v>
      </c>
      <c r="J36" s="167">
        <f>NeoClassical!R$43</f>
        <v>0.55558173600835337</v>
      </c>
      <c r="K36" s="167">
        <f>NeoClassical!T$43</f>
        <v>0.55411427176442263</v>
      </c>
      <c r="L36" s="167">
        <f>NeoClassical!V$43</f>
        <v>0.55265336503513163</v>
      </c>
      <c r="M36" s="167">
        <f>NeoClassical!X$43</f>
        <v>0.55121036181504746</v>
      </c>
      <c r="N36" s="167">
        <f>NeoClassical!Z$43</f>
        <v>0.54980498406014633</v>
      </c>
      <c r="O36" s="167">
        <f>NeoClassical!AB$43</f>
        <v>0.54847059979845647</v>
      </c>
      <c r="P36" s="167">
        <f>NeoClassical!AD$43</f>
        <v>0.5472617182376015</v>
      </c>
      <c r="Q36" s="167">
        <f>NeoClassical!AF$43</f>
        <v>0.54625996864731363</v>
      </c>
      <c r="R36" s="167">
        <f>NeoClassical!AH$43</f>
        <v>0.54556082236993153</v>
      </c>
      <c r="S36" s="167">
        <f>NeoClassical!AJ$43</f>
        <v>0.54520561344581953</v>
      </c>
      <c r="T36" s="167">
        <f>NeoClassical!AL$43</f>
        <v>0.54509943238967473</v>
      </c>
      <c r="U36" s="167">
        <f>NeoClassical!AN$43</f>
        <v>0.54508574274556731</v>
      </c>
      <c r="V36" s="167">
        <f>NeoClassical!AP$43</f>
        <v>0.54508550385151866</v>
      </c>
      <c r="W36" s="167">
        <f>NeoClassical!AR$43</f>
        <v>0.54508541673594457</v>
      </c>
      <c r="X36" s="167">
        <f>NeoClassical!AT$43</f>
        <v>0.54508539163207481</v>
      </c>
      <c r="Y36" s="167">
        <f>NeoClassical!AV$43</f>
        <v>0.54508538664986472</v>
      </c>
      <c r="Z36" s="129"/>
    </row>
    <row r="37" spans="1:26" x14ac:dyDescent="0.2">
      <c r="A37" t="s">
        <v>147</v>
      </c>
      <c r="B37" s="167">
        <f>Kaldorian!B$43</f>
        <v>0.56058995943839207</v>
      </c>
      <c r="C37" s="167">
        <f>Kaldorian!D$43</f>
        <v>0.56139949462718397</v>
      </c>
      <c r="D37" s="167">
        <f>Kaldorian!F$43</f>
        <v>0.55536069739320404</v>
      </c>
      <c r="E37" s="167">
        <f>Kaldorian!H$43</f>
        <v>0.54904804754024861</v>
      </c>
      <c r="F37" s="167">
        <f>Kaldorian!J$43</f>
        <v>0.5424172415115599</v>
      </c>
      <c r="G37" s="167">
        <f>Kaldorian!L$43</f>
        <v>0.53541299865954206</v>
      </c>
      <c r="H37" s="167">
        <f>Kaldorian!N$43</f>
        <v>0.52796449064201567</v>
      </c>
      <c r="I37" s="167">
        <f>Kaldorian!P$43</f>
        <v>0.51997892133010282</v>
      </c>
      <c r="J37" s="167">
        <f>Kaldorian!R$43</f>
        <v>0.51133041368996424</v>
      </c>
      <c r="K37" s="167">
        <f>Kaldorian!T$43</f>
        <v>0.50184170668076722</v>
      </c>
      <c r="L37" s="167">
        <f>Kaldorian!V$43</f>
        <v>0.49125146805007075</v>
      </c>
      <c r="M37" s="167">
        <f>Kaldorian!X$43</f>
        <v>0.47915416724189142</v>
      </c>
      <c r="N37" s="167">
        <f>Kaldorian!Z$43</f>
        <v>0.46488269329384413</v>
      </c>
      <c r="O37" s="167">
        <f>Kaldorian!AB$43</f>
        <v>0.44726675455199405</v>
      </c>
      <c r="P37" s="167">
        <f>Kaldorian!AD$43</f>
        <v>0.42410800727267106</v>
      </c>
      <c r="Q37" s="167">
        <f>Kaldorian!AF$43</f>
        <v>0.3909925133254244</v>
      </c>
      <c r="R37" s="167">
        <f>Kaldorian!AH$43</f>
        <v>0.33854044701860631</v>
      </c>
      <c r="S37" s="167">
        <f>Kaldorian!AJ$43</f>
        <v>0.24522511760086549</v>
      </c>
      <c r="T37" s="167">
        <f>Kaldorian!AL$43</f>
        <v>4.6378895601806053E-2</v>
      </c>
      <c r="U37" s="167"/>
      <c r="V37" s="167"/>
      <c r="W37" s="167"/>
      <c r="X37" s="167"/>
      <c r="Y37" s="167"/>
      <c r="Z37" s="129"/>
    </row>
    <row r="38" spans="1:26" x14ac:dyDescent="0.2">
      <c r="A38" t="s">
        <v>90</v>
      </c>
      <c r="B38" s="167">
        <f>Johansen!B$43</f>
        <v>0.56058995943839207</v>
      </c>
      <c r="C38" s="167">
        <f>Johansen!D$43</f>
        <v>0.56575140399704549</v>
      </c>
      <c r="D38" s="167">
        <f>Johansen!F$43</f>
        <v>0.56429789774285555</v>
      </c>
      <c r="E38" s="167">
        <f>Johansen!H$43</f>
        <v>0.56283942528978304</v>
      </c>
      <c r="F38" s="167">
        <f>Johansen!J$43</f>
        <v>0.56137544875401135</v>
      </c>
      <c r="G38" s="167">
        <f>Johansen!L$43</f>
        <v>0.55990556859423146</v>
      </c>
      <c r="H38" s="167">
        <f>Johansen!N$43</f>
        <v>0.55842975568364195</v>
      </c>
      <c r="I38" s="167">
        <f>Johansen!P$43</f>
        <v>0.55694863061421596</v>
      </c>
      <c r="J38" s="167">
        <f>Johansen!R$43</f>
        <v>0.55546396227914641</v>
      </c>
      <c r="K38" s="167">
        <f>Johansen!T$43</f>
        <v>0.55397953599429961</v>
      </c>
      <c r="L38" s="167">
        <f>Johansen!V$43</f>
        <v>0.55250252180668813</v>
      </c>
      <c r="M38" s="167">
        <f>Johansen!X$43</f>
        <v>0.55104573013733149</v>
      </c>
      <c r="N38" s="167">
        <f>Johansen!Z$43</f>
        <v>0.54963129304834102</v>
      </c>
      <c r="O38" s="167">
        <f>Johansen!AB$43</f>
        <v>0.54829641954130037</v>
      </c>
      <c r="P38" s="167">
        <f>Johansen!AD$43</f>
        <v>0.54710111204737799</v>
      </c>
      <c r="Q38" s="167">
        <f>Johansen!AF$43</f>
        <v>0.54613266562770335</v>
      </c>
      <c r="R38" s="167">
        <f>Johansen!AH$43</f>
        <v>0.5454848102941362</v>
      </c>
      <c r="S38" s="167">
        <f>Johansen!AJ$43</f>
        <v>0.54517827513390593</v>
      </c>
      <c r="T38" s="167">
        <f>Johansen!AL$43</f>
        <v>0.54509518430626702</v>
      </c>
      <c r="U38" s="167">
        <f>Johansen!AN$43</f>
        <v>0.54508561050959248</v>
      </c>
      <c r="V38" s="167">
        <f>Johansen!AP$43</f>
        <v>0.5450854594504333</v>
      </c>
      <c r="W38" s="167">
        <f>Johansen!AR$43</f>
        <v>0.54508540528681482</v>
      </c>
      <c r="X38" s="167">
        <f>Johansen!AT$43</f>
        <v>0.54508538972013176</v>
      </c>
      <c r="Y38" s="167">
        <f>Johansen!AV$43</f>
        <v>0.54508538652703453</v>
      </c>
      <c r="Z38" s="129"/>
    </row>
    <row r="39" spans="1:26" x14ac:dyDescent="0.2">
      <c r="A39" t="s">
        <v>130</v>
      </c>
      <c r="B39" s="167">
        <f>'Keynes-M'!B$43</f>
        <v>0.56058995943839207</v>
      </c>
      <c r="C39" s="167">
        <f>'Keynes-M'!D$43</f>
        <v>0.58047199957242013</v>
      </c>
      <c r="D39" s="167">
        <f>'Keynes-M'!F$43</f>
        <v>0.59414211222306346</v>
      </c>
      <c r="E39" s="167">
        <f>'Keynes-M'!H$43</f>
        <v>0.60829070719806311</v>
      </c>
      <c r="F39" s="167">
        <f>'Keynes-M'!J$43</f>
        <v>0.62301720511985326</v>
      </c>
      <c r="G39" s="167">
        <f>'Keynes-M'!L$43</f>
        <v>0.6384498161913098</v>
      </c>
      <c r="H39" s="167">
        <f>'Keynes-M'!N$43</f>
        <v>0.65476011461740602</v>
      </c>
      <c r="I39" s="167">
        <f>'Keynes-M'!P$43</f>
        <v>0.67218654765011854</v>
      </c>
      <c r="J39" s="167">
        <f>'Keynes-M'!R$43</f>
        <v>0.69107362563306496</v>
      </c>
      <c r="K39" s="167">
        <f>'Keynes-M'!T$43</f>
        <v>0.7119396809601678</v>
      </c>
      <c r="L39" s="167">
        <f>'Keynes-M'!V$43</f>
        <v>0.73559800264479713</v>
      </c>
      <c r="M39" s="167">
        <f>'Keynes-M'!X$43</f>
        <v>0.76338031161631159</v>
      </c>
      <c r="N39" s="167">
        <f>'Keynes-M'!Z$43</f>
        <v>0.79755385016725211</v>
      </c>
      <c r="O39" s="167">
        <f>'Keynes-M'!AB$43</f>
        <v>0.84206310912114535</v>
      </c>
      <c r="P39" s="167">
        <f>'Keynes-M'!AD$43</f>
        <v>0.9035887284565729</v>
      </c>
      <c r="Q39" s="167">
        <f>'Keynes-M'!AF$43</f>
        <v>0.99226890269560331</v>
      </c>
      <c r="R39" s="167"/>
      <c r="S39" s="167"/>
      <c r="T39" s="167"/>
      <c r="U39" s="167"/>
      <c r="V39" s="167"/>
      <c r="W39" s="167"/>
      <c r="X39" s="167"/>
      <c r="Y39" s="167"/>
    </row>
    <row r="40" spans="1:26" x14ac:dyDescent="0.2">
      <c r="A40" t="s">
        <v>146</v>
      </c>
      <c r="B40" s="167">
        <f>Keynesian!B$43</f>
        <v>0.56058995943839207</v>
      </c>
      <c r="C40" s="167">
        <f>Keynesian!D$43</f>
        <v>0.57444737628800124</v>
      </c>
      <c r="D40" s="167">
        <f>Keynesian!F$43</f>
        <v>0.58167854619161252</v>
      </c>
      <c r="E40" s="167">
        <f>Keynesian!H$43</f>
        <v>0.58886739047033787</v>
      </c>
      <c r="F40" s="167">
        <f>Keynesian!J$43</f>
        <v>0.59597995099820023</v>
      </c>
      <c r="G40" s="167">
        <f>Keynesian!L$43</f>
        <v>0.60297530796399212</v>
      </c>
      <c r="H40" s="167">
        <f>Keynesian!N$43</f>
        <v>0.60980255257803151</v>
      </c>
      <c r="I40" s="167">
        <f>Keynesian!P$43</f>
        <v>0.61640055142479422</v>
      </c>
      <c r="J40" s="167">
        <f>Keynesian!R$43</f>
        <v>0.62269481513124858</v>
      </c>
      <c r="K40" s="167">
        <f>Keynesian!T$43</f>
        <v>0.62859032675299265</v>
      </c>
      <c r="L40" s="167">
        <f>Keynesian!V$43</f>
        <v>0.63395494072514635</v>
      </c>
      <c r="M40" s="167">
        <f>Keynesian!X$43</f>
        <v>0.63855714056465773</v>
      </c>
      <c r="N40" s="167">
        <f>Keynesian!Z$43</f>
        <v>0.64177807894779559</v>
      </c>
      <c r="O40" s="167">
        <f>Keynesian!AB$43</f>
        <v>0.6415172313973001</v>
      </c>
      <c r="P40" s="167"/>
      <c r="Q40" s="167"/>
      <c r="R40" s="167"/>
      <c r="S40" s="167"/>
      <c r="T40" s="167"/>
      <c r="U40" s="167"/>
      <c r="V40" s="167"/>
      <c r="W40" s="167"/>
      <c r="X40" s="167"/>
      <c r="Y40" s="167"/>
    </row>
    <row r="41" spans="1:26" x14ac:dyDescent="0.2">
      <c r="A41" t="s">
        <v>131</v>
      </c>
      <c r="B41" s="167">
        <f>'Keynes-K'!B$43</f>
        <v>0.56058995943839207</v>
      </c>
      <c r="C41" s="167">
        <f>'Keynes-K'!D$43</f>
        <v>0.56093833433108498</v>
      </c>
      <c r="D41" s="167">
        <f>'Keynes-K'!F$43</f>
        <v>0.55448704072447919</v>
      </c>
      <c r="E41" s="167">
        <f>'Keynes-K'!H$43</f>
        <v>0.54780941692061469</v>
      </c>
      <c r="F41" s="167">
        <f>'Keynes-K'!J$43</f>
        <v>0.54086132868528347</v>
      </c>
      <c r="G41" s="167">
        <f>'Keynes-K'!L$43</f>
        <v>0.53358926467753665</v>
      </c>
      <c r="H41" s="167">
        <f>'Keynes-K'!N$43</f>
        <v>0.52592634193999277</v>
      </c>
      <c r="I41" s="167">
        <f>'Keynes-K'!P$43</f>
        <v>0.51778650762562184</v>
      </c>
      <c r="J41" s="167">
        <f>'Keynes-K'!R$43</f>
        <v>0.50905522856935037</v>
      </c>
      <c r="K41" s="167">
        <f>'Keynes-K'!T$43</f>
        <v>0.49957451962939864</v>
      </c>
      <c r="L41" s="167">
        <f>'Keynes-K'!V$43</f>
        <v>0.48911742063417252</v>
      </c>
      <c r="M41" s="167">
        <f>'Keynes-K'!X$43</f>
        <v>0.47734407986917088</v>
      </c>
      <c r="N41" s="167">
        <f>'Keynes-K'!Z$43</f>
        <v>0.46372296935273305</v>
      </c>
      <c r="O41" s="167">
        <f>'Keynes-K'!AB$43</f>
        <v>0.44738678221721839</v>
      </c>
      <c r="P41" s="167">
        <f>'Keynes-K'!AD$43</f>
        <v>0.42686935623864397</v>
      </c>
      <c r="Q41" s="167">
        <f>'Keynes-K'!AF$43</f>
        <v>0.39965656142431605</v>
      </c>
      <c r="R41" s="167">
        <f>'Keynes-K'!AH$43</f>
        <v>0.36160284692911759</v>
      </c>
      <c r="S41" s="167">
        <f>'Keynes-K'!AJ$43</f>
        <v>0.30692255057214168</v>
      </c>
      <c r="T41" s="167">
        <f>'Keynes-K'!AL$43</f>
        <v>0.23168070233325103</v>
      </c>
      <c r="U41" s="167"/>
      <c r="V41" s="167"/>
      <c r="W41" s="167"/>
      <c r="X41" s="167"/>
      <c r="Y41" s="167"/>
    </row>
    <row r="42" spans="1:26" x14ac:dyDescent="0.2">
      <c r="A42" t="s">
        <v>142</v>
      </c>
      <c r="B42" s="167">
        <f>'Neo-K1'!B$43</f>
        <v>0.56058995943839207</v>
      </c>
      <c r="C42" s="167">
        <f>'Neo-K1'!D$43</f>
        <v>0.56689106955347601</v>
      </c>
      <c r="D42" s="167">
        <f>'Neo-K1'!F$43</f>
        <v>0.56659116835305801</v>
      </c>
      <c r="E42" s="167">
        <f>'Neo-K1'!H$43</f>
        <v>0.5662992680236687</v>
      </c>
      <c r="F42" s="167">
        <f>'Neo-K1'!J$43</f>
        <v>0.56601299632091562</v>
      </c>
      <c r="G42" s="167">
        <f>'Neo-K1'!L$43</f>
        <v>0.56572887637344582</v>
      </c>
      <c r="H42" s="167">
        <f>'Neo-K1'!N$43</f>
        <v>0.56544194414098037</v>
      </c>
      <c r="I42" s="167">
        <f>'Neo-K1'!P$43</f>
        <v>0.56514521094453696</v>
      </c>
      <c r="J42" s="167">
        <f>'Neo-K1'!R$43</f>
        <v>0.56482897732914539</v>
      </c>
      <c r="K42" s="167">
        <f>'Neo-K1'!T$43</f>
        <v>0.56447993076624325</v>
      </c>
      <c r="L42" s="167">
        <f>'Neo-K1'!V$43</f>
        <v>0.56408011428943217</v>
      </c>
      <c r="M42" s="167">
        <f>'Neo-K1'!X$43</f>
        <v>0.56360575561868409</v>
      </c>
      <c r="N42" s="167">
        <f>'Neo-K1'!Z$43</f>
        <v>0.5630264417158054</v>
      </c>
      <c r="O42" s="167">
        <f>'Neo-K1'!AB$43</f>
        <v>0.56230530040725879</v>
      </c>
      <c r="P42" s="167">
        <f>'Neo-K1'!AD$43</f>
        <v>0.56140169616969204</v>
      </c>
      <c r="Q42" s="167">
        <f>'Neo-K1'!AF$43</f>
        <v>0.56027823100084051</v>
      </c>
      <c r="R42" s="167">
        <f>'Neo-K1'!AH$43</f>
        <v>0.55891270593281106</v>
      </c>
      <c r="S42" s="167">
        <f>'Neo-K1'!AJ$43</f>
        <v>0.55731151212600072</v>
      </c>
      <c r="T42" s="167">
        <f>'Neo-K1'!AL$43</f>
        <v>0.55551576299385286</v>
      </c>
      <c r="U42" s="167">
        <f>'Neo-K1'!AN$43</f>
        <v>0.55359299031149789</v>
      </c>
      <c r="V42" s="167">
        <f>'Neo-K1'!AP$43</f>
        <v>0.55319988166530387</v>
      </c>
      <c r="W42" s="167">
        <f>'Neo-K1'!AR$43</f>
        <v>0.55280529816304513</v>
      </c>
      <c r="X42" s="167">
        <f>'Neo-K1'!AT$43</f>
        <v>0.55240979302512072</v>
      </c>
      <c r="Y42" s="167">
        <f>'Neo-K1'!AV$43</f>
        <v>0.55201389228751019</v>
      </c>
    </row>
    <row r="43" spans="1:26" x14ac:dyDescent="0.2">
      <c r="A43" t="s">
        <v>141</v>
      </c>
      <c r="B43" s="167">
        <f>'Neo-K2'!B$43</f>
        <v>0.56058995943839207</v>
      </c>
      <c r="C43" s="167">
        <f>'Neo-K2'!D$43</f>
        <v>0.56759599190374921</v>
      </c>
      <c r="D43" s="167">
        <f>'Neo-K2'!F$43</f>
        <v>0.56805669413920445</v>
      </c>
      <c r="E43" s="167">
        <f>'Neo-K2'!H$43</f>
        <v>0.56859070856655081</v>
      </c>
      <c r="F43" s="167">
        <f>'Neo-K2'!J$43</f>
        <v>0.56920716444883723</v>
      </c>
      <c r="G43" s="167">
        <f>'Neo-K2'!L$43</f>
        <v>0.56991621978214779</v>
      </c>
      <c r="H43" s="167">
        <f>'Neo-K2'!N$43</f>
        <v>0.57072906958879777</v>
      </c>
      <c r="I43" s="167">
        <f>'Neo-K2'!P$43</f>
        <v>0.57165762470725734</v>
      </c>
      <c r="J43" s="167">
        <f>'Neo-K2'!R$43</f>
        <v>0.57271385261074514</v>
      </c>
      <c r="K43" s="167">
        <f>'Neo-K2'!T$43</f>
        <v>0.57390839827101592</v>
      </c>
      <c r="L43" s="167">
        <f>'Neo-K2'!V$43</f>
        <v>0.57524787788981868</v>
      </c>
      <c r="M43" s="167">
        <f>'Neo-K2'!X$43</f>
        <v>0.57672993156453423</v>
      </c>
      <c r="N43" s="167">
        <f>'Neo-K2'!Z$43</f>
        <v>0.57833427636782775</v>
      </c>
      <c r="O43" s="167">
        <f>'Neo-K2'!AB$43</f>
        <v>0.58000656217408852</v>
      </c>
      <c r="P43" s="167">
        <f>'Neo-K2'!AD$43</f>
        <v>0.58162936516687547</v>
      </c>
      <c r="Q43" s="167">
        <f>'Neo-K2'!AF$43</f>
        <v>0.58297151536831404</v>
      </c>
      <c r="R43" s="167">
        <f>'Neo-K2'!AH$43</f>
        <v>0.583599411009744</v>
      </c>
      <c r="S43" s="167">
        <f>'Neo-K2'!AJ$43</f>
        <v>0.58265302401989538</v>
      </c>
      <c r="T43" s="167">
        <f>'Neo-K2'!AL$43</f>
        <v>0.57790261682790134</v>
      </c>
      <c r="U43" s="167">
        <f>'Neo-K2'!AN$43</f>
        <v>0.56084222594604727</v>
      </c>
      <c r="V43" s="167">
        <f>'Neo-K2'!AP$43</f>
        <v>0.55313248593529651</v>
      </c>
      <c r="W43" s="167">
        <f>'Neo-K2'!AR$43</f>
        <v>0.54169836893215617</v>
      </c>
      <c r="X43" s="167">
        <f>'Neo-K2'!AT$43</f>
        <v>0.52289506193182367</v>
      </c>
      <c r="Y43" s="167">
        <f>'Neo-K2'!AV$43</f>
        <v>0.48448066368802345</v>
      </c>
    </row>
    <row r="44" spans="1:26" x14ac:dyDescent="0.2">
      <c r="B44" s="205"/>
      <c r="C44" s="205"/>
      <c r="D44" s="205"/>
      <c r="E44" s="205"/>
      <c r="F44" s="205"/>
      <c r="G44" s="205"/>
      <c r="H44" s="205"/>
      <c r="I44" s="205"/>
      <c r="J44" s="205"/>
      <c r="K44" s="205"/>
      <c r="L44" s="205"/>
      <c r="M44" s="205"/>
      <c r="N44" s="205"/>
      <c r="O44" s="205"/>
      <c r="P44" s="205"/>
      <c r="Q44" s="205"/>
      <c r="R44" s="205"/>
      <c r="S44" s="205"/>
      <c r="T44" s="205"/>
      <c r="U44" s="205"/>
      <c r="V44" s="205"/>
    </row>
    <row r="45" spans="1:26" ht="10.5" x14ac:dyDescent="0.25">
      <c r="A45" s="92" t="s">
        <v>149</v>
      </c>
    </row>
    <row r="46" spans="1:26" x14ac:dyDescent="0.2">
      <c r="A46" t="s">
        <v>132</v>
      </c>
      <c r="B46" s="204">
        <v>0</v>
      </c>
      <c r="C46" s="204">
        <v>0.05</v>
      </c>
      <c r="D46" s="204">
        <v>0.1</v>
      </c>
      <c r="E46" s="204">
        <v>0.15000000000000002</v>
      </c>
      <c r="F46" s="204">
        <v>0.2</v>
      </c>
      <c r="G46" s="204">
        <v>0.25</v>
      </c>
      <c r="H46" s="204">
        <v>0.3</v>
      </c>
      <c r="I46" s="204">
        <v>0.35</v>
      </c>
      <c r="J46" s="204">
        <v>0.39999999999999997</v>
      </c>
      <c r="K46" s="204">
        <v>0.44999999999999996</v>
      </c>
      <c r="L46" s="204">
        <v>0.49999999999999994</v>
      </c>
      <c r="M46" s="204">
        <v>0.54999999999999993</v>
      </c>
      <c r="N46" s="204">
        <v>0.6</v>
      </c>
      <c r="O46" s="204">
        <v>0.65</v>
      </c>
      <c r="P46" s="204">
        <v>0.70000000000000007</v>
      </c>
      <c r="Q46" s="204">
        <v>0.75000000000000011</v>
      </c>
      <c r="R46" s="204">
        <v>0.80000000000000016</v>
      </c>
      <c r="S46" s="204">
        <v>0.8500000000000002</v>
      </c>
      <c r="T46" s="204">
        <v>0.90000000000000024</v>
      </c>
      <c r="U46" s="204">
        <v>0.95000000000000029</v>
      </c>
      <c r="V46" s="204">
        <v>0.9600000000000003</v>
      </c>
      <c r="W46" s="204">
        <v>0.97000000000000031</v>
      </c>
      <c r="X46" s="204">
        <v>0.98000000000000032</v>
      </c>
      <c r="Y46" s="204">
        <v>0.99000000000000032</v>
      </c>
    </row>
    <row r="47" spans="1:26" x14ac:dyDescent="0.2">
      <c r="A47" t="s">
        <v>89</v>
      </c>
      <c r="B47" s="129">
        <f>NeoClassical!B$48</f>
        <v>1</v>
      </c>
      <c r="C47" s="129">
        <f>NeoClassical!D$48</f>
        <v>1.0123262139301665</v>
      </c>
      <c r="D47" s="129">
        <f>NeoClassical!F$48</f>
        <v>1.0248191624821072</v>
      </c>
      <c r="E47" s="129">
        <f>NeoClassical!H$48</f>
        <v>1.0374988510866925</v>
      </c>
      <c r="F47" s="129">
        <f>NeoClassical!J$48</f>
        <v>1.0503890544526371</v>
      </c>
      <c r="G47" s="129">
        <f>NeoClassical!L$48</f>
        <v>1.063518403467085</v>
      </c>
      <c r="H47" s="129">
        <f>NeoClassical!N$48</f>
        <v>1.076922520317859</v>
      </c>
      <c r="I47" s="129">
        <f>NeoClassical!P$48</f>
        <v>1.0906476184012055</v>
      </c>
      <c r="J47" s="129">
        <f>NeoClassical!R$48</f>
        <v>1.104756501124426</v>
      </c>
      <c r="K47" s="129">
        <f>NeoClassical!T$48</f>
        <v>1.1193394206021188</v>
      </c>
      <c r="L47" s="129">
        <f>NeoClassical!V$48</f>
        <v>1.1345335615282366</v>
      </c>
      <c r="M47" s="129">
        <f>NeoClassical!X$48</f>
        <v>1.1505593866185031</v>
      </c>
      <c r="N47" s="129">
        <f>NeoClassical!Z$48</f>
        <v>1.1677896870259521</v>
      </c>
      <c r="O47" s="129">
        <f>NeoClassical!AB$48</f>
        <v>1.1868824112399774</v>
      </c>
      <c r="P47" s="129">
        <f>NeoClassical!AD$48</f>
        <v>1.2090291090142378</v>
      </c>
      <c r="Q47" s="129">
        <f>NeoClassical!AF$48</f>
        <v>1.2363574818972596</v>
      </c>
      <c r="R47" s="129">
        <f>NeoClassical!AH$48</f>
        <v>1.2722324060000769</v>
      </c>
      <c r="S47" s="129">
        <f>NeoClassical!AJ$48</f>
        <v>1.3200369428193064</v>
      </c>
      <c r="T47" s="129">
        <f>NeoClassical!AL$48</f>
        <v>1.3770685089572545</v>
      </c>
      <c r="U47" s="129">
        <f>NeoClassical!AN$48</f>
        <v>1.4007315040231239</v>
      </c>
      <c r="V47" s="129">
        <f>NeoClassical!AP$48</f>
        <v>1.3801257248163454</v>
      </c>
      <c r="W47" s="129">
        <f>NeoClassical!AR$48</f>
        <v>1.3299820136484692</v>
      </c>
      <c r="X47" s="129">
        <f>NeoClassical!AT$48</f>
        <v>1.2149564428110227</v>
      </c>
      <c r="Y47" s="129">
        <f>NeoClassical!AV$48</f>
        <v>0.92942603523087908</v>
      </c>
    </row>
    <row r="48" spans="1:26" x14ac:dyDescent="0.2">
      <c r="A48" t="s">
        <v>147</v>
      </c>
      <c r="B48" s="129">
        <f>Kaldorian!B$48</f>
        <v>1</v>
      </c>
      <c r="C48" s="129">
        <f>Kaldorian!D$48</f>
        <v>1.0016748307934191</v>
      </c>
      <c r="D48" s="129">
        <f>Kaldorian!F$48</f>
        <v>1.0032385789550358</v>
      </c>
      <c r="E48" s="129">
        <f>Kaldorian!H$48</f>
        <v>1.0046731670591407</v>
      </c>
      <c r="F48" s="129">
        <f>Kaldorian!J$48</f>
        <v>1.0059564474357596</v>
      </c>
      <c r="G48" s="129">
        <f>Kaldorian!L$48</f>
        <v>1.0070605697947288</v>
      </c>
      <c r="H48" s="129">
        <f>Kaldorian!N$48</f>
        <v>1.0079509291788693</v>
      </c>
      <c r="I48" s="129">
        <f>Kaldorian!P$48</f>
        <v>1.0085832078722783</v>
      </c>
      <c r="J48" s="129">
        <f>Kaldorian!R$48</f>
        <v>1.0089001953020262</v>
      </c>
      <c r="K48" s="129">
        <f>Kaldorian!T$48</f>
        <v>1.0088268059683092</v>
      </c>
      <c r="L48" s="129">
        <f>Kaldorian!V$48</f>
        <v>1.0082622692020375</v>
      </c>
      <c r="M48" s="129">
        <f>Kaldorian!X$48</f>
        <v>1.0070678922530039</v>
      </c>
      <c r="N48" s="129">
        <f>Kaldorian!Z$48</f>
        <v>1.0050459470787501</v>
      </c>
      <c r="O48" s="129">
        <f>Kaldorian!AB$48</f>
        <v>1.0019003100279995</v>
      </c>
      <c r="P48" s="129">
        <f>Kaldorian!AD$48</f>
        <v>0.99715303105338837</v>
      </c>
      <c r="Q48" s="129">
        <f>Kaldorian!AF$48</f>
        <v>0.98993886352382965</v>
      </c>
      <c r="R48" s="129">
        <f>Kaldorian!AH$48</f>
        <v>0.97841274764869679</v>
      </c>
      <c r="S48" s="129">
        <f>Kaldorian!AJ$48</f>
        <v>0.95789767397625125</v>
      </c>
      <c r="T48" s="129">
        <f>Kaldorian!AL$48</f>
        <v>0.91468479308370998</v>
      </c>
      <c r="U48" s="129"/>
      <c r="V48" s="129"/>
      <c r="W48" s="129"/>
      <c r="X48" s="129"/>
      <c r="Y48" s="129"/>
    </row>
    <row r="49" spans="1:25" x14ac:dyDescent="0.2">
      <c r="A49" t="s">
        <v>90</v>
      </c>
      <c r="B49" s="129">
        <f>Johansen!B$48</f>
        <v>1</v>
      </c>
      <c r="C49" s="129">
        <f>Johansen!D$48</f>
        <v>1.0016696703784878</v>
      </c>
      <c r="D49" s="129">
        <f>Johansen!F$48</f>
        <v>1.003227325599463</v>
      </c>
      <c r="E49" s="129">
        <f>Johansen!H$48</f>
        <v>1.0046547738442992</v>
      </c>
      <c r="F49" s="129">
        <f>Johansen!J$48</f>
        <v>1.0059296301849405</v>
      </c>
      <c r="G49" s="129">
        <f>Johansen!L$48</f>
        <v>1.0070241297520577</v>
      </c>
      <c r="H49" s="129">
        <f>Johansen!N$48</f>
        <v>1.007903360239548</v>
      </c>
      <c r="I49" s="129">
        <f>Johansen!P$48</f>
        <v>1.008522959650302</v>
      </c>
      <c r="J49" s="129">
        <f>Johansen!R$48</f>
        <v>1.0088257838743031</v>
      </c>
      <c r="K49" s="129">
        <f>Johansen!T$48</f>
        <v>1.0087369102696522</v>
      </c>
      <c r="L49" s="129">
        <f>Johansen!V$48</f>
        <v>1.0081561175381224</v>
      </c>
      <c r="M49" s="129">
        <f>Johansen!X$48</f>
        <v>1.0069458224227694</v>
      </c>
      <c r="N49" s="129">
        <f>Johansen!Z$48</f>
        <v>1.004910412719064</v>
      </c>
      <c r="O49" s="129">
        <f>Johansen!AB$48</f>
        <v>1.001757435100985</v>
      </c>
      <c r="P49" s="129">
        <f>Johansen!AD$48</f>
        <v>0.99701493398214069</v>
      </c>
      <c r="Q49" s="129">
        <f>Johansen!AF$48</f>
        <v>0.98982488539256075</v>
      </c>
      <c r="R49" s="129">
        <f>Johansen!AH$48</f>
        <v>0.97834314152452817</v>
      </c>
      <c r="S49" s="129">
        <f>Johansen!AJ$48</f>
        <v>0.95787304582997901</v>
      </c>
      <c r="T49" s="129">
        <f>Johansen!AL$48</f>
        <v>0.91468133373009763</v>
      </c>
      <c r="U49" s="129">
        <f>Johansen!AN$48</f>
        <v>0.79501412143295125</v>
      </c>
      <c r="V49" s="129">
        <f>Johansen!AP$48</f>
        <v>0.74447685652761386</v>
      </c>
      <c r="W49" s="129">
        <f>Johansen!AR$48</f>
        <v>0.67242380127460877</v>
      </c>
      <c r="X49" s="129">
        <f>Johansen!AT$48</f>
        <v>0.562525295682481</v>
      </c>
      <c r="Y49" s="129">
        <f>Johansen!AV$48</f>
        <v>0.37660948934676486</v>
      </c>
    </row>
    <row r="50" spans="1:25" x14ac:dyDescent="0.2">
      <c r="A50" t="s">
        <v>130</v>
      </c>
      <c r="B50" s="129">
        <f>'Keynes-M'!B$48</f>
        <v>1</v>
      </c>
      <c r="C50" s="129">
        <f>'Keynes-M'!D$48</f>
        <v>1.0158057211771769</v>
      </c>
      <c r="D50" s="129">
        <f>'Keynes-M'!F$48</f>
        <v>1.0317701590253783</v>
      </c>
      <c r="E50" s="129">
        <f>'Keynes-M'!H$48</f>
        <v>1.0479350312202824</v>
      </c>
      <c r="F50" s="129">
        <f>'Keynes-M'!J$48</f>
        <v>1.0643508335037792</v>
      </c>
      <c r="G50" s="129">
        <f>'Keynes-M'!L$48</f>
        <v>1.0810823499915687</v>
      </c>
      <c r="H50" s="129">
        <f>'Keynes-M'!N$48</f>
        <v>1.0982175479737364</v>
      </c>
      <c r="I50" s="129">
        <f>'Keynes-M'!P$48</f>
        <v>1.1158825425564334</v>
      </c>
      <c r="J50" s="129">
        <f>'Keynes-M'!R$48</f>
        <v>1.1342670262667385</v>
      </c>
      <c r="K50" s="129">
        <f>'Keynes-M'!T$48</f>
        <v>1.1536689751284006</v>
      </c>
      <c r="L50" s="129">
        <f>'Keynes-M'!V$48</f>
        <v>1.1745749325421617</v>
      </c>
      <c r="M50" s="129">
        <f>'Keynes-M'!X$48</f>
        <v>1.1978066424826623</v>
      </c>
      <c r="N50" s="129">
        <f>'Keynes-M'!Z$48</f>
        <v>1.2247843466116766</v>
      </c>
      <c r="O50" s="129">
        <f>'Keynes-M'!AB$48</f>
        <v>1.2579441162942229</v>
      </c>
      <c r="P50" s="129">
        <f>'Keynes-M'!AD$48</f>
        <v>1.3010992013053193</v>
      </c>
      <c r="Q50" s="129">
        <f>'Keynes-M'!AF$48</f>
        <v>1.3586906632169653</v>
      </c>
      <c r="R50" s="129"/>
      <c r="S50" s="129"/>
      <c r="T50" s="129"/>
      <c r="U50" s="129"/>
      <c r="V50" s="129"/>
      <c r="W50" s="129"/>
      <c r="X50" s="129"/>
      <c r="Y50" s="129"/>
    </row>
    <row r="51" spans="1:25" x14ac:dyDescent="0.2">
      <c r="A51" t="s">
        <v>146</v>
      </c>
      <c r="B51" s="129">
        <f>Keynesian!B$48</f>
        <v>1</v>
      </c>
      <c r="C51" s="129">
        <f>Keynesian!D$48</f>
        <v>0.98004551265407069</v>
      </c>
      <c r="D51" s="129">
        <f>Keynesian!F$48</f>
        <v>0.95775907902785751</v>
      </c>
      <c r="E51" s="129">
        <f>Keynesian!H$48</f>
        <v>0.9328900762746889</v>
      </c>
      <c r="F51" s="129">
        <f>Keynesian!J$48</f>
        <v>0.9051755332140009</v>
      </c>
      <c r="G51" s="129">
        <f>Keynesian!L$48</f>
        <v>0.87435188655721929</v>
      </c>
      <c r="H51" s="129">
        <f>Keynesian!N$48</f>
        <v>0.84017102700358193</v>
      </c>
      <c r="I51" s="129">
        <f>Keynesian!P$48</f>
        <v>0.80243005263976996</v>
      </c>
      <c r="J51" s="129">
        <f>Keynesian!R$48</f>
        <v>0.7610187608253689</v>
      </c>
      <c r="K51" s="129">
        <f>Keynesian!T$48</f>
        <v>0.71600554039298303</v>
      </c>
      <c r="L51" s="129">
        <f>Keynesian!V$48</f>
        <v>0.66782422734426772</v>
      </c>
      <c r="M51" s="129">
        <f>Keynesian!X$48</f>
        <v>0.61780633120367301</v>
      </c>
      <c r="N51" s="129">
        <f>Keynesian!Z$48</f>
        <v>0.57032252839562636</v>
      </c>
      <c r="O51" s="129">
        <f>Keynesian!AB$48</f>
        <v>0.54000706575049928</v>
      </c>
      <c r="P51" s="129"/>
      <c r="Q51" s="129"/>
      <c r="R51" s="129"/>
      <c r="S51" s="129"/>
      <c r="T51" s="129"/>
      <c r="U51" s="129"/>
      <c r="V51" s="129"/>
      <c r="W51" s="129"/>
      <c r="X51" s="129"/>
      <c r="Y51" s="129"/>
    </row>
    <row r="52" spans="1:25" x14ac:dyDescent="0.2">
      <c r="A52" t="s">
        <v>131</v>
      </c>
      <c r="B52" s="129">
        <f>'Keynes-K'!B$48</f>
        <v>1</v>
      </c>
      <c r="C52" s="129">
        <f>'Keynes-K'!D$48</f>
        <v>1.0068445134754724</v>
      </c>
      <c r="D52" s="129">
        <f>'Keynes-K'!F$48</f>
        <v>1.0130620143832405</v>
      </c>
      <c r="E52" s="129">
        <f>'Keynes-K'!H$48</f>
        <v>1.0186080884512847</v>
      </c>
      <c r="F52" s="129">
        <f>'Keynes-K'!J$48</f>
        <v>1.0234192877115282</v>
      </c>
      <c r="G52" s="129">
        <f>'Keynes-K'!L$48</f>
        <v>1.027408862133905</v>
      </c>
      <c r="H52" s="129">
        <f>'Keynes-K'!N$48</f>
        <v>1.0304598254451749</v>
      </c>
      <c r="I52" s="129">
        <f>'Keynes-K'!P$48</f>
        <v>1.0324153065497499</v>
      </c>
      <c r="J52" s="129">
        <f>'Keynes-K'!R$48</f>
        <v>1.0330638841613189</v>
      </c>
      <c r="K52" s="129">
        <f>'Keynes-K'!T$48</f>
        <v>1.0321171182200302</v>
      </c>
      <c r="L52" s="129">
        <f>'Keynes-K'!V$48</f>
        <v>1.0291737188215644</v>
      </c>
      <c r="M52" s="129">
        <f>'Keynes-K'!X$48</f>
        <v>1.0236594191262904</v>
      </c>
      <c r="N52" s="129">
        <f>'Keynes-K'!Z$48</f>
        <v>1.0147207014500761</v>
      </c>
      <c r="O52" s="129">
        <f>'Keynes-K'!AB$48</f>
        <v>1.001022951247442</v>
      </c>
      <c r="P52" s="129">
        <f>'Keynes-K'!AD$48</f>
        <v>0.98033899414655878</v>
      </c>
      <c r="Q52" s="129">
        <f>'Keynes-K'!AF$48</f>
        <v>0.94864759589386671</v>
      </c>
      <c r="R52" s="129">
        <f>'Keynes-K'!AH$48</f>
        <v>0.89807568171882401</v>
      </c>
      <c r="S52" s="129">
        <f>'Keynes-K'!AJ$48</f>
        <v>0.8123801186810593</v>
      </c>
      <c r="T52" s="129">
        <f>'Keynes-K'!AL$48</f>
        <v>0.65897007090171722</v>
      </c>
      <c r="U52" s="129"/>
      <c r="V52" s="129"/>
      <c r="W52" s="129"/>
      <c r="X52" s="129"/>
      <c r="Y52" s="129"/>
    </row>
    <row r="53" spans="1:25" x14ac:dyDescent="0.2">
      <c r="A53" t="s">
        <v>142</v>
      </c>
      <c r="B53" s="129">
        <f>'Neo-K1'!B$48</f>
        <v>1</v>
      </c>
      <c r="C53" s="129">
        <f>'Neo-K1'!D$48</f>
        <v>1.0054058914013415</v>
      </c>
      <c r="D53" s="129">
        <f>'Neo-K1'!F$48</f>
        <v>1.0102218507625746</v>
      </c>
      <c r="E53" s="129">
        <f>'Neo-K1'!H$48</f>
        <v>1.0143080734167049</v>
      </c>
      <c r="F53" s="129">
        <f>'Neo-K1'!J$48</f>
        <v>1.01748430167437</v>
      </c>
      <c r="G53" s="129">
        <f>'Neo-K1'!L$48</f>
        <v>1.0195153261619312</v>
      </c>
      <c r="H53" s="129">
        <f>'Neo-K1'!N$48</f>
        <v>1.0200905528597055</v>
      </c>
      <c r="I53" s="129">
        <f>'Neo-K1'!P$48</f>
        <v>1.0187958711144178</v>
      </c>
      <c r="J53" s="129">
        <f>'Neo-K1'!R$48</f>
        <v>1.0150727513340863</v>
      </c>
      <c r="K53" s="129">
        <f>'Neo-K1'!T$48</f>
        <v>1.0081587056887946</v>
      </c>
      <c r="L53" s="129">
        <f>'Neo-K1'!V$48</f>
        <v>0.99700343360855403</v>
      </c>
      <c r="M53" s="129">
        <f>'Neo-K1'!X$48</f>
        <v>0.98014909980869103</v>
      </c>
      <c r="N53" s="129">
        <f>'Neo-K1'!Z$48</f>
        <v>0.9555692512689663</v>
      </c>
      <c r="O53" s="129">
        <f>'Neo-K1'!AB$48</f>
        <v>0.920470970082652</v>
      </c>
      <c r="P53" s="129">
        <f>'Neo-K1'!AD$48</f>
        <v>0.87110161138137843</v>
      </c>
      <c r="Q53" s="129">
        <f>'Neo-K1'!AF$48</f>
        <v>0.80267397357051873</v>
      </c>
      <c r="R53" s="129">
        <f>'Neo-K1'!AH$48</f>
        <v>0.70960952667351085</v>
      </c>
      <c r="S53" s="129">
        <f>'Neo-K1'!AJ$48</f>
        <v>0.58628058796103699</v>
      </c>
      <c r="T53" s="129">
        <f>'Neo-K1'!AL$48</f>
        <v>0.42814628249722675</v>
      </c>
      <c r="U53" s="129">
        <f>'Neo-K1'!AN$48</f>
        <v>0.23274972838609889</v>
      </c>
      <c r="V53" s="129">
        <f>'Neo-K1'!AP$48</f>
        <v>0.18915293246190806</v>
      </c>
      <c r="W53" s="129">
        <f>'Neo-K1'!AR$48</f>
        <v>0.14406568865123986</v>
      </c>
      <c r="X53" s="129">
        <f>'Neo-K1'!AT$48</f>
        <v>9.7500628287974109E-2</v>
      </c>
      <c r="Y53" s="129">
        <f>'Neo-K1'!AV$48</f>
        <v>4.9472922236781562E-2</v>
      </c>
    </row>
    <row r="54" spans="1:25" x14ac:dyDescent="0.2">
      <c r="A54" t="s">
        <v>141</v>
      </c>
      <c r="B54" s="129">
        <f>'Neo-K2'!B$48</f>
        <v>1</v>
      </c>
      <c r="C54" s="129">
        <f>'Neo-K2'!D$48</f>
        <v>1</v>
      </c>
      <c r="D54" s="129">
        <f>'Neo-K2'!F$48</f>
        <v>1</v>
      </c>
      <c r="E54" s="129">
        <f>'Neo-K2'!H$48</f>
        <v>1</v>
      </c>
      <c r="F54" s="129">
        <f>'Neo-K2'!J$48</f>
        <v>1</v>
      </c>
      <c r="G54" s="129">
        <f>'Neo-K2'!L$48</f>
        <v>1</v>
      </c>
      <c r="H54" s="129">
        <f>'Neo-K2'!N$48</f>
        <v>1</v>
      </c>
      <c r="I54" s="129">
        <f>'Neo-K2'!P$48</f>
        <v>1</v>
      </c>
      <c r="J54" s="129">
        <f>'Neo-K2'!R$48</f>
        <v>1</v>
      </c>
      <c r="K54" s="129">
        <f>'Neo-K2'!T$48</f>
        <v>1</v>
      </c>
      <c r="L54" s="129">
        <f>'Neo-K2'!V$48</f>
        <v>1</v>
      </c>
      <c r="M54" s="129">
        <f>'Neo-K2'!X$48</f>
        <v>1</v>
      </c>
      <c r="N54" s="129">
        <f>'Neo-K2'!Z$48</f>
        <v>1</v>
      </c>
      <c r="O54" s="129">
        <f>'Neo-K2'!AB$48</f>
        <v>1</v>
      </c>
      <c r="P54" s="129">
        <f>'Neo-K2'!AD$48</f>
        <v>1</v>
      </c>
      <c r="Q54" s="129">
        <f>'Neo-K2'!AF$48</f>
        <v>1</v>
      </c>
      <c r="R54" s="129">
        <f>'Neo-K2'!AH$48</f>
        <v>1</v>
      </c>
      <c r="S54" s="129">
        <f>'Neo-K2'!AJ$48</f>
        <v>1</v>
      </c>
      <c r="T54" s="129">
        <f>'Neo-K2'!AL$48</f>
        <v>1</v>
      </c>
      <c r="U54" s="129">
        <f>'Neo-K2'!AN$48</f>
        <v>1</v>
      </c>
      <c r="V54" s="129">
        <f>'Neo-K2'!AP$48</f>
        <v>1</v>
      </c>
      <c r="W54" s="129">
        <f>'Neo-K2'!AR$48</f>
        <v>1</v>
      </c>
      <c r="X54" s="129">
        <f>'Neo-K2'!AT$48</f>
        <v>1</v>
      </c>
      <c r="Y54" s="129">
        <f>'Neo-K2'!AV$48</f>
        <v>1</v>
      </c>
    </row>
    <row r="56" spans="1:25" ht="10.5" x14ac:dyDescent="0.25">
      <c r="A56" s="92" t="s">
        <v>94</v>
      </c>
    </row>
    <row r="57" spans="1:25" x14ac:dyDescent="0.2">
      <c r="A57" t="s">
        <v>132</v>
      </c>
      <c r="B57" s="204">
        <v>0</v>
      </c>
      <c r="C57" s="204">
        <v>0.05</v>
      </c>
      <c r="D57" s="204">
        <v>0.1</v>
      </c>
      <c r="E57" s="204">
        <v>0.15000000000000002</v>
      </c>
      <c r="F57" s="204">
        <v>0.2</v>
      </c>
      <c r="G57" s="204">
        <v>0.25</v>
      </c>
      <c r="H57" s="204">
        <v>0.3</v>
      </c>
      <c r="I57" s="204">
        <v>0.35</v>
      </c>
      <c r="J57" s="204">
        <v>0.39999999999999997</v>
      </c>
      <c r="K57" s="204">
        <v>0.44999999999999996</v>
      </c>
      <c r="L57" s="204">
        <v>0.49999999999999994</v>
      </c>
      <c r="M57" s="204">
        <v>0.54999999999999993</v>
      </c>
      <c r="N57" s="204">
        <v>0.6</v>
      </c>
      <c r="O57" s="204">
        <v>0.65</v>
      </c>
      <c r="P57" s="204">
        <v>0.70000000000000007</v>
      </c>
      <c r="Q57" s="204">
        <v>0.75000000000000011</v>
      </c>
      <c r="R57" s="204">
        <v>0.80000000000000016</v>
      </c>
      <c r="S57" s="204">
        <v>0.8500000000000002</v>
      </c>
      <c r="T57" s="204">
        <v>0.90000000000000024</v>
      </c>
      <c r="U57" s="204">
        <v>0.95000000000000029</v>
      </c>
      <c r="V57" s="204">
        <v>0.9600000000000003</v>
      </c>
      <c r="W57" s="204">
        <v>0.97000000000000031</v>
      </c>
      <c r="X57" s="204">
        <v>0.98000000000000032</v>
      </c>
      <c r="Y57" s="204">
        <v>0.99000000000000032</v>
      </c>
    </row>
    <row r="58" spans="1:25" x14ac:dyDescent="0.2">
      <c r="A58" t="s">
        <v>89</v>
      </c>
      <c r="B58" s="129">
        <f>NeoClassical!B$42</f>
        <v>6.0999999999999999E-2</v>
      </c>
      <c r="C58" s="129">
        <f>NeoClassical!D$42</f>
        <v>6.1000000000000311E-2</v>
      </c>
      <c r="D58" s="129">
        <f>NeoClassical!F$42</f>
        <v>6.1000000000000519E-2</v>
      </c>
      <c r="E58" s="129">
        <f>NeoClassical!H$42</f>
        <v>6.0999999999999791E-2</v>
      </c>
      <c r="F58" s="129">
        <f>NeoClassical!J$42</f>
        <v>6.0999999999999582E-2</v>
      </c>
      <c r="G58" s="129">
        <f>NeoClassical!L$42</f>
        <v>6.0999999999999374E-2</v>
      </c>
      <c r="H58" s="129">
        <f>NeoClassical!N$42</f>
        <v>6.1000000000000623E-2</v>
      </c>
      <c r="I58" s="129">
        <f>NeoClassical!P$42</f>
        <v>6.0999999999998958E-2</v>
      </c>
      <c r="J58" s="129">
        <f>NeoClassical!R$42</f>
        <v>6.1000000000000519E-2</v>
      </c>
      <c r="K58" s="129">
        <f>NeoClassical!T$42</f>
        <v>6.0999999999999374E-2</v>
      </c>
      <c r="L58" s="129">
        <f>NeoClassical!V$42</f>
        <v>6.1000000000000207E-2</v>
      </c>
      <c r="M58" s="129">
        <f>NeoClassical!X$42</f>
        <v>6.1000000000002816E-2</v>
      </c>
      <c r="N58" s="129">
        <f>NeoClassical!Z$42</f>
        <v>6.1000000000000311E-2</v>
      </c>
      <c r="O58" s="129">
        <f>NeoClassical!AB$42</f>
        <v>6.0999999999998958E-2</v>
      </c>
      <c r="P58" s="129">
        <f>NeoClassical!AD$42</f>
        <v>6.0999999999999582E-2</v>
      </c>
      <c r="Q58" s="129">
        <f>NeoClassical!AF$42</f>
        <v>6.1000000000000311E-2</v>
      </c>
      <c r="R58" s="129">
        <f>NeoClassical!AH$42</f>
        <v>6.1000000000000831E-2</v>
      </c>
      <c r="S58" s="129">
        <f>NeoClassical!AJ$42</f>
        <v>6.0999999999999999E-2</v>
      </c>
      <c r="T58" s="129">
        <f>NeoClassical!AL$42</f>
        <v>6.0999999999999791E-2</v>
      </c>
      <c r="U58" s="129">
        <f>NeoClassical!AN$42</f>
        <v>6.1000000000000207E-2</v>
      </c>
      <c r="V58" s="129">
        <f>NeoClassical!AP$42</f>
        <v>6.0999999999999999E-2</v>
      </c>
      <c r="W58" s="129">
        <f>NeoClassical!AR$42</f>
        <v>6.0999999999999791E-2</v>
      </c>
      <c r="X58" s="129">
        <f>NeoClassical!AT$42</f>
        <v>6.0999999999999791E-2</v>
      </c>
      <c r="Y58" s="129">
        <f>NeoClassical!AV$42</f>
        <v>6.1000000000000207E-2</v>
      </c>
    </row>
    <row r="59" spans="1:25" x14ac:dyDescent="0.2">
      <c r="A59" t="s">
        <v>147</v>
      </c>
      <c r="B59" s="129">
        <f>Kaldorian!B$42</f>
        <v>6.0999999999999999E-2</v>
      </c>
      <c r="C59" s="129">
        <f>Kaldorian!D$42</f>
        <v>6.1000000000000519E-2</v>
      </c>
      <c r="D59" s="129">
        <f>Kaldorian!F$42</f>
        <v>6.1000000000002295E-2</v>
      </c>
      <c r="E59" s="129">
        <f>Kaldorian!H$42</f>
        <v>6.0999999999999582E-2</v>
      </c>
      <c r="F59" s="129">
        <f>Kaldorian!J$42</f>
        <v>6.1000000000000519E-2</v>
      </c>
      <c r="G59" s="129">
        <f>Kaldorian!L$42</f>
        <v>6.0999999999999999E-2</v>
      </c>
      <c r="H59" s="129">
        <f>Kaldorian!N$42</f>
        <v>6.0999999999999582E-2</v>
      </c>
      <c r="I59" s="129">
        <f>Kaldorian!P$42</f>
        <v>6.0999999999998333E-2</v>
      </c>
      <c r="J59" s="129">
        <f>Kaldorian!R$42</f>
        <v>6.1000000000000311E-2</v>
      </c>
      <c r="K59" s="129">
        <f>Kaldorian!T$42</f>
        <v>6.1000000000000207E-2</v>
      </c>
      <c r="L59" s="129">
        <f>Kaldorian!V$42</f>
        <v>6.0999999999999582E-2</v>
      </c>
      <c r="M59" s="129">
        <f>Kaldorian!X$42</f>
        <v>6.0999999999999582E-2</v>
      </c>
      <c r="N59" s="129">
        <f>Kaldorian!Z$42</f>
        <v>6.0999999999999791E-2</v>
      </c>
      <c r="O59" s="129">
        <f>Kaldorian!AB$42</f>
        <v>6.0999999999999791E-2</v>
      </c>
      <c r="P59" s="129">
        <f>Kaldorian!AD$42</f>
        <v>6.1000000000000311E-2</v>
      </c>
      <c r="Q59" s="129">
        <f>Kaldorian!AF$42</f>
        <v>6.1000000000000311E-2</v>
      </c>
      <c r="R59" s="129">
        <f>Kaldorian!AH$42</f>
        <v>6.0999999999999582E-2</v>
      </c>
      <c r="S59" s="129">
        <f>Kaldorian!AJ$42</f>
        <v>6.0999999999999791E-2</v>
      </c>
      <c r="T59" s="129">
        <f>Kaldorian!AL$42</f>
        <v>6.099999999999875E-2</v>
      </c>
      <c r="U59" s="129"/>
      <c r="V59" s="129"/>
      <c r="W59" s="129"/>
      <c r="X59" s="129"/>
      <c r="Y59" s="129"/>
    </row>
    <row r="60" spans="1:25" x14ac:dyDescent="0.2">
      <c r="A60" t="s">
        <v>90</v>
      </c>
      <c r="B60" s="129">
        <f>Johansen!B$42</f>
        <v>6.0999999999999999E-2</v>
      </c>
      <c r="C60" s="129">
        <f>Johansen!D$42</f>
        <v>6.1000000000000311E-2</v>
      </c>
      <c r="D60" s="129">
        <f>Johansen!F$42</f>
        <v>6.099999999999875E-2</v>
      </c>
      <c r="E60" s="129">
        <f>Johansen!H$42</f>
        <v>6.1000000000000207E-2</v>
      </c>
      <c r="F60" s="129">
        <f>Johansen!J$42</f>
        <v>6.1000000000000207E-2</v>
      </c>
      <c r="G60" s="129">
        <f>Johansen!L$42</f>
        <v>6.0999999999999582E-2</v>
      </c>
      <c r="H60" s="129">
        <f>Johansen!N$42</f>
        <v>6.0999999999999999E-2</v>
      </c>
      <c r="I60" s="129">
        <f>Johansen!P$42</f>
        <v>6.1000000000000519E-2</v>
      </c>
      <c r="J60" s="129">
        <f>Johansen!R$42</f>
        <v>6.0999999999999791E-2</v>
      </c>
      <c r="K60" s="129">
        <f>Johansen!T$42</f>
        <v>6.0999999999999582E-2</v>
      </c>
      <c r="L60" s="129">
        <f>Johansen!V$42</f>
        <v>6.1000000000000831E-2</v>
      </c>
      <c r="M60" s="129">
        <f>Johansen!X$42</f>
        <v>6.1000000000000207E-2</v>
      </c>
      <c r="N60" s="129">
        <f>Johansen!Z$42</f>
        <v>6.0999999999999791E-2</v>
      </c>
      <c r="O60" s="129">
        <f>Johansen!AB$42</f>
        <v>6.0999999999999374E-2</v>
      </c>
      <c r="P60" s="129">
        <f>Johansen!AD$42</f>
        <v>6.0999999999999582E-2</v>
      </c>
      <c r="Q60" s="129">
        <f>Johansen!AF$42</f>
        <v>6.0999999999999999E-2</v>
      </c>
      <c r="R60" s="129">
        <f>Johansen!AH$42</f>
        <v>6.1000000000000207E-2</v>
      </c>
      <c r="S60" s="129">
        <f>Johansen!AJ$42</f>
        <v>6.1000000000000207E-2</v>
      </c>
      <c r="T60" s="129">
        <f>Johansen!AL$42</f>
        <v>6.0999999999999999E-2</v>
      </c>
      <c r="U60" s="129">
        <f>Johansen!AN$42</f>
        <v>6.0999999999999166E-2</v>
      </c>
      <c r="V60" s="129">
        <f>Johansen!AP$42</f>
        <v>6.0999999999999791E-2</v>
      </c>
      <c r="W60" s="129">
        <f>Johansen!AR$42</f>
        <v>6.0999999999998333E-2</v>
      </c>
      <c r="X60" s="129">
        <f>Johansen!AT$42</f>
        <v>6.0999999999999374E-2</v>
      </c>
      <c r="Y60" s="129">
        <f>Johansen!AV$42</f>
        <v>6.0999999999999999E-2</v>
      </c>
    </row>
    <row r="61" spans="1:25" x14ac:dyDescent="0.2">
      <c r="A61" t="s">
        <v>130</v>
      </c>
      <c r="B61" s="129">
        <f>'Keynes-M'!B$42</f>
        <v>6.0999999999999999E-2</v>
      </c>
      <c r="C61" s="129">
        <f>'Keynes-M'!D$42</f>
        <v>3.6092806276886151E-2</v>
      </c>
      <c r="D61" s="129">
        <f>'Keynes-M'!F$42</f>
        <v>9.6267010830296262E-3</v>
      </c>
      <c r="E61" s="129">
        <f>'Keynes-M'!H$42</f>
        <v>-1.8702544362708101E-2</v>
      </c>
      <c r="F61" s="129">
        <f>'Keynes-M'!J$42</f>
        <v>-4.9288459724937492E-2</v>
      </c>
      <c r="G61" s="129">
        <f>'Keynes-M'!L$42</f>
        <v>-8.2656107566196457E-2</v>
      </c>
      <c r="H61" s="129">
        <f>'Keynes-M'!N$42</f>
        <v>-0.11953230693185626</v>
      </c>
      <c r="I61" s="129">
        <f>'Keynes-M'!P$42</f>
        <v>-0.16096657373763323</v>
      </c>
      <c r="J61" s="129">
        <f>'Keynes-M'!R$42</f>
        <v>-0.20855198883614501</v>
      </c>
      <c r="K61" s="129">
        <f>'Keynes-M'!T$42</f>
        <v>-0.26485574142059387</v>
      </c>
      <c r="L61" s="129">
        <f>'Keynes-M'!V$42</f>
        <v>-0.33432936968084842</v>
      </c>
      <c r="M61" s="129">
        <f>'Keynes-M'!X$42</f>
        <v>-0.42544848784789774</v>
      </c>
      <c r="N61" s="129">
        <f>'Keynes-M'!Z$42</f>
        <v>-0.5565336909242049</v>
      </c>
      <c r="O61" s="129">
        <f>'Keynes-M'!AB$42</f>
        <v>-0.77558377172862847</v>
      </c>
      <c r="P61" s="129">
        <f>'Keynes-M'!AD$42</f>
        <v>-1.2644652396418821</v>
      </c>
      <c r="Q61" s="129">
        <f>'Keynes-M'!AF$42</f>
        <v>-5.9567943631725964</v>
      </c>
      <c r="R61" s="129"/>
      <c r="S61" s="129"/>
      <c r="T61" s="129"/>
      <c r="U61" s="129"/>
      <c r="V61" s="129"/>
      <c r="W61" s="129"/>
      <c r="X61" s="129"/>
      <c r="Y61" s="129"/>
    </row>
    <row r="62" spans="1:25" x14ac:dyDescent="0.2">
      <c r="A62" t="s">
        <v>146</v>
      </c>
      <c r="B62" s="129">
        <f>Keynesian!B$42</f>
        <v>6.0999999999999999E-2</v>
      </c>
      <c r="C62" s="129">
        <f>Keynesian!D$42</f>
        <v>9.7150729752098985E-2</v>
      </c>
      <c r="D62" s="129">
        <f>Keynesian!F$42</f>
        <v>0.13463055894460749</v>
      </c>
      <c r="E62" s="129">
        <f>Keynesian!H$42</f>
        <v>0.17348026550665208</v>
      </c>
      <c r="F62" s="129">
        <f>Keynesian!J$42</f>
        <v>0.21372762050470923</v>
      </c>
      <c r="G62" s="129">
        <f>Keynesian!L$42</f>
        <v>0.25537993675453036</v>
      </c>
      <c r="H62" s="129">
        <f>Keynesian!N$42</f>
        <v>0.29841379081879726</v>
      </c>
      <c r="I62" s="129">
        <f>Keynesian!P$42</f>
        <v>0.34275905674065821</v>
      </c>
      <c r="J62" s="129">
        <f>Keynesian!R$42</f>
        <v>0.38827168838482889</v>
      </c>
      <c r="K62" s="129">
        <f>Keynesian!T$42</f>
        <v>0.43467980848960752</v>
      </c>
      <c r="L62" s="129">
        <f>Keynesian!V$42</f>
        <v>0.48145211878816419</v>
      </c>
      <c r="M62" s="129">
        <f>Keynesian!X$42</f>
        <v>0.52738162155960944</v>
      </c>
      <c r="N62" s="129">
        <f>Keynesian!Z$42</f>
        <v>0.56882073844666836</v>
      </c>
      <c r="O62" s="129">
        <f>Keynesian!AB$42</f>
        <v>0.59360899458122196</v>
      </c>
      <c r="P62" s="129"/>
      <c r="Q62" s="129"/>
      <c r="R62" s="129"/>
      <c r="S62" s="129"/>
      <c r="T62" s="129"/>
      <c r="U62" s="129"/>
      <c r="V62" s="129"/>
      <c r="W62" s="129"/>
      <c r="X62" s="129"/>
      <c r="Y62" s="129"/>
    </row>
    <row r="63" spans="1:25" x14ac:dyDescent="0.2">
      <c r="A63" t="s">
        <v>131</v>
      </c>
      <c r="B63" s="129">
        <f>'Keynes-K'!B$42</f>
        <v>6.0999999999999999E-2</v>
      </c>
      <c r="C63" s="129">
        <f>'Keynes-K'!D$42</f>
        <v>5.2022137765279697E-2</v>
      </c>
      <c r="D63" s="129">
        <f>'Keynes-K'!F$42</f>
        <v>4.3833951682723513E-2</v>
      </c>
      <c r="E63" s="129">
        <f>'Keynes-K'!H$42</f>
        <v>3.6510324465290941E-2</v>
      </c>
      <c r="F63" s="129">
        <f>'Keynes-K'!J$42</f>
        <v>3.015202659143363E-2</v>
      </c>
      <c r="G63" s="129">
        <f>'Keynes-K'!L$42</f>
        <v>2.4892112093911858E-2</v>
      </c>
      <c r="H63" s="129">
        <f>'Keynes-K'!N$42</f>
        <v>2.0904970065860749E-2</v>
      </c>
      <c r="I63" s="129">
        <f>'Keynes-K'!P$42</f>
        <v>1.8419331814069434E-2</v>
      </c>
      <c r="J63" s="129">
        <f>'Keynes-K'!R$42</f>
        <v>1.7737146112417758E-2</v>
      </c>
      <c r="K63" s="129">
        <f>'Keynes-K'!T$42</f>
        <v>1.9262159340549895E-2</v>
      </c>
      <c r="L63" s="129">
        <f>'Keynes-K'!V$42</f>
        <v>2.3543914495895074E-2</v>
      </c>
      <c r="M63" s="129">
        <f>'Keynes-K'!X$42</f>
        <v>3.1350274383817225E-2</v>
      </c>
      <c r="N63" s="129">
        <f>'Keynes-K'!Z$42</f>
        <v>4.3791701289395982E-2</v>
      </c>
      <c r="O63" s="129">
        <f>'Keynes-K'!AB$42</f>
        <v>6.2548270596391717E-2</v>
      </c>
      <c r="P63" s="129">
        <f>'Keynes-K'!AD$42</f>
        <v>9.0307411120563494E-2</v>
      </c>
      <c r="Q63" s="129">
        <f>'Keynes-K'!AF$42</f>
        <v>0.13163827966832881</v>
      </c>
      <c r="R63" s="129">
        <f>'Keynes-K'!AH$42</f>
        <v>0.19468455909293908</v>
      </c>
      <c r="S63" s="129">
        <f>'Keynes-K'!AJ$42</f>
        <v>0.29384347292737445</v>
      </c>
      <c r="T63" s="129">
        <f>'Keynes-K'!AL$42</f>
        <v>0.45167246858277865</v>
      </c>
      <c r="U63" s="129"/>
      <c r="V63" s="129"/>
      <c r="W63" s="129"/>
      <c r="X63" s="129"/>
      <c r="Y63" s="129"/>
    </row>
    <row r="64" spans="1:25" x14ac:dyDescent="0.2">
      <c r="A64" t="s">
        <v>142</v>
      </c>
      <c r="B64" s="129">
        <f>'Neo-K1'!B$42</f>
        <v>6.0999999999999999E-2</v>
      </c>
      <c r="C64" s="129">
        <f>'Neo-K1'!D$42</f>
        <v>6.4784397780583536E-2</v>
      </c>
      <c r="D64" s="129">
        <f>'Neo-K1'!F$42</f>
        <v>6.9129627764640378E-2</v>
      </c>
      <c r="E64" s="129">
        <f>'Neo-K1'!H$42</f>
        <v>7.4155543976128599E-2</v>
      </c>
      <c r="F64" s="129">
        <f>'Neo-K1'!J$42</f>
        <v>8.0015106672548991E-2</v>
      </c>
      <c r="G64" s="129">
        <f>'Neo-K1'!L$42</f>
        <v>8.6905941215803167E-2</v>
      </c>
      <c r="H64" s="129">
        <f>'Neo-K1'!N$42</f>
        <v>9.5086561037631967E-2</v>
      </c>
      <c r="I64" s="129">
        <f>'Neo-K1'!P$42</f>
        <v>0.1048985773420196</v>
      </c>
      <c r="J64" s="129">
        <f>'Neo-K1'!R$42</f>
        <v>0.11679859804742222</v>
      </c>
      <c r="K64" s="129">
        <f>'Neo-K1'!T$42</f>
        <v>0.13140401395139112</v>
      </c>
      <c r="L64" s="129">
        <f>'Neo-K1'!V$42</f>
        <v>0.14955622806362251</v>
      </c>
      <c r="M64" s="129">
        <f>'Neo-K1'!X$42</f>
        <v>0.17240841514660515</v>
      </c>
      <c r="N64" s="129">
        <f>'Neo-K1'!Z$42</f>
        <v>0.20153876987255667</v>
      </c>
      <c r="O64" s="129">
        <f>'Neo-K1'!AB$42</f>
        <v>0.23908002519723201</v>
      </c>
      <c r="P64" s="129">
        <f>'Neo-K1'!AD$42</f>
        <v>0.28782622557238208</v>
      </c>
      <c r="Q64" s="129">
        <f>'Neo-K1'!AF$42</f>
        <v>0.3512258012935815</v>
      </c>
      <c r="R64" s="129">
        <f>'Neo-K1'!AH$42</f>
        <v>0.43312172866775045</v>
      </c>
      <c r="S64" s="129">
        <f>'Neo-K1'!AJ$42</f>
        <v>0.53714623329726385</v>
      </c>
      <c r="T64" s="129">
        <f>'Neo-K1'!AL$42</f>
        <v>0.66591144535887858</v>
      </c>
      <c r="U64" s="129">
        <f>'Neo-K1'!AN$42</f>
        <v>0.82041250274011213</v>
      </c>
      <c r="V64" s="129">
        <f>'Neo-K1'!AP$42</f>
        <v>0.85436844042198423</v>
      </c>
      <c r="W64" s="129">
        <f>'Neo-K1'!AR$42</f>
        <v>0.88931957987372767</v>
      </c>
      <c r="X64" s="129">
        <f>'Neo-K1'!AT$42</f>
        <v>0.92525221097052879</v>
      </c>
      <c r="Y64" s="129">
        <f>'Neo-K1'!AV$42</f>
        <v>0.96215115987836519</v>
      </c>
    </row>
    <row r="65" spans="1:25" x14ac:dyDescent="0.2">
      <c r="A65" t="s">
        <v>141</v>
      </c>
      <c r="B65" s="129">
        <f>'Neo-K2'!B$42</f>
        <v>6.0999999999999999E-2</v>
      </c>
      <c r="C65" s="129">
        <f>'Neo-K2'!D$42</f>
        <v>6.584695809639575E-2</v>
      </c>
      <c r="D65" s="129">
        <f>'Neo-K2'!F$42</f>
        <v>7.1496059027253075E-2</v>
      </c>
      <c r="E65" s="129">
        <f>'Neo-K2'!H$42</f>
        <v>7.813613930343602E-2</v>
      </c>
      <c r="F65" s="129">
        <f>'Neo-K2'!J$42</f>
        <v>8.6012468449822438E-2</v>
      </c>
      <c r="G65" s="129">
        <f>'Neo-K2'!L$42</f>
        <v>9.5442562770882505E-2</v>
      </c>
      <c r="H65" s="129">
        <f>'Neo-K2'!N$42</f>
        <v>0.10684220132305658</v>
      </c>
      <c r="I65" s="129">
        <f>'Neo-K2'!P$42</f>
        <v>0.12075376161175685</v>
      </c>
      <c r="J65" s="129">
        <f>'Neo-K2'!R$42</f>
        <v>0.13788133360056881</v>
      </c>
      <c r="K65" s="129">
        <f>'Neo-K2'!T$42</f>
        <v>0.15912420894202048</v>
      </c>
      <c r="L65" s="129">
        <f>'Neo-K2'!V$42</f>
        <v>0.18559260523906884</v>
      </c>
      <c r="M65" s="129">
        <f>'Neo-K2'!X$42</f>
        <v>0.21857295507629873</v>
      </c>
      <c r="N65" s="129">
        <f>'Neo-K2'!Z$42</f>
        <v>0.25938343315842827</v>
      </c>
      <c r="O65" s="129">
        <f>'Neo-K2'!AB$42</f>
        <v>0.30904523360244984</v>
      </c>
      <c r="P65" s="129">
        <f>'Neo-K2'!AD$42</f>
        <v>0.36774218298881295</v>
      </c>
      <c r="Q65" s="129">
        <f>'Neo-K2'!AF$42</f>
        <v>0.43426540257764895</v>
      </c>
      <c r="R65" s="129">
        <f>'Neo-K2'!AH$42</f>
        <v>0.50614587364545305</v>
      </c>
      <c r="S65" s="129">
        <f>'Neo-K2'!AJ$42</f>
        <v>0.58156269819730855</v>
      </c>
      <c r="T65" s="129">
        <f>'Neo-K2'!AL$42</f>
        <v>0.66337036343934286</v>
      </c>
      <c r="U65" s="129">
        <f>'Neo-K2'!AN$42</f>
        <v>0.7670851172993034</v>
      </c>
      <c r="V65" s="129">
        <f>'Neo-K2'!AP$42</f>
        <v>0.79441160146399814</v>
      </c>
      <c r="W65" s="129">
        <f>'Neo-K2'!AR$42</f>
        <v>0.82609439188894429</v>
      </c>
      <c r="X65" s="129">
        <f>'Neo-K2'!AT$42</f>
        <v>0.86436862583781515</v>
      </c>
      <c r="Y65" s="129">
        <f>'Neo-K2'!AV$42</f>
        <v>0.91406600837288532</v>
      </c>
    </row>
    <row r="68" spans="1:25" ht="10.5" x14ac:dyDescent="0.25">
      <c r="A68" s="92" t="s">
        <v>186</v>
      </c>
      <c r="B68" s="204">
        <v>0</v>
      </c>
      <c r="C68" s="204">
        <v>0.05</v>
      </c>
      <c r="D68" s="204">
        <v>0.1</v>
      </c>
      <c r="E68" s="204">
        <v>0.15000000000000002</v>
      </c>
      <c r="F68" s="204">
        <v>0.2</v>
      </c>
      <c r="G68" s="204">
        <v>0.25</v>
      </c>
      <c r="H68" s="204">
        <v>0.3</v>
      </c>
      <c r="I68" s="204">
        <v>0.35</v>
      </c>
      <c r="J68" s="204">
        <v>0.39999999999999997</v>
      </c>
      <c r="K68" s="204">
        <v>0.44999999999999996</v>
      </c>
      <c r="L68" s="204">
        <v>0.49999999999999994</v>
      </c>
      <c r="M68" s="204">
        <v>0.54999999999999993</v>
      </c>
      <c r="N68" s="204">
        <v>0.6</v>
      </c>
      <c r="O68" s="204">
        <v>0.65</v>
      </c>
      <c r="P68" s="206"/>
    </row>
    <row r="69" spans="1:25" x14ac:dyDescent="0.2">
      <c r="A69" t="s">
        <v>12</v>
      </c>
      <c r="B69" s="27">
        <f>HLOOKUP(B$68,Results!$A$1:$AW$39,MATCH('Diagnosis Indicators'!$A69,Results!$A$1:$A$39,0),FALSE)</f>
        <v>1000</v>
      </c>
      <c r="C69" s="27">
        <f>HLOOKUP(C$68,Results!$A$1:$AW$39,MATCH('Diagnosis Indicators'!$A69,Results!$A$1:$A$39,0),FALSE)</f>
        <v>998.0231366575581</v>
      </c>
      <c r="D69" s="27">
        <f>HLOOKUP(D$68,Results!$A$1:$AW$39,MATCH('Diagnosis Indicators'!$A69,Results!$A$1:$A$39,0),FALSE)</f>
        <v>996.27041354048822</v>
      </c>
      <c r="E69" s="27">
        <f>HLOOKUP(E$68,Results!$A$1:$AW$39,MATCH('Diagnosis Indicators'!$A69,Results!$A$1:$A$39,0),FALSE)</f>
        <v>994.80335697317207</v>
      </c>
      <c r="F69" s="27">
        <f>HLOOKUP(F$68,Results!$A$1:$AW$39,MATCH('Diagnosis Indicators'!$A69,Results!$A$1:$A$39,0),FALSE)</f>
        <v>993.70677325007773</v>
      </c>
      <c r="G69" s="27">
        <f>HLOOKUP(G$68,Results!$A$1:$AW$39,MATCH('Diagnosis Indicators'!$A69,Results!$A$1:$A$39,0),FALSE)</f>
        <v>993.09807406346499</v>
      </c>
      <c r="H69" s="27">
        <f>HLOOKUP(H$68,Results!$A$1:$AW$39,MATCH('Diagnosis Indicators'!$A69,Results!$A$1:$A$39,0),FALSE)</f>
        <v>993.14383683585322</v>
      </c>
      <c r="I69" s="27">
        <f>HLOOKUP(I$68,Results!$A$1:$AW$39,MATCH('Diagnosis Indicators'!$A69,Results!$A$1:$A$39,0),FALSE)</f>
        <v>994.08345640001005</v>
      </c>
      <c r="J69" s="27">
        <f>HLOOKUP(J$68,Results!$A$1:$AW$39,MATCH('Diagnosis Indicators'!$A69,Results!$A$1:$A$39,0),FALSE)</f>
        <v>996.26765930644842</v>
      </c>
      <c r="K69" s="27">
        <f>HLOOKUP(K$68,Results!$A$1:$AW$39,MATCH('Diagnosis Indicators'!$A69,Results!$A$1:$A$39,0),FALSE)</f>
        <v>1000.2202094156316</v>
      </c>
      <c r="L69" s="27">
        <f>HLOOKUP(L$68,Results!$A$1:$AW$39,MATCH('Diagnosis Indicators'!$A69,Results!$A$1:$A$39,0),FALSE)</f>
        <v>1006.7385455778999</v>
      </c>
      <c r="M69" s="27">
        <f>HLOOKUP(M$68,Results!$A$1:$AW$39,MATCH('Diagnosis Indicators'!$A69,Results!$A$1:$A$39,0),FALSE)</f>
        <v>1017.0625727851963</v>
      </c>
      <c r="N69" s="27">
        <f>HLOOKUP(N$68,Results!$A$1:$AW$39,MATCH('Diagnosis Indicators'!$A69,Results!$A$1:$A$39,0),FALSE)</f>
        <v>1033.1638805434009</v>
      </c>
      <c r="O69" s="27">
        <f>HLOOKUP(O$68,Results!$A$1:$AW$39,MATCH('Diagnosis Indicators'!$A69,Results!$A$1:$A$39,0),FALSE)</f>
        <v>1058.2549053922287</v>
      </c>
    </row>
    <row r="70" spans="1:25" x14ac:dyDescent="0.2">
      <c r="A70" t="s">
        <v>115</v>
      </c>
      <c r="B70" s="27">
        <f>HLOOKUP(B$68,Results!$A$1:$AW$39,MATCH('Diagnosis Indicators'!$A70,Results!$A$1:$A$39,0),FALSE)</f>
        <v>1000</v>
      </c>
      <c r="C70" s="27">
        <f>HLOOKUP(C$68,Results!$A$1:$AW$39,MATCH('Diagnosis Indicators'!$A70,Results!$A$1:$A$39,0),FALSE)</f>
        <v>997.92482905930069</v>
      </c>
      <c r="D70" s="27">
        <f>HLOOKUP(D$68,Results!$A$1:$AW$39,MATCH('Diagnosis Indicators'!$A70,Results!$A$1:$A$39,0),FALSE)</f>
        <v>996.08349636477783</v>
      </c>
      <c r="E70" s="27">
        <f>HLOOKUP(E$68,Results!$A$1:$AW$39,MATCH('Diagnosis Indicators'!$A70,Results!$A$1:$A$39,0),FALSE)</f>
        <v>994.54121864494391</v>
      </c>
      <c r="F70" s="27">
        <f>HLOOKUP(F$68,Results!$A$1:$AW$39,MATCH('Diagnosis Indicators'!$A70,Results!$A$1:$A$39,0),FALSE)</f>
        <v>993.38778082578801</v>
      </c>
      <c r="G70" s="27">
        <f>HLOOKUP(G$68,Results!$A$1:$AW$39,MATCH('Diagnosis Indicators'!$A70,Results!$A$1:$A$39,0),FALSE)</f>
        <v>992.74728904817357</v>
      </c>
      <c r="H70" s="27">
        <f>HLOOKUP(H$68,Results!$A$1:$AW$39,MATCH('Diagnosis Indicators'!$A70,Results!$A$1:$A$39,0),FALSE)</f>
        <v>992.79544770940549</v>
      </c>
      <c r="I70" s="27">
        <f>HLOOKUP(I$68,Results!$A$1:$AW$39,MATCH('Diagnosis Indicators'!$A70,Results!$A$1:$A$39,0),FALSE)</f>
        <v>993.78405399849089</v>
      </c>
      <c r="J70" s="27">
        <f>HLOOKUP(J$68,Results!$A$1:$AW$39,MATCH('Diagnosis Indicators'!$A70,Results!$A$1:$A$39,0),FALSE)</f>
        <v>996.080600656721</v>
      </c>
      <c r="K70" s="27">
        <f>HLOOKUP(K$68,Results!$A$1:$AW$39,MATCH('Diagnosis Indicators'!$A70,Results!$A$1:$A$39,0),FALSE)</f>
        <v>1000.2310534395598</v>
      </c>
      <c r="L70" s="27">
        <f>HLOOKUP(L$68,Results!$A$1:$AW$39,MATCH('Diagnosis Indicators'!$A70,Results!$A$1:$A$39,0),FALSE)</f>
        <v>1007.0607852451111</v>
      </c>
      <c r="M70" s="27">
        <f>HLOOKUP(M$68,Results!$A$1:$AW$39,MATCH('Diagnosis Indicators'!$A70,Results!$A$1:$A$39,0),FALSE)</f>
        <v>1017.8407056425966</v>
      </c>
      <c r="N70" s="27">
        <f>HLOOKUP(N$68,Results!$A$1:$AW$39,MATCH('Diagnosis Indicators'!$A70,Results!$A$1:$A$39,0),FALSE)</f>
        <v>1034.564806508874</v>
      </c>
      <c r="O70" s="27">
        <f>HLOOKUP(O$68,Results!$A$1:$AW$39,MATCH('Diagnosis Indicators'!$A70,Results!$A$1:$A$39,0),FALSE)</f>
        <v>1060.4228214977397</v>
      </c>
    </row>
    <row r="71" spans="1:25" x14ac:dyDescent="0.2">
      <c r="A71" t="s">
        <v>17</v>
      </c>
      <c r="B71" s="27">
        <f>HLOOKUP(B$68,Results!$A$1:$AW$39,MATCH('Diagnosis Indicators'!$A71,Results!$A$1:$A$39,0),FALSE)</f>
        <v>1000</v>
      </c>
      <c r="C71" s="27">
        <f>HLOOKUP(C$68,Results!$A$1:$AW$39,MATCH('Diagnosis Indicators'!$A71,Results!$A$1:$A$39,0),FALSE)</f>
        <v>993.49488361028875</v>
      </c>
      <c r="D71" s="27">
        <f>HLOOKUP(D$68,Results!$A$1:$AW$39,MATCH('Diagnosis Indicators'!$A71,Results!$A$1:$A$39,0),FALSE)</f>
        <v>986.88131103831768</v>
      </c>
      <c r="E71" s="27">
        <f>HLOOKUP(E$68,Results!$A$1:$AW$39,MATCH('Diagnosis Indicators'!$A71,Results!$A$1:$A$39,0),FALSE)</f>
        <v>980.18272208827273</v>
      </c>
      <c r="F71" s="27">
        <f>HLOOKUP(F$68,Results!$A$1:$AW$39,MATCH('Diagnosis Indicators'!$A71,Results!$A$1:$A$39,0),FALSE)</f>
        <v>973.44089170062227</v>
      </c>
      <c r="G71" s="27">
        <f>HLOOKUP(G$68,Results!$A$1:$AW$39,MATCH('Diagnosis Indicators'!$A71,Results!$A$1:$A$39,0),FALSE)</f>
        <v>966.72447621026424</v>
      </c>
      <c r="H71" s="27">
        <f>HLOOKUP(H$68,Results!$A$1:$AW$39,MATCH('Diagnosis Indicators'!$A71,Results!$A$1:$A$39,0),FALSE)</f>
        <v>960.1450120353644</v>
      </c>
      <c r="I71" s="27">
        <f>HLOOKUP(I$68,Results!$A$1:$AW$39,MATCH('Diagnosis Indicators'!$A71,Results!$A$1:$A$39,0),FALSE)</f>
        <v>953.87969164877723</v>
      </c>
      <c r="J71" s="27">
        <f>HLOOKUP(J$68,Results!$A$1:$AW$39,MATCH('Diagnosis Indicators'!$A71,Results!$A$1:$A$39,0),FALSE)</f>
        <v>948.20887932325036</v>
      </c>
      <c r="K71" s="27">
        <f>HLOOKUP(K$68,Results!$A$1:$AW$39,MATCH('Diagnosis Indicators'!$A71,Results!$A$1:$A$39,0),FALSE)</f>
        <v>943.57599236199235</v>
      </c>
      <c r="L71" s="27">
        <f>HLOOKUP(L$68,Results!$A$1:$AW$39,MATCH('Diagnosis Indicators'!$A71,Results!$A$1:$A$39,0),FALSE)</f>
        <v>940.68423905908878</v>
      </c>
      <c r="M71" s="27">
        <f>HLOOKUP(M$68,Results!$A$1:$AW$39,MATCH('Diagnosis Indicators'!$A71,Results!$A$1:$A$39,0),FALSE)</f>
        <v>940.65635713462905</v>
      </c>
      <c r="N71" s="27">
        <f>HLOOKUP(N$68,Results!$A$1:$AW$39,MATCH('Diagnosis Indicators'!$A71,Results!$A$1:$A$39,0),FALSE)</f>
        <v>945.30319946562793</v>
      </c>
      <c r="O71" s="27">
        <f>HLOOKUP(O$68,Results!$A$1:$AW$39,MATCH('Diagnosis Indicators'!$A71,Results!$A$1:$A$39,0),FALSE)</f>
        <v>957.58920088839636</v>
      </c>
    </row>
    <row r="72" spans="1:25" x14ac:dyDescent="0.2">
      <c r="A72" t="s">
        <v>18</v>
      </c>
      <c r="B72" s="27">
        <f>HLOOKUP(B$68,Results!$A$1:$AW$39,MATCH('Diagnosis Indicators'!$A72,Results!$A$1:$A$39,0),FALSE)</f>
        <v>1000</v>
      </c>
      <c r="C72" s="27">
        <f>HLOOKUP(C$68,Results!$A$1:$AW$39,MATCH('Diagnosis Indicators'!$A72,Results!$A$1:$A$39,0),FALSE)</f>
        <v>997.92482905930069</v>
      </c>
      <c r="D72" s="27">
        <f>HLOOKUP(D$68,Results!$A$1:$AW$39,MATCH('Diagnosis Indicators'!$A72,Results!$A$1:$A$39,0),FALSE)</f>
        <v>996.08349636477783</v>
      </c>
      <c r="E72" s="27">
        <f>HLOOKUP(E$68,Results!$A$1:$AW$39,MATCH('Diagnosis Indicators'!$A72,Results!$A$1:$A$39,0),FALSE)</f>
        <v>994.54121864494391</v>
      </c>
      <c r="F72" s="27">
        <f>HLOOKUP(F$68,Results!$A$1:$AW$39,MATCH('Diagnosis Indicators'!$A72,Results!$A$1:$A$39,0),FALSE)</f>
        <v>993.38778082578801</v>
      </c>
      <c r="G72" s="27">
        <f>HLOOKUP(G$68,Results!$A$1:$AW$39,MATCH('Diagnosis Indicators'!$A72,Results!$A$1:$A$39,0),FALSE)</f>
        <v>992.74728904817357</v>
      </c>
      <c r="H72" s="27">
        <f>HLOOKUP(H$68,Results!$A$1:$AW$39,MATCH('Diagnosis Indicators'!$A72,Results!$A$1:$A$39,0),FALSE)</f>
        <v>992.79544770940549</v>
      </c>
      <c r="I72" s="27">
        <f>HLOOKUP(I$68,Results!$A$1:$AW$39,MATCH('Diagnosis Indicators'!$A72,Results!$A$1:$A$39,0),FALSE)</f>
        <v>993.78405399849089</v>
      </c>
      <c r="J72" s="27">
        <f>HLOOKUP(J$68,Results!$A$1:$AW$39,MATCH('Diagnosis Indicators'!$A72,Results!$A$1:$A$39,0),FALSE)</f>
        <v>996.080600656721</v>
      </c>
      <c r="K72" s="27">
        <f>HLOOKUP(K$68,Results!$A$1:$AW$39,MATCH('Diagnosis Indicators'!$A72,Results!$A$1:$A$39,0),FALSE)</f>
        <v>1000.2310534395598</v>
      </c>
      <c r="L72" s="27">
        <f>HLOOKUP(L$68,Results!$A$1:$AW$39,MATCH('Diagnosis Indicators'!$A72,Results!$A$1:$A$39,0),FALSE)</f>
        <v>1007.0607852451111</v>
      </c>
      <c r="M72" s="27">
        <f>HLOOKUP(M$68,Results!$A$1:$AW$39,MATCH('Diagnosis Indicators'!$A72,Results!$A$1:$A$39,0),FALSE)</f>
        <v>1017.8407056425966</v>
      </c>
      <c r="N72" s="27">
        <f>HLOOKUP(N$68,Results!$A$1:$AW$39,MATCH('Diagnosis Indicators'!$A72,Results!$A$1:$A$39,0),FALSE)</f>
        <v>1034.564806508874</v>
      </c>
      <c r="O72" s="27">
        <f>HLOOKUP(O$68,Results!$A$1:$AW$39,MATCH('Diagnosis Indicators'!$A72,Results!$A$1:$A$39,0),FALSE)</f>
        <v>1060.4228214977397</v>
      </c>
    </row>
    <row r="73" spans="1:25" x14ac:dyDescent="0.2">
      <c r="A73" t="s">
        <v>61</v>
      </c>
      <c r="B73" s="27">
        <f>HLOOKUP(B$68,Results!$A$1:$AW$39,MATCH('Diagnosis Indicators'!$A73,Results!$A$1:$A$39,0),FALSE)</f>
        <v>1000</v>
      </c>
      <c r="C73" s="27">
        <f>HLOOKUP(C$68,Results!$A$1:$AW$39,MATCH('Diagnosis Indicators'!$A73,Results!$A$1:$A$39,0),FALSE)</f>
        <v>995.56223434782282</v>
      </c>
      <c r="D73" s="27">
        <f>HLOOKUP(D$68,Results!$A$1:$AW$39,MATCH('Diagnosis Indicators'!$A73,Results!$A$1:$A$39,0),FALSE)</f>
        <v>991.17409294514619</v>
      </c>
      <c r="E73" s="27">
        <f>HLOOKUP(E$68,Results!$A$1:$AW$39,MATCH('Diagnosis Indicators'!$A73,Results!$A$1:$A$39,0),FALSE)</f>
        <v>986.87808136358956</v>
      </c>
      <c r="F73" s="27">
        <f>HLOOKUP(F$68,Results!$A$1:$AW$39,MATCH('Diagnosis Indicators'!$A73,Results!$A$1:$A$39,0),FALSE)</f>
        <v>982.73783917254264</v>
      </c>
      <c r="G73" s="27">
        <f>HLOOKUP(G$68,Results!$A$1:$AW$39,MATCH('Diagnosis Indicators'!$A73,Results!$A$1:$A$39,0),FALSE)</f>
        <v>978.8472199573954</v>
      </c>
      <c r="H73" s="27">
        <f>HLOOKUP(H$68,Results!$A$1:$AW$39,MATCH('Diagnosis Indicators'!$A73,Results!$A$1:$A$39,0),FALSE)</f>
        <v>975.34685246771016</v>
      </c>
      <c r="I73" s="27">
        <f>HLOOKUP(I$68,Results!$A$1:$AW$39,MATCH('Diagnosis Indicators'!$A73,Results!$A$1:$A$39,0),FALSE)</f>
        <v>972.44767635403684</v>
      </c>
      <c r="J73" s="27">
        <f>HLOOKUP(J$68,Results!$A$1:$AW$39,MATCH('Diagnosis Indicators'!$A73,Results!$A$1:$A$39,0),FALSE)</f>
        <v>970.46938696998632</v>
      </c>
      <c r="K73" s="27">
        <f>HLOOKUP(K$68,Results!$A$1:$AW$39,MATCH('Diagnosis Indicators'!$A73,Results!$A$1:$A$39,0),FALSE)</f>
        <v>969.90162163747004</v>
      </c>
      <c r="L73" s="27">
        <f>HLOOKUP(L$68,Results!$A$1:$AW$39,MATCH('Diagnosis Indicators'!$A73,Results!$A$1:$A$39,0),FALSE)</f>
        <v>971.50262699227494</v>
      </c>
      <c r="M73" s="27">
        <f>HLOOKUP(M$68,Results!$A$1:$AW$39,MATCH('Diagnosis Indicators'!$A73,Results!$A$1:$A$39,0),FALSE)</f>
        <v>976.46199346005903</v>
      </c>
      <c r="N73" s="27">
        <f>HLOOKUP(N$68,Results!$A$1:$AW$39,MATCH('Diagnosis Indicators'!$A73,Results!$A$1:$A$39,0),FALSE)</f>
        <v>986.6735505571246</v>
      </c>
      <c r="O73" s="27">
        <f>HLOOKUP(O$68,Results!$A$1:$AW$39,MATCH('Diagnosis Indicators'!$A73,Results!$A$1:$A$39,0),FALSE)</f>
        <v>1005.2046070179651</v>
      </c>
    </row>
    <row r="74" spans="1:25" x14ac:dyDescent="0.2">
      <c r="A74" t="s">
        <v>114</v>
      </c>
      <c r="B74" s="27">
        <f>HLOOKUP(B$68,Results!$A$1:$AW$39,MATCH('Diagnosis Indicators'!$A74,Results!$A$1:$A$39,0),FALSE)</f>
        <v>26548.356269999993</v>
      </c>
      <c r="C74" s="27">
        <f>HLOOKUP(C$68,Results!$A$1:$AW$39,MATCH('Diagnosis Indicators'!$A74,Results!$A$1:$A$39,0),FALSE)</f>
        <v>26363.418449810528</v>
      </c>
      <c r="D74" s="27">
        <f>HLOOKUP(D$68,Results!$A$1:$AW$39,MATCH('Diagnosis Indicators'!$A74,Results!$A$1:$A$39,0),FALSE)</f>
        <v>26154.815364416634</v>
      </c>
      <c r="E74" s="27">
        <f>HLOOKUP(E$68,Results!$A$1:$AW$39,MATCH('Diagnosis Indicators'!$A74,Results!$A$1:$A$39,0),FALSE)</f>
        <v>25917.654686031783</v>
      </c>
      <c r="F74" s="27">
        <f>HLOOKUP(F$68,Results!$A$1:$AW$39,MATCH('Diagnosis Indicators'!$A74,Results!$A$1:$A$39,0),FALSE)</f>
        <v>25645.709990772939</v>
      </c>
      <c r="G74" s="27">
        <f>HLOOKUP(G$68,Results!$A$1:$AW$39,MATCH('Diagnosis Indicators'!$A74,Results!$A$1:$A$39,0),FALSE)</f>
        <v>25331.077629765939</v>
      </c>
      <c r="H74" s="27">
        <f>HLOOKUP(H$68,Results!$A$1:$AW$39,MATCH('Diagnosis Indicators'!$A74,Results!$A$1:$A$39,0),FALSE)</f>
        <v>24963.618642807847</v>
      </c>
      <c r="I74" s="27">
        <f>HLOOKUP(I$68,Results!$A$1:$AW$39,MATCH('Diagnosis Indicators'!$A74,Results!$A$1:$A$39,0),FALSE)</f>
        <v>24530.380951900264</v>
      </c>
      <c r="J74" s="27">
        <f>HLOOKUP(J$68,Results!$A$1:$AW$39,MATCH('Diagnosis Indicators'!$A74,Results!$A$1:$A$39,0),FALSE)</f>
        <v>24014.919532739375</v>
      </c>
      <c r="K74" s="27">
        <f>HLOOKUP(K$68,Results!$A$1:$AW$39,MATCH('Diagnosis Indicators'!$A74,Results!$A$1:$A$39,0),FALSE)</f>
        <v>23396.7379638682</v>
      </c>
      <c r="L74" s="27">
        <f>HLOOKUP(L$68,Results!$A$1:$AW$39,MATCH('Diagnosis Indicators'!$A74,Results!$A$1:$A$39,0),FALSE)</f>
        <v>22651.256252354167</v>
      </c>
      <c r="M74" s="27">
        <f>HLOOKUP(M$68,Results!$A$1:$AW$39,MATCH('Diagnosis Indicators'!$A74,Results!$A$1:$A$39,0),FALSE)</f>
        <v>21751.088757655591</v>
      </c>
      <c r="N74" s="27">
        <f>HLOOKUP(N$68,Results!$A$1:$AW$39,MATCH('Diagnosis Indicators'!$A74,Results!$A$1:$A$39,0),FALSE)</f>
        <v>20669.991270590988</v>
      </c>
      <c r="O74" s="27">
        <f>HLOOKUP(O$68,Results!$A$1:$AW$39,MATCH('Diagnosis Indicators'!$A74,Results!$A$1:$A$39,0),FALSE)</f>
        <v>19391.105630710765</v>
      </c>
    </row>
    <row r="75" spans="1:25" x14ac:dyDescent="0.2">
      <c r="A75" t="s">
        <v>8</v>
      </c>
      <c r="B75" s="27">
        <f>HLOOKUP(B$68,Results!$A$1:$AW$39,MATCH('Diagnosis Indicators'!$A75,Results!$A$1:$A$39,0),FALSE)</f>
        <v>3196.3846373657216</v>
      </c>
      <c r="C75" s="27">
        <f>HLOOKUP(C$68,Results!$A$1:$AW$39,MATCH('Diagnosis Indicators'!$A75,Results!$A$1:$A$39,0),FALSE)</f>
        <v>3196.3846373657216</v>
      </c>
      <c r="D75" s="27">
        <f>HLOOKUP(D$68,Results!$A$1:$AW$39,MATCH('Diagnosis Indicators'!$A75,Results!$A$1:$A$39,0),FALSE)</f>
        <v>3196.3846373657216</v>
      </c>
      <c r="E75" s="27">
        <f>HLOOKUP(E$68,Results!$A$1:$AW$39,MATCH('Diagnosis Indicators'!$A75,Results!$A$1:$A$39,0),FALSE)</f>
        <v>3196.3846373657216</v>
      </c>
      <c r="F75" s="27">
        <f>HLOOKUP(F$68,Results!$A$1:$AW$39,MATCH('Diagnosis Indicators'!$A75,Results!$A$1:$A$39,0),FALSE)</f>
        <v>3196.3846373657216</v>
      </c>
      <c r="G75" s="27">
        <f>HLOOKUP(G$68,Results!$A$1:$AW$39,MATCH('Diagnosis Indicators'!$A75,Results!$A$1:$A$39,0),FALSE)</f>
        <v>3196.3846373657216</v>
      </c>
      <c r="H75" s="27">
        <f>HLOOKUP(H$68,Results!$A$1:$AW$39,MATCH('Diagnosis Indicators'!$A75,Results!$A$1:$A$39,0),FALSE)</f>
        <v>3196.3846373657216</v>
      </c>
      <c r="I75" s="27">
        <f>HLOOKUP(I$68,Results!$A$1:$AW$39,MATCH('Diagnosis Indicators'!$A75,Results!$A$1:$A$39,0),FALSE)</f>
        <v>3196.3846373657216</v>
      </c>
      <c r="J75" s="27">
        <f>HLOOKUP(J$68,Results!$A$1:$AW$39,MATCH('Diagnosis Indicators'!$A75,Results!$A$1:$A$39,0),FALSE)</f>
        <v>3196.3846373657216</v>
      </c>
      <c r="K75" s="27">
        <f>HLOOKUP(K$68,Results!$A$1:$AW$39,MATCH('Diagnosis Indicators'!$A75,Results!$A$1:$A$39,0),FALSE)</f>
        <v>3196.3846373657216</v>
      </c>
      <c r="L75" s="27">
        <f>HLOOKUP(L$68,Results!$A$1:$AW$39,MATCH('Diagnosis Indicators'!$A75,Results!$A$1:$A$39,0),FALSE)</f>
        <v>3196.3846373657216</v>
      </c>
      <c r="M75" s="27">
        <f>HLOOKUP(M$68,Results!$A$1:$AW$39,MATCH('Diagnosis Indicators'!$A75,Results!$A$1:$A$39,0),FALSE)</f>
        <v>3196.3846373657216</v>
      </c>
      <c r="N75" s="27">
        <f>HLOOKUP(N$68,Results!$A$1:$AW$39,MATCH('Diagnosis Indicators'!$A75,Results!$A$1:$A$39,0),FALSE)</f>
        <v>3196.3846373657216</v>
      </c>
      <c r="O75" s="27">
        <f>HLOOKUP(O$68,Results!$A$1:$AW$39,MATCH('Diagnosis Indicators'!$A75,Results!$A$1:$A$39,0),FALSE)</f>
        <v>3196.3846373657216</v>
      </c>
    </row>
    <row r="76" spans="1:25" x14ac:dyDescent="0.2">
      <c r="A76" t="s">
        <v>64</v>
      </c>
      <c r="B76" s="27">
        <f>HLOOKUP(B$68,Results!$A$1:$AW$39,MATCH('Diagnosis Indicators'!$A76,Results!$A$1:$A$39,0),FALSE)</f>
        <v>14734457.915000005</v>
      </c>
      <c r="C76" s="27">
        <f>HLOOKUP(C$68,Results!$A$1:$AW$39,MATCH('Diagnosis Indicators'!$A76,Results!$A$1:$A$39,0),FALSE)</f>
        <v>14629882.701358467</v>
      </c>
      <c r="D76" s="27">
        <f>HLOOKUP(D$68,Results!$A$1:$AW$39,MATCH('Diagnosis Indicators'!$A76,Results!$A$1:$A$39,0),FALSE)</f>
        <v>14513989.91013803</v>
      </c>
      <c r="E76" s="27">
        <f>HLOOKUP(E$68,Results!$A$1:$AW$39,MATCH('Diagnosis Indicators'!$A76,Results!$A$1:$A$39,0),FALSE)</f>
        <v>14384496.797305273</v>
      </c>
      <c r="F76" s="27">
        <f>HLOOKUP(F$68,Results!$A$1:$AW$39,MATCH('Diagnosis Indicators'!$A76,Results!$A$1:$A$39,0),FALSE)</f>
        <v>14238528.227959452</v>
      </c>
      <c r="G76" s="27">
        <f>HLOOKUP(G$68,Results!$A$1:$AW$39,MATCH('Diagnosis Indicators'!$A76,Results!$A$1:$A$39,0),FALSE)</f>
        <v>14072480.39384524</v>
      </c>
      <c r="H76" s="27">
        <f>HLOOKUP(H$68,Results!$A$1:$AW$39,MATCH('Diagnosis Indicators'!$A76,Results!$A$1:$A$39,0),FALSE)</f>
        <v>13881802.720314709</v>
      </c>
      <c r="I76" s="27">
        <f>HLOOKUP(I$68,Results!$A$1:$AW$39,MATCH('Diagnosis Indicators'!$A76,Results!$A$1:$A$39,0),FALSE)</f>
        <v>13660800.099930827</v>
      </c>
      <c r="J76" s="27">
        <f>HLOOKUP(J$68,Results!$A$1:$AW$39,MATCH('Diagnosis Indicators'!$A76,Results!$A$1:$A$39,0),FALSE)</f>
        <v>13402441.380519476</v>
      </c>
      <c r="K76" s="27">
        <f>HLOOKUP(K$68,Results!$A$1:$AW$39,MATCH('Diagnosis Indicators'!$A76,Results!$A$1:$A$39,0),FALSE)</f>
        <v>13098320.861093242</v>
      </c>
      <c r="L76" s="27">
        <f>HLOOKUP(L$68,Results!$A$1:$AW$39,MATCH('Diagnosis Indicators'!$A76,Results!$A$1:$A$39,0),FALSE)</f>
        <v>12739036.545302778</v>
      </c>
      <c r="M76" s="27">
        <f>HLOOKUP(M$68,Results!$A$1:$AW$39,MATCH('Diagnosis Indicators'!$A76,Results!$A$1:$A$39,0),FALSE)</f>
        <v>12315491.899594083</v>
      </c>
      <c r="N76" s="27">
        <f>HLOOKUP(N$68,Results!$A$1:$AW$39,MATCH('Diagnosis Indicators'!$A76,Results!$A$1:$A$39,0),FALSE)</f>
        <v>11822001.223483449</v>
      </c>
      <c r="O76" s="27">
        <f>HLOOKUP(O$68,Results!$A$1:$AW$39,MATCH('Diagnosis Indicators'!$A76,Results!$A$1:$A$39,0),FALSE)</f>
        <v>11262380.451901192</v>
      </c>
    </row>
    <row r="77" spans="1:25" x14ac:dyDescent="0.2">
      <c r="A77" t="s">
        <v>27</v>
      </c>
      <c r="B77" s="27">
        <f>HLOOKUP(B$68,Results!$A$1:$AW$39,MATCH('Diagnosis Indicators'!$A77,Results!$A$1:$A$39,0),FALSE)</f>
        <v>5036.2953101960647</v>
      </c>
      <c r="C77" s="27">
        <f>HLOOKUP(C$68,Results!$A$1:$AW$39,MATCH('Diagnosis Indicators'!$A77,Results!$A$1:$A$39,0),FALSE)</f>
        <v>5014.5911388889399</v>
      </c>
      <c r="D77" s="27">
        <f>HLOOKUP(D$68,Results!$A$1:$AW$39,MATCH('Diagnosis Indicators'!$A77,Results!$A$1:$A$39,0),FALSE)</f>
        <v>4988.5291368795433</v>
      </c>
      <c r="E77" s="27">
        <f>HLOOKUP(E$68,Results!$A$1:$AW$39,MATCH('Diagnosis Indicators'!$A77,Results!$A$1:$A$39,0),FALSE)</f>
        <v>4957.0793981728248</v>
      </c>
      <c r="F77" s="27">
        <f>HLOOKUP(F$68,Results!$A$1:$AW$39,MATCH('Diagnosis Indicators'!$A77,Results!$A$1:$A$39,0),FALSE)</f>
        <v>4918.9036896875159</v>
      </c>
      <c r="G77" s="27">
        <f>HLOOKUP(G$68,Results!$A$1:$AW$39,MATCH('Diagnosis Indicators'!$A77,Results!$A$1:$A$39,0),FALSE)</f>
        <v>4872.2690807614563</v>
      </c>
      <c r="H77" s="27">
        <f>HLOOKUP(H$68,Results!$A$1:$AW$39,MATCH('Diagnosis Indicators'!$A77,Results!$A$1:$A$39,0),FALSE)</f>
        <v>4814.9054726352451</v>
      </c>
      <c r="I77" s="27">
        <f>HLOOKUP(I$68,Results!$A$1:$AW$39,MATCH('Diagnosis Indicators'!$A77,Results!$A$1:$A$39,0),FALSE)</f>
        <v>4743.8506786032276</v>
      </c>
      <c r="J77" s="27">
        <f>HLOOKUP(J$68,Results!$A$1:$AW$39,MATCH('Diagnosis Indicators'!$A77,Results!$A$1:$A$39,0),FALSE)</f>
        <v>4655.2582966645077</v>
      </c>
      <c r="K77" s="27">
        <f>HLOOKUP(K$68,Results!$A$1:$AW$39,MATCH('Diagnosis Indicators'!$A77,Results!$A$1:$A$39,0),FALSE)</f>
        <v>4544.2145672772212</v>
      </c>
      <c r="L77" s="27">
        <f>HLOOKUP(L$68,Results!$A$1:$AW$39,MATCH('Diagnosis Indicators'!$A77,Results!$A$1:$A$39,0),FALSE)</f>
        <v>4404.65244664069</v>
      </c>
      <c r="M77" s="27">
        <f>HLOOKUP(M$68,Results!$A$1:$AW$39,MATCH('Diagnosis Indicators'!$A77,Results!$A$1:$A$39,0),FALSE)</f>
        <v>4229.5414907720515</v>
      </c>
      <c r="N77" s="27">
        <f>HLOOKUP(N$68,Results!$A$1:$AW$39,MATCH('Diagnosis Indicators'!$A77,Results!$A$1:$A$39,0),FALSE)</f>
        <v>4011.6773526354609</v>
      </c>
      <c r="O77" s="27">
        <f>HLOOKUP(O$68,Results!$A$1:$AW$39,MATCH('Diagnosis Indicators'!$A77,Results!$A$1:$A$39,0),FALSE)</f>
        <v>3745.4762838421857</v>
      </c>
    </row>
    <row r="78" spans="1:25" x14ac:dyDescent="0.2">
      <c r="A78" t="s">
        <v>19</v>
      </c>
      <c r="B78" s="27">
        <f>HLOOKUP(B$68,Results!$A$1:$AW$39,MATCH('Diagnosis Indicators'!$A78,Results!$A$1:$A$39,0),FALSE)</f>
        <v>27857.010133999996</v>
      </c>
      <c r="C78" s="27">
        <f>HLOOKUP(C$68,Results!$A$1:$AW$39,MATCH('Diagnosis Indicators'!$A78,Results!$A$1:$A$39,0),FALSE)</f>
        <v>27685.978066941771</v>
      </c>
      <c r="D78" s="27">
        <f>HLOOKUP(D$68,Results!$A$1:$AW$39,MATCH('Diagnosis Indicators'!$A78,Results!$A$1:$A$39,0),FALSE)</f>
        <v>27487.284394072532</v>
      </c>
      <c r="E78" s="27">
        <f>HLOOKUP(E$68,Results!$A$1:$AW$39,MATCH('Diagnosis Indicators'!$A78,Results!$A$1:$A$39,0),FALSE)</f>
        <v>27255.030241800396</v>
      </c>
      <c r="F78" s="27">
        <f>HLOOKUP(F$68,Results!$A$1:$AW$39,MATCH('Diagnosis Indicators'!$A78,Results!$A$1:$A$39,0),FALSE)</f>
        <v>26981.671709156955</v>
      </c>
      <c r="G78" s="27">
        <f>HLOOKUP(G$68,Results!$A$1:$AW$39,MATCH('Diagnosis Indicators'!$A78,Results!$A$1:$A$39,0),FALSE)</f>
        <v>26657.587334689295</v>
      </c>
      <c r="H78" s="27">
        <f>HLOOKUP(H$68,Results!$A$1:$AW$39,MATCH('Diagnosis Indicators'!$A78,Results!$A$1:$A$39,0),FALSE)</f>
        <v>26270.371171193532</v>
      </c>
      <c r="I78" s="27">
        <f>HLOOKUP(I$68,Results!$A$1:$AW$39,MATCH('Diagnosis Indicators'!$A78,Results!$A$1:$A$39,0),FALSE)</f>
        <v>25804.09088392694</v>
      </c>
      <c r="J78" s="27">
        <f>HLOOKUP(J$68,Results!$A$1:$AW$39,MATCH('Diagnosis Indicators'!$A78,Results!$A$1:$A$39,0),FALSE)</f>
        <v>25238.400148873792</v>
      </c>
      <c r="K78" s="27">
        <f>HLOOKUP(K$68,Results!$A$1:$AW$39,MATCH('Diagnosis Indicators'!$A78,Results!$A$1:$A$39,0),FALSE)</f>
        <v>24547.770688203735</v>
      </c>
      <c r="L78" s="27">
        <f>HLOOKUP(L$68,Results!$A$1:$AW$39,MATCH('Diagnosis Indicators'!$A78,Results!$A$1:$A$39,0),FALSE)</f>
        <v>23701.329898277396</v>
      </c>
      <c r="M78" s="27">
        <f>HLOOKUP(M$68,Results!$A$1:$AW$39,MATCH('Diagnosis Indicators'!$A78,Results!$A$1:$A$39,0),FALSE)</f>
        <v>22664.249735111265</v>
      </c>
      <c r="N78" s="27">
        <f>HLOOKUP(N$68,Results!$A$1:$AW$39,MATCH('Diagnosis Indicators'!$A78,Results!$A$1:$A$39,0),FALSE)</f>
        <v>21402.339328311686</v>
      </c>
      <c r="O78" s="27">
        <f>HLOOKUP(O$68,Results!$A$1:$AW$39,MATCH('Diagnosis Indicators'!$A78,Results!$A$1:$A$39,0),FALSE)</f>
        <v>19891.818454690452</v>
      </c>
    </row>
  </sheetData>
  <conditionalFormatting sqref="B3:Y3 B6:Y10 B25:Y30 B48:Y54">
    <cfRule type="cellIs" dxfId="8" priority="18" operator="equal">
      <formula>0</formula>
    </cfRule>
  </conditionalFormatting>
  <conditionalFormatting sqref="B36:Y43">
    <cfRule type="containsErrors" dxfId="7" priority="14">
      <formula>ISERROR(B36)</formula>
    </cfRule>
    <cfRule type="containsErrors" priority="16">
      <formula>ISERROR(B36)</formula>
    </cfRule>
  </conditionalFormatting>
  <conditionalFormatting sqref="B47:Y47">
    <cfRule type="cellIs" dxfId="6" priority="10" operator="equal">
      <formula>0</formula>
    </cfRule>
  </conditionalFormatting>
  <conditionalFormatting sqref="B5:Y5">
    <cfRule type="cellIs" dxfId="5" priority="8" operator="equal">
      <formula>0</formula>
    </cfRule>
  </conditionalFormatting>
  <conditionalFormatting sqref="B4:Y4">
    <cfRule type="cellIs" dxfId="4" priority="7" operator="equal">
      <formula>0</formula>
    </cfRule>
  </conditionalFormatting>
  <conditionalFormatting sqref="B31:Y32">
    <cfRule type="cellIs" dxfId="3" priority="4" operator="equal">
      <formula>0</formula>
    </cfRule>
  </conditionalFormatting>
  <conditionalFormatting sqref="B20:Y21">
    <cfRule type="cellIs" dxfId="2" priority="3" operator="equal">
      <formula>0</formula>
    </cfRule>
  </conditionalFormatting>
  <conditionalFormatting sqref="B59:Y65">
    <cfRule type="cellIs" dxfId="1" priority="2" operator="equal">
      <formula>0</formula>
    </cfRule>
  </conditionalFormatting>
  <conditionalFormatting sqref="B58:Y58">
    <cfRule type="cellIs" dxfId="0" priority="1" operator="equal">
      <formula>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DB49C-5D02-42BE-A5A5-97F565950C87}">
  <dimension ref="A1:Y9"/>
  <sheetViews>
    <sheetView workbookViewId="0">
      <selection activeCell="C2" sqref="C2"/>
    </sheetView>
  </sheetViews>
  <sheetFormatPr baseColWidth="10" defaultRowHeight="10" x14ac:dyDescent="0.2"/>
  <sheetData>
    <row r="1" spans="1:25" x14ac:dyDescent="0.2">
      <c r="A1" t="s">
        <v>187</v>
      </c>
      <c r="B1" s="206">
        <f>'Diagnosis Indicators'!B2</f>
        <v>0</v>
      </c>
      <c r="C1" s="206">
        <f>'Diagnosis Indicators'!C2</f>
        <v>0.05</v>
      </c>
      <c r="D1" s="206">
        <f>'Diagnosis Indicators'!D2</f>
        <v>0.1</v>
      </c>
      <c r="E1" s="206">
        <f>'Diagnosis Indicators'!E2</f>
        <v>0.15000000000000002</v>
      </c>
      <c r="F1" s="206">
        <f>'Diagnosis Indicators'!F2</f>
        <v>0.2</v>
      </c>
      <c r="G1" s="206">
        <f>'Diagnosis Indicators'!G2</f>
        <v>0.25</v>
      </c>
      <c r="H1" s="206">
        <f>'Diagnosis Indicators'!H2</f>
        <v>0.3</v>
      </c>
      <c r="I1" s="206">
        <f>'Diagnosis Indicators'!I2</f>
        <v>0.35</v>
      </c>
      <c r="J1" s="206">
        <f>'Diagnosis Indicators'!J2</f>
        <v>0.39999999999999997</v>
      </c>
      <c r="K1" s="206">
        <f>'Diagnosis Indicators'!K2</f>
        <v>0.44999999999999996</v>
      </c>
      <c r="L1" s="206">
        <f>'Diagnosis Indicators'!L2</f>
        <v>0.49999999999999994</v>
      </c>
      <c r="M1" s="206">
        <f>'Diagnosis Indicators'!M2</f>
        <v>0.54999999999999993</v>
      </c>
      <c r="N1" s="206">
        <f>'Diagnosis Indicators'!N2</f>
        <v>0.6</v>
      </c>
      <c r="O1" s="206">
        <f>'Diagnosis Indicators'!O2</f>
        <v>0.65</v>
      </c>
      <c r="P1" s="206">
        <f>'Diagnosis Indicators'!P2</f>
        <v>0.70000000000000007</v>
      </c>
      <c r="Q1" s="206">
        <f>'Diagnosis Indicators'!Q2</f>
        <v>0.75000000000000011</v>
      </c>
      <c r="R1" s="206">
        <f>'Diagnosis Indicators'!R2</f>
        <v>0.80000000000000016</v>
      </c>
      <c r="S1" s="206">
        <f>'Diagnosis Indicators'!S2</f>
        <v>0.8500000000000002</v>
      </c>
      <c r="T1" s="206">
        <f>'Diagnosis Indicators'!T2</f>
        <v>0.90000000000000024</v>
      </c>
      <c r="U1" s="206">
        <f>'Diagnosis Indicators'!U2</f>
        <v>0.95000000000000029</v>
      </c>
      <c r="V1" s="206">
        <f>'Diagnosis Indicators'!V2</f>
        <v>0.9600000000000003</v>
      </c>
      <c r="W1" s="206">
        <f>'Diagnosis Indicators'!W2</f>
        <v>0.97000000000000031</v>
      </c>
      <c r="X1" s="206">
        <f>'Diagnosis Indicators'!X2</f>
        <v>0.98000000000000032</v>
      </c>
      <c r="Y1" s="206">
        <f>'Diagnosis Indicators'!Y2</f>
        <v>0.99000000000000032</v>
      </c>
    </row>
    <row r="2" spans="1:25" x14ac:dyDescent="0.2">
      <c r="A2" t="str">
        <f>'Diagnosis Indicators'!A3</f>
        <v>Neoclassical</v>
      </c>
      <c r="B2">
        <f>'Diagnosis Indicators'!B3</f>
        <v>1</v>
      </c>
      <c r="C2">
        <f>'Diagnosis Indicators'!C3</f>
        <v>0.99302062677919511</v>
      </c>
      <c r="D2">
        <f>'Diagnosis Indicators'!D3</f>
        <v>0.98553972486380859</v>
      </c>
      <c r="E2">
        <f>'Diagnosis Indicators'!E3</f>
        <v>0.97748996340967742</v>
      </c>
      <c r="F2">
        <f>'Diagnosis Indicators'!F3</f>
        <v>0.96879045452105683</v>
      </c>
      <c r="G2">
        <f>'Diagnosis Indicators'!G3</f>
        <v>0.9593428566500678</v>
      </c>
      <c r="H2">
        <f>'Diagnosis Indicators'!H3</f>
        <v>0.94902557946986699</v>
      </c>
      <c r="I2">
        <f>'Diagnosis Indicators'!I3</f>
        <v>0.93768551077657025</v>
      </c>
      <c r="J2">
        <f>'Diagnosis Indicators'!J3</f>
        <v>0.92512554604070263</v>
      </c>
      <c r="K2">
        <f>'Diagnosis Indicators'!K3</f>
        <v>0.91108484375636389</v>
      </c>
      <c r="L2">
        <f>'Diagnosis Indicators'!L3</f>
        <v>0.8952070839223939</v>
      </c>
      <c r="M2">
        <f>'Diagnosis Indicators'!M3</f>
        <v>0.87698688468025743</v>
      </c>
      <c r="N2">
        <f>'Diagnosis Indicators'!N3</f>
        <v>0.85567555501051518</v>
      </c>
      <c r="O2">
        <f>'Diagnosis Indicators'!O3</f>
        <v>0.83010944949893217</v>
      </c>
      <c r="P2">
        <f>'Diagnosis Indicators'!P3</f>
        <v>0.79838810296648222</v>
      </c>
      <c r="Q2">
        <f>'Diagnosis Indicators'!Q3</f>
        <v>0.75728015797189818</v>
      </c>
      <c r="R2">
        <f>'Diagnosis Indicators'!R3</f>
        <v>0.70122795461443421</v>
      </c>
      <c r="S2">
        <f>'Diagnosis Indicators'!S3</f>
        <v>0.62090077428746848</v>
      </c>
      <c r="T2">
        <f>'Diagnosis Indicators'!T3</f>
        <v>0.49998637086338488</v>
      </c>
      <c r="U2">
        <f>'Diagnosis Indicators'!U3</f>
        <v>0.30271960794022484</v>
      </c>
      <c r="V2">
        <f>'Diagnosis Indicators'!V3</f>
        <v>0.24781961832821592</v>
      </c>
      <c r="W2">
        <f>'Diagnosis Indicators'!W3</f>
        <v>0.18593055021836416</v>
      </c>
      <c r="X2">
        <f>'Diagnosis Indicators'!X3</f>
        <v>0.11716740552071138</v>
      </c>
      <c r="Y2">
        <f>'Diagnosis Indicators'!Y3</f>
        <v>4.587695530615752E-2</v>
      </c>
    </row>
    <row r="3" spans="1:25" x14ac:dyDescent="0.2">
      <c r="A3" t="str">
        <f>'Diagnosis Indicators'!A4</f>
        <v>Kaldorian</v>
      </c>
      <c r="B3">
        <f>'Diagnosis Indicators'!B4</f>
        <v>1</v>
      </c>
      <c r="C3">
        <f>'Diagnosis Indicators'!C4</f>
        <v>0.99787249060470684</v>
      </c>
      <c r="D3">
        <f>'Diagnosis Indicators'!D4</f>
        <v>0.99532889861171903</v>
      </c>
      <c r="E3">
        <f>'Diagnosis Indicators'!E4</f>
        <v>0.992312529748827</v>
      </c>
      <c r="F3">
        <f>'Diagnosis Indicators'!F4</f>
        <v>0.98875526526714752</v>
      </c>
      <c r="G3">
        <f>'Diagnosis Indicators'!G4</f>
        <v>0.9845736509407903</v>
      </c>
      <c r="H3">
        <f>'Diagnosis Indicators'!H4</f>
        <v>0.9796652696443181</v>
      </c>
      <c r="I3">
        <f>'Diagnosis Indicators'!I4</f>
        <v>0.973900989527685</v>
      </c>
      <c r="J3">
        <f>'Diagnosis Indicators'!J4</f>
        <v>0.96711542887366642</v>
      </c>
      <c r="K3">
        <f>'Diagnosis Indicators'!K4</f>
        <v>0.95909165220050174</v>
      </c>
      <c r="L3">
        <f>'Diagnosis Indicators'!L4</f>
        <v>0.94953659227144582</v>
      </c>
      <c r="M3">
        <f>'Diagnosis Indicators'!M4</f>
        <v>0.93804056496524935</v>
      </c>
      <c r="N3">
        <f>'Diagnosis Indicators'!N4</f>
        <v>0.92400649813386526</v>
      </c>
      <c r="O3">
        <f>'Diagnosis Indicators'!O4</f>
        <v>0.90652052568700381</v>
      </c>
      <c r="P3">
        <f>'Diagnosis Indicators'!P4</f>
        <v>0.8841034548773955</v>
      </c>
      <c r="Q3">
        <f>'Diagnosis Indicators'!Q4</f>
        <v>0.85422091138367884</v>
      </c>
      <c r="R3">
        <f>'Diagnosis Indicators'!R4</f>
        <v>0.81232022253755731</v>
      </c>
      <c r="S3">
        <f>'Diagnosis Indicators'!S4</f>
        <v>0.74990401488347702</v>
      </c>
      <c r="T3">
        <f>'Diagnosis Indicators'!T4</f>
        <v>0.64947568599901417</v>
      </c>
    </row>
    <row r="4" spans="1:25" x14ac:dyDescent="0.2">
      <c r="A4" t="str">
        <f>'Diagnosis Indicators'!A5</f>
        <v>Johansen</v>
      </c>
      <c r="B4">
        <f>'Diagnosis Indicators'!B5</f>
        <v>1</v>
      </c>
      <c r="C4">
        <f>'Diagnosis Indicators'!C5</f>
        <v>0.99789423855811932</v>
      </c>
      <c r="D4">
        <f>'Diagnosis Indicators'!D5</f>
        <v>0.99537296485269977</v>
      </c>
      <c r="E4">
        <f>'Diagnosis Indicators'!E5</f>
        <v>0.99237958567328621</v>
      </c>
      <c r="F4">
        <f>'Diagnosis Indicators'!F5</f>
        <v>0.98884592823561812</v>
      </c>
      <c r="G4">
        <f>'Diagnosis Indicators'!G5</f>
        <v>0.98468892393764018</v>
      </c>
      <c r="H4">
        <f>'Diagnosis Indicators'!H5</f>
        <v>0.97980579842137949</v>
      </c>
      <c r="I4">
        <f>'Diagnosis Indicators'!I5</f>
        <v>0.97406732611841051</v>
      </c>
      <c r="J4">
        <f>'Diagnosis Indicators'!J5</f>
        <v>0.96730777633696396</v>
      </c>
      <c r="K4">
        <f>'Diagnosis Indicators'!K5</f>
        <v>0.95930941199306152</v>
      </c>
      <c r="L4">
        <f>'Diagnosis Indicators'!L5</f>
        <v>0.94977784258756459</v>
      </c>
      <c r="M4">
        <f>'Diagnosis Indicators'!M5</f>
        <v>0.93830113707549367</v>
      </c>
      <c r="N4">
        <f>'Diagnosis Indicators'!N5</f>
        <v>0.92427860103316728</v>
      </c>
      <c r="O4">
        <f>'Diagnosis Indicators'!O5</f>
        <v>0.90679055884660875</v>
      </c>
      <c r="P4">
        <f>'Diagnosis Indicators'!P5</f>
        <v>0.88434963265085353</v>
      </c>
      <c r="Q4">
        <f>'Diagnosis Indicators'!Q5</f>
        <v>0.85441295093365555</v>
      </c>
      <c r="R4">
        <f>'Diagnosis Indicators'!R5</f>
        <v>0.81243162705890126</v>
      </c>
      <c r="S4">
        <f>'Diagnosis Indicators'!S5</f>
        <v>0.74994186017707209</v>
      </c>
      <c r="T4">
        <f>'Diagnosis Indicators'!T5</f>
        <v>0.64948099060639797</v>
      </c>
      <c r="U4">
        <f>'Diagnosis Indicators'!U5</f>
        <v>0.46476536716926015</v>
      </c>
      <c r="V4">
        <f>'Diagnosis Indicators'!V5</f>
        <v>0.40734468798779588</v>
      </c>
      <c r="W4">
        <f>'Diagnosis Indicators'!W5</f>
        <v>0.3379880894319785</v>
      </c>
      <c r="X4">
        <f>'Diagnosis Indicators'!X5</f>
        <v>0.25229610600956093</v>
      </c>
      <c r="Y4">
        <f>'Diagnosis Indicators'!Y5</f>
        <v>0.14335126240857823</v>
      </c>
    </row>
    <row r="5" spans="1:25" x14ac:dyDescent="0.2">
      <c r="A5" t="str">
        <f>'Diagnosis Indicators'!A6</f>
        <v>Keynes-Marshall</v>
      </c>
      <c r="B5">
        <f>'Diagnosis Indicators'!B6</f>
        <v>1</v>
      </c>
      <c r="C5">
        <f>'Diagnosis Indicators'!C6</f>
        <v>1.0110824695187413</v>
      </c>
      <c r="D5">
        <f>'Diagnosis Indicators'!D6</f>
        <v>1.0218181786199856</v>
      </c>
      <c r="E5">
        <f>'Diagnosis Indicators'!E6</f>
        <v>1.032179696171124</v>
      </c>
      <c r="F5">
        <f>'Diagnosis Indicators'!F6</f>
        <v>1.0421322517742855</v>
      </c>
      <c r="G5">
        <f>'Diagnosis Indicators'!G6</f>
        <v>1.0516332404808972</v>
      </c>
      <c r="H5">
        <f>'Diagnosis Indicators'!H6</f>
        <v>1.0606318497209446</v>
      </c>
      <c r="I5">
        <f>'Diagnosis Indicators'!I6</f>
        <v>1.0690693524846639</v>
      </c>
      <c r="J5">
        <f>'Diagnosis Indicators'!J6</f>
        <v>1.0768804230399354</v>
      </c>
      <c r="K5">
        <f>'Diagnosis Indicators'!K6</f>
        <v>1.0839965383234167</v>
      </c>
      <c r="L5">
        <f>'Diagnosis Indicators'!L6</f>
        <v>1.090352511170962</v>
      </c>
      <c r="M5">
        <f>'Diagnosis Indicators'!M6</f>
        <v>1.0958958104021557</v>
      </c>
      <c r="N5">
        <f>'Diagnosis Indicators'!N6</f>
        <v>1.1005867761022399</v>
      </c>
      <c r="O5">
        <f>'Diagnosis Indicators'!O6</f>
        <v>1.1043198998500825</v>
      </c>
      <c r="P5">
        <f>'Diagnosis Indicators'!P6</f>
        <v>1.1064750305000075</v>
      </c>
      <c r="Q5">
        <f>'Diagnosis Indicators'!Q6</f>
        <v>1.1043462260899115</v>
      </c>
    </row>
    <row r="6" spans="1:25" x14ac:dyDescent="0.2">
      <c r="A6" t="str">
        <f>'Diagnosis Indicators'!A7</f>
        <v>Keynesian</v>
      </c>
      <c r="B6">
        <f>'Diagnosis Indicators'!B7</f>
        <v>1</v>
      </c>
      <c r="C6">
        <f>'Diagnosis Indicators'!C7</f>
        <v>0.97787495790268164</v>
      </c>
      <c r="D6">
        <f>'Diagnosis Indicators'!D7</f>
        <v>0.95348428104338312</v>
      </c>
      <c r="E6">
        <f>'Diagnosis Indicators'!E7</f>
        <v>0.92660638681738461</v>
      </c>
      <c r="F6">
        <f>'Diagnosis Indicators'!F7</f>
        <v>0.89701157114703278</v>
      </c>
      <c r="G6">
        <f>'Diagnosis Indicators'!G7</f>
        <v>0.86447313770647982</v>
      </c>
      <c r="H6">
        <f>'Diagnosis Indicators'!H7</f>
        <v>0.82878219391947927</v>
      </c>
      <c r="I6">
        <f>'Diagnosis Indicators'!I7</f>
        <v>0.78977473492312456</v>
      </c>
      <c r="J6">
        <f>'Diagnosis Indicators'!J7</f>
        <v>0.74737443803428261</v>
      </c>
      <c r="K6">
        <f>'Diagnosis Indicators'!K7</f>
        <v>0.70166999085340565</v>
      </c>
      <c r="L6">
        <f>'Diagnosis Indicators'!L7</f>
        <v>0.65308406822730747</v>
      </c>
      <c r="M6">
        <f>'Diagnosis Indicators'!M7</f>
        <v>0.60285714982857719</v>
      </c>
      <c r="N6">
        <f>'Diagnosis Indicators'!N7</f>
        <v>0.55499855572189494</v>
      </c>
      <c r="O6">
        <f>'Diagnosis Indicators'!O7</f>
        <v>0.52283398020189853</v>
      </c>
    </row>
    <row r="7" spans="1:25" x14ac:dyDescent="0.2">
      <c r="A7" t="str">
        <f>'Diagnosis Indicators'!A8</f>
        <v>Keynes-Kaldor</v>
      </c>
      <c r="B7">
        <f>'Diagnosis Indicators'!B8</f>
        <v>1</v>
      </c>
      <c r="C7">
        <f>'Diagnosis Indicators'!C8</f>
        <v>1.002660843141975</v>
      </c>
      <c r="D7">
        <f>'Diagnosis Indicators'!D8</f>
        <v>1.0043664683966231</v>
      </c>
      <c r="E7">
        <f>'Diagnosis Indicators'!E8</f>
        <v>1.0050397748036626</v>
      </c>
      <c r="F7">
        <f>'Diagnosis Indicators'!F8</f>
        <v>1.0045796398575031</v>
      </c>
      <c r="G7">
        <f>'Diagnosis Indicators'!G8</f>
        <v>1.0028555522116873</v>
      </c>
      <c r="H7">
        <f>'Diagnosis Indicators'!H8</f>
        <v>0.9996992768673072</v>
      </c>
      <c r="I7">
        <f>'Diagnosis Indicators'!I8</f>
        <v>0.9948932750245304</v>
      </c>
      <c r="J7">
        <f>'Diagnosis Indicators'!J8</f>
        <v>0.98815336839158974</v>
      </c>
      <c r="K7">
        <f>'Diagnosis Indicators'!K8</f>
        <v>0.9791026211120395</v>
      </c>
      <c r="L7">
        <f>'Diagnosis Indicators'!L8</f>
        <v>0.96723053120239089</v>
      </c>
      <c r="M7">
        <f>'Diagnosis Indicators'!M8</f>
        <v>0.95182676826534718</v>
      </c>
      <c r="N7">
        <f>'Diagnosis Indicators'!N8</f>
        <v>0.9318694783979784</v>
      </c>
      <c r="O7">
        <f>'Diagnosis Indicators'!O8</f>
        <v>0.90582711556382089</v>
      </c>
      <c r="P7">
        <f>'Diagnosis Indicators'!P8</f>
        <v>0.87129305897331821</v>
      </c>
      <c r="Q7">
        <f>'Diagnosis Indicators'!Q8</f>
        <v>0.82429093890316385</v>
      </c>
      <c r="R7">
        <f>'Diagnosis Indicators'!R8</f>
        <v>0.75797031705687434</v>
      </c>
      <c r="S7">
        <f>'Diagnosis Indicators'!S8</f>
        <v>0.66039647482582453</v>
      </c>
      <c r="T7">
        <f>'Diagnosis Indicators'!T8</f>
        <v>0.51193011761588092</v>
      </c>
    </row>
    <row r="8" spans="1:25" x14ac:dyDescent="0.2">
      <c r="A8" t="str">
        <f>'Diagnosis Indicators'!A9</f>
        <v>Neo-K1</v>
      </c>
      <c r="B8">
        <f>'Diagnosis Indicators'!B9</f>
        <v>1</v>
      </c>
      <c r="C8">
        <f>'Diagnosis Indicators'!C9</f>
        <v>0.98928645183887631</v>
      </c>
      <c r="D8">
        <f>'Diagnosis Indicators'!D9</f>
        <v>0.97764708462205241</v>
      </c>
      <c r="E8">
        <f>'Diagnosis Indicators'!E9</f>
        <v>0.9649359723863532</v>
      </c>
      <c r="F8">
        <f>'Diagnosis Indicators'!F9</f>
        <v>0.95097460963605918</v>
      </c>
      <c r="G8">
        <f>'Diagnosis Indicators'!G9</f>
        <v>0.9355422161468836</v>
      </c>
      <c r="H8">
        <f>'Diagnosis Indicators'!H9</f>
        <v>0.91836245579452236</v>
      </c>
      <c r="I8">
        <f>'Diagnosis Indicators'!I9</f>
        <v>0.89908614082395288</v>
      </c>
      <c r="J8">
        <f>'Diagnosis Indicators'!J9</f>
        <v>0.87726718802927728</v>
      </c>
      <c r="K8">
        <f>'Diagnosis Indicators'!K9</f>
        <v>0.852329976864033</v>
      </c>
      <c r="L8">
        <f>'Diagnosis Indicators'!L9</f>
        <v>0.82352655462288626</v>
      </c>
      <c r="M8">
        <f>'Diagnosis Indicators'!M9</f>
        <v>0.78988213579540911</v>
      </c>
      <c r="N8">
        <f>'Diagnosis Indicators'!N9</f>
        <v>0.75013236683625095</v>
      </c>
      <c r="O8">
        <f>'Diagnosis Indicators'!O9</f>
        <v>0.7026672098303306</v>
      </c>
      <c r="P8">
        <f>'Diagnosis Indicators'!P9</f>
        <v>0.64551723409439998</v>
      </c>
      <c r="Q8">
        <f>'Diagnosis Indicators'!Q9</f>
        <v>0.57644891158704858</v>
      </c>
      <c r="R8">
        <f>'Diagnosis Indicators'!R9</f>
        <v>0.49324528557055669</v>
      </c>
      <c r="S8">
        <f>'Diagnosis Indicators'!S9</f>
        <v>0.39417717528152174</v>
      </c>
      <c r="T8">
        <f>'Diagnosis Indicators'!T9</f>
        <v>0.27849255785186017</v>
      </c>
      <c r="U8">
        <f>'Diagnosis Indicators'!U9</f>
        <v>0.14662839280827886</v>
      </c>
      <c r="V8">
        <f>'Diagnosis Indicators'!V9</f>
        <v>0.11842636021245553</v>
      </c>
      <c r="W8">
        <f>'Diagnosis Indicators'!W9</f>
        <v>8.9646894574572838E-2</v>
      </c>
      <c r="X8">
        <f>'Diagnosis Indicators'!X9</f>
        <v>6.0305380004513506E-2</v>
      </c>
      <c r="Y8">
        <f>'Diagnosis Indicators'!Y9</f>
        <v>3.0417681270794666E-2</v>
      </c>
    </row>
    <row r="9" spans="1:25" x14ac:dyDescent="0.2">
      <c r="A9" t="str">
        <f>'Diagnosis Indicators'!A10</f>
        <v>Neo-K2</v>
      </c>
      <c r="B9">
        <f>'Diagnosis Indicators'!B10</f>
        <v>1</v>
      </c>
      <c r="C9">
        <f>'Diagnosis Indicators'!C10</f>
        <v>0.98816454279996269</v>
      </c>
      <c r="D9">
        <f>'Diagnosis Indicators'!D10</f>
        <v>0.97518218535637691</v>
      </c>
      <c r="E9">
        <f>'Diagnosis Indicators'!E10</f>
        <v>0.96085075658470442</v>
      </c>
      <c r="F9">
        <f>'Diagnosis Indicators'!F10</f>
        <v>0.94491872878262417</v>
      </c>
      <c r="G9">
        <f>'Diagnosis Indicators'!G10</f>
        <v>0.9270738865736311</v>
      </c>
      <c r="H9">
        <f>'Diagnosis Indicators'!H10</f>
        <v>0.90692468648557722</v>
      </c>
      <c r="I9">
        <f>'Diagnosis Indicators'!I10</f>
        <v>0.88398222509350821</v>
      </c>
      <c r="J9">
        <f>'Diagnosis Indicators'!J10</f>
        <v>0.85763994181165737</v>
      </c>
      <c r="K9">
        <f>'Diagnosis Indicators'!K10</f>
        <v>0.82715993194648152</v>
      </c>
      <c r="L9">
        <f>'Diagnosis Indicators'!L10</f>
        <v>0.79168007783096828</v>
      </c>
      <c r="M9">
        <f>'Diagnosis Indicators'!M10</f>
        <v>0.75026915129722682</v>
      </c>
      <c r="N9">
        <f>'Diagnosis Indicators'!N10</f>
        <v>0.70207394029696268</v>
      </c>
      <c r="O9">
        <f>'Diagnosis Indicators'!O10</f>
        <v>0.64660662134622093</v>
      </c>
      <c r="P9">
        <f>'Diagnosis Indicators'!P10</f>
        <v>0.58417015680156736</v>
      </c>
      <c r="Q9">
        <f>'Diagnosis Indicators'!Q10</f>
        <v>0.51622805013680273</v>
      </c>
      <c r="R9">
        <f>'Diagnosis Indicators'!R10</f>
        <v>0.44512398216414961</v>
      </c>
      <c r="S9">
        <f>'Diagnosis Indicators'!S10</f>
        <v>0.37232232305958662</v>
      </c>
      <c r="T9">
        <f>'Diagnosis Indicators'!T10</f>
        <v>0.29515775345489081</v>
      </c>
      <c r="U9">
        <f>'Diagnosis Indicators'!U10</f>
        <v>0.20126797982258654</v>
      </c>
      <c r="V9">
        <f>'Diagnosis Indicators'!V10</f>
        <v>0.17748065399921875</v>
      </c>
      <c r="W9">
        <f>'Diagnosis Indicators'!W10</f>
        <v>0.15037940349418308</v>
      </c>
      <c r="X9">
        <f>'Diagnosis Indicators'!X10</f>
        <v>0.11820047279475669</v>
      </c>
      <c r="Y9">
        <f>'Diagnosis Indicators'!Y10</f>
        <v>7.6857603044381342E-2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F37E2-FC50-4039-8CBF-F012DB030771}">
  <dimension ref="A1:Y9"/>
  <sheetViews>
    <sheetView workbookViewId="0">
      <selection activeCell="X24" sqref="X24"/>
    </sheetView>
  </sheetViews>
  <sheetFormatPr baseColWidth="10" defaultRowHeight="10" x14ac:dyDescent="0.2"/>
  <sheetData>
    <row r="1" spans="1:25" x14ac:dyDescent="0.2">
      <c r="A1" t="s">
        <v>187</v>
      </c>
      <c r="B1">
        <f>'[1]Diagnosis Indicators'!B62</f>
        <v>0</v>
      </c>
      <c r="C1">
        <f>'[1]Diagnosis Indicators'!C62</f>
        <v>0.05</v>
      </c>
      <c r="D1">
        <f>'[1]Diagnosis Indicators'!D62</f>
        <v>0.1</v>
      </c>
      <c r="E1">
        <f>'[1]Diagnosis Indicators'!E62</f>
        <v>0.15000000000000002</v>
      </c>
      <c r="F1">
        <f>'[1]Diagnosis Indicators'!F62</f>
        <v>0.2</v>
      </c>
      <c r="G1">
        <f>'[1]Diagnosis Indicators'!G62</f>
        <v>0.25</v>
      </c>
      <c r="H1">
        <f>'[1]Diagnosis Indicators'!H62</f>
        <v>0.3</v>
      </c>
      <c r="I1">
        <f>'[1]Diagnosis Indicators'!I62</f>
        <v>0.35</v>
      </c>
      <c r="J1">
        <f>'[1]Diagnosis Indicators'!J62</f>
        <v>0.39999999999999997</v>
      </c>
      <c r="K1">
        <f>'[1]Diagnosis Indicators'!K62</f>
        <v>0.44999999999999996</v>
      </c>
      <c r="L1">
        <f>'[1]Diagnosis Indicators'!L62</f>
        <v>0.49999999999999994</v>
      </c>
      <c r="M1">
        <f>'[1]Diagnosis Indicators'!M62</f>
        <v>0.54999999999999993</v>
      </c>
      <c r="N1">
        <f>'[1]Diagnosis Indicators'!N62</f>
        <v>0.6</v>
      </c>
      <c r="O1">
        <f>'[1]Diagnosis Indicators'!O62</f>
        <v>0.65</v>
      </c>
      <c r="P1">
        <f>'[1]Diagnosis Indicators'!P62</f>
        <v>0.70000000000000007</v>
      </c>
      <c r="Q1">
        <f>'[1]Diagnosis Indicators'!Q62</f>
        <v>0.75000000000000011</v>
      </c>
      <c r="R1">
        <f>'[1]Diagnosis Indicators'!R62</f>
        <v>0.80000000000000016</v>
      </c>
      <c r="S1">
        <f>'[1]Diagnosis Indicators'!S62</f>
        <v>0.8500000000000002</v>
      </c>
      <c r="T1">
        <f>'[1]Diagnosis Indicators'!T62</f>
        <v>0.90000000000000024</v>
      </c>
      <c r="U1">
        <f>'[1]Diagnosis Indicators'!U62</f>
        <v>0.95000000000000029</v>
      </c>
      <c r="V1">
        <f>'[1]Diagnosis Indicators'!V62</f>
        <v>0.9600000000000003</v>
      </c>
      <c r="W1">
        <f>'[1]Diagnosis Indicators'!W62</f>
        <v>0.97000000000000031</v>
      </c>
      <c r="X1">
        <f>'[1]Diagnosis Indicators'!X62</f>
        <v>0.98000000000000032</v>
      </c>
      <c r="Y1">
        <f>'[1]Diagnosis Indicators'!Y62</f>
        <v>0.99000000000000032</v>
      </c>
    </row>
    <row r="2" spans="1:25" x14ac:dyDescent="0.2">
      <c r="A2" t="str">
        <f>'[1]Diagnosis Indicators'!A63</f>
        <v>Neoclassical</v>
      </c>
      <c r="B2">
        <f>'Diagnosis Indicators'!B36</f>
        <v>0.56058995943839207</v>
      </c>
      <c r="C2">
        <f>'Diagnosis Indicators'!C36</f>
        <v>0.565763869663093</v>
      </c>
      <c r="D2">
        <f>'Diagnosis Indicators'!D36</f>
        <v>0.56432334774738924</v>
      </c>
      <c r="E2">
        <f>'Diagnosis Indicators'!E36</f>
        <v>0.56287849526781586</v>
      </c>
      <c r="F2">
        <f>'Diagnosis Indicators'!F36</f>
        <v>0.56142883863450199</v>
      </c>
      <c r="G2">
        <f>'Diagnosis Indicators'!G36</f>
        <v>0.55997403161783776</v>
      </c>
      <c r="H2">
        <f>'Diagnosis Indicators'!H36</f>
        <v>0.55851405086407413</v>
      </c>
      <c r="I2">
        <f>'Diagnosis Indicators'!I36</f>
        <v>0.55704943743052737</v>
      </c>
      <c r="J2">
        <f>'Diagnosis Indicators'!J36</f>
        <v>0.55558173600835337</v>
      </c>
      <c r="K2">
        <f>'Diagnosis Indicators'!K36</f>
        <v>0.55411427176442263</v>
      </c>
      <c r="L2">
        <f>'Diagnosis Indicators'!L36</f>
        <v>0.55265336503513163</v>
      </c>
      <c r="M2">
        <f>'Diagnosis Indicators'!M36</f>
        <v>0.55121036181504746</v>
      </c>
      <c r="N2">
        <f>'Diagnosis Indicators'!N36</f>
        <v>0.54980498406014633</v>
      </c>
      <c r="O2">
        <f>'Diagnosis Indicators'!O36</f>
        <v>0.54847059979845647</v>
      </c>
      <c r="P2">
        <f>'Diagnosis Indicators'!P36</f>
        <v>0.5472617182376015</v>
      </c>
      <c r="Q2">
        <f>'Diagnosis Indicators'!Q36</f>
        <v>0.54625996864731363</v>
      </c>
      <c r="R2">
        <f>'Diagnosis Indicators'!R36</f>
        <v>0.54556082236993153</v>
      </c>
      <c r="S2">
        <f>'Diagnosis Indicators'!S36</f>
        <v>0.54520561344581953</v>
      </c>
      <c r="T2">
        <f>'Diagnosis Indicators'!T36</f>
        <v>0.54509943238967473</v>
      </c>
      <c r="U2">
        <f>'Diagnosis Indicators'!U36</f>
        <v>0.54508574274556731</v>
      </c>
      <c r="V2">
        <f>'Diagnosis Indicators'!V36</f>
        <v>0.54508550385151866</v>
      </c>
      <c r="W2">
        <f>'Diagnosis Indicators'!W36</f>
        <v>0.54508541673594457</v>
      </c>
      <c r="X2">
        <f>'Diagnosis Indicators'!X36</f>
        <v>0.54508539163207481</v>
      </c>
      <c r="Y2">
        <f>'Diagnosis Indicators'!Y36</f>
        <v>0.54508538664986472</v>
      </c>
    </row>
    <row r="3" spans="1:25" x14ac:dyDescent="0.2">
      <c r="A3" t="str">
        <f>'[1]Diagnosis Indicators'!A64</f>
        <v>Kaldorian</v>
      </c>
      <c r="B3">
        <f>'Diagnosis Indicators'!B37</f>
        <v>0.56058995943839207</v>
      </c>
      <c r="C3">
        <f>'Diagnosis Indicators'!C37</f>
        <v>0.56139949462718397</v>
      </c>
      <c r="D3">
        <f>'Diagnosis Indicators'!D37</f>
        <v>0.55536069739320404</v>
      </c>
      <c r="E3">
        <f>'Diagnosis Indicators'!E37</f>
        <v>0.54904804754024861</v>
      </c>
      <c r="F3">
        <f>'Diagnosis Indicators'!F37</f>
        <v>0.5424172415115599</v>
      </c>
      <c r="G3">
        <f>'Diagnosis Indicators'!G37</f>
        <v>0.53541299865954206</v>
      </c>
      <c r="H3">
        <f>'Diagnosis Indicators'!H37</f>
        <v>0.52796449064201567</v>
      </c>
      <c r="I3">
        <f>'Diagnosis Indicators'!I37</f>
        <v>0.51997892133010282</v>
      </c>
      <c r="J3">
        <f>'Diagnosis Indicators'!J37</f>
        <v>0.51133041368996424</v>
      </c>
      <c r="K3">
        <f>'Diagnosis Indicators'!K37</f>
        <v>0.50184170668076722</v>
      </c>
      <c r="L3">
        <f>'Diagnosis Indicators'!L37</f>
        <v>0.49125146805007075</v>
      </c>
      <c r="M3">
        <f>'Diagnosis Indicators'!M37</f>
        <v>0.47915416724189142</v>
      </c>
      <c r="N3">
        <f>'Diagnosis Indicators'!N37</f>
        <v>0.46488269329384413</v>
      </c>
      <c r="O3">
        <f>'Diagnosis Indicators'!O37</f>
        <v>0.44726675455199405</v>
      </c>
      <c r="P3">
        <f>'Diagnosis Indicators'!P37</f>
        <v>0.42410800727267106</v>
      </c>
      <c r="Q3">
        <f>'Diagnosis Indicators'!Q37</f>
        <v>0.3909925133254244</v>
      </c>
      <c r="R3">
        <f>'Diagnosis Indicators'!R37</f>
        <v>0.33854044701860631</v>
      </c>
      <c r="S3">
        <f>'Diagnosis Indicators'!S37</f>
        <v>0.24522511760086549</v>
      </c>
      <c r="T3">
        <f>'Diagnosis Indicators'!T37</f>
        <v>4.6378895601806053E-2</v>
      </c>
    </row>
    <row r="4" spans="1:25" x14ac:dyDescent="0.2">
      <c r="A4" t="str">
        <f>'[1]Diagnosis Indicators'!A65</f>
        <v>Johansen</v>
      </c>
      <c r="B4">
        <f>'Diagnosis Indicators'!B38</f>
        <v>0.56058995943839207</v>
      </c>
      <c r="C4">
        <f>'Diagnosis Indicators'!C38</f>
        <v>0.56575140399704549</v>
      </c>
      <c r="D4">
        <f>'Diagnosis Indicators'!D38</f>
        <v>0.56429789774285555</v>
      </c>
      <c r="E4">
        <f>'Diagnosis Indicators'!E38</f>
        <v>0.56283942528978304</v>
      </c>
      <c r="F4">
        <f>'Diagnosis Indicators'!F38</f>
        <v>0.56137544875401135</v>
      </c>
      <c r="G4">
        <f>'Diagnosis Indicators'!G38</f>
        <v>0.55990556859423146</v>
      </c>
      <c r="H4">
        <f>'Diagnosis Indicators'!H38</f>
        <v>0.55842975568364195</v>
      </c>
      <c r="I4">
        <f>'Diagnosis Indicators'!I38</f>
        <v>0.55694863061421596</v>
      </c>
      <c r="J4">
        <f>'Diagnosis Indicators'!J38</f>
        <v>0.55546396227914641</v>
      </c>
      <c r="K4">
        <f>'Diagnosis Indicators'!K38</f>
        <v>0.55397953599429961</v>
      </c>
      <c r="L4">
        <f>'Diagnosis Indicators'!L38</f>
        <v>0.55250252180668813</v>
      </c>
      <c r="M4">
        <f>'Diagnosis Indicators'!M38</f>
        <v>0.55104573013733149</v>
      </c>
      <c r="N4">
        <f>'Diagnosis Indicators'!N38</f>
        <v>0.54963129304834102</v>
      </c>
      <c r="O4">
        <f>'Diagnosis Indicators'!O38</f>
        <v>0.54829641954130037</v>
      </c>
      <c r="P4">
        <f>'Diagnosis Indicators'!P38</f>
        <v>0.54710111204737799</v>
      </c>
      <c r="Q4">
        <f>'Diagnosis Indicators'!Q38</f>
        <v>0.54613266562770335</v>
      </c>
      <c r="R4">
        <f>'Diagnosis Indicators'!R38</f>
        <v>0.5454848102941362</v>
      </c>
      <c r="S4">
        <f>'Diagnosis Indicators'!S38</f>
        <v>0.54517827513390593</v>
      </c>
      <c r="T4">
        <f>'Diagnosis Indicators'!T38</f>
        <v>0.54509518430626702</v>
      </c>
      <c r="U4">
        <f>'Diagnosis Indicators'!U38</f>
        <v>0.54508561050959248</v>
      </c>
      <c r="V4">
        <f>'Diagnosis Indicators'!V38</f>
        <v>0.5450854594504333</v>
      </c>
      <c r="W4">
        <f>'Diagnosis Indicators'!W38</f>
        <v>0.54508540528681482</v>
      </c>
      <c r="X4">
        <f>'Diagnosis Indicators'!X38</f>
        <v>0.54508538972013176</v>
      </c>
      <c r="Y4">
        <f>'Diagnosis Indicators'!Y38</f>
        <v>0.54508538652703453</v>
      </c>
    </row>
    <row r="5" spans="1:25" x14ac:dyDescent="0.2">
      <c r="A5" t="str">
        <f>'[1]Diagnosis Indicators'!A66</f>
        <v>Keynes-Kaldor</v>
      </c>
      <c r="B5">
        <f>'Diagnosis Indicators'!B39</f>
        <v>0.56058995943839207</v>
      </c>
      <c r="C5">
        <f>'Diagnosis Indicators'!C39</f>
        <v>0.58047199957242013</v>
      </c>
      <c r="D5">
        <f>'Diagnosis Indicators'!D39</f>
        <v>0.59414211222306346</v>
      </c>
      <c r="E5">
        <f>'Diagnosis Indicators'!E39</f>
        <v>0.60829070719806311</v>
      </c>
      <c r="F5">
        <f>'Diagnosis Indicators'!F39</f>
        <v>0.62301720511985326</v>
      </c>
      <c r="G5">
        <f>'Diagnosis Indicators'!G39</f>
        <v>0.6384498161913098</v>
      </c>
      <c r="H5">
        <f>'Diagnosis Indicators'!H39</f>
        <v>0.65476011461740602</v>
      </c>
      <c r="I5">
        <f>'Diagnosis Indicators'!I39</f>
        <v>0.67218654765011854</v>
      </c>
      <c r="J5">
        <f>'Diagnosis Indicators'!J39</f>
        <v>0.69107362563306496</v>
      </c>
      <c r="K5">
        <f>'Diagnosis Indicators'!K39</f>
        <v>0.7119396809601678</v>
      </c>
      <c r="L5">
        <f>'Diagnosis Indicators'!L39</f>
        <v>0.73559800264479713</v>
      </c>
      <c r="M5">
        <f>'Diagnosis Indicators'!M39</f>
        <v>0.76338031161631159</v>
      </c>
      <c r="N5">
        <f>'Diagnosis Indicators'!N39</f>
        <v>0.79755385016725211</v>
      </c>
      <c r="O5">
        <f>'Diagnosis Indicators'!O39</f>
        <v>0.84206310912114535</v>
      </c>
      <c r="P5">
        <f>'Diagnosis Indicators'!P39</f>
        <v>0.9035887284565729</v>
      </c>
      <c r="Q5">
        <f>'Diagnosis Indicators'!Q39</f>
        <v>0.99226890269560331</v>
      </c>
    </row>
    <row r="6" spans="1:25" x14ac:dyDescent="0.2">
      <c r="A6" t="str">
        <f>'[1]Diagnosis Indicators'!A67</f>
        <v>Keynes-Marshall</v>
      </c>
      <c r="B6">
        <f>'Diagnosis Indicators'!B40</f>
        <v>0.56058995943839207</v>
      </c>
      <c r="C6">
        <f>'Diagnosis Indicators'!C40</f>
        <v>0.57444737628800124</v>
      </c>
      <c r="D6">
        <f>'Diagnosis Indicators'!D40</f>
        <v>0.58167854619161252</v>
      </c>
      <c r="E6">
        <f>'Diagnosis Indicators'!E40</f>
        <v>0.58886739047033787</v>
      </c>
      <c r="F6">
        <f>'Diagnosis Indicators'!F40</f>
        <v>0.59597995099820023</v>
      </c>
      <c r="G6">
        <f>'Diagnosis Indicators'!G40</f>
        <v>0.60297530796399212</v>
      </c>
      <c r="H6">
        <f>'Diagnosis Indicators'!H40</f>
        <v>0.60980255257803151</v>
      </c>
      <c r="I6">
        <f>'Diagnosis Indicators'!I40</f>
        <v>0.61640055142479422</v>
      </c>
      <c r="J6">
        <f>'Diagnosis Indicators'!J40</f>
        <v>0.62269481513124858</v>
      </c>
      <c r="K6">
        <f>'Diagnosis Indicators'!K40</f>
        <v>0.62859032675299265</v>
      </c>
      <c r="L6">
        <f>'Diagnosis Indicators'!L40</f>
        <v>0.63395494072514635</v>
      </c>
      <c r="M6">
        <f>'Diagnosis Indicators'!M40</f>
        <v>0.63855714056465773</v>
      </c>
      <c r="N6">
        <f>'Diagnosis Indicators'!N40</f>
        <v>0.64177807894779559</v>
      </c>
      <c r="O6">
        <f>'Diagnosis Indicators'!O40</f>
        <v>0.6415172313973001</v>
      </c>
    </row>
    <row r="7" spans="1:25" x14ac:dyDescent="0.2">
      <c r="A7" t="str">
        <f>'[1]Diagnosis Indicators'!A68</f>
        <v>Keynesian</v>
      </c>
      <c r="B7">
        <f>'Diagnosis Indicators'!B41</f>
        <v>0.56058995943839207</v>
      </c>
      <c r="C7">
        <f>'Diagnosis Indicators'!C41</f>
        <v>0.56093833433108498</v>
      </c>
      <c r="D7">
        <f>'Diagnosis Indicators'!D41</f>
        <v>0.55448704072447919</v>
      </c>
      <c r="E7">
        <f>'Diagnosis Indicators'!E41</f>
        <v>0.54780941692061469</v>
      </c>
      <c r="F7">
        <f>'Diagnosis Indicators'!F41</f>
        <v>0.54086132868528347</v>
      </c>
      <c r="G7">
        <f>'Diagnosis Indicators'!G41</f>
        <v>0.53358926467753665</v>
      </c>
      <c r="H7">
        <f>'Diagnosis Indicators'!H41</f>
        <v>0.52592634193999277</v>
      </c>
      <c r="I7">
        <f>'Diagnosis Indicators'!I41</f>
        <v>0.51778650762562184</v>
      </c>
      <c r="J7">
        <f>'Diagnosis Indicators'!J41</f>
        <v>0.50905522856935037</v>
      </c>
      <c r="K7">
        <f>'Diagnosis Indicators'!K41</f>
        <v>0.49957451962939864</v>
      </c>
      <c r="L7">
        <f>'Diagnosis Indicators'!L41</f>
        <v>0.48911742063417252</v>
      </c>
      <c r="M7">
        <f>'Diagnosis Indicators'!M41</f>
        <v>0.47734407986917088</v>
      </c>
      <c r="N7">
        <f>'Diagnosis Indicators'!N41</f>
        <v>0.46372296935273305</v>
      </c>
      <c r="O7">
        <f>'Diagnosis Indicators'!O41</f>
        <v>0.44738678221721839</v>
      </c>
      <c r="P7">
        <f>'Diagnosis Indicators'!P41</f>
        <v>0.42686935623864397</v>
      </c>
      <c r="Q7">
        <f>'Diagnosis Indicators'!Q41</f>
        <v>0.39965656142431605</v>
      </c>
      <c r="R7">
        <f>'Diagnosis Indicators'!R41</f>
        <v>0.36160284692911759</v>
      </c>
      <c r="S7">
        <f>'Diagnosis Indicators'!S41</f>
        <v>0.30692255057214168</v>
      </c>
      <c r="T7">
        <f>'Diagnosis Indicators'!T41</f>
        <v>0.23168070233325103</v>
      </c>
    </row>
    <row r="8" spans="1:25" x14ac:dyDescent="0.2">
      <c r="A8" t="str">
        <f>'[1]Diagnosis Indicators'!A69</f>
        <v>Neo-K1</v>
      </c>
      <c r="B8">
        <f>'Diagnosis Indicators'!B42</f>
        <v>0.56058995943839207</v>
      </c>
      <c r="C8">
        <f>'Diagnosis Indicators'!C42</f>
        <v>0.56689106955347601</v>
      </c>
      <c r="D8">
        <f>'Diagnosis Indicators'!D42</f>
        <v>0.56659116835305801</v>
      </c>
      <c r="E8">
        <f>'Diagnosis Indicators'!E42</f>
        <v>0.5662992680236687</v>
      </c>
      <c r="F8">
        <f>'Diagnosis Indicators'!F42</f>
        <v>0.56601299632091562</v>
      </c>
      <c r="G8">
        <f>'Diagnosis Indicators'!G42</f>
        <v>0.56572887637344582</v>
      </c>
      <c r="H8">
        <f>'Diagnosis Indicators'!H42</f>
        <v>0.56544194414098037</v>
      </c>
      <c r="I8">
        <f>'Diagnosis Indicators'!I42</f>
        <v>0.56514521094453696</v>
      </c>
      <c r="J8">
        <f>'Diagnosis Indicators'!J42</f>
        <v>0.56482897732914539</v>
      </c>
      <c r="K8">
        <f>'Diagnosis Indicators'!K42</f>
        <v>0.56447993076624325</v>
      </c>
      <c r="L8">
        <f>'Diagnosis Indicators'!L42</f>
        <v>0.56408011428943217</v>
      </c>
      <c r="M8">
        <f>'Diagnosis Indicators'!M42</f>
        <v>0.56360575561868409</v>
      </c>
      <c r="N8">
        <f>'Diagnosis Indicators'!N42</f>
        <v>0.5630264417158054</v>
      </c>
      <c r="O8">
        <f>'Diagnosis Indicators'!O42</f>
        <v>0.56230530040725879</v>
      </c>
      <c r="P8">
        <f>'Diagnosis Indicators'!P42</f>
        <v>0.56140169616969204</v>
      </c>
      <c r="Q8">
        <f>'Diagnosis Indicators'!Q42</f>
        <v>0.56027823100084051</v>
      </c>
      <c r="R8">
        <f>'Diagnosis Indicators'!R42</f>
        <v>0.55891270593281106</v>
      </c>
      <c r="S8">
        <f>'Diagnosis Indicators'!S42</f>
        <v>0.55731151212600072</v>
      </c>
      <c r="T8">
        <f>'Diagnosis Indicators'!T42</f>
        <v>0.55551576299385286</v>
      </c>
      <c r="U8">
        <f>'Diagnosis Indicators'!U42</f>
        <v>0.55359299031149789</v>
      </c>
      <c r="V8">
        <f>'Diagnosis Indicators'!V42</f>
        <v>0.55319988166530387</v>
      </c>
      <c r="W8">
        <f>'Diagnosis Indicators'!W42</f>
        <v>0.55280529816304513</v>
      </c>
      <c r="X8">
        <f>'Diagnosis Indicators'!X42</f>
        <v>0.55240979302512072</v>
      </c>
      <c r="Y8">
        <f>'Diagnosis Indicators'!Y42</f>
        <v>0.55201389228751019</v>
      </c>
    </row>
    <row r="9" spans="1:25" x14ac:dyDescent="0.2">
      <c r="A9" t="str">
        <f>'[1]Diagnosis Indicators'!A70</f>
        <v>Neo-K2</v>
      </c>
      <c r="B9">
        <f>'Diagnosis Indicators'!B43</f>
        <v>0.56058995943839207</v>
      </c>
      <c r="C9">
        <f>'Diagnosis Indicators'!C43</f>
        <v>0.56759599190374921</v>
      </c>
      <c r="D9">
        <f>'Diagnosis Indicators'!D43</f>
        <v>0.56805669413920445</v>
      </c>
      <c r="E9">
        <f>'Diagnosis Indicators'!E43</f>
        <v>0.56859070856655081</v>
      </c>
      <c r="F9">
        <f>'Diagnosis Indicators'!F43</f>
        <v>0.56920716444883723</v>
      </c>
      <c r="G9">
        <f>'Diagnosis Indicators'!G43</f>
        <v>0.56991621978214779</v>
      </c>
      <c r="H9">
        <f>'Diagnosis Indicators'!H43</f>
        <v>0.57072906958879777</v>
      </c>
      <c r="I9">
        <f>'Diagnosis Indicators'!I43</f>
        <v>0.57165762470725734</v>
      </c>
      <c r="J9">
        <f>'Diagnosis Indicators'!J43</f>
        <v>0.57271385261074514</v>
      </c>
      <c r="K9">
        <f>'Diagnosis Indicators'!K43</f>
        <v>0.57390839827101592</v>
      </c>
      <c r="L9">
        <f>'Diagnosis Indicators'!L43</f>
        <v>0.57524787788981868</v>
      </c>
      <c r="M9">
        <f>'Diagnosis Indicators'!M43</f>
        <v>0.57672993156453423</v>
      </c>
      <c r="N9">
        <f>'Diagnosis Indicators'!N43</f>
        <v>0.57833427636782775</v>
      </c>
      <c r="O9">
        <f>'Diagnosis Indicators'!O43</f>
        <v>0.58000656217408852</v>
      </c>
      <c r="P9">
        <f>'Diagnosis Indicators'!P43</f>
        <v>0.58162936516687547</v>
      </c>
      <c r="Q9">
        <f>'Diagnosis Indicators'!Q43</f>
        <v>0.58297151536831404</v>
      </c>
      <c r="R9">
        <f>'Diagnosis Indicators'!R43</f>
        <v>0.583599411009744</v>
      </c>
      <c r="S9">
        <f>'Diagnosis Indicators'!S43</f>
        <v>0.58265302401989538</v>
      </c>
      <c r="T9">
        <f>'Diagnosis Indicators'!T43</f>
        <v>0.57790261682790134</v>
      </c>
      <c r="U9">
        <f>'Diagnosis Indicators'!U43</f>
        <v>0.56084222594604727</v>
      </c>
      <c r="V9">
        <f>'Diagnosis Indicators'!V43</f>
        <v>0.55313248593529651</v>
      </c>
      <c r="W9">
        <f>'Diagnosis Indicators'!W43</f>
        <v>0.54169836893215617</v>
      </c>
      <c r="X9">
        <f>'Diagnosis Indicators'!X43</f>
        <v>0.52289506193182367</v>
      </c>
      <c r="Y9">
        <f>'Diagnosis Indicators'!Y43</f>
        <v>0.48448066368802345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727BB-B6E9-4435-A22C-11B601715EDA}">
  <dimension ref="A1:Y9"/>
  <sheetViews>
    <sheetView workbookViewId="0">
      <selection activeCell="D27" sqref="D27"/>
    </sheetView>
  </sheetViews>
  <sheetFormatPr baseColWidth="10" defaultRowHeight="10" x14ac:dyDescent="0.2"/>
  <sheetData>
    <row r="1" spans="1:25" x14ac:dyDescent="0.2">
      <c r="A1" t="s">
        <v>187</v>
      </c>
      <c r="B1" s="91">
        <v>0</v>
      </c>
      <c r="C1" s="91">
        <v>0.05</v>
      </c>
      <c r="D1" s="91">
        <v>0.1</v>
      </c>
      <c r="E1" s="91">
        <v>0.15000000000000002</v>
      </c>
      <c r="F1" s="91">
        <v>0.2</v>
      </c>
      <c r="G1" s="91">
        <v>0.25</v>
      </c>
      <c r="H1" s="91">
        <v>0.3</v>
      </c>
      <c r="I1" s="91">
        <v>0.35</v>
      </c>
      <c r="J1" s="91">
        <v>0.39999999999999997</v>
      </c>
      <c r="K1" s="91">
        <v>0.44999999999999996</v>
      </c>
      <c r="L1" s="91">
        <v>0.49999999999999994</v>
      </c>
      <c r="M1" s="91">
        <v>0.54999999999999993</v>
      </c>
      <c r="N1" s="91">
        <v>0.6</v>
      </c>
      <c r="O1" s="91">
        <v>0.65</v>
      </c>
      <c r="P1" s="91">
        <v>0.70000000000000007</v>
      </c>
      <c r="Q1" s="91">
        <v>0.75000000000000011</v>
      </c>
      <c r="R1" s="91">
        <v>0.80000000000000016</v>
      </c>
      <c r="S1" s="91">
        <v>0.8500000000000002</v>
      </c>
      <c r="T1" s="91">
        <v>0.90000000000000024</v>
      </c>
      <c r="U1" s="91">
        <v>0.95000000000000029</v>
      </c>
      <c r="V1" s="91">
        <v>0.9600000000000003</v>
      </c>
      <c r="W1" s="91">
        <v>0.97000000000000031</v>
      </c>
      <c r="X1" s="91">
        <v>0.98000000000000032</v>
      </c>
      <c r="Y1" s="91">
        <v>0.99000000000000032</v>
      </c>
    </row>
    <row r="2" spans="1:25" x14ac:dyDescent="0.2">
      <c r="A2" t="s">
        <v>89</v>
      </c>
      <c r="B2">
        <f>'Diagnosis Indicators'!B14</f>
        <v>5.7716594496607888E-3</v>
      </c>
      <c r="C2">
        <f>'Diagnosis Indicators'!C14</f>
        <v>5.3165634102402985E-2</v>
      </c>
      <c r="D2">
        <f>'Diagnosis Indicators'!D14</f>
        <v>0.10517172708076596</v>
      </c>
      <c r="E2">
        <f>'Diagnosis Indicators'!E14</f>
        <v>0.16254110393084323</v>
      </c>
      <c r="F2">
        <f>'Diagnosis Indicators'!F14</f>
        <v>0.22621358250856927</v>
      </c>
      <c r="G2">
        <f>'Diagnosis Indicators'!G14</f>
        <v>0.29738932563568649</v>
      </c>
      <c r="H2">
        <f>'Diagnosis Indicators'!H14</f>
        <v>0.3776351384841713</v>
      </c>
      <c r="I2">
        <f>'Diagnosis Indicators'!I14</f>
        <v>0.46904953635821289</v>
      </c>
      <c r="J2">
        <f>'Diagnosis Indicators'!J14</f>
        <v>0.57453002118101404</v>
      </c>
      <c r="K2">
        <f>'Diagnosis Indicators'!K14</f>
        <v>0.69822202809616474</v>
      </c>
      <c r="L2">
        <f>'Diagnosis Indicators'!L14</f>
        <v>0.84630845024498202</v>
      </c>
      <c r="M2">
        <f>'Diagnosis Indicators'!M14</f>
        <v>1.0284771248821325</v>
      </c>
      <c r="N2">
        <f>'Diagnosis Indicators'!N14</f>
        <v>1.2608161454896041</v>
      </c>
      <c r="O2">
        <f>'Diagnosis Indicators'!O14</f>
        <v>1.5719575718219867</v>
      </c>
      <c r="P2">
        <f>'Diagnosis Indicators'!P14</f>
        <v>2.0171494675707931</v>
      </c>
      <c r="Q2">
        <f>'Diagnosis Indicators'!Q14</f>
        <v>2.7132011906473421</v>
      </c>
      <c r="R2">
        <f>'Diagnosis Indicators'!R14</f>
        <v>3.9318810912339401</v>
      </c>
      <c r="S2">
        <f>'Diagnosis Indicators'!S14</f>
        <v>6.3753205661995018</v>
      </c>
      <c r="T2">
        <f>'Diagnosis Indicators'!T14</f>
        <v>12.238896656659726</v>
      </c>
      <c r="U2">
        <f>'Diagnosis Indicators'!U14</f>
        <v>32.418350434557162</v>
      </c>
      <c r="V2">
        <f>'Diagnosis Indicators'!V14</f>
        <v>42.611586079030317</v>
      </c>
      <c r="W2">
        <f>'Diagnosis Indicators'!W14</f>
        <v>58.862658915347311</v>
      </c>
      <c r="X2">
        <f>'Diagnosis Indicators'!X14</f>
        <v>87.658202987240472</v>
      </c>
      <c r="Y2">
        <f>'Diagnosis Indicators'!Y14</f>
        <v>148.4184368000065</v>
      </c>
    </row>
    <row r="3" spans="1:25" x14ac:dyDescent="0.2">
      <c r="A3" t="s">
        <v>90</v>
      </c>
      <c r="B3">
        <f>'Diagnosis Indicators'!B16</f>
        <v>5.7716594496607888E-3</v>
      </c>
      <c r="C3">
        <f>'Diagnosis Indicators'!C16</f>
        <v>5.5014439997918968E-2</v>
      </c>
      <c r="D3">
        <f>'Diagnosis Indicators'!D16</f>
        <v>0.10906958458026007</v>
      </c>
      <c r="E3">
        <f>'Diagnosis Indicators'!E16</f>
        <v>0.16872438292690839</v>
      </c>
      <c r="F3">
        <f>'Diagnosis Indicators'!F16</f>
        <v>0.23496769938343354</v>
      </c>
      <c r="G3">
        <f>'Diagnosis Indicators'!G16</f>
        <v>0.30906615374944901</v>
      </c>
      <c r="H3">
        <f>'Diagnosis Indicators'!H16</f>
        <v>0.3926801580131119</v>
      </c>
      <c r="I3">
        <f>'Diagnosis Indicators'!I16</f>
        <v>0.48804509618252229</v>
      </c>
      <c r="J3">
        <f>'Diagnosis Indicators'!J16</f>
        <v>0.59826652270557557</v>
      </c>
      <c r="K3">
        <f>'Diagnosis Indicators'!K16</f>
        <v>0.72782096900058313</v>
      </c>
      <c r="L3">
        <f>'Diagnosis Indicators'!L16</f>
        <v>0.88344313079603487</v>
      </c>
      <c r="M3">
        <f>'Diagnosis Indicators'!M16</f>
        <v>1.0757925162930242</v>
      </c>
      <c r="N3">
        <f>'Diagnosis Indicators'!N16</f>
        <v>1.3227809634877583</v>
      </c>
      <c r="O3">
        <f>'Diagnosis Indicators'!O16</f>
        <v>1.6567067892971499</v>
      </c>
      <c r="P3">
        <f>'Diagnosis Indicators'!P16</f>
        <v>2.1407933646851998</v>
      </c>
      <c r="Q3">
        <f>'Diagnosis Indicators'!Q16</f>
        <v>2.9104917708887981</v>
      </c>
      <c r="R3">
        <f>'Diagnosis Indicators'!R16</f>
        <v>4.2833747151355865</v>
      </c>
      <c r="S3">
        <f>'Diagnosis Indicators'!S16</f>
        <v>7.0803307977105927</v>
      </c>
      <c r="T3">
        <f>'Diagnosis Indicators'!T16</f>
        <v>13.877653156371668</v>
      </c>
      <c r="U3">
        <f>'Diagnosis Indicators'!U16</f>
        <v>37.473069560641029</v>
      </c>
      <c r="V3">
        <f>'Diagnosis Indicators'!V16</f>
        <v>49.321891324375379</v>
      </c>
      <c r="W3">
        <f>'Diagnosis Indicators'!W16</f>
        <v>67.974409258132326</v>
      </c>
      <c r="X3">
        <f>'Diagnosis Indicators'!X16</f>
        <v>100.12194069275338</v>
      </c>
      <c r="Y3">
        <f>'Diagnosis Indicators'!Y16</f>
        <v>163.76263899729508</v>
      </c>
    </row>
    <row r="4" spans="1:25" x14ac:dyDescent="0.2">
      <c r="A4" t="s">
        <v>131</v>
      </c>
      <c r="B4">
        <f>'Diagnosis Indicators'!B17</f>
        <v>5.7716594496607888E-3</v>
      </c>
      <c r="C4">
        <f>'Diagnosis Indicators'!C17</f>
        <v>6.0471261654331691E-2</v>
      </c>
      <c r="D4">
        <f>'Diagnosis Indicators'!D17</f>
        <v>0.12095345317981721</v>
      </c>
      <c r="E4">
        <f>'Diagnosis Indicators'!E17</f>
        <v>0.18829531151179513</v>
      </c>
      <c r="F4">
        <f>'Diagnosis Indicators'!F17</f>
        <v>0.26390198519849517</v>
      </c>
      <c r="G4">
        <f>'Diagnosis Indicators'!G17</f>
        <v>0.3496548940442159</v>
      </c>
      <c r="H4">
        <f>'Diagnosis Indicators'!H17</f>
        <v>0.44814776611328538</v>
      </c>
      <c r="I4">
        <f>'Diagnosis Indicators'!I17</f>
        <v>0.56307817410465788</v>
      </c>
      <c r="J4">
        <f>'Diagnosis Indicators'!J17</f>
        <v>0.69992436136584468</v>
      </c>
      <c r="K4">
        <f>'Diagnosis Indicators'!K17</f>
        <v>0.86717488759437344</v>
      </c>
      <c r="L4">
        <f>'Diagnosis Indicators'!L17</f>
        <v>1.0786936208042293</v>
      </c>
      <c r="M4">
        <f>'Diagnosis Indicators'!M17</f>
        <v>1.3585657211274431</v>
      </c>
      <c r="N4">
        <f>'Diagnosis Indicators'!N17</f>
        <v>1.7516996252942383</v>
      </c>
      <c r="O4">
        <f>'Diagnosis Indicators'!O17</f>
        <v>2.3483184573784062</v>
      </c>
      <c r="P4">
        <f>'Diagnosis Indicators'!P17</f>
        <v>3.3414401207452875</v>
      </c>
      <c r="Q4">
        <f>'Diagnosis Indicators'!Q17</f>
        <v>5.1569811900103169</v>
      </c>
    </row>
    <row r="5" spans="1:25" x14ac:dyDescent="0.2">
      <c r="A5" t="s">
        <v>130</v>
      </c>
      <c r="B5">
        <f>'Diagnosis Indicators'!B18</f>
        <v>5.7716594496607888E-3</v>
      </c>
      <c r="C5">
        <f>'Diagnosis Indicators'!C18</f>
        <v>3.5074944807207187E-2</v>
      </c>
      <c r="D5">
        <f>'Diagnosis Indicators'!D18</f>
        <v>6.5450917189868188E-2</v>
      </c>
      <c r="E5">
        <f>'Diagnosis Indicators'!E18</f>
        <v>9.6813906878356962E-2</v>
      </c>
      <c r="F5">
        <f>'Diagnosis Indicators'!F18</f>
        <v>0.12902967722351788</v>
      </c>
      <c r="G5">
        <f>'Diagnosis Indicators'!G18</f>
        <v>0.16190373369802477</v>
      </c>
      <c r="H5">
        <f>'Diagnosis Indicators'!H18</f>
        <v>0.19516581074901948</v>
      </c>
      <c r="I5">
        <f>'Diagnosis Indicators'!I18</f>
        <v>0.22845370229541914</v>
      </c>
      <c r="J5">
        <f>'Diagnosis Indicators'!J18</f>
        <v>0.2612902252197572</v>
      </c>
      <c r="K5">
        <f>'Diagnosis Indicators'!K18</f>
        <v>0.29304242272201791</v>
      </c>
      <c r="L5">
        <f>'Diagnosis Indicators'!L18</f>
        <v>0.32282099290967115</v>
      </c>
      <c r="M5">
        <f>'Diagnosis Indicators'!M18</f>
        <v>0.34913325965877384</v>
      </c>
      <c r="N5">
        <f>'Diagnosis Indicators'!N18</f>
        <v>0.36833406901092186</v>
      </c>
      <c r="O5">
        <f>'Diagnosis Indicators'!O18</f>
        <v>0.3692943055570726</v>
      </c>
    </row>
    <row r="6" spans="1:25" x14ac:dyDescent="0.2">
      <c r="A6" t="s">
        <v>146</v>
      </c>
      <c r="B6">
        <f>'Diagnosis Indicators'!B19</f>
        <v>5.7716594496607888E-3</v>
      </c>
      <c r="C6">
        <f>'Diagnosis Indicators'!C19</f>
        <v>6.0784297872703882E-2</v>
      </c>
      <c r="D6">
        <f>'Diagnosis Indicators'!D19</f>
        <v>0.12072509742981674</v>
      </c>
      <c r="E6">
        <f>'Diagnosis Indicators'!E19</f>
        <v>0.18637390962739658</v>
      </c>
      <c r="F6">
        <f>'Diagnosis Indicators'!F19</f>
        <v>0.25870018017358054</v>
      </c>
      <c r="G6">
        <f>'Diagnosis Indicators'!G19</f>
        <v>0.33892909007004124</v>
      </c>
      <c r="H6">
        <f>'Diagnosis Indicators'!H19</f>
        <v>0.42864748565690663</v>
      </c>
      <c r="I6">
        <f>'Diagnosis Indicators'!I19</f>
        <v>0.5299612844400039</v>
      </c>
      <c r="J6">
        <f>'Diagnosis Indicators'!J19</f>
        <v>0.64574689965076804</v>
      </c>
      <c r="K6">
        <f>'Diagnosis Indicators'!K19</f>
        <v>0.78006174262338579</v>
      </c>
      <c r="L6">
        <f>'Diagnosis Indicators'!L19</f>
        <v>0.93884190849685423</v>
      </c>
      <c r="M6">
        <f>'Diagnosis Indicators'!M19</f>
        <v>1.1311334665385189</v>
      </c>
      <c r="N6">
        <f>'Diagnosis Indicators'!N19</f>
        <v>1.3713654537293865</v>
      </c>
      <c r="O6">
        <f>'Diagnosis Indicators'!O19</f>
        <v>1.6837134809843308</v>
      </c>
      <c r="P6">
        <f>'Diagnosis Indicators'!P19</f>
        <v>2.110732976573106</v>
      </c>
      <c r="Q6">
        <f>'Diagnosis Indicators'!Q19</f>
        <v>2.7302351744075088</v>
      </c>
      <c r="R6">
        <f>'Diagnosis Indicators'!R19</f>
        <v>3.684286821000438</v>
      </c>
      <c r="S6">
        <f>'Diagnosis Indicators'!S19</f>
        <v>5.2057936576302772</v>
      </c>
      <c r="T6">
        <f>'Diagnosis Indicators'!T19</f>
        <v>7.5277080317793974</v>
      </c>
    </row>
    <row r="7" spans="1:25" x14ac:dyDescent="0.2">
      <c r="A7" t="s">
        <v>141</v>
      </c>
      <c r="B7">
        <f>'Diagnosis Indicators'!B20</f>
        <v>5.7716594496607888E-3</v>
      </c>
      <c r="C7">
        <f>'Diagnosis Indicators'!C20</f>
        <v>4.6616560900795224E-2</v>
      </c>
      <c r="D7">
        <f>'Diagnosis Indicators'!D20</f>
        <v>9.0570189780028496E-2</v>
      </c>
      <c r="E7">
        <f>'Diagnosis Indicators'!E20</f>
        <v>0.13795858296821159</v>
      </c>
      <c r="F7">
        <f>'Diagnosis Indicators'!F20</f>
        <v>0.18914053993188792</v>
      </c>
      <c r="G7">
        <f>'Diagnosis Indicators'!G20</f>
        <v>0.24450906318125445</v>
      </c>
      <c r="H7">
        <f>'Diagnosis Indicators'!H20</f>
        <v>0.30448463319685992</v>
      </c>
      <c r="I7">
        <f>'Diagnosis Indicators'!I20</f>
        <v>0.36950799849981214</v>
      </c>
      <c r="J7">
        <f>'Diagnosis Indicators'!J20</f>
        <v>0.44002601008515024</v>
      </c>
      <c r="K7">
        <f>'Diagnosis Indicators'!K20</f>
        <v>0.51648305564793218</v>
      </c>
      <c r="L7">
        <f>'Diagnosis Indicators'!L20</f>
        <v>0.59934479071597546</v>
      </c>
      <c r="M7">
        <f>'Diagnosis Indicators'!M20</f>
        <v>0.68924795464333877</v>
      </c>
      <c r="N7">
        <f>'Diagnosis Indicators'!N20</f>
        <v>0.78752593116657377</v>
      </c>
      <c r="O7">
        <f>'Diagnosis Indicators'!O20</f>
        <v>0.8977580899117632</v>
      </c>
      <c r="P7">
        <f>'Diagnosis Indicators'!P20</f>
        <v>1.0299650993547727</v>
      </c>
      <c r="Q7">
        <f>'Diagnosis Indicators'!Q20</f>
        <v>1.2117233761951891</v>
      </c>
      <c r="R7">
        <f>'Diagnosis Indicators'!R20</f>
        <v>1.5197381628728401</v>
      </c>
      <c r="S7">
        <f>'Diagnosis Indicators'!S20</f>
        <v>2.1913791855995992</v>
      </c>
      <c r="T7">
        <f>'Diagnosis Indicators'!T20</f>
        <v>4.1595695026330812</v>
      </c>
      <c r="U7">
        <f>'Diagnosis Indicators'!U20</f>
        <v>13.169923289859858</v>
      </c>
      <c r="V7">
        <f>'Diagnosis Indicators'!V20</f>
        <v>18.647168398919394</v>
      </c>
      <c r="W7">
        <f>'Diagnosis Indicators'!W20</f>
        <v>28.630274528412649</v>
      </c>
      <c r="X7">
        <f>'Diagnosis Indicators'!X20</f>
        <v>50.647409509597196</v>
      </c>
      <c r="Y7">
        <f>'Diagnosis Indicators'!Y20</f>
        <v>124.31276869687984</v>
      </c>
    </row>
    <row r="8" spans="1:25" x14ac:dyDescent="0.2">
      <c r="A8" t="s">
        <v>142</v>
      </c>
      <c r="B8">
        <f>'Diagnosis Indicators'!B21</f>
        <v>5.7716594496607888E-3</v>
      </c>
      <c r="C8">
        <f>'Diagnosis Indicators'!C21</f>
        <v>4.8236263315743218E-2</v>
      </c>
      <c r="D8">
        <f>'Diagnosis Indicators'!D21</f>
        <v>9.4333614278895403E-2</v>
      </c>
      <c r="E8">
        <f>'Diagnosis Indicators'!E21</f>
        <v>0.1445460708181428</v>
      </c>
      <c r="F8">
        <f>'Diagnosis Indicators'!F21</f>
        <v>0.19944639100039627</v>
      </c>
      <c r="G8">
        <f>'Diagnosis Indicators'!G21</f>
        <v>0.25972026561609324</v>
      </c>
      <c r="H8">
        <f>'Diagnosis Indicators'!H21</f>
        <v>0.32619530278820824</v>
      </c>
      <c r="I8">
        <f>'Diagnosis Indicators'!I21</f>
        <v>0.3998782158735289</v>
      </c>
      <c r="J8">
        <f>'Diagnosis Indicators'!J21</f>
        <v>0.48200120658524204</v>
      </c>
      <c r="K8">
        <f>'Diagnosis Indicators'!K21</f>
        <v>0.57407980237040201</v>
      </c>
      <c r="L8">
        <f>'Diagnosis Indicators'!L21</f>
        <v>0.67797571593168926</v>
      </c>
      <c r="M8">
        <f>'Diagnosis Indicators'!M21</f>
        <v>0.79595494790866261</v>
      </c>
      <c r="N8">
        <f>'Diagnosis Indicators'!N21</f>
        <v>0.93070716199072867</v>
      </c>
      <c r="O8">
        <f>'Diagnosis Indicators'!O21</f>
        <v>1.0852592982660039</v>
      </c>
      <c r="P8">
        <f>'Diagnosis Indicators'!P21</f>
        <v>1.2626655678379251</v>
      </c>
      <c r="Q8">
        <f>'Diagnosis Indicators'!Q21</f>
        <v>1.465335939706746</v>
      </c>
      <c r="R8">
        <f>'Diagnosis Indicators'!R21</f>
        <v>1.6939794785809303</v>
      </c>
      <c r="S8">
        <f>'Diagnosis Indicators'!S21</f>
        <v>1.9465108519059251</v>
      </c>
      <c r="T8">
        <f>'Diagnosis Indicators'!T21</f>
        <v>2.2176781779116448</v>
      </c>
      <c r="U8">
        <f>'Diagnosis Indicators'!U21</f>
        <v>2.4999915877256336</v>
      </c>
      <c r="V8">
        <f>'Diagnosis Indicators'!V21</f>
        <v>2.5570831363258324</v>
      </c>
      <c r="W8">
        <f>'Diagnosis Indicators'!W21</f>
        <v>2.6142408977752671</v>
      </c>
      <c r="X8">
        <f>'Diagnosis Indicators'!X21</f>
        <v>2.6714080519972465</v>
      </c>
      <c r="Y8">
        <f>'Diagnosis Indicators'!Y21</f>
        <v>2.7285306678306651</v>
      </c>
    </row>
    <row r="9" spans="1:25" x14ac:dyDescent="0.2">
      <c r="A9" t="s">
        <v>147</v>
      </c>
      <c r="B9">
        <f>'Diagnosis Indicators'!B15</f>
        <v>5.7716594496607888E-3</v>
      </c>
      <c r="C9">
        <f>'Diagnosis Indicators'!C15</f>
        <v>5.6613144183313743E-2</v>
      </c>
      <c r="D9">
        <f>'Diagnosis Indicators'!D15</f>
        <v>0.11238299223790056</v>
      </c>
      <c r="E9">
        <f>'Diagnosis Indicators'!E15</f>
        <v>0.1738781132406336</v>
      </c>
      <c r="F9">
        <f>'Diagnosis Indicators'!F15</f>
        <v>0.24209690208904491</v>
      </c>
      <c r="G9">
        <f>'Diagnosis Indicators'!G15</f>
        <v>0.31831153568559589</v>
      </c>
      <c r="H9">
        <f>'Diagnosis Indicators'!H15</f>
        <v>0.40419162312909251</v>
      </c>
      <c r="I9">
        <f>'Diagnosis Indicators'!I15</f>
        <v>0.50197315221493877</v>
      </c>
      <c r="J9">
        <f>'Diagnosis Indicators'!J15</f>
        <v>0.61475624813283969</v>
      </c>
      <c r="K9">
        <f>'Diagnosis Indicators'!K15</f>
        <v>0.74699888555461624</v>
      </c>
      <c r="L9">
        <f>'Diagnosis Indicators'!L15</f>
        <v>0.90539407028806029</v>
      </c>
      <c r="M9">
        <f>'Diagnosis Indicators'!M15</f>
        <v>1.1005158046198136</v>
      </c>
      <c r="N9">
        <f>'Diagnosis Indicators'!N15</f>
        <v>1.3501042044668816</v>
      </c>
      <c r="O9">
        <f>'Diagnosis Indicators'!O15</f>
        <v>1.6861089978417878</v>
      </c>
      <c r="P9">
        <f>'Diagnosis Indicators'!P15</f>
        <v>2.1710424633437735</v>
      </c>
      <c r="Q9">
        <f>'Diagnosis Indicators'!Q15</f>
        <v>2.9390284943982472</v>
      </c>
      <c r="R9">
        <f>'Diagnosis Indicators'!R15</f>
        <v>4.305973188490146</v>
      </c>
      <c r="S9">
        <f>'Diagnosis Indicators'!S15</f>
        <v>7.0932888892520785</v>
      </c>
      <c r="T9">
        <f>'Diagnosis Indicators'!T15</f>
        <v>13.882121838816106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Feuilles de calcul</vt:lpstr>
      </vt:variant>
      <vt:variant>
        <vt:i4>15</vt:i4>
      </vt:variant>
      <vt:variant>
        <vt:lpstr>Graphiques</vt:lpstr>
      </vt:variant>
      <vt:variant>
        <vt:i4>6</vt:i4>
      </vt:variant>
      <vt:variant>
        <vt:lpstr>Plages nommées</vt:lpstr>
      </vt:variant>
      <vt:variant>
        <vt:i4>182</vt:i4>
      </vt:variant>
    </vt:vector>
  </HeadingPairs>
  <TitlesOfParts>
    <vt:vector size="203" baseType="lpstr">
      <vt:lpstr>Calibration</vt:lpstr>
      <vt:lpstr>Model</vt:lpstr>
      <vt:lpstr>Results</vt:lpstr>
      <vt:lpstr>NeoClassical</vt:lpstr>
      <vt:lpstr>Kaldorian</vt:lpstr>
      <vt:lpstr>Johansen</vt:lpstr>
      <vt:lpstr>Keynes-M</vt:lpstr>
      <vt:lpstr>Keynesian</vt:lpstr>
      <vt:lpstr>Keynes-K</vt:lpstr>
      <vt:lpstr>Neo-K1</vt:lpstr>
      <vt:lpstr>Neo-K2</vt:lpstr>
      <vt:lpstr>Diagnosis Indicators</vt:lpstr>
      <vt:lpstr>Utility-export</vt:lpstr>
      <vt:lpstr>PShare_export</vt:lpstr>
      <vt:lpstr>Tax_export</vt:lpstr>
      <vt:lpstr>Welfare</vt:lpstr>
      <vt:lpstr>Tax</vt:lpstr>
      <vt:lpstr>GDP</vt:lpstr>
      <vt:lpstr>Inv</vt:lpstr>
      <vt:lpstr>Kshare</vt:lpstr>
      <vt:lpstr>U</vt:lpstr>
      <vt:lpstr>Calibration!AGGREGATES</vt:lpstr>
      <vt:lpstr>Model!AGGREGATES</vt:lpstr>
      <vt:lpstr>aKL</vt:lpstr>
      <vt:lpstr>aKLE</vt:lpstr>
      <vt:lpstr>Calibration!alpha</vt:lpstr>
      <vt:lpstr>Model!alpha</vt:lpstr>
      <vt:lpstr>Calibration!alphaEY</vt:lpstr>
      <vt:lpstr>Model!alphaEY</vt:lpstr>
      <vt:lpstr>Calibration!alphaMY</vt:lpstr>
      <vt:lpstr>Model!alphaMY</vt:lpstr>
      <vt:lpstr>aS</vt:lpstr>
      <vt:lpstr>aU</vt:lpstr>
      <vt:lpstr>aX</vt:lpstr>
      <vt:lpstr>aY</vt:lpstr>
      <vt:lpstr>Calibration!B</vt:lpstr>
      <vt:lpstr>Model!B</vt:lpstr>
      <vt:lpstr>bKL</vt:lpstr>
      <vt:lpstr>bKLE</vt:lpstr>
      <vt:lpstr>bS</vt:lpstr>
      <vt:lpstr>bU</vt:lpstr>
      <vt:lpstr>bX</vt:lpstr>
      <vt:lpstr>bY</vt:lpstr>
      <vt:lpstr>Calibration!CE</vt:lpstr>
      <vt:lpstr>Model!CE</vt:lpstr>
      <vt:lpstr>Calibration!Consumption</vt:lpstr>
      <vt:lpstr>Model!Consumption</vt:lpstr>
      <vt:lpstr>Model!CPI</vt:lpstr>
      <vt:lpstr>Calibration!CQ</vt:lpstr>
      <vt:lpstr>Model!CQ</vt:lpstr>
      <vt:lpstr>Calibration!D</vt:lpstr>
      <vt:lpstr>Model!D</vt:lpstr>
      <vt:lpstr>Calibration!DE</vt:lpstr>
      <vt:lpstr>Model!DE</vt:lpstr>
      <vt:lpstr>epsilonE</vt:lpstr>
      <vt:lpstr>ERROR1</vt:lpstr>
      <vt:lpstr>ERROR10</vt:lpstr>
      <vt:lpstr>ERROR11</vt:lpstr>
      <vt:lpstr>ERROR12</vt:lpstr>
      <vt:lpstr>ERROR2</vt:lpstr>
      <vt:lpstr>ERROR3</vt:lpstr>
      <vt:lpstr>ERROR4</vt:lpstr>
      <vt:lpstr>ERROR5</vt:lpstr>
      <vt:lpstr>ERROR6</vt:lpstr>
      <vt:lpstr>ERROR7</vt:lpstr>
      <vt:lpstr>ERROR8</vt:lpstr>
      <vt:lpstr>ERROR9</vt:lpstr>
      <vt:lpstr>Calibration!FACTORS</vt:lpstr>
      <vt:lpstr>Model!FACTORS</vt:lpstr>
      <vt:lpstr>Calibration!G</vt:lpstr>
      <vt:lpstr>Model!G</vt:lpstr>
      <vt:lpstr>Calibration!GDP</vt:lpstr>
      <vt:lpstr>Model!GDP</vt:lpstr>
      <vt:lpstr>Calibration!I</vt:lpstr>
      <vt:lpstr>Model!I</vt:lpstr>
      <vt:lpstr>Calibration!K</vt:lpstr>
      <vt:lpstr>Model!K</vt:lpstr>
      <vt:lpstr>Calibration!kappa</vt:lpstr>
      <vt:lpstr>Model!kappa</vt:lpstr>
      <vt:lpstr>Calibration!KL</vt:lpstr>
      <vt:lpstr>Model!KL</vt:lpstr>
      <vt:lpstr>Calibration!KL_E</vt:lpstr>
      <vt:lpstr>Model!KL_E</vt:lpstr>
      <vt:lpstr>Calibration!KL_Q</vt:lpstr>
      <vt:lpstr>Model!KL_Q</vt:lpstr>
      <vt:lpstr>Calibration!KLE</vt:lpstr>
      <vt:lpstr>Model!KLE</vt:lpstr>
      <vt:lpstr>Model!KLQ</vt:lpstr>
      <vt:lpstr>Calibration!Labour</vt:lpstr>
      <vt:lpstr>Model!Labour</vt:lpstr>
      <vt:lpstr>Calibration!Labour_E</vt:lpstr>
      <vt:lpstr>Model!Labour_E</vt:lpstr>
      <vt:lpstr>Calibration!Labour_Q</vt:lpstr>
      <vt:lpstr>Model!Labour_Q</vt:lpstr>
      <vt:lpstr>Model!LabourQ</vt:lpstr>
      <vt:lpstr>Calibration!lambda</vt:lpstr>
      <vt:lpstr>Model!lambda</vt:lpstr>
      <vt:lpstr>Calibration!M</vt:lpstr>
      <vt:lpstr>Model!M</vt:lpstr>
      <vt:lpstr>MAXERROR</vt:lpstr>
      <vt:lpstr>Calibration!omegaG</vt:lpstr>
      <vt:lpstr>Model!omegaG</vt:lpstr>
      <vt:lpstr>Calibration!omegaI</vt:lpstr>
      <vt:lpstr>Model!omegaI</vt:lpstr>
      <vt:lpstr>Calibration!pC</vt:lpstr>
      <vt:lpstr>Model!pC</vt:lpstr>
      <vt:lpstr>Calibration!pCE</vt:lpstr>
      <vt:lpstr>Model!pCE</vt:lpstr>
      <vt:lpstr>Calibration!pCQ</vt:lpstr>
      <vt:lpstr>Model!pCQ</vt:lpstr>
      <vt:lpstr>Calibration!pD</vt:lpstr>
      <vt:lpstr>Model!pD</vt:lpstr>
      <vt:lpstr>Calibration!pEY</vt:lpstr>
      <vt:lpstr>Model!pEY</vt:lpstr>
      <vt:lpstr>Calibration!pG</vt:lpstr>
      <vt:lpstr>Model!pG</vt:lpstr>
      <vt:lpstr>Calibration!pI</vt:lpstr>
      <vt:lpstr>Model!pI</vt:lpstr>
      <vt:lpstr>Calibration!pIC</vt:lpstr>
      <vt:lpstr>Model!pIC</vt:lpstr>
      <vt:lpstr>Calibration!pK</vt:lpstr>
      <vt:lpstr>Model!pK</vt:lpstr>
      <vt:lpstr>Calibration!pKL</vt:lpstr>
      <vt:lpstr>Model!pKL</vt:lpstr>
      <vt:lpstr>Calibration!pKLE</vt:lpstr>
      <vt:lpstr>Model!pKLE</vt:lpstr>
      <vt:lpstr>Calibration!pL</vt:lpstr>
      <vt:lpstr>Model!pL</vt:lpstr>
      <vt:lpstr>Calibration!pMY</vt:lpstr>
      <vt:lpstr>Model!pMY</vt:lpstr>
      <vt:lpstr>Calibration!pQ</vt:lpstr>
      <vt:lpstr>Model!pQ</vt:lpstr>
      <vt:lpstr>Calibration!PRICES</vt:lpstr>
      <vt:lpstr>Model!PRICES</vt:lpstr>
      <vt:lpstr>Calibration!pS</vt:lpstr>
      <vt:lpstr>Model!pS</vt:lpstr>
      <vt:lpstr>Calibration!pW</vt:lpstr>
      <vt:lpstr>Model!pW</vt:lpstr>
      <vt:lpstr>Calibration!pX</vt:lpstr>
      <vt:lpstr>Model!pX</vt:lpstr>
      <vt:lpstr>Calibration!pY</vt:lpstr>
      <vt:lpstr>Model!pY</vt:lpstr>
      <vt:lpstr>Calibration!Revenue</vt:lpstr>
      <vt:lpstr>Model!Revenue</vt:lpstr>
      <vt:lpstr>rhoKL</vt:lpstr>
      <vt:lpstr>rhoKLE</vt:lpstr>
      <vt:lpstr>rhoS</vt:lpstr>
      <vt:lpstr>rhoU</vt:lpstr>
      <vt:lpstr>rhoX</vt:lpstr>
      <vt:lpstr>rhoY</vt:lpstr>
      <vt:lpstr>Calibration!S</vt:lpstr>
      <vt:lpstr>Model!S</vt:lpstr>
      <vt:lpstr>Calibration!sD</vt:lpstr>
      <vt:lpstr>Model!sD</vt:lpstr>
      <vt:lpstr>Calibration!SE</vt:lpstr>
      <vt:lpstr>Model!SE</vt:lpstr>
      <vt:lpstr>Calibration!sG</vt:lpstr>
      <vt:lpstr>Model!sG</vt:lpstr>
      <vt:lpstr>sigmaKL</vt:lpstr>
      <vt:lpstr>sigmaKLE</vt:lpstr>
      <vt:lpstr>sigmaS</vt:lpstr>
      <vt:lpstr>sigmaU</vt:lpstr>
      <vt:lpstr>sigmaw</vt:lpstr>
      <vt:lpstr>sigmaX</vt:lpstr>
      <vt:lpstr>sigmaY</vt:lpstr>
      <vt:lpstr>Calibration!sK</vt:lpstr>
      <vt:lpstr>Model!sK</vt:lpstr>
      <vt:lpstr>Calibration!sL</vt:lpstr>
      <vt:lpstr>Model!sL</vt:lpstr>
      <vt:lpstr>Calibration!T</vt:lpstr>
      <vt:lpstr>T</vt:lpstr>
      <vt:lpstr>Target</vt:lpstr>
      <vt:lpstr>Calibration!tauL</vt:lpstr>
      <vt:lpstr>Model!tauL</vt:lpstr>
      <vt:lpstr>Calibration!tauTS</vt:lpstr>
      <vt:lpstr>Model!tauTS</vt:lpstr>
      <vt:lpstr>Model!tauTS2</vt:lpstr>
      <vt:lpstr>Calibration!tauTVA</vt:lpstr>
      <vt:lpstr>Model!tauTVA</vt:lpstr>
      <vt:lpstr>Calibration!tauY</vt:lpstr>
      <vt:lpstr>Model!tauY</vt:lpstr>
      <vt:lpstr>Calibration!tEXC</vt:lpstr>
      <vt:lpstr>Model!tEXC</vt:lpstr>
      <vt:lpstr>Calibration!tEXC1</vt:lpstr>
      <vt:lpstr>Model!tEXC1</vt:lpstr>
      <vt:lpstr>Calibration!tEXC2</vt:lpstr>
      <vt:lpstr>Model!tEXC2</vt:lpstr>
      <vt:lpstr>Calibration!U</vt:lpstr>
      <vt:lpstr>Model!U</vt:lpstr>
      <vt:lpstr>Calibration!VARIABLES</vt:lpstr>
      <vt:lpstr>Model!VARIABLES</vt:lpstr>
      <vt:lpstr>Calibration!VOLUMES</vt:lpstr>
      <vt:lpstr>Model!VOLUMES</vt:lpstr>
      <vt:lpstr>Calibration!w</vt:lpstr>
      <vt:lpstr>Model!w</vt:lpstr>
      <vt:lpstr>Model!wE</vt:lpstr>
      <vt:lpstr>Model!wQ</vt:lpstr>
      <vt:lpstr>Calibration!X</vt:lpstr>
      <vt:lpstr>Model!X</vt:lpstr>
      <vt:lpstr>Calibration!XE</vt:lpstr>
      <vt:lpstr>Model!XE</vt:lpstr>
      <vt:lpstr>Calibration!Y</vt:lpstr>
      <vt:lpstr>Model!Y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Ghersi</dc:creator>
  <cp:lastModifiedBy>Louis Daumas</cp:lastModifiedBy>
  <dcterms:created xsi:type="dcterms:W3CDTF">2012-11-16T13:59:17Z</dcterms:created>
  <dcterms:modified xsi:type="dcterms:W3CDTF">2025-06-11T15:33:58Z</dcterms:modified>
</cp:coreProperties>
</file>