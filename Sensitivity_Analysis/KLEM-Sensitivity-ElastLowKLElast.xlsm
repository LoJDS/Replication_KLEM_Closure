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48CB7465-77FA-4DDB-8C16-6D9ADF656DBC}" xr6:coauthVersionLast="47" xr6:coauthVersionMax="47" xr10:uidLastSave="{00000000-0000-0000-0000-000000000000}"/>
  <bookViews>
    <workbookView xWindow="-110" yWindow="-110" windowWidth="19420" windowHeight="11500" tabRatio="887" firstSheet="8" activeTab="17"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8" i="39" l="1"/>
  <c r="T8" i="39"/>
  <c r="S8" i="39"/>
  <c r="R8" i="39"/>
  <c r="W4" i="23"/>
  <c r="N3" i="39"/>
  <c r="O3" i="39"/>
  <c r="P3" i="39"/>
  <c r="Q3" i="39"/>
  <c r="R3" i="39"/>
  <c r="S3" i="39"/>
  <c r="T3" i="39"/>
  <c r="O5" i="39"/>
  <c r="P5" i="39"/>
  <c r="Q5" i="39"/>
  <c r="R5" i="39"/>
  <c r="S5" i="39"/>
  <c r="L6" i="39"/>
  <c r="M6" i="39"/>
  <c r="N6" i="39"/>
  <c r="O6" i="39"/>
  <c r="P6" i="39"/>
  <c r="Q6" i="39"/>
  <c r="AB83" i="35"/>
  <c r="AR82" i="35"/>
  <c r="L82" i="35"/>
  <c r="AP81" i="35"/>
  <c r="AJ81" i="35"/>
  <c r="AH81" i="35"/>
  <c r="AF81" i="35"/>
  <c r="AD81" i="35"/>
  <c r="AB81" i="35"/>
  <c r="X81" i="35"/>
  <c r="V81" i="35"/>
  <c r="T81" i="35"/>
  <c r="R81" i="35"/>
  <c r="J81" i="35"/>
  <c r="D81" i="35"/>
  <c r="B81" i="35"/>
  <c r="AV80" i="35"/>
  <c r="AT80" i="35"/>
  <c r="AR80" i="35"/>
  <c r="AN80" i="35"/>
  <c r="AL80" i="35"/>
  <c r="AJ80" i="35"/>
  <c r="AH80" i="35"/>
  <c r="Z80" i="35"/>
  <c r="T80" i="35"/>
  <c r="R80" i="35"/>
  <c r="P80" i="35"/>
  <c r="N80" i="35"/>
  <c r="L80" i="35"/>
  <c r="H80" i="35"/>
  <c r="F80" i="35"/>
  <c r="D80" i="35"/>
  <c r="B80" i="35"/>
  <c r="AV79" i="35" a="1"/>
  <c r="AV79" i="35" s="1"/>
  <c r="AT79" i="35" a="1"/>
  <c r="AT79" i="35" s="1"/>
  <c r="AR79" i="35" a="1"/>
  <c r="AR79" i="35" s="1"/>
  <c r="AP79" i="35" a="1"/>
  <c r="AP79" i="35" s="1"/>
  <c r="AN79" i="35" a="1"/>
  <c r="AN79" i="35" s="1"/>
  <c r="AL79" i="35"/>
  <c r="AL79" i="35" a="1"/>
  <c r="AJ79" i="35" a="1"/>
  <c r="AJ79" i="35" s="1"/>
  <c r="AH79" i="35" a="1"/>
  <c r="AH79" i="35" s="1"/>
  <c r="AF79" i="35" a="1"/>
  <c r="AF79" i="35" s="1"/>
  <c r="AD79" i="35" a="1"/>
  <c r="AD79" i="35" s="1"/>
  <c r="AB79" i="35" a="1"/>
  <c r="AB79" i="35" s="1"/>
  <c r="Z79" i="35" a="1"/>
  <c r="Z79" i="35" s="1"/>
  <c r="X79" i="35" a="1"/>
  <c r="X79" i="35" s="1"/>
  <c r="V79" i="35"/>
  <c r="V79" i="35" a="1"/>
  <c r="T79" i="35" a="1"/>
  <c r="T79" i="35" s="1"/>
  <c r="R79" i="35" a="1"/>
  <c r="R79" i="35" s="1"/>
  <c r="P79" i="35" a="1"/>
  <c r="P79" i="35" s="1"/>
  <c r="N79" i="35" a="1"/>
  <c r="N79" i="35" s="1"/>
  <c r="L79" i="35" a="1"/>
  <c r="L79" i="35" s="1"/>
  <c r="J79" i="35" a="1"/>
  <c r="J79" i="35" s="1"/>
  <c r="H79" i="35" a="1"/>
  <c r="H79" i="35" s="1"/>
  <c r="F79" i="35"/>
  <c r="F79" i="35" a="1"/>
  <c r="D79" i="35" a="1"/>
  <c r="D79" i="35" s="1"/>
  <c r="B79" i="35" a="1"/>
  <c r="B79" i="35" s="1"/>
  <c r="AV78" i="35" a="1"/>
  <c r="AV78" i="35" s="1"/>
  <c r="AT78" i="35" a="1"/>
  <c r="AT78" i="35" s="1"/>
  <c r="AR78" i="35" a="1"/>
  <c r="AR78" i="35" s="1"/>
  <c r="AP78" i="35" a="1"/>
  <c r="AP78" i="35" s="1"/>
  <c r="AN78" i="35" a="1"/>
  <c r="AN78" i="35" s="1"/>
  <c r="AL78" i="35"/>
  <c r="AL78" i="35" a="1"/>
  <c r="AJ78" i="35" a="1"/>
  <c r="AJ78" i="35" s="1"/>
  <c r="AH78" i="35" a="1"/>
  <c r="AH78" i="35" s="1"/>
  <c r="AF78" i="35" a="1"/>
  <c r="AF78" i="35" s="1"/>
  <c r="AD78" i="35" a="1"/>
  <c r="AD78" i="35" s="1"/>
  <c r="AB78" i="35" a="1"/>
  <c r="AB78" i="35" s="1"/>
  <c r="Z78" i="35" a="1"/>
  <c r="Z78" i="35" s="1"/>
  <c r="X78" i="35" a="1"/>
  <c r="X78" i="35" s="1"/>
  <c r="V78" i="35"/>
  <c r="V78" i="35" a="1"/>
  <c r="T78" i="35" a="1"/>
  <c r="T78" i="35" s="1"/>
  <c r="R78" i="35" a="1"/>
  <c r="R78" i="35" s="1"/>
  <c r="P78" i="35" a="1"/>
  <c r="P78" i="35" s="1"/>
  <c r="N78" i="35" a="1"/>
  <c r="N78" i="35" s="1"/>
  <c r="L78" i="35" a="1"/>
  <c r="L78" i="35" s="1"/>
  <c r="J78" i="35" a="1"/>
  <c r="J78" i="35" s="1"/>
  <c r="H78" i="35" a="1"/>
  <c r="H78" i="35" s="1"/>
  <c r="F78" i="35"/>
  <c r="F78" i="35" a="1"/>
  <c r="D78" i="35" a="1"/>
  <c r="D78" i="35" s="1"/>
  <c r="B78" i="35" a="1"/>
  <c r="B78" i="35" s="1"/>
  <c r="AV77" i="35" a="1"/>
  <c r="AV77" i="35" s="1"/>
  <c r="AT77" i="35" a="1"/>
  <c r="AT77" i="35" s="1"/>
  <c r="AR77" i="35" a="1"/>
  <c r="AR77" i="35" s="1"/>
  <c r="AP77" i="35" a="1"/>
  <c r="AP77" i="35" s="1"/>
  <c r="AN77" i="35" a="1"/>
  <c r="AN77" i="35" s="1"/>
  <c r="AL77" i="35"/>
  <c r="AL77" i="35" a="1"/>
  <c r="AJ77" i="35" a="1"/>
  <c r="AJ77" i="35" s="1"/>
  <c r="AH77" i="35" a="1"/>
  <c r="AH77" i="35" s="1"/>
  <c r="AF77" i="35" a="1"/>
  <c r="AF77" i="35" s="1"/>
  <c r="AD77" i="35" a="1"/>
  <c r="AD77" i="35" s="1"/>
  <c r="AB77" i="35" a="1"/>
  <c r="AB77" i="35" s="1"/>
  <c r="Z77" i="35" a="1"/>
  <c r="Z77" i="35" s="1"/>
  <c r="X77" i="35" a="1"/>
  <c r="X77" i="35" s="1"/>
  <c r="V77" i="35"/>
  <c r="V77" i="35" a="1"/>
  <c r="T77" i="35" a="1"/>
  <c r="T77" i="35" s="1"/>
  <c r="R77" i="35" a="1"/>
  <c r="R77" i="35" s="1"/>
  <c r="P77" i="35" a="1"/>
  <c r="P77" i="35" s="1"/>
  <c r="N77" i="35" a="1"/>
  <c r="N77" i="35" s="1"/>
  <c r="L77" i="35" a="1"/>
  <c r="L77" i="35" s="1"/>
  <c r="J77" i="35" a="1"/>
  <c r="J77" i="35" s="1"/>
  <c r="H77" i="35" a="1"/>
  <c r="H77" i="35" s="1"/>
  <c r="F77" i="35"/>
  <c r="F77" i="35" a="1"/>
  <c r="D77" i="35" a="1"/>
  <c r="D77" i="35" s="1"/>
  <c r="B77" i="35"/>
  <c r="B77" i="35" a="1"/>
  <c r="AV76" i="35" a="1"/>
  <c r="AV76" i="35" s="1"/>
  <c r="AT76" i="35" a="1"/>
  <c r="AT76" i="35" s="1"/>
  <c r="AR76" i="35" a="1"/>
  <c r="AR76" i="35" s="1"/>
  <c r="AP76" i="35" a="1"/>
  <c r="AP76" i="35" s="1"/>
  <c r="AN76" i="35" a="1"/>
  <c r="AN76" i="35" s="1"/>
  <c r="AL76" i="35"/>
  <c r="AL76" i="35" a="1"/>
  <c r="AJ76" i="35" a="1"/>
  <c r="AJ76" i="35" s="1"/>
  <c r="AH76" i="35"/>
  <c r="AH76" i="35" a="1"/>
  <c r="AF76" i="35" a="1"/>
  <c r="AF76" i="35" s="1"/>
  <c r="AD76" i="35" a="1"/>
  <c r="AD76" i="35" s="1"/>
  <c r="AB76" i="35" a="1"/>
  <c r="AB76" i="35" s="1"/>
  <c r="Z76" i="35" a="1"/>
  <c r="Z76" i="35" s="1"/>
  <c r="X76" i="35" a="1"/>
  <c r="X76" i="35" s="1"/>
  <c r="V76" i="35"/>
  <c r="V76" i="35" a="1"/>
  <c r="T76" i="35" a="1"/>
  <c r="T76" i="35" s="1"/>
  <c r="R76" i="35" a="1"/>
  <c r="R76" i="35" s="1"/>
  <c r="P76" i="35" a="1"/>
  <c r="P76" i="35" s="1"/>
  <c r="N76" i="35" a="1"/>
  <c r="N76" i="35" s="1"/>
  <c r="L76" i="35" a="1"/>
  <c r="L76" i="35" s="1"/>
  <c r="J76" i="35" a="1"/>
  <c r="J76" i="35" s="1"/>
  <c r="H76" i="35" a="1"/>
  <c r="H76" i="35" s="1"/>
  <c r="F76" i="35"/>
  <c r="F76" i="35" a="1"/>
  <c r="D76" i="35" a="1"/>
  <c r="D76" i="35" s="1"/>
  <c r="B76" i="35" a="1"/>
  <c r="B76" i="35" s="1"/>
  <c r="AV75" i="35" a="1"/>
  <c r="AV75" i="35" s="1"/>
  <c r="AT75" i="35" a="1"/>
  <c r="AT75" i="35" s="1"/>
  <c r="AR75" i="35" a="1"/>
  <c r="AR75" i="35" s="1"/>
  <c r="AP75" i="35" a="1"/>
  <c r="AP75" i="35" s="1"/>
  <c r="AN75" i="35" a="1"/>
  <c r="AN75" i="35" s="1"/>
  <c r="AL75" i="35"/>
  <c r="AL75" i="35" a="1"/>
  <c r="AJ75" i="35" a="1"/>
  <c r="AJ75" i="35" s="1"/>
  <c r="AH75" i="35" a="1"/>
  <c r="AH75" i="35" s="1"/>
  <c r="AF75" i="35" a="1"/>
  <c r="AF75" i="35" s="1"/>
  <c r="AD75" i="35" a="1"/>
  <c r="AD75" i="35" s="1"/>
  <c r="AB75" i="35" a="1"/>
  <c r="AB75" i="35" s="1"/>
  <c r="Z75" i="35" a="1"/>
  <c r="Z75" i="35" s="1"/>
  <c r="X75" i="35" a="1"/>
  <c r="X75" i="35" s="1"/>
  <c r="V75" i="35"/>
  <c r="V75" i="35" a="1"/>
  <c r="T75" i="35" a="1"/>
  <c r="T75" i="35" s="1"/>
  <c r="R75" i="35" a="1"/>
  <c r="R75" i="35" s="1"/>
  <c r="P75" i="35" a="1"/>
  <c r="P75" i="35" s="1"/>
  <c r="N75" i="35" a="1"/>
  <c r="N75" i="35" s="1"/>
  <c r="L75" i="35" a="1"/>
  <c r="L75" i="35" s="1"/>
  <c r="J75" i="35" a="1"/>
  <c r="J75" i="35" s="1"/>
  <c r="H75" i="35" a="1"/>
  <c r="H75" i="35" s="1"/>
  <c r="F75" i="35"/>
  <c r="F75" i="35" a="1"/>
  <c r="D75" i="35" a="1"/>
  <c r="D75" i="35" s="1"/>
  <c r="B75" i="35" a="1"/>
  <c r="B75" i="35" s="1"/>
  <c r="AV74" i="35" a="1"/>
  <c r="AV74" i="35" s="1"/>
  <c r="AT74" i="35" a="1"/>
  <c r="AT74" i="35" s="1"/>
  <c r="AR74" i="35" a="1"/>
  <c r="AR74" i="35" s="1"/>
  <c r="AP74" i="35" a="1"/>
  <c r="AP74" i="35" s="1"/>
  <c r="AN74" i="35" a="1"/>
  <c r="AN74" i="35" s="1"/>
  <c r="AL74" i="35"/>
  <c r="AL74" i="35" a="1"/>
  <c r="AJ74" i="35" a="1"/>
  <c r="AJ74" i="35" s="1"/>
  <c r="AH74" i="35" a="1"/>
  <c r="AH74" i="35" s="1"/>
  <c r="AF74" i="35" a="1"/>
  <c r="AF74" i="35" s="1"/>
  <c r="AD74" i="35" a="1"/>
  <c r="AD74" i="35" s="1"/>
  <c r="AB74" i="35" a="1"/>
  <c r="AB74" i="35" s="1"/>
  <c r="Z74" i="35" a="1"/>
  <c r="Z74" i="35" s="1"/>
  <c r="X74" i="35" a="1"/>
  <c r="X74" i="35" s="1"/>
  <c r="V74" i="35"/>
  <c r="V74" i="35" a="1"/>
  <c r="T74" i="35" a="1"/>
  <c r="T74" i="35" s="1"/>
  <c r="R74" i="35"/>
  <c r="R74" i="35" a="1"/>
  <c r="P74" i="35" a="1"/>
  <c r="P74" i="35" s="1"/>
  <c r="N74" i="35" a="1"/>
  <c r="N74" i="35" s="1"/>
  <c r="L74" i="35" a="1"/>
  <c r="L74" i="35" s="1"/>
  <c r="J74" i="35" a="1"/>
  <c r="J74" i="35" s="1"/>
  <c r="H74" i="35" a="1"/>
  <c r="H74" i="35" s="1"/>
  <c r="F74" i="35"/>
  <c r="F74" i="35" a="1"/>
  <c r="D74" i="35" a="1"/>
  <c r="D74" i="35" s="1"/>
  <c r="B74" i="35"/>
  <c r="B74" i="35" a="1"/>
  <c r="AV73" i="35" a="1"/>
  <c r="AV73" i="35" s="1"/>
  <c r="AT73" i="35" a="1"/>
  <c r="AT73" i="35" s="1"/>
  <c r="AR73" i="35" a="1"/>
  <c r="AR73" i="35" s="1"/>
  <c r="AP73" i="35" a="1"/>
  <c r="AP73" i="35" s="1"/>
  <c r="AN73" i="35" a="1"/>
  <c r="AN73" i="35" s="1"/>
  <c r="AL73" i="35"/>
  <c r="AL73" i="35" a="1"/>
  <c r="AJ73" i="35" a="1"/>
  <c r="AJ73" i="35" s="1"/>
  <c r="AH73" i="35" a="1"/>
  <c r="AH73" i="35" s="1"/>
  <c r="AF73" i="35" a="1"/>
  <c r="AF73" i="35" s="1"/>
  <c r="AD73" i="35" a="1"/>
  <c r="AD73" i="35" s="1"/>
  <c r="AB73" i="35" a="1"/>
  <c r="AB73" i="35" s="1"/>
  <c r="Z73" i="35" a="1"/>
  <c r="Z73" i="35" s="1"/>
  <c r="X73" i="35" a="1"/>
  <c r="X73" i="35" s="1"/>
  <c r="V73" i="35"/>
  <c r="V73" i="35" a="1"/>
  <c r="T73" i="35" a="1"/>
  <c r="T73" i="35" s="1"/>
  <c r="R73" i="35" a="1"/>
  <c r="R73" i="35" s="1"/>
  <c r="P73" i="35" a="1"/>
  <c r="P73" i="35" s="1"/>
  <c r="N73" i="35" a="1"/>
  <c r="N73" i="35" s="1"/>
  <c r="L73" i="35" a="1"/>
  <c r="L73" i="35" s="1"/>
  <c r="J73" i="35" a="1"/>
  <c r="J73" i="35" s="1"/>
  <c r="H73" i="35" a="1"/>
  <c r="H73" i="35" s="1"/>
  <c r="F73" i="35"/>
  <c r="F73" i="35" a="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R69" i="35"/>
  <c r="AJ69" i="35"/>
  <c r="AH69" i="35"/>
  <c r="L69" i="35"/>
  <c r="B69" i="35"/>
  <c r="T68" i="35"/>
  <c r="AV67" i="35" a="1"/>
  <c r="AV67" i="35" s="1"/>
  <c r="AT67" i="35"/>
  <c r="AT67" i="35" a="1"/>
  <c r="AR67" i="35" a="1"/>
  <c r="AR67" i="35" s="1"/>
  <c r="AP67" i="35" a="1"/>
  <c r="AP67" i="35" s="1"/>
  <c r="AN67" i="35" a="1"/>
  <c r="AN67" i="35" s="1"/>
  <c r="AL67" i="35" a="1"/>
  <c r="AL67" i="35" s="1"/>
  <c r="AJ67" i="35" a="1"/>
  <c r="AJ67" i="35" s="1"/>
  <c r="AH67" i="35" a="1"/>
  <c r="AH67" i="35" s="1"/>
  <c r="AF67" i="35" a="1"/>
  <c r="AF67" i="35" s="1"/>
  <c r="AD67" i="35"/>
  <c r="AD67" i="35" a="1"/>
  <c r="AB67" i="35" a="1"/>
  <c r="AB67" i="35" s="1"/>
  <c r="AB68" i="35" s="1"/>
  <c r="Z67" i="35"/>
  <c r="Z67" i="35" a="1"/>
  <c r="X67" i="35" a="1"/>
  <c r="X67" i="35" s="1"/>
  <c r="V67" i="35" a="1"/>
  <c r="V67" i="35" s="1"/>
  <c r="T67" i="35" a="1"/>
  <c r="T67" i="35" s="1"/>
  <c r="R67" i="35" a="1"/>
  <c r="R67" i="35" s="1"/>
  <c r="R68" i="35" s="1"/>
  <c r="P67" i="35" a="1"/>
  <c r="P67" i="35" s="1"/>
  <c r="N67" i="35"/>
  <c r="N67" i="35" a="1"/>
  <c r="L67" i="35" a="1"/>
  <c r="L67" i="35" s="1"/>
  <c r="J67" i="35" a="1"/>
  <c r="J67" i="35" s="1"/>
  <c r="H67" i="35" a="1"/>
  <c r="H67" i="35" s="1"/>
  <c r="F67" i="35" a="1"/>
  <c r="F67" i="35" s="1"/>
  <c r="D67" i="35" a="1"/>
  <c r="D67" i="35" s="1"/>
  <c r="B67" i="35" a="1"/>
  <c r="B67" i="35" s="1"/>
  <c r="AV66" i="35" a="1"/>
  <c r="AV66" i="35" s="1"/>
  <c r="AV68" i="35" s="1"/>
  <c r="AT66" i="35"/>
  <c r="AT68" i="35" s="1"/>
  <c r="AT66" i="35" a="1"/>
  <c r="AR66" i="35" a="1"/>
  <c r="AR66" i="35" s="1"/>
  <c r="AP66" i="35" a="1"/>
  <c r="AP66" i="35" s="1"/>
  <c r="AN66" i="35" a="1"/>
  <c r="AN66" i="35" s="1"/>
  <c r="AN68" i="35" s="1"/>
  <c r="AL66" i="35" a="1"/>
  <c r="AL66" i="35" s="1"/>
  <c r="AL68" i="35" s="1"/>
  <c r="AJ66" i="35" a="1"/>
  <c r="AJ66" i="35" s="1"/>
  <c r="AJ68" i="35" s="1"/>
  <c r="AH66" i="35" a="1"/>
  <c r="AH66" i="35" s="1"/>
  <c r="AF66" i="35" a="1"/>
  <c r="AF66" i="35" s="1"/>
  <c r="AD66" i="35"/>
  <c r="AD68" i="35" s="1"/>
  <c r="AD66" i="35" a="1"/>
  <c r="AB66" i="35" a="1"/>
  <c r="AB66" i="35" s="1"/>
  <c r="Z66" i="35" a="1"/>
  <c r="Z66" i="35" s="1"/>
  <c r="Z68" i="35" s="1"/>
  <c r="X66" i="35" a="1"/>
  <c r="X66" i="35" s="1"/>
  <c r="X68" i="35" s="1"/>
  <c r="V66" i="35" a="1"/>
  <c r="V66" i="35" s="1"/>
  <c r="V68" i="35" s="1"/>
  <c r="T66" i="35" a="1"/>
  <c r="T66" i="35" s="1"/>
  <c r="R66" i="35" a="1"/>
  <c r="R66" i="35" s="1"/>
  <c r="P66" i="35" a="1"/>
  <c r="P66" i="35" s="1"/>
  <c r="N66" i="35"/>
  <c r="N66" i="35" a="1"/>
  <c r="L66" i="35" a="1"/>
  <c r="L66" i="35" s="1"/>
  <c r="L68" i="35" s="1"/>
  <c r="J66" i="35"/>
  <c r="J66" i="35" a="1"/>
  <c r="H66" i="35" a="1"/>
  <c r="H66" i="35" s="1"/>
  <c r="F66" i="35" a="1"/>
  <c r="F66" i="35" s="1"/>
  <c r="F68" i="35" s="1"/>
  <c r="D66" i="35" a="1"/>
  <c r="D66" i="35" s="1"/>
  <c r="D68" i="35" s="1"/>
  <c r="B66" i="35" a="1"/>
  <c r="B66" i="35" s="1"/>
  <c r="AV65" i="35" a="1"/>
  <c r="AV65" i="35" s="1"/>
  <c r="AV69" i="35" s="1"/>
  <c r="AT65" i="35"/>
  <c r="AT69" i="35" s="1"/>
  <c r="AT65" i="35" a="1"/>
  <c r="AR65" i="35" a="1"/>
  <c r="AR65" i="35" s="1"/>
  <c r="AP65" i="35" a="1"/>
  <c r="AP65" i="35" s="1"/>
  <c r="AP69" i="35" s="1"/>
  <c r="AN65" i="35" a="1"/>
  <c r="AN65" i="35" s="1"/>
  <c r="AN69" i="35" s="1"/>
  <c r="AL65" i="35" a="1"/>
  <c r="AL65" i="35" s="1"/>
  <c r="AL69" i="35" s="1"/>
  <c r="AJ65" i="35" a="1"/>
  <c r="AJ65" i="35" s="1"/>
  <c r="AH65" i="35" a="1"/>
  <c r="AH65" i="35" s="1"/>
  <c r="AF65" i="35" a="1"/>
  <c r="AF65" i="35" s="1"/>
  <c r="AF69" i="35" s="1"/>
  <c r="AD65" i="35"/>
  <c r="AD69" i="35" s="1"/>
  <c r="AD65" i="35" a="1"/>
  <c r="AB65" i="35" a="1"/>
  <c r="AB65" i="35" s="1"/>
  <c r="AB69" i="35" s="1"/>
  <c r="Z65" i="35"/>
  <c r="Z69" i="35" s="1"/>
  <c r="Z65" i="35" a="1"/>
  <c r="X65" i="35" a="1"/>
  <c r="X65" i="35" s="1"/>
  <c r="X69" i="35" s="1"/>
  <c r="V65" i="35" a="1"/>
  <c r="V65" i="35" s="1"/>
  <c r="V69" i="35" s="1"/>
  <c r="T65" i="35" a="1"/>
  <c r="T65" i="35" s="1"/>
  <c r="T69" i="35" s="1"/>
  <c r="R65" i="35" a="1"/>
  <c r="R65" i="35" s="1"/>
  <c r="R69" i="35" s="1"/>
  <c r="P65" i="35" a="1"/>
  <c r="P65" i="35" s="1"/>
  <c r="P69" i="35" s="1"/>
  <c r="N65" i="35"/>
  <c r="N69" i="35" s="1"/>
  <c r="N65" i="35" a="1"/>
  <c r="L65" i="35" a="1"/>
  <c r="L65" i="35" s="1"/>
  <c r="J65" i="35" a="1"/>
  <c r="J65" i="35" s="1"/>
  <c r="J69" i="35" s="1"/>
  <c r="H65" i="35" a="1"/>
  <c r="H65" i="35" s="1"/>
  <c r="H69" i="35" s="1"/>
  <c r="F65" i="35" a="1"/>
  <c r="F65" i="35" s="1"/>
  <c r="F69" i="35" s="1"/>
  <c r="D65" i="35" a="1"/>
  <c r="D65" i="35" s="1"/>
  <c r="D69"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c r="AR58" i="35" a="1"/>
  <c r="AP58" i="35" a="1"/>
  <c r="AP58" i="35" s="1"/>
  <c r="AN58" i="35" a="1"/>
  <c r="AN58" i="35" s="1"/>
  <c r="AL58" i="35" a="1"/>
  <c r="AL58" i="35" s="1"/>
  <c r="AJ58" i="35" a="1"/>
  <c r="AJ58" i="35" s="1"/>
  <c r="AH58" i="35" a="1"/>
  <c r="AH58" i="35" s="1"/>
  <c r="AF58" i="35"/>
  <c r="AF58" i="35" a="1"/>
  <c r="AD58" i="35"/>
  <c r="AD58" i="35" a="1"/>
  <c r="AB58" i="35"/>
  <c r="AB58" i="35" a="1"/>
  <c r="Z58" i="35" a="1"/>
  <c r="Z58" i="35" s="1"/>
  <c r="X58" i="35" a="1"/>
  <c r="X58" i="35" s="1"/>
  <c r="V58" i="35" a="1"/>
  <c r="V58" i="35" s="1"/>
  <c r="T58" i="35" a="1"/>
  <c r="T58" i="35" s="1"/>
  <c r="R58" i="35" a="1"/>
  <c r="R58" i="35" s="1"/>
  <c r="P58" i="35"/>
  <c r="P58" i="35" a="1"/>
  <c r="N58" i="35"/>
  <c r="N58" i="35" a="1"/>
  <c r="L58" i="35"/>
  <c r="L58" i="35" a="1"/>
  <c r="J58" i="35" a="1"/>
  <c r="J58" i="35" s="1"/>
  <c r="H58" i="35" a="1"/>
  <c r="H58" i="35" s="1"/>
  <c r="F58" i="35" a="1"/>
  <c r="F58" i="35" s="1"/>
  <c r="D58" i="35" a="1"/>
  <c r="D58" i="35" s="1"/>
  <c r="B58" i="35" a="1"/>
  <c r="B58" i="35" s="1"/>
  <c r="AV57" i="35"/>
  <c r="AV57" i="35" a="1"/>
  <c r="AT57" i="35"/>
  <c r="AT57" i="35" a="1"/>
  <c r="AR57" i="35"/>
  <c r="AR57" i="35" a="1"/>
  <c r="AP57" i="35" a="1"/>
  <c r="AP57" i="35" s="1"/>
  <c r="AN57" i="35" a="1"/>
  <c r="AN57" i="35" s="1"/>
  <c r="AL57" i="35" a="1"/>
  <c r="AL57" i="35" s="1"/>
  <c r="AJ57" i="35" a="1"/>
  <c r="AJ57" i="35" s="1"/>
  <c r="AH57" i="35" a="1"/>
  <c r="AH57" i="35" s="1"/>
  <c r="AF57" i="35"/>
  <c r="AF57" i="35" a="1"/>
  <c r="AD57" i="35" a="1"/>
  <c r="AD57" i="35" s="1"/>
  <c r="AB57" i="35"/>
  <c r="AB57" i="35" a="1"/>
  <c r="Z57" i="35" a="1"/>
  <c r="Z57" i="35" s="1"/>
  <c r="X57" i="35" a="1"/>
  <c r="X57" i="35" s="1"/>
  <c r="V57" i="35" a="1"/>
  <c r="V57" i="35" s="1"/>
  <c r="T57" i="35" a="1"/>
  <c r="T57" i="35" s="1"/>
  <c r="R57" i="35" a="1"/>
  <c r="R57" i="35" s="1"/>
  <c r="P57" i="35"/>
  <c r="P57" i="35" a="1"/>
  <c r="N57" i="35" a="1"/>
  <c r="N57" i="35" s="1"/>
  <c r="L57" i="35"/>
  <c r="L57" i="35" a="1"/>
  <c r="J57" i="35" a="1"/>
  <c r="J57" i="35" s="1"/>
  <c r="H57" i="35" a="1"/>
  <c r="H57" i="35" s="1"/>
  <c r="F57" i="35" a="1"/>
  <c r="F57" i="35" s="1"/>
  <c r="D57" i="35" a="1"/>
  <c r="D57" i="35" s="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P55" i="35"/>
  <c r="AP80" i="35" s="1"/>
  <c r="AN55" i="35"/>
  <c r="AL55" i="35"/>
  <c r="AJ55" i="35"/>
  <c r="AH55" i="35"/>
  <c r="AF55" i="35"/>
  <c r="AF80" i="35" s="1"/>
  <c r="AD55" i="35"/>
  <c r="AD80" i="35" s="1"/>
  <c r="AB55" i="35"/>
  <c r="AB80" i="35" s="1"/>
  <c r="Z55" i="35"/>
  <c r="X55" i="35"/>
  <c r="X80" i="35" s="1"/>
  <c r="V55" i="35"/>
  <c r="V80" i="35" s="1"/>
  <c r="T55" i="35"/>
  <c r="R55" i="35"/>
  <c r="P55" i="35"/>
  <c r="N55" i="35"/>
  <c r="L55" i="35"/>
  <c r="J55" i="35"/>
  <c r="J80" i="35" s="1"/>
  <c r="H55" i="35"/>
  <c r="F55" i="35"/>
  <c r="D55" i="35"/>
  <c r="B55" i="35"/>
  <c r="AV53" i="35"/>
  <c r="AV83" i="35" s="1"/>
  <c r="AV53" i="35" a="1"/>
  <c r="AT53" i="35" a="1"/>
  <c r="AT53" i="35" s="1"/>
  <c r="AT83" i="35" s="1"/>
  <c r="AR53" i="35"/>
  <c r="AR83" i="35" s="1"/>
  <c r="AR53" i="35" a="1"/>
  <c r="AP53" i="35" a="1"/>
  <c r="AP53" i="35" s="1"/>
  <c r="AP83" i="35" s="1"/>
  <c r="AN53" i="35" a="1"/>
  <c r="AN53" i="35" s="1"/>
  <c r="AN83" i="35" s="1"/>
  <c r="AL53" i="35" a="1"/>
  <c r="AL53" i="35" s="1"/>
  <c r="AL83" i="35" s="1"/>
  <c r="AJ53" i="35" a="1"/>
  <c r="AJ53" i="35" s="1"/>
  <c r="AJ83" i="35" s="1"/>
  <c r="AH53" i="35" a="1"/>
  <c r="AH53" i="35" s="1"/>
  <c r="AH83" i="35" s="1"/>
  <c r="AF53" i="35"/>
  <c r="AF83" i="35" s="1"/>
  <c r="AF53" i="35" a="1"/>
  <c r="AD53" i="35" a="1"/>
  <c r="AD53" i="35" s="1"/>
  <c r="AD83" i="35" s="1"/>
  <c r="AB53" i="35"/>
  <c r="AB53" i="35" a="1"/>
  <c r="Z53" i="35" a="1"/>
  <c r="Z53" i="35" s="1"/>
  <c r="Z83" i="35" s="1"/>
  <c r="X53" i="35" a="1"/>
  <c r="X53" i="35" s="1"/>
  <c r="X83" i="35" s="1"/>
  <c r="V53" i="35" a="1"/>
  <c r="V53" i="35" s="1"/>
  <c r="V83" i="35" s="1"/>
  <c r="T53" i="35" a="1"/>
  <c r="T53" i="35" s="1"/>
  <c r="T83" i="35" s="1"/>
  <c r="R53" i="35" a="1"/>
  <c r="R53" i="35" s="1"/>
  <c r="R83" i="35" s="1"/>
  <c r="P53" i="35"/>
  <c r="P83" i="35" s="1"/>
  <c r="P53" i="35" a="1"/>
  <c r="N53" i="35" a="1"/>
  <c r="N53" i="35" s="1"/>
  <c r="N83" i="35" s="1"/>
  <c r="L53" i="35"/>
  <c r="L83" i="35" s="1"/>
  <c r="L53" i="35" a="1"/>
  <c r="J53" i="35" a="1"/>
  <c r="J53" i="35" s="1"/>
  <c r="J83" i="35" s="1"/>
  <c r="H53" i="35" a="1"/>
  <c r="H53" i="35" s="1"/>
  <c r="H83" i="35" s="1"/>
  <c r="F53" i="35" a="1"/>
  <c r="F53" i="35" s="1"/>
  <c r="F83" i="35" s="1"/>
  <c r="D53" i="35" a="1"/>
  <c r="D53" i="35" s="1"/>
  <c r="D83" i="35" s="1"/>
  <c r="B53" i="35" a="1"/>
  <c r="B53" i="35" s="1"/>
  <c r="B83" i="35" s="1"/>
  <c r="AV52" i="35"/>
  <c r="AV82" i="35" s="1"/>
  <c r="AV52" i="35" a="1"/>
  <c r="AT52" i="35" a="1"/>
  <c r="AT52" i="35" s="1"/>
  <c r="AT82" i="35" s="1"/>
  <c r="AR52" i="35"/>
  <c r="AR52" i="35" a="1"/>
  <c r="AP52" i="35" a="1"/>
  <c r="AP52" i="35" s="1"/>
  <c r="AP82" i="35" s="1"/>
  <c r="AN52" i="35" a="1"/>
  <c r="AN52" i="35" s="1"/>
  <c r="AN82" i="35" s="1"/>
  <c r="AL52" i="35" a="1"/>
  <c r="AL52" i="35" s="1"/>
  <c r="AL82" i="35" s="1"/>
  <c r="AJ52" i="35" a="1"/>
  <c r="AJ52" i="35" s="1"/>
  <c r="AJ82" i="35" s="1"/>
  <c r="AH52" i="35" a="1"/>
  <c r="AH52" i="35" s="1"/>
  <c r="AH82" i="35" s="1"/>
  <c r="AF52" i="35"/>
  <c r="AF82" i="35" s="1"/>
  <c r="AF52" i="35" a="1"/>
  <c r="AD52" i="35" a="1"/>
  <c r="AD52" i="35" s="1"/>
  <c r="AD82" i="35" s="1"/>
  <c r="AB52" i="35"/>
  <c r="AB82" i="35" s="1"/>
  <c r="AB52" i="35" a="1"/>
  <c r="Z52" i="35" a="1"/>
  <c r="Z52" i="35" s="1"/>
  <c r="Z82" i="35" s="1"/>
  <c r="X52" i="35" a="1"/>
  <c r="X52" i="35" s="1"/>
  <c r="X82" i="35" s="1"/>
  <c r="V52" i="35" a="1"/>
  <c r="V52" i="35" s="1"/>
  <c r="V82" i="35" s="1"/>
  <c r="T52" i="35" a="1"/>
  <c r="T52" i="35" s="1"/>
  <c r="T82" i="35" s="1"/>
  <c r="R52" i="35" a="1"/>
  <c r="R52" i="35" s="1"/>
  <c r="R82" i="35" s="1"/>
  <c r="P52" i="35"/>
  <c r="P82" i="35" s="1"/>
  <c r="P52" i="35" a="1"/>
  <c r="N52" i="35" a="1"/>
  <c r="N52" i="35" s="1"/>
  <c r="N82" i="35" s="1"/>
  <c r="L52" i="35"/>
  <c r="L52" i="35" a="1"/>
  <c r="J52" i="35" a="1"/>
  <c r="J52" i="35" s="1"/>
  <c r="J82" i="35" s="1"/>
  <c r="H52" i="35" a="1"/>
  <c r="H52" i="35" s="1"/>
  <c r="H82" i="35" s="1"/>
  <c r="F52" i="35" a="1"/>
  <c r="F52" i="35" s="1"/>
  <c r="F82" i="35" s="1"/>
  <c r="D52" i="35" a="1"/>
  <c r="D52" i="35" s="1"/>
  <c r="D82" i="35" s="1"/>
  <c r="B52" i="35" a="1"/>
  <c r="B52" i="35" s="1"/>
  <c r="B82" i="35" s="1"/>
  <c r="AV51" i="35"/>
  <c r="AV81" i="35" s="1"/>
  <c r="AT51" i="35"/>
  <c r="AT81" i="35" s="1"/>
  <c r="AR51" i="35"/>
  <c r="AR81" i="35" s="1"/>
  <c r="AP51" i="35"/>
  <c r="AN51" i="35"/>
  <c r="AN81" i="35" s="1"/>
  <c r="AL51" i="35"/>
  <c r="AL81" i="35" s="1"/>
  <c r="AJ51" i="35"/>
  <c r="AH51" i="35"/>
  <c r="AF51" i="35"/>
  <c r="AD51" i="35"/>
  <c r="AB51" i="35"/>
  <c r="Z51" i="35"/>
  <c r="Z81" i="35" s="1"/>
  <c r="X51" i="35"/>
  <c r="V51" i="35"/>
  <c r="T51" i="35"/>
  <c r="R51" i="35"/>
  <c r="P51" i="35"/>
  <c r="P81" i="35" s="1"/>
  <c r="N51" i="35"/>
  <c r="N81" i="35" s="1"/>
  <c r="L51" i="35"/>
  <c r="L81" i="35" s="1"/>
  <c r="J51" i="35"/>
  <c r="H51" i="35"/>
  <c r="H81" i="35" s="1"/>
  <c r="F51" i="35"/>
  <c r="F81" i="35" s="1"/>
  <c r="D51" i="35"/>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c r="AR43" i="35" a="1"/>
  <c r="AP43" i="35" a="1"/>
  <c r="AP43" i="35" s="1"/>
  <c r="AN43" i="35" a="1"/>
  <c r="AN43" i="35" s="1"/>
  <c r="AL43" i="35" a="1"/>
  <c r="AL43" i="35" s="1"/>
  <c r="AJ43" i="35" a="1"/>
  <c r="AJ43" i="35" s="1"/>
  <c r="AH43" i="35" a="1"/>
  <c r="AH43" i="35" s="1"/>
  <c r="AF43" i="35"/>
  <c r="AF43" i="35" a="1"/>
  <c r="AD43" i="35" a="1"/>
  <c r="AD43" i="35" s="1"/>
  <c r="AB43" i="35"/>
  <c r="AB43" i="35" a="1"/>
  <c r="Z43" i="35" a="1"/>
  <c r="Z43" i="35" s="1"/>
  <c r="X43" i="35" a="1"/>
  <c r="X43" i="35" s="1"/>
  <c r="V43" i="35" a="1"/>
  <c r="V43" i="35" s="1"/>
  <c r="T43" i="35" a="1"/>
  <c r="T43" i="35" s="1"/>
  <c r="R43" i="35" a="1"/>
  <c r="R43" i="35" s="1"/>
  <c r="P43" i="35"/>
  <c r="P43" i="35" a="1"/>
  <c r="N43" i="35" a="1"/>
  <c r="N43" i="35" s="1"/>
  <c r="L43" i="35"/>
  <c r="L43" i="35" a="1"/>
  <c r="J43" i="35" a="1"/>
  <c r="J43" i="35" s="1"/>
  <c r="H43" i="35" a="1"/>
  <c r="H43" i="35" s="1"/>
  <c r="F43" i="35" a="1"/>
  <c r="F43" i="35" s="1"/>
  <c r="D43" i="35" a="1"/>
  <c r="D43" i="35" s="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R81" i="38"/>
  <c r="AJ81" i="38"/>
  <c r="AH81" i="38"/>
  <c r="AF81" i="38"/>
  <c r="AD81" i="38"/>
  <c r="AB81" i="38"/>
  <c r="T81" i="38"/>
  <c r="R81" i="38"/>
  <c r="L81" i="38"/>
  <c r="D81" i="38"/>
  <c r="B81" i="38"/>
  <c r="AV80" i="38"/>
  <c r="AR80" i="38"/>
  <c r="AJ80" i="38"/>
  <c r="AH80" i="38"/>
  <c r="AB80" i="38"/>
  <c r="T80" i="38"/>
  <c r="R80" i="38"/>
  <c r="P80" i="38"/>
  <c r="N80" i="38"/>
  <c r="L80" i="38"/>
  <c r="D80" i="38"/>
  <c r="B80" i="38"/>
  <c r="AV79" i="38"/>
  <c r="AV79" i="38" a="1"/>
  <c r="AT79" i="38"/>
  <c r="AT79" i="38" a="1"/>
  <c r="AR79" i="38" a="1"/>
  <c r="AR79" i="38" s="1"/>
  <c r="AP79" i="38" a="1"/>
  <c r="AP79" i="38" s="1"/>
  <c r="AN79" i="38" a="1"/>
  <c r="AN79" i="38" s="1"/>
  <c r="AL79" i="38"/>
  <c r="AL79" i="38" a="1"/>
  <c r="AJ79" i="38" a="1"/>
  <c r="AJ79" i="38" s="1"/>
  <c r="AH79" i="38" a="1"/>
  <c r="AH79" i="38" s="1"/>
  <c r="AF79" i="38"/>
  <c r="AF79" i="38" a="1"/>
  <c r="AD79" i="38"/>
  <c r="AD79" i="38" a="1"/>
  <c r="AB79" i="38" a="1"/>
  <c r="AB79" i="38" s="1"/>
  <c r="Z79" i="38" a="1"/>
  <c r="Z79" i="38" s="1"/>
  <c r="X79" i="38" a="1"/>
  <c r="X79" i="38" s="1"/>
  <c r="V79" i="38"/>
  <c r="V79" i="38" a="1"/>
  <c r="T79" i="38" a="1"/>
  <c r="T79" i="38" s="1"/>
  <c r="R79" i="38" a="1"/>
  <c r="R79" i="38" s="1"/>
  <c r="P79" i="38"/>
  <c r="P79" i="38" a="1"/>
  <c r="N79" i="38"/>
  <c r="N79" i="38" a="1"/>
  <c r="L79" i="38" a="1"/>
  <c r="L79" i="38" s="1"/>
  <c r="J79" i="38" a="1"/>
  <c r="J79" i="38" s="1"/>
  <c r="H79" i="38" a="1"/>
  <c r="H79" i="38" s="1"/>
  <c r="F79" i="38"/>
  <c r="F79" i="38" a="1"/>
  <c r="D79" i="38" a="1"/>
  <c r="D79" i="38" s="1"/>
  <c r="B79" i="38" a="1"/>
  <c r="B79" i="38" s="1"/>
  <c r="AV78" i="38"/>
  <c r="AV78" i="38" a="1"/>
  <c r="AT78" i="38"/>
  <c r="AT78" i="38" a="1"/>
  <c r="AR78" i="38" a="1"/>
  <c r="AR78" i="38" s="1"/>
  <c r="AP78" i="38" a="1"/>
  <c r="AP78" i="38" s="1"/>
  <c r="AN78" i="38" a="1"/>
  <c r="AN78" i="38" s="1"/>
  <c r="AL78" i="38"/>
  <c r="AL78" i="38" a="1"/>
  <c r="AJ78" i="38" a="1"/>
  <c r="AJ78" i="38" s="1"/>
  <c r="AH78" i="38" a="1"/>
  <c r="AH78" i="38" s="1"/>
  <c r="AF78" i="38"/>
  <c r="AF78" i="38" a="1"/>
  <c r="AD78" i="38"/>
  <c r="AD78" i="38" a="1"/>
  <c r="AB78" i="38" a="1"/>
  <c r="AB78" i="38" s="1"/>
  <c r="Z78" i="38" a="1"/>
  <c r="Z78" i="38" s="1"/>
  <c r="X78" i="38" a="1"/>
  <c r="X78" i="38" s="1"/>
  <c r="V78" i="38"/>
  <c r="V78" i="38" a="1"/>
  <c r="T78" i="38" a="1"/>
  <c r="T78" i="38" s="1"/>
  <c r="R78" i="38" a="1"/>
  <c r="R78" i="38" s="1"/>
  <c r="P78" i="38"/>
  <c r="P78" i="38" a="1"/>
  <c r="N78" i="38"/>
  <c r="N78" i="38" a="1"/>
  <c r="L78" i="38" a="1"/>
  <c r="L78" i="38" s="1"/>
  <c r="J78" i="38" a="1"/>
  <c r="J78" i="38" s="1"/>
  <c r="H78" i="38" a="1"/>
  <c r="H78" i="38" s="1"/>
  <c r="F78" i="38"/>
  <c r="F78" i="38" a="1"/>
  <c r="D78" i="38" a="1"/>
  <c r="D78" i="38" s="1"/>
  <c r="B78" i="38" a="1"/>
  <c r="B78" i="38" s="1"/>
  <c r="AV77" i="38"/>
  <c r="AV77" i="38" a="1"/>
  <c r="AT77" i="38"/>
  <c r="AT77" i="38" a="1"/>
  <c r="AR77" i="38" a="1"/>
  <c r="AR77" i="38" s="1"/>
  <c r="AP77" i="38" a="1"/>
  <c r="AP77" i="38" s="1"/>
  <c r="AN77" i="38" a="1"/>
  <c r="AN77" i="38" s="1"/>
  <c r="AL77" i="38"/>
  <c r="AL77" i="38" a="1"/>
  <c r="AJ77" i="38" a="1"/>
  <c r="AJ77" i="38" s="1"/>
  <c r="AH77" i="38" a="1"/>
  <c r="AH77" i="38" s="1"/>
  <c r="AF77" i="38"/>
  <c r="AF77" i="38" a="1"/>
  <c r="AD77" i="38"/>
  <c r="AD77" i="38" a="1"/>
  <c r="AB77" i="38" a="1"/>
  <c r="AB77" i="38" s="1"/>
  <c r="Z77" i="38" a="1"/>
  <c r="Z77" i="38" s="1"/>
  <c r="X77" i="38" a="1"/>
  <c r="X77" i="38" s="1"/>
  <c r="V77" i="38"/>
  <c r="V77" i="38" a="1"/>
  <c r="T77" i="38" a="1"/>
  <c r="T77" i="38" s="1"/>
  <c r="R77" i="38" a="1"/>
  <c r="R77" i="38" s="1"/>
  <c r="P77" i="38"/>
  <c r="P77" i="38" a="1"/>
  <c r="N77" i="38"/>
  <c r="N77" i="38" a="1"/>
  <c r="L77" i="38" a="1"/>
  <c r="L77" i="38" s="1"/>
  <c r="J77" i="38" a="1"/>
  <c r="J77" i="38" s="1"/>
  <c r="H77" i="38" a="1"/>
  <c r="H77" i="38" s="1"/>
  <c r="F77" i="38"/>
  <c r="F77" i="38" a="1"/>
  <c r="D77" i="38" a="1"/>
  <c r="D77" i="38" s="1"/>
  <c r="B77" i="38" a="1"/>
  <c r="B77" i="38" s="1"/>
  <c r="AV76" i="38"/>
  <c r="AV76" i="38" a="1"/>
  <c r="AT76" i="38"/>
  <c r="AT76" i="38" a="1"/>
  <c r="AR76" i="38" a="1"/>
  <c r="AR76" i="38" s="1"/>
  <c r="AP76" i="38" a="1"/>
  <c r="AP76" i="38" s="1"/>
  <c r="AN76" i="38" a="1"/>
  <c r="AN76" i="38" s="1"/>
  <c r="AL76" i="38"/>
  <c r="AL76" i="38" a="1"/>
  <c r="AJ76" i="38" a="1"/>
  <c r="AJ76" i="38" s="1"/>
  <c r="AH76" i="38" a="1"/>
  <c r="AH76" i="38" s="1"/>
  <c r="AF76" i="38"/>
  <c r="AF76" i="38" a="1"/>
  <c r="AD76" i="38"/>
  <c r="AD76" i="38" a="1"/>
  <c r="AB76" i="38" a="1"/>
  <c r="AB76" i="38" s="1"/>
  <c r="Z76" i="38" a="1"/>
  <c r="Z76" i="38" s="1"/>
  <c r="X76" i="38" a="1"/>
  <c r="X76" i="38" s="1"/>
  <c r="V76" i="38"/>
  <c r="V76" i="38" a="1"/>
  <c r="T76" i="38" a="1"/>
  <c r="T76" i="38" s="1"/>
  <c r="R76" i="38" a="1"/>
  <c r="R76" i="38" s="1"/>
  <c r="P76" i="38"/>
  <c r="P76" i="38" a="1"/>
  <c r="N76" i="38"/>
  <c r="N76" i="38" a="1"/>
  <c r="L76" i="38" a="1"/>
  <c r="L76" i="38" s="1"/>
  <c r="J76" i="38" a="1"/>
  <c r="J76" i="38" s="1"/>
  <c r="H76" i="38" a="1"/>
  <c r="H76" i="38" s="1"/>
  <c r="F76" i="38"/>
  <c r="F76" i="38" a="1"/>
  <c r="D76" i="38" a="1"/>
  <c r="D76" i="38" s="1"/>
  <c r="B76" i="38" a="1"/>
  <c r="B76" i="38" s="1"/>
  <c r="AV75" i="38"/>
  <c r="AV75" i="38" a="1"/>
  <c r="AT75" i="38"/>
  <c r="AT75" i="38" a="1"/>
  <c r="AR75" i="38" a="1"/>
  <c r="AR75" i="38" s="1"/>
  <c r="AP75" i="38" a="1"/>
  <c r="AP75" i="38" s="1"/>
  <c r="AN75" i="38" a="1"/>
  <c r="AN75" i="38" s="1"/>
  <c r="AL75" i="38"/>
  <c r="AL75" i="38" a="1"/>
  <c r="AJ75" i="38" a="1"/>
  <c r="AJ75" i="38" s="1"/>
  <c r="AH75" i="38" a="1"/>
  <c r="AH75" i="38" s="1"/>
  <c r="AF75" i="38"/>
  <c r="AF75" i="38" a="1"/>
  <c r="AD75" i="38"/>
  <c r="AD75" i="38" a="1"/>
  <c r="AB75" i="38" a="1"/>
  <c r="AB75" i="38" s="1"/>
  <c r="Z75" i="38" a="1"/>
  <c r="Z75" i="38" s="1"/>
  <c r="X75" i="38" a="1"/>
  <c r="X75" i="38" s="1"/>
  <c r="V75" i="38"/>
  <c r="V75" i="38" a="1"/>
  <c r="T75" i="38" a="1"/>
  <c r="T75" i="38" s="1"/>
  <c r="R75" i="38" a="1"/>
  <c r="R75" i="38" s="1"/>
  <c r="P75" i="38"/>
  <c r="P75" i="38" a="1"/>
  <c r="N75" i="38"/>
  <c r="N75" i="38" a="1"/>
  <c r="L75" i="38" a="1"/>
  <c r="L75" i="38" s="1"/>
  <c r="J75" i="38" a="1"/>
  <c r="J75" i="38" s="1"/>
  <c r="H75" i="38" a="1"/>
  <c r="H75" i="38" s="1"/>
  <c r="F75" i="38"/>
  <c r="F75" i="38" a="1"/>
  <c r="D75" i="38" a="1"/>
  <c r="D75" i="38" s="1"/>
  <c r="B75" i="38" a="1"/>
  <c r="B75" i="38" s="1"/>
  <c r="AV74" i="38"/>
  <c r="AV74" i="38" a="1"/>
  <c r="AT74" i="38"/>
  <c r="AT74" i="38" a="1"/>
  <c r="AR74" i="38" a="1"/>
  <c r="AR74" i="38" s="1"/>
  <c r="AP74" i="38" a="1"/>
  <c r="AP74" i="38" s="1"/>
  <c r="AN74" i="38" a="1"/>
  <c r="AN74" i="38" s="1"/>
  <c r="AL74" i="38"/>
  <c r="AL74" i="38" a="1"/>
  <c r="AJ74" i="38" a="1"/>
  <c r="AJ74" i="38" s="1"/>
  <c r="AH74" i="38" a="1"/>
  <c r="AH74" i="38" s="1"/>
  <c r="AF74" i="38"/>
  <c r="AF74" i="38" a="1"/>
  <c r="AD74" i="38"/>
  <c r="AD74" i="38" a="1"/>
  <c r="AB74" i="38" a="1"/>
  <c r="AB74" i="38" s="1"/>
  <c r="Z74" i="38" a="1"/>
  <c r="Z74" i="38" s="1"/>
  <c r="X74" i="38" a="1"/>
  <c r="X74" i="38" s="1"/>
  <c r="V74" i="38"/>
  <c r="V74" i="38" a="1"/>
  <c r="T74" i="38" a="1"/>
  <c r="T74" i="38" s="1"/>
  <c r="R74" i="38" a="1"/>
  <c r="R74" i="38" s="1"/>
  <c r="P74" i="38"/>
  <c r="P74" i="38" a="1"/>
  <c r="N74" i="38"/>
  <c r="N74" i="38" a="1"/>
  <c r="L74" i="38" a="1"/>
  <c r="L74" i="38" s="1"/>
  <c r="J74" i="38" a="1"/>
  <c r="J74" i="38" s="1"/>
  <c r="H74" i="38" a="1"/>
  <c r="H74" i="38" s="1"/>
  <c r="F74" i="38"/>
  <c r="F74" i="38" a="1"/>
  <c r="D74" i="38" a="1"/>
  <c r="D74" i="38" s="1"/>
  <c r="B74" i="38" a="1"/>
  <c r="B74" i="38" s="1"/>
  <c r="AV73" i="38"/>
  <c r="AV73" i="38" a="1"/>
  <c r="AT73" i="38"/>
  <c r="AT73" i="38" a="1"/>
  <c r="AR73" i="38" a="1"/>
  <c r="AR73" i="38" s="1"/>
  <c r="AP73" i="38" a="1"/>
  <c r="AP73" i="38" s="1"/>
  <c r="AN73" i="38" a="1"/>
  <c r="AN73" i="38" s="1"/>
  <c r="AL73" i="38"/>
  <c r="AL73" i="38" a="1"/>
  <c r="AJ73" i="38" a="1"/>
  <c r="AJ73" i="38" s="1"/>
  <c r="AH73" i="38" a="1"/>
  <c r="AH73" i="38" s="1"/>
  <c r="AF73" i="38"/>
  <c r="AF73" i="38" a="1"/>
  <c r="AD73" i="38"/>
  <c r="AD73" i="38" a="1"/>
  <c r="AB73" i="38" a="1"/>
  <c r="AB73" i="38" s="1"/>
  <c r="Z73" i="38" a="1"/>
  <c r="Z73" i="38" s="1"/>
  <c r="X73" i="38" a="1"/>
  <c r="X73" i="38" s="1"/>
  <c r="V73" i="38"/>
  <c r="V73" i="38" a="1"/>
  <c r="T73" i="38" a="1"/>
  <c r="T73" i="38" s="1"/>
  <c r="R73" i="38" a="1"/>
  <c r="R73" i="38" s="1"/>
  <c r="P73" i="38"/>
  <c r="P73" i="38" a="1"/>
  <c r="N73" i="38"/>
  <c r="N73" i="38" a="1"/>
  <c r="L73" i="38" a="1"/>
  <c r="L73" i="38" s="1"/>
  <c r="J73" i="38" a="1"/>
  <c r="J73" i="38" s="1"/>
  <c r="H73" i="38" a="1"/>
  <c r="H73" i="38" s="1"/>
  <c r="F73" i="38"/>
  <c r="F73" i="38" a="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N69" i="38"/>
  <c r="N69" i="38"/>
  <c r="H69" i="38"/>
  <c r="B69" i="38"/>
  <c r="X68" i="38"/>
  <c r="AV67" i="38" a="1"/>
  <c r="AV67" i="38" s="1"/>
  <c r="AT67" i="38"/>
  <c r="AT67" i="38" a="1"/>
  <c r="AR67" i="38" a="1"/>
  <c r="AR67" i="38" s="1"/>
  <c r="AP67" i="38" a="1"/>
  <c r="AP67" i="38" s="1"/>
  <c r="AN67" i="38"/>
  <c r="AN67" i="38" a="1"/>
  <c r="AL67" i="38"/>
  <c r="AL67" i="38" a="1"/>
  <c r="AJ67" i="38" a="1"/>
  <c r="AJ67" i="38" s="1"/>
  <c r="AH67" i="38" a="1"/>
  <c r="AH67" i="38" s="1"/>
  <c r="AF67" i="38" a="1"/>
  <c r="AF67" i="38" s="1"/>
  <c r="AD67" i="38"/>
  <c r="AD67" i="38" a="1"/>
  <c r="AB67" i="38" a="1"/>
  <c r="AB67" i="38" s="1"/>
  <c r="Z67" i="38" a="1"/>
  <c r="Z67" i="38" s="1"/>
  <c r="X67" i="38"/>
  <c r="X67" i="38" a="1"/>
  <c r="V67" i="38"/>
  <c r="V67" i="38" a="1"/>
  <c r="T67" i="38" a="1"/>
  <c r="T67" i="38" s="1"/>
  <c r="R67" i="38" a="1"/>
  <c r="R67" i="38" s="1"/>
  <c r="P67" i="38" a="1"/>
  <c r="P67" i="38" s="1"/>
  <c r="N67" i="38"/>
  <c r="N67" i="38" a="1"/>
  <c r="L67" i="38" a="1"/>
  <c r="L67" i="38" s="1"/>
  <c r="J67" i="38" a="1"/>
  <c r="J67" i="38" s="1"/>
  <c r="H67" i="38"/>
  <c r="H67" i="38" a="1"/>
  <c r="F67" i="38"/>
  <c r="F67" i="38" a="1"/>
  <c r="D67" i="38" a="1"/>
  <c r="D67" i="38" s="1"/>
  <c r="B67" i="38" a="1"/>
  <c r="B67" i="38" s="1"/>
  <c r="AV66" i="38" a="1"/>
  <c r="AV66" i="38" s="1"/>
  <c r="AT66" i="38"/>
  <c r="AT68" i="38" s="1"/>
  <c r="AT66" i="38" a="1"/>
  <c r="AR66" i="38" a="1"/>
  <c r="AR66" i="38" s="1"/>
  <c r="AR68" i="38" s="1"/>
  <c r="AP66" i="38" a="1"/>
  <c r="AP66" i="38" s="1"/>
  <c r="AP68" i="38" s="1"/>
  <c r="AN66" i="38"/>
  <c r="AN68" i="38" s="1"/>
  <c r="AN66" i="38" a="1"/>
  <c r="AL66" i="38"/>
  <c r="AL68" i="38" s="1"/>
  <c r="AL66" i="38" a="1"/>
  <c r="AJ66" i="38" a="1"/>
  <c r="AJ66" i="38" s="1"/>
  <c r="AH66" i="38" a="1"/>
  <c r="AH66" i="38" s="1"/>
  <c r="AF66" i="38" a="1"/>
  <c r="AF66" i="38" s="1"/>
  <c r="AF68" i="38" s="1"/>
  <c r="AD66" i="38"/>
  <c r="AD68" i="38" s="1"/>
  <c r="AD66" i="38" a="1"/>
  <c r="AB66" i="38" a="1"/>
  <c r="AB66" i="38" s="1"/>
  <c r="AB68" i="38" s="1"/>
  <c r="Z66" i="38" a="1"/>
  <c r="Z66" i="38" s="1"/>
  <c r="Z68" i="38" s="1"/>
  <c r="X66" i="38"/>
  <c r="X66" i="38" a="1"/>
  <c r="V66" i="38"/>
  <c r="V68" i="38" s="1"/>
  <c r="V66" i="38" a="1"/>
  <c r="T66" i="38" a="1"/>
  <c r="T66" i="38" s="1"/>
  <c r="T68" i="38" s="1"/>
  <c r="R66" i="38" a="1"/>
  <c r="R66" i="38" s="1"/>
  <c r="P66" i="38" a="1"/>
  <c r="P66" i="38" s="1"/>
  <c r="N66" i="38"/>
  <c r="N68" i="38" s="1"/>
  <c r="N66" i="38" a="1"/>
  <c r="L66" i="38" a="1"/>
  <c r="L66" i="38" s="1"/>
  <c r="J66" i="38" a="1"/>
  <c r="J66" i="38" s="1"/>
  <c r="H66" i="38"/>
  <c r="H68" i="38" s="1"/>
  <c r="H66" i="38" a="1"/>
  <c r="F66" i="38"/>
  <c r="F68" i="38" s="1"/>
  <c r="F66" i="38" a="1"/>
  <c r="D66" i="38" a="1"/>
  <c r="D66" i="38" s="1"/>
  <c r="D68" i="38" s="1"/>
  <c r="B66" i="38" a="1"/>
  <c r="B66" i="38" s="1"/>
  <c r="AV65" i="38" a="1"/>
  <c r="AV65" i="38" s="1"/>
  <c r="AV69" i="38" s="1"/>
  <c r="AT65" i="38"/>
  <c r="AT69" i="38" s="1"/>
  <c r="AT65" i="38" a="1"/>
  <c r="AR65" i="38" a="1"/>
  <c r="AR65" i="38" s="1"/>
  <c r="AR69" i="38" s="1"/>
  <c r="AP65" i="38" a="1"/>
  <c r="AP65" i="38" s="1"/>
  <c r="AP69" i="38" s="1"/>
  <c r="AN65" i="38"/>
  <c r="AN65" i="38" a="1"/>
  <c r="AL65" i="38"/>
  <c r="AL69" i="38" s="1"/>
  <c r="AL65" i="38" a="1"/>
  <c r="AJ65" i="38" a="1"/>
  <c r="AJ65" i="38" s="1"/>
  <c r="AJ69" i="38" s="1"/>
  <c r="AH65" i="38" a="1"/>
  <c r="AH65" i="38" s="1"/>
  <c r="AH69" i="38" s="1"/>
  <c r="AF65" i="38" a="1"/>
  <c r="AF65" i="38" s="1"/>
  <c r="AF69" i="38" s="1"/>
  <c r="AD65" i="38"/>
  <c r="AD69" i="38" s="1"/>
  <c r="AD65" i="38" a="1"/>
  <c r="AB65" i="38" a="1"/>
  <c r="AB65" i="38" s="1"/>
  <c r="AB69" i="38" s="1"/>
  <c r="Z65" i="38" a="1"/>
  <c r="Z65" i="38" s="1"/>
  <c r="Z69" i="38" s="1"/>
  <c r="X65" i="38"/>
  <c r="X69" i="38" s="1"/>
  <c r="X65" i="38" a="1"/>
  <c r="V65" i="38"/>
  <c r="V69" i="38" s="1"/>
  <c r="V65" i="38" a="1"/>
  <c r="T65" i="38" a="1"/>
  <c r="T65" i="38" s="1"/>
  <c r="T69" i="38" s="1"/>
  <c r="R65" i="38" a="1"/>
  <c r="R65" i="38" s="1"/>
  <c r="R69" i="38" s="1"/>
  <c r="P65" i="38" a="1"/>
  <c r="P65" i="38" s="1"/>
  <c r="P69" i="38" s="1"/>
  <c r="N65" i="38"/>
  <c r="N65" i="38" a="1"/>
  <c r="L65" i="38" a="1"/>
  <c r="L65" i="38" s="1"/>
  <c r="L69" i="38" s="1"/>
  <c r="J65" i="38" a="1"/>
  <c r="J65" i="38" s="1"/>
  <c r="J69" i="38" s="1"/>
  <c r="H65" i="38"/>
  <c r="H65" i="38" a="1"/>
  <c r="F65" i="38"/>
  <c r="F69" i="38" s="1"/>
  <c r="F65" i="38" a="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a="1"/>
  <c r="AT58" i="38" s="1"/>
  <c r="AR58" i="38"/>
  <c r="AR58" i="38" a="1"/>
  <c r="AP58" i="38" a="1"/>
  <c r="AP58" i="38" s="1"/>
  <c r="AN58" i="38" a="1"/>
  <c r="AN58" i="38" s="1"/>
  <c r="AL58" i="38" a="1"/>
  <c r="AL58" i="38" s="1"/>
  <c r="AJ58" i="38" a="1"/>
  <c r="AJ58" i="38" s="1"/>
  <c r="AH58" i="38" a="1"/>
  <c r="AH58" i="38" s="1"/>
  <c r="AF58" i="38"/>
  <c r="AF58" i="38" a="1"/>
  <c r="AD58" i="38" a="1"/>
  <c r="AD58" i="38" s="1"/>
  <c r="AB58" i="38"/>
  <c r="AB58" i="38" a="1"/>
  <c r="Z58" i="38" a="1"/>
  <c r="Z58" i="38" s="1"/>
  <c r="X58" i="38" a="1"/>
  <c r="X58" i="38" s="1"/>
  <c r="V58" i="38" a="1"/>
  <c r="V58" i="38" s="1"/>
  <c r="T58" i="38" a="1"/>
  <c r="T58" i="38" s="1"/>
  <c r="R58" i="38" a="1"/>
  <c r="R58" i="38" s="1"/>
  <c r="P58" i="38"/>
  <c r="P58" i="38" a="1"/>
  <c r="N58" i="38" a="1"/>
  <c r="N58" i="38" s="1"/>
  <c r="L58" i="38"/>
  <c r="L58" i="38" a="1"/>
  <c r="J58" i="38" a="1"/>
  <c r="J58" i="38" s="1"/>
  <c r="H58" i="38" a="1"/>
  <c r="H58" i="38" s="1"/>
  <c r="F58" i="38" a="1"/>
  <c r="F58" i="38" s="1"/>
  <c r="D58" i="38" a="1"/>
  <c r="D58" i="38" s="1"/>
  <c r="B58" i="38" a="1"/>
  <c r="B58" i="38" s="1"/>
  <c r="AV57" i="38"/>
  <c r="AV57" i="38" a="1"/>
  <c r="AT57" i="38" a="1"/>
  <c r="AT57" i="38" s="1"/>
  <c r="AR57" i="38"/>
  <c r="AR57" i="38" a="1"/>
  <c r="AP57" i="38" a="1"/>
  <c r="AP57" i="38" s="1"/>
  <c r="AN57" i="38" a="1"/>
  <c r="AN57" i="38" s="1"/>
  <c r="AL57" i="38" a="1"/>
  <c r="AL57" i="38" s="1"/>
  <c r="AJ57" i="38" a="1"/>
  <c r="AJ57" i="38" s="1"/>
  <c r="AH57" i="38" a="1"/>
  <c r="AH57" i="38" s="1"/>
  <c r="AF57" i="38"/>
  <c r="AF57" i="38" a="1"/>
  <c r="AD57" i="38" a="1"/>
  <c r="AD57" i="38" s="1"/>
  <c r="AB57" i="38"/>
  <c r="AB57" i="38" a="1"/>
  <c r="Z57" i="38" a="1"/>
  <c r="Z57" i="38" s="1"/>
  <c r="X57" i="38" a="1"/>
  <c r="X57" i="38" s="1"/>
  <c r="V57" i="38" a="1"/>
  <c r="V57" i="38" s="1"/>
  <c r="T57" i="38" a="1"/>
  <c r="T57" i="38" s="1"/>
  <c r="R57" i="38" a="1"/>
  <c r="R57" i="38" s="1"/>
  <c r="P57" i="38"/>
  <c r="P57" i="38" a="1"/>
  <c r="N57" i="38" a="1"/>
  <c r="N57" i="38" s="1"/>
  <c r="L57" i="38"/>
  <c r="L57" i="38" a="1"/>
  <c r="J57" i="38" a="1"/>
  <c r="J57" i="38" s="1"/>
  <c r="H57" i="38" a="1"/>
  <c r="H57" i="38" s="1"/>
  <c r="F57" i="38"/>
  <c r="F57" i="38" a="1"/>
  <c r="D57" i="38" a="1"/>
  <c r="D57" i="38" s="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T80" i="38" s="1"/>
  <c r="AR55" i="38"/>
  <c r="AP55" i="38"/>
  <c r="AP80" i="38" s="1"/>
  <c r="AN55" i="38"/>
  <c r="AN80" i="38" s="1"/>
  <c r="AL55" i="38"/>
  <c r="AL80" i="38" s="1"/>
  <c r="AJ55" i="38"/>
  <c r="AH55" i="38"/>
  <c r="AF55" i="38"/>
  <c r="AF80" i="38" s="1"/>
  <c r="AD55" i="38"/>
  <c r="AD80" i="38" s="1"/>
  <c r="AB55" i="38"/>
  <c r="Z55" i="38"/>
  <c r="Z80" i="38" s="1"/>
  <c r="X55" i="38"/>
  <c r="X80" i="38" s="1"/>
  <c r="V55" i="38"/>
  <c r="V80" i="38" s="1"/>
  <c r="T55" i="38"/>
  <c r="R55" i="38"/>
  <c r="P55" i="38"/>
  <c r="N55" i="38"/>
  <c r="L55" i="38"/>
  <c r="J55" i="38"/>
  <c r="J80" i="38" s="1"/>
  <c r="H55" i="38"/>
  <c r="H80" i="38" s="1"/>
  <c r="F55" i="38"/>
  <c r="F80" i="38" s="1"/>
  <c r="D55" i="38"/>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P51" i="38"/>
  <c r="AP81" i="38" s="1"/>
  <c r="AN51" i="38"/>
  <c r="AN81" i="38" s="1"/>
  <c r="AL51" i="38"/>
  <c r="AL81" i="38" s="1"/>
  <c r="AJ51" i="38"/>
  <c r="AH51" i="38"/>
  <c r="AF51" i="38"/>
  <c r="AD51" i="38"/>
  <c r="AB51" i="38"/>
  <c r="Z51" i="38"/>
  <c r="Z81" i="38" s="1"/>
  <c r="X51" i="38"/>
  <c r="X81" i="38" s="1"/>
  <c r="V51" i="38"/>
  <c r="V81" i="38" s="1"/>
  <c r="T51" i="38"/>
  <c r="R51" i="38"/>
  <c r="P51" i="38"/>
  <c r="P81" i="38" s="1"/>
  <c r="N51" i="38"/>
  <c r="N81" i="38" s="1"/>
  <c r="L51" i="38"/>
  <c r="J51" i="38"/>
  <c r="J81" i="38" s="1"/>
  <c r="H51" i="38"/>
  <c r="H81" i="38" s="1"/>
  <c r="F51" i="38"/>
  <c r="F81" i="38" s="1"/>
  <c r="D51" i="38"/>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c r="AR43" i="38" a="1"/>
  <c r="AP43" i="38" a="1"/>
  <c r="AP43" i="38" s="1"/>
  <c r="AN43" i="38" a="1"/>
  <c r="AN43" i="38" s="1"/>
  <c r="AL43" i="38" a="1"/>
  <c r="AL43" i="38" s="1"/>
  <c r="AJ43" i="38" a="1"/>
  <c r="AJ43" i="38" s="1"/>
  <c r="AH43" i="38" a="1"/>
  <c r="AH43" i="38" s="1"/>
  <c r="AF43" i="38"/>
  <c r="AF43" i="38" a="1"/>
  <c r="AD43" i="38" a="1"/>
  <c r="AD43" i="38" s="1"/>
  <c r="AB43" i="38"/>
  <c r="AB43" i="38" a="1"/>
  <c r="Z43" i="38" a="1"/>
  <c r="Z43" i="38" s="1"/>
  <c r="X43" i="38" a="1"/>
  <c r="X43" i="38" s="1"/>
  <c r="V43" i="38" a="1"/>
  <c r="V43" i="38" s="1"/>
  <c r="T43" i="38" a="1"/>
  <c r="T43" i="38" s="1"/>
  <c r="R43" i="38" a="1"/>
  <c r="R43" i="38" s="1"/>
  <c r="P43" i="38"/>
  <c r="P43" i="38" a="1"/>
  <c r="N43" i="38" a="1"/>
  <c r="N43" i="38" s="1"/>
  <c r="L43" i="38"/>
  <c r="L43" i="38" a="1"/>
  <c r="J43" i="38" a="1"/>
  <c r="J43" i="38" s="1"/>
  <c r="H43" i="38" a="1"/>
  <c r="H43" i="38" s="1"/>
  <c r="F43" i="38" a="1"/>
  <c r="F43" i="38" s="1"/>
  <c r="D43" i="38" a="1"/>
  <c r="D43" i="38" s="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V81" i="21"/>
  <c r="AJ81" i="21"/>
  <c r="AH81" i="21"/>
  <c r="AF81" i="21"/>
  <c r="AD81" i="21"/>
  <c r="AB81" i="21"/>
  <c r="X81" i="21"/>
  <c r="V81" i="21"/>
  <c r="T81" i="21"/>
  <c r="R81" i="21"/>
  <c r="P81" i="21"/>
  <c r="D81" i="21"/>
  <c r="B81" i="21"/>
  <c r="AV80" i="21"/>
  <c r="AT80" i="21"/>
  <c r="AR80" i="21"/>
  <c r="AN80" i="21"/>
  <c r="AL80" i="21"/>
  <c r="AJ80" i="21"/>
  <c r="T80" i="21"/>
  <c r="R80" i="21"/>
  <c r="P80" i="21"/>
  <c r="N80" i="21"/>
  <c r="L80" i="21"/>
  <c r="H80" i="21"/>
  <c r="F80" i="21"/>
  <c r="D80" i="21"/>
  <c r="B80" i="21"/>
  <c r="AV79" i="21" a="1"/>
  <c r="AV79" i="21" s="1"/>
  <c r="AT79" i="21"/>
  <c r="AT79" i="21" a="1"/>
  <c r="AR79" i="21"/>
  <c r="AR79" i="21" a="1"/>
  <c r="AP79" i="21" a="1"/>
  <c r="AP79" i="21" s="1"/>
  <c r="AN79" i="21" a="1"/>
  <c r="AN79" i="21" s="1"/>
  <c r="AL79" i="21"/>
  <c r="AL79" i="21" a="1"/>
  <c r="AJ79" i="21" a="1"/>
  <c r="AJ79" i="21" s="1"/>
  <c r="AH79" i="21" a="1"/>
  <c r="AH79" i="21" s="1"/>
  <c r="AF79" i="21"/>
  <c r="AF79" i="21" a="1"/>
  <c r="AD79" i="21"/>
  <c r="AD79" i="21" a="1"/>
  <c r="AB79" i="21"/>
  <c r="AB79" i="21" a="1"/>
  <c r="Z79" i="21" a="1"/>
  <c r="Z79" i="21" s="1"/>
  <c r="X79" i="21" a="1"/>
  <c r="X79" i="21" s="1"/>
  <c r="V79" i="21"/>
  <c r="V79" i="21" a="1"/>
  <c r="T79" i="21" a="1"/>
  <c r="T79" i="21" s="1"/>
  <c r="R79" i="21" a="1"/>
  <c r="R79" i="21" s="1"/>
  <c r="P79" i="21"/>
  <c r="P79" i="21" a="1"/>
  <c r="N79" i="21"/>
  <c r="N79" i="21" a="1"/>
  <c r="L79" i="21"/>
  <c r="L79" i="21" a="1"/>
  <c r="J79" i="21" a="1"/>
  <c r="J79" i="21" s="1"/>
  <c r="H79" i="21" a="1"/>
  <c r="H79" i="21" s="1"/>
  <c r="F79" i="21"/>
  <c r="F79" i="21" a="1"/>
  <c r="D79" i="21" a="1"/>
  <c r="D79" i="21" s="1"/>
  <c r="B79" i="21" a="1"/>
  <c r="B79" i="21" s="1"/>
  <c r="AV78" i="21" a="1"/>
  <c r="AV78" i="21" s="1"/>
  <c r="AT78" i="21"/>
  <c r="AT78" i="21" a="1"/>
  <c r="AR78" i="21"/>
  <c r="AR78" i="21" a="1"/>
  <c r="AP78" i="21" a="1"/>
  <c r="AP78" i="21" s="1"/>
  <c r="AN78" i="21" a="1"/>
  <c r="AN78" i="21" s="1"/>
  <c r="AL78" i="21"/>
  <c r="AL78" i="21" a="1"/>
  <c r="AJ78" i="21" a="1"/>
  <c r="AJ78" i="21" s="1"/>
  <c r="AH78" i="21" a="1"/>
  <c r="AH78" i="21" s="1"/>
  <c r="AF78" i="21"/>
  <c r="AF78" i="21" a="1"/>
  <c r="AD78" i="21"/>
  <c r="AD78" i="21" a="1"/>
  <c r="AB78" i="21"/>
  <c r="AB78" i="21" a="1"/>
  <c r="Z78" i="21" a="1"/>
  <c r="Z78" i="21" s="1"/>
  <c r="X78" i="21" a="1"/>
  <c r="X78" i="21" s="1"/>
  <c r="V78" i="21"/>
  <c r="V78" i="21" a="1"/>
  <c r="T78" i="21" a="1"/>
  <c r="T78" i="21" s="1"/>
  <c r="R78" i="21"/>
  <c r="R78" i="21" a="1"/>
  <c r="P78" i="21" a="1"/>
  <c r="P78" i="21" s="1"/>
  <c r="N78" i="21"/>
  <c r="N78" i="21" a="1"/>
  <c r="L78" i="21"/>
  <c r="L78" i="21" a="1"/>
  <c r="J78" i="21" a="1"/>
  <c r="J78" i="21" s="1"/>
  <c r="H78" i="21" a="1"/>
  <c r="H78" i="21" s="1"/>
  <c r="F78" i="21"/>
  <c r="F78" i="21" a="1"/>
  <c r="D78" i="21" a="1"/>
  <c r="D78" i="21" s="1"/>
  <c r="B78" i="21" a="1"/>
  <c r="B78" i="21" s="1"/>
  <c r="AV77" i="21"/>
  <c r="AV77" i="21" a="1"/>
  <c r="AT77" i="21"/>
  <c r="AT77" i="21" a="1"/>
  <c r="AR77" i="21"/>
  <c r="AR77" i="21" a="1"/>
  <c r="AP77" i="21" a="1"/>
  <c r="AP77" i="21" s="1"/>
  <c r="AN77" i="21" a="1"/>
  <c r="AN77" i="21" s="1"/>
  <c r="AL77" i="21"/>
  <c r="AL77" i="21" a="1"/>
  <c r="AJ77" i="21" a="1"/>
  <c r="AJ77" i="21" s="1"/>
  <c r="AH77" i="21" a="1"/>
  <c r="AH77" i="21" s="1"/>
  <c r="AF77" i="21" a="1"/>
  <c r="AF77" i="21" s="1"/>
  <c r="AD77" i="21"/>
  <c r="AD77" i="21" a="1"/>
  <c r="AB77" i="21"/>
  <c r="AB77" i="21" a="1"/>
  <c r="Z77" i="21" a="1"/>
  <c r="Z77" i="21" s="1"/>
  <c r="X77" i="21" a="1"/>
  <c r="X77" i="21" s="1"/>
  <c r="V77" i="21"/>
  <c r="V77" i="21" a="1"/>
  <c r="T77" i="21" a="1"/>
  <c r="T77" i="21" s="1"/>
  <c r="R77" i="21" a="1"/>
  <c r="R77" i="21" s="1"/>
  <c r="P77" i="21" a="1"/>
  <c r="P77" i="21" s="1"/>
  <c r="N77" i="21"/>
  <c r="N77" i="21" a="1"/>
  <c r="L77" i="21"/>
  <c r="L77" i="21" a="1"/>
  <c r="J77" i="21" a="1"/>
  <c r="J77" i="21" s="1"/>
  <c r="H77" i="21" a="1"/>
  <c r="H77" i="21" s="1"/>
  <c r="F77" i="21"/>
  <c r="F77" i="21" a="1"/>
  <c r="D77" i="21" a="1"/>
  <c r="D77" i="21" s="1"/>
  <c r="B77" i="21"/>
  <c r="B77" i="21" a="1"/>
  <c r="AV76" i="21" a="1"/>
  <c r="AV76" i="21" s="1"/>
  <c r="AT76" i="21"/>
  <c r="AT76" i="21" a="1"/>
  <c r="AR76" i="21"/>
  <c r="AR76" i="21" a="1"/>
  <c r="AP76" i="21" a="1"/>
  <c r="AP76" i="21" s="1"/>
  <c r="AN76" i="21" a="1"/>
  <c r="AN76" i="21" s="1"/>
  <c r="AL76" i="21"/>
  <c r="AL76" i="21" a="1"/>
  <c r="AJ76" i="21" a="1"/>
  <c r="AJ76" i="21" s="1"/>
  <c r="AH76" i="21" a="1"/>
  <c r="AH76" i="21" s="1"/>
  <c r="AF76" i="21" a="1"/>
  <c r="AF76" i="21" s="1"/>
  <c r="AD76" i="21"/>
  <c r="AD76" i="21" a="1"/>
  <c r="AB76" i="21"/>
  <c r="AB76" i="21" a="1"/>
  <c r="Z76" i="21" a="1"/>
  <c r="Z76" i="21" s="1"/>
  <c r="X76" i="21" a="1"/>
  <c r="X76" i="21" s="1"/>
  <c r="V76" i="21"/>
  <c r="V76" i="21" a="1"/>
  <c r="T76" i="21" a="1"/>
  <c r="T76" i="21" s="1"/>
  <c r="R76" i="21" a="1"/>
  <c r="R76" i="21" s="1"/>
  <c r="P76" i="21"/>
  <c r="P76" i="21" a="1"/>
  <c r="N76" i="21"/>
  <c r="N76" i="21" a="1"/>
  <c r="L76" i="21" a="1"/>
  <c r="L76" i="21" s="1"/>
  <c r="J76" i="21" a="1"/>
  <c r="J76" i="21" s="1"/>
  <c r="H76" i="21" a="1"/>
  <c r="H76" i="21" s="1"/>
  <c r="F76" i="21"/>
  <c r="F76" i="21" a="1"/>
  <c r="D76" i="21" a="1"/>
  <c r="D76" i="21" s="1"/>
  <c r="B76" i="21" a="1"/>
  <c r="B76" i="21" s="1"/>
  <c r="AV75" i="21" a="1"/>
  <c r="AV75" i="21" s="1"/>
  <c r="AT75" i="21"/>
  <c r="AT75" i="21" a="1"/>
  <c r="AR75" i="21" a="1"/>
  <c r="AR75" i="21" s="1"/>
  <c r="AP75" i="21" a="1"/>
  <c r="AP75" i="21" s="1"/>
  <c r="AN75" i="21" a="1"/>
  <c r="AN75" i="21" s="1"/>
  <c r="AL75" i="21"/>
  <c r="AL75" i="21" a="1"/>
  <c r="AJ75" i="21" a="1"/>
  <c r="AJ75" i="21" s="1"/>
  <c r="AH75" i="21" a="1"/>
  <c r="AH75" i="21" s="1"/>
  <c r="AF75" i="21" a="1"/>
  <c r="AF75" i="21" s="1"/>
  <c r="AD75" i="21"/>
  <c r="AD75" i="21" a="1"/>
  <c r="AB75" i="21" a="1"/>
  <c r="AB75" i="21" s="1"/>
  <c r="Z75" i="21" a="1"/>
  <c r="Z75" i="21" s="1"/>
  <c r="X75" i="21" a="1"/>
  <c r="X75" i="21" s="1"/>
  <c r="V75" i="21"/>
  <c r="V75" i="21" a="1"/>
  <c r="T75" i="21" a="1"/>
  <c r="T75" i="21" s="1"/>
  <c r="R75" i="21" a="1"/>
  <c r="R75" i="21" s="1"/>
  <c r="P75" i="21"/>
  <c r="P75" i="21" a="1"/>
  <c r="N75" i="21"/>
  <c r="N75" i="21" a="1"/>
  <c r="L75" i="21" a="1"/>
  <c r="L75" i="21" s="1"/>
  <c r="J75" i="21" a="1"/>
  <c r="J75" i="21" s="1"/>
  <c r="H75" i="21" a="1"/>
  <c r="H75" i="21" s="1"/>
  <c r="F75" i="21"/>
  <c r="F75" i="21" a="1"/>
  <c r="D75" i="21" a="1"/>
  <c r="D75" i="21" s="1"/>
  <c r="B75" i="21" a="1"/>
  <c r="B75" i="21" s="1"/>
  <c r="AV74" i="21"/>
  <c r="AV74" i="21" a="1"/>
  <c r="AT74" i="21"/>
  <c r="AT74" i="21" a="1"/>
  <c r="AR74" i="21" a="1"/>
  <c r="AR74" i="21" s="1"/>
  <c r="AP74" i="21" a="1"/>
  <c r="AP74" i="21" s="1"/>
  <c r="AN74" i="21" a="1"/>
  <c r="AN74" i="21" s="1"/>
  <c r="AL74" i="21"/>
  <c r="AL74" i="21" a="1"/>
  <c r="AJ74" i="21" a="1"/>
  <c r="AJ74" i="21" s="1"/>
  <c r="AH74" i="21" a="1"/>
  <c r="AH74" i="21" s="1"/>
  <c r="AF74" i="21" a="1"/>
  <c r="AF74" i="21" s="1"/>
  <c r="AD74" i="21"/>
  <c r="AD74" i="21" a="1"/>
  <c r="AB74" i="21" a="1"/>
  <c r="AB74" i="21" s="1"/>
  <c r="Z74" i="21" a="1"/>
  <c r="Z74" i="21" s="1"/>
  <c r="X74" i="21" a="1"/>
  <c r="X74" i="21" s="1"/>
  <c r="V74" i="21"/>
  <c r="V74" i="21" a="1"/>
  <c r="T74" i="21" a="1"/>
  <c r="T74" i="21" s="1"/>
  <c r="R74" i="21" a="1"/>
  <c r="R74" i="21" s="1"/>
  <c r="P74" i="21" a="1"/>
  <c r="P74" i="21" s="1"/>
  <c r="N74" i="21"/>
  <c r="N74" i="21" a="1"/>
  <c r="L74" i="21" a="1"/>
  <c r="L74" i="21" s="1"/>
  <c r="J74" i="21" a="1"/>
  <c r="J74" i="21" s="1"/>
  <c r="H74" i="21" a="1"/>
  <c r="H74" i="21" s="1"/>
  <c r="F74" i="21"/>
  <c r="F74" i="21" a="1"/>
  <c r="D74" i="21" a="1"/>
  <c r="D74" i="21" s="1"/>
  <c r="B74" i="21" a="1"/>
  <c r="B74" i="21" s="1"/>
  <c r="AV73" i="21"/>
  <c r="AV73" i="21" a="1"/>
  <c r="AT73" i="21"/>
  <c r="AT73" i="21" a="1"/>
  <c r="AR73" i="21" a="1"/>
  <c r="AR73" i="21" s="1"/>
  <c r="AP73" i="21" a="1"/>
  <c r="AP73" i="21" s="1"/>
  <c r="AN73" i="21" a="1"/>
  <c r="AN73" i="21" s="1"/>
  <c r="AL73" i="21"/>
  <c r="AL73" i="21" a="1"/>
  <c r="AJ73" i="21" a="1"/>
  <c r="AJ73" i="21" s="1"/>
  <c r="AH73" i="21" a="1"/>
  <c r="AH73" i="21" s="1"/>
  <c r="AF73" i="21"/>
  <c r="AF73" i="21" a="1"/>
  <c r="AD73" i="21"/>
  <c r="AD73" i="21" a="1"/>
  <c r="AB73" i="21" a="1"/>
  <c r="AB73" i="21" s="1"/>
  <c r="Z73" i="21" a="1"/>
  <c r="Z73" i="21" s="1"/>
  <c r="X73" i="21" a="1"/>
  <c r="X73" i="21" s="1"/>
  <c r="V73" i="21"/>
  <c r="V73" i="21" a="1"/>
  <c r="T73" i="21" a="1"/>
  <c r="T73" i="21" s="1"/>
  <c r="R73" i="21" a="1"/>
  <c r="R73" i="21" s="1"/>
  <c r="P73" i="21" a="1"/>
  <c r="P73" i="21" s="1"/>
  <c r="N73" i="21"/>
  <c r="N73" i="21" a="1"/>
  <c r="L73" i="21" a="1"/>
  <c r="L73" i="21" s="1"/>
  <c r="J73" i="21" a="1"/>
  <c r="J73" i="21" s="1"/>
  <c r="H73" i="21" a="1"/>
  <c r="H73" i="21" s="1"/>
  <c r="F73" i="21"/>
  <c r="F73" i="21" a="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R69" i="21"/>
  <c r="AH69" i="21"/>
  <c r="AF69" i="21"/>
  <c r="AD69" i="21"/>
  <c r="D69" i="21"/>
  <c r="B69" i="21"/>
  <c r="AV68" i="21"/>
  <c r="AT68" i="21"/>
  <c r="AR68" i="21"/>
  <c r="T68" i="21"/>
  <c r="R68" i="21"/>
  <c r="P68" i="21"/>
  <c r="AV67" i="21" a="1"/>
  <c r="AV67" i="21" s="1"/>
  <c r="AT67" i="21"/>
  <c r="AT67" i="21" a="1"/>
  <c r="AR67" i="21" a="1"/>
  <c r="AR67" i="21" s="1"/>
  <c r="AP67" i="21" a="1"/>
  <c r="AP67" i="21" s="1"/>
  <c r="AN67" i="21" a="1"/>
  <c r="AN67" i="21" s="1"/>
  <c r="AL67" i="21"/>
  <c r="AL67" i="21" a="1"/>
  <c r="AJ67" i="21" a="1"/>
  <c r="AJ67" i="21" s="1"/>
  <c r="AH67" i="21" a="1"/>
  <c r="AH67" i="21" s="1"/>
  <c r="AF67" i="21" a="1"/>
  <c r="AF67" i="21" s="1"/>
  <c r="AD67" i="21"/>
  <c r="AD67" i="21" a="1"/>
  <c r="AB67" i="21" a="1"/>
  <c r="AB67" i="21" s="1"/>
  <c r="Z67" i="21" a="1"/>
  <c r="Z67" i="21" s="1"/>
  <c r="X67" i="21"/>
  <c r="X67" i="21" a="1"/>
  <c r="V67" i="21"/>
  <c r="V67" i="21" a="1"/>
  <c r="T67" i="21" a="1"/>
  <c r="T67" i="21" s="1"/>
  <c r="R67" i="21" a="1"/>
  <c r="R67" i="21" s="1"/>
  <c r="P67" i="21" a="1"/>
  <c r="P67" i="21" s="1"/>
  <c r="N67" i="21"/>
  <c r="N67" i="21" a="1"/>
  <c r="L67" i="21" a="1"/>
  <c r="L67" i="21" s="1"/>
  <c r="J67" i="21" a="1"/>
  <c r="J67" i="21" s="1"/>
  <c r="H67" i="21"/>
  <c r="H67" i="21" a="1"/>
  <c r="F67" i="21"/>
  <c r="F67" i="21" a="1"/>
  <c r="D67" i="21" a="1"/>
  <c r="D67" i="21" s="1"/>
  <c r="B67" i="21" a="1"/>
  <c r="B67" i="21" s="1"/>
  <c r="AV66" i="21" a="1"/>
  <c r="AV66" i="21" s="1"/>
  <c r="AT66" i="21"/>
  <c r="AT66" i="21" a="1"/>
  <c r="AR66" i="21" a="1"/>
  <c r="AR66" i="21" s="1"/>
  <c r="AP66" i="21" a="1"/>
  <c r="AP66" i="21" s="1"/>
  <c r="AP68" i="21" s="1"/>
  <c r="AN66" i="21" a="1"/>
  <c r="AN66" i="21" s="1"/>
  <c r="AN68" i="21" s="1"/>
  <c r="AL66" i="21"/>
  <c r="AL66" i="21" a="1"/>
  <c r="AJ66" i="21" a="1"/>
  <c r="AJ66" i="21" s="1"/>
  <c r="AJ68" i="21" s="1"/>
  <c r="AH66" i="21" a="1"/>
  <c r="AH66" i="21" s="1"/>
  <c r="AF66" i="21" a="1"/>
  <c r="AF66" i="21" s="1"/>
  <c r="AD66" i="21"/>
  <c r="AD66" i="21" a="1"/>
  <c r="AB66" i="21" a="1"/>
  <c r="AB66" i="21" s="1"/>
  <c r="AB68" i="21" s="1"/>
  <c r="Z66" i="21" a="1"/>
  <c r="Z66" i="21" s="1"/>
  <c r="X66" i="21" a="1"/>
  <c r="X66" i="21" s="1"/>
  <c r="X68" i="21" s="1"/>
  <c r="V66" i="21"/>
  <c r="V68" i="21" s="1"/>
  <c r="V66" i="21" a="1"/>
  <c r="T66" i="21" a="1"/>
  <c r="T66" i="21" s="1"/>
  <c r="R66" i="21" a="1"/>
  <c r="R66" i="21" s="1"/>
  <c r="P66" i="21" a="1"/>
  <c r="P66" i="21" s="1"/>
  <c r="N66" i="21"/>
  <c r="N68" i="21" s="1"/>
  <c r="N66" i="21" a="1"/>
  <c r="L66" i="21" a="1"/>
  <c r="L66" i="21" s="1"/>
  <c r="L68" i="21" s="1"/>
  <c r="J66" i="21" a="1"/>
  <c r="J66" i="21" s="1"/>
  <c r="J68" i="21" s="1"/>
  <c r="H66" i="21"/>
  <c r="H66" i="21" a="1"/>
  <c r="F66" i="21"/>
  <c r="F66" i="21" a="1"/>
  <c r="D66" i="21" a="1"/>
  <c r="D66" i="21" s="1"/>
  <c r="B66" i="21" a="1"/>
  <c r="B66" i="21" s="1"/>
  <c r="B68" i="21" s="1"/>
  <c r="AV65" i="21" a="1"/>
  <c r="AV65" i="21" s="1"/>
  <c r="AV69" i="21" s="1"/>
  <c r="AT65" i="21"/>
  <c r="AT69" i="21" s="1"/>
  <c r="AT65" i="21" a="1"/>
  <c r="AR65" i="21" a="1"/>
  <c r="AR65" i="21" s="1"/>
  <c r="AP65" i="21" a="1"/>
  <c r="AP65" i="21" s="1"/>
  <c r="AP69" i="21" s="1"/>
  <c r="AN65" i="21"/>
  <c r="AN69" i="21" s="1"/>
  <c r="AN65" i="21" a="1"/>
  <c r="AL65" i="21"/>
  <c r="AL69" i="21" s="1"/>
  <c r="AL65" i="21" a="1"/>
  <c r="AJ65" i="21" a="1"/>
  <c r="AJ65" i="21" s="1"/>
  <c r="AJ69" i="21" s="1"/>
  <c r="AH65" i="21" a="1"/>
  <c r="AH65" i="21" s="1"/>
  <c r="AF65" i="21" a="1"/>
  <c r="AF65" i="21" s="1"/>
  <c r="AD65" i="21"/>
  <c r="AD65" i="21" a="1"/>
  <c r="AB65" i="21" a="1"/>
  <c r="AB65" i="21" s="1"/>
  <c r="AB69" i="21" s="1"/>
  <c r="Z65" i="21" a="1"/>
  <c r="Z65" i="21" s="1"/>
  <c r="Z69" i="21" s="1"/>
  <c r="X65" i="21" a="1"/>
  <c r="X65" i="21" s="1"/>
  <c r="X69" i="21" s="1"/>
  <c r="V65" i="21"/>
  <c r="V69" i="21" s="1"/>
  <c r="V65" i="21" a="1"/>
  <c r="T65" i="21" a="1"/>
  <c r="T65" i="21" s="1"/>
  <c r="T69" i="21" s="1"/>
  <c r="R65" i="21" a="1"/>
  <c r="R65" i="21" s="1"/>
  <c r="R69" i="21" s="1"/>
  <c r="P65" i="21" a="1"/>
  <c r="P65" i="21" s="1"/>
  <c r="P69" i="21" s="1"/>
  <c r="N65" i="21"/>
  <c r="N69" i="21" s="1"/>
  <c r="N65" i="21" a="1"/>
  <c r="L65" i="21" a="1"/>
  <c r="L65" i="21" s="1"/>
  <c r="L69" i="21" s="1"/>
  <c r="J65" i="21" a="1"/>
  <c r="J65" i="21" s="1"/>
  <c r="J69" i="21" s="1"/>
  <c r="H65" i="21" a="1"/>
  <c r="H65" i="21" s="1"/>
  <c r="H69" i="21" s="1"/>
  <c r="F65" i="21"/>
  <c r="F69" i="21" s="1"/>
  <c r="F65" i="21" a="1"/>
  <c r="D65" i="21" a="1"/>
  <c r="D65"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a="1"/>
  <c r="AV58" i="21" s="1"/>
  <c r="AT58" i="21" a="1"/>
  <c r="AT58" i="21" s="1"/>
  <c r="AR58" i="21" a="1"/>
  <c r="AR58" i="21" s="1"/>
  <c r="AP58" i="21" a="1"/>
  <c r="AP58" i="21" s="1"/>
  <c r="AN58" i="21" a="1"/>
  <c r="AN58" i="21" s="1"/>
  <c r="AL58" i="21" a="1"/>
  <c r="AL58" i="21" s="1"/>
  <c r="AJ58" i="21" a="1"/>
  <c r="AJ58" i="21" s="1"/>
  <c r="AH58" i="21" a="1"/>
  <c r="AH58" i="21" s="1"/>
  <c r="AF58" i="21"/>
  <c r="AF58" i="21" a="1"/>
  <c r="AD58" i="21" a="1"/>
  <c r="AD58" i="21" s="1"/>
  <c r="AB58" i="21" a="1"/>
  <c r="AB58" i="21" s="1"/>
  <c r="Z58" i="21" a="1"/>
  <c r="Z58" i="21" s="1"/>
  <c r="X58" i="21" a="1"/>
  <c r="X58" i="21" s="1"/>
  <c r="V58" i="21" a="1"/>
  <c r="V58" i="21" s="1"/>
  <c r="T58" i="21" a="1"/>
  <c r="T58" i="21" s="1"/>
  <c r="R58" i="21" a="1"/>
  <c r="R58" i="21" s="1"/>
  <c r="P58" i="21" a="1"/>
  <c r="P58" i="21" s="1"/>
  <c r="N58" i="21" a="1"/>
  <c r="N58" i="21" s="1"/>
  <c r="L58" i="21" a="1"/>
  <c r="L58" i="21" s="1"/>
  <c r="J58" i="21" a="1"/>
  <c r="J58" i="21" s="1"/>
  <c r="H58" i="21" a="1"/>
  <c r="H58" i="21" s="1"/>
  <c r="F58" i="21" a="1"/>
  <c r="F58" i="21" s="1"/>
  <c r="D58" i="21" a="1"/>
  <c r="D58" i="21" s="1"/>
  <c r="B58" i="21" a="1"/>
  <c r="B58" i="21" s="1"/>
  <c r="AV57" i="21"/>
  <c r="AV57" i="21" a="1"/>
  <c r="AT57" i="21" a="1"/>
  <c r="AT57" i="21" s="1"/>
  <c r="AR57" i="21" a="1"/>
  <c r="AR57" i="21" s="1"/>
  <c r="AP57" i="21" a="1"/>
  <c r="AP57" i="21" s="1"/>
  <c r="AN57" i="21" a="1"/>
  <c r="AN57" i="21" s="1"/>
  <c r="AL57" i="21" a="1"/>
  <c r="AL57" i="21" s="1"/>
  <c r="AJ57" i="21" a="1"/>
  <c r="AJ57" i="21" s="1"/>
  <c r="AH57" i="21" a="1"/>
  <c r="AH57" i="21" s="1"/>
  <c r="AF57" i="21" a="1"/>
  <c r="AF57" i="21" s="1"/>
  <c r="AD57" i="21"/>
  <c r="AD57" i="21" a="1"/>
  <c r="AB57" i="21" a="1"/>
  <c r="AB57" i="21" s="1"/>
  <c r="Z57" i="21" a="1"/>
  <c r="Z57" i="21" s="1"/>
  <c r="X57" i="21" a="1"/>
  <c r="X57" i="21" s="1"/>
  <c r="V57" i="21" a="1"/>
  <c r="V57" i="21" s="1"/>
  <c r="T57" i="21" a="1"/>
  <c r="T57" i="21" s="1"/>
  <c r="R57" i="21" a="1"/>
  <c r="R57" i="21" s="1"/>
  <c r="P57" i="21" a="1"/>
  <c r="P57" i="21" s="1"/>
  <c r="N57" i="21" a="1"/>
  <c r="N57" i="21" s="1"/>
  <c r="L57" i="21" a="1"/>
  <c r="L57" i="21" s="1"/>
  <c r="J57" i="21" a="1"/>
  <c r="J57" i="21" s="1"/>
  <c r="H57" i="21" a="1"/>
  <c r="H57" i="21" s="1"/>
  <c r="F57" i="21" a="1"/>
  <c r="F57" i="21" s="1"/>
  <c r="D57" i="21" a="1"/>
  <c r="D57" i="21" s="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P80" i="21" s="1"/>
  <c r="AN55" i="21"/>
  <c r="AL55" i="21"/>
  <c r="AJ55" i="21"/>
  <c r="AH55" i="21"/>
  <c r="AH80" i="21" s="1"/>
  <c r="AF55" i="21"/>
  <c r="AF80" i="21" s="1"/>
  <c r="AD55" i="21"/>
  <c r="AD80" i="21" s="1"/>
  <c r="AB55" i="21"/>
  <c r="AB80" i="21" s="1"/>
  <c r="Z55" i="21"/>
  <c r="Z80" i="21" s="1"/>
  <c r="X55" i="21"/>
  <c r="X80" i="21" s="1"/>
  <c r="V55" i="21"/>
  <c r="V80" i="21" s="1"/>
  <c r="T55" i="21"/>
  <c r="R55" i="21"/>
  <c r="P55" i="21"/>
  <c r="N55" i="21"/>
  <c r="L55" i="21"/>
  <c r="J55" i="21"/>
  <c r="J80" i="21" s="1"/>
  <c r="H55" i="21"/>
  <c r="F55" i="21"/>
  <c r="D55" i="2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T51" i="21"/>
  <c r="AT81" i="21" s="1"/>
  <c r="AR51" i="21"/>
  <c r="AR81" i="21" s="1"/>
  <c r="AP51" i="21"/>
  <c r="AP81" i="21" s="1"/>
  <c r="AN51" i="21"/>
  <c r="AN81" i="21" s="1"/>
  <c r="AL51" i="21"/>
  <c r="AL81" i="21" s="1"/>
  <c r="AJ51" i="21"/>
  <c r="AH51" i="21"/>
  <c r="AF51" i="21"/>
  <c r="AD51" i="21"/>
  <c r="AB51" i="21"/>
  <c r="Z51" i="21"/>
  <c r="Z81" i="21" s="1"/>
  <c r="X51" i="21"/>
  <c r="V51" i="21"/>
  <c r="T51" i="21"/>
  <c r="R51" i="21"/>
  <c r="P51" i="21"/>
  <c r="N51" i="21"/>
  <c r="N81" i="21" s="1"/>
  <c r="L51" i="21"/>
  <c r="L81" i="21" s="1"/>
  <c r="J51" i="21"/>
  <c r="J81" i="21" s="1"/>
  <c r="H51" i="21"/>
  <c r="H81" i="21" s="1"/>
  <c r="F51" i="21"/>
  <c r="F81" i="21" s="1"/>
  <c r="D51" i="2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a="1"/>
  <c r="AV43" i="21" s="1"/>
  <c r="AT43" i="21"/>
  <c r="AT43" i="21" a="1"/>
  <c r="AR43" i="21" a="1"/>
  <c r="AR43" i="21" s="1"/>
  <c r="AP43" i="21" a="1"/>
  <c r="AP43" i="21" s="1"/>
  <c r="AN43" i="21" a="1"/>
  <c r="AN43" i="21" s="1"/>
  <c r="AL43" i="21" a="1"/>
  <c r="AL43" i="21" s="1"/>
  <c r="AJ43" i="21" a="1"/>
  <c r="AJ43" i="21" s="1"/>
  <c r="AH43" i="21" a="1"/>
  <c r="AH43" i="21" s="1"/>
  <c r="AF43" i="21" a="1"/>
  <c r="AF43" i="21" s="1"/>
  <c r="AD43" i="21" a="1"/>
  <c r="AD43" i="21" s="1"/>
  <c r="AB43" i="21" a="1"/>
  <c r="AB43" i="21" s="1"/>
  <c r="Z43" i="21" a="1"/>
  <c r="Z43" i="21" s="1"/>
  <c r="X43" i="21" a="1"/>
  <c r="X43" i="21" s="1"/>
  <c r="V43" i="21" a="1"/>
  <c r="V43" i="21" s="1"/>
  <c r="T43" i="21" a="1"/>
  <c r="T43" i="21" s="1"/>
  <c r="R43" i="21" a="1"/>
  <c r="R43" i="21" s="1"/>
  <c r="P43" i="21" a="1"/>
  <c r="P43" i="21" s="1"/>
  <c r="N43" i="21"/>
  <c r="N43" i="21" a="1"/>
  <c r="L43" i="21" a="1"/>
  <c r="L43" i="21" s="1"/>
  <c r="J43" i="21" a="1"/>
  <c r="J43" i="21" s="1"/>
  <c r="H43" i="21" a="1"/>
  <c r="H43" i="21" s="1"/>
  <c r="F43" i="21" a="1"/>
  <c r="F43" i="21" s="1"/>
  <c r="D43" i="21" a="1"/>
  <c r="D43" i="21" s="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L81" i="24"/>
  <c r="AJ81" i="24"/>
  <c r="AH81" i="24"/>
  <c r="AF81" i="24"/>
  <c r="AB81" i="24"/>
  <c r="Z81" i="24"/>
  <c r="X81" i="24"/>
  <c r="V81" i="24"/>
  <c r="T81" i="24"/>
  <c r="F81" i="24"/>
  <c r="D81" i="24"/>
  <c r="B81" i="24"/>
  <c r="AV80" i="24"/>
  <c r="AR80" i="24"/>
  <c r="AP80" i="24"/>
  <c r="AN80" i="24"/>
  <c r="AL80" i="24"/>
  <c r="AH80" i="24"/>
  <c r="AD80" i="24"/>
  <c r="V80" i="24"/>
  <c r="T80" i="24"/>
  <c r="R80" i="24"/>
  <c r="P80" i="24"/>
  <c r="L80" i="24"/>
  <c r="J80" i="24"/>
  <c r="H80" i="24"/>
  <c r="F80" i="24"/>
  <c r="B80" i="24"/>
  <c r="AV79" i="24" a="1"/>
  <c r="AV79" i="24" s="1"/>
  <c r="AT79" i="24"/>
  <c r="AT79" i="24" a="1"/>
  <c r="AR79" i="24" a="1"/>
  <c r="AR79" i="24" s="1"/>
  <c r="AP79" i="24" a="1"/>
  <c r="AP79" i="24" s="1"/>
  <c r="AN79" i="24"/>
  <c r="AN79" i="24" a="1"/>
  <c r="AL79" i="24" a="1"/>
  <c r="AL79" i="24" s="1"/>
  <c r="AJ79" i="24" a="1"/>
  <c r="AJ79" i="24" s="1"/>
  <c r="AH79" i="24"/>
  <c r="AH79" i="24" a="1"/>
  <c r="AF79" i="24" a="1"/>
  <c r="AF79" i="24" s="1"/>
  <c r="AD79" i="24"/>
  <c r="AD79" i="24" a="1"/>
  <c r="AB79" i="24" a="1"/>
  <c r="AB79" i="24" s="1"/>
  <c r="Z79" i="24" a="1"/>
  <c r="Z79" i="24" s="1"/>
  <c r="X79" i="24"/>
  <c r="X79" i="24" a="1"/>
  <c r="V79" i="24" a="1"/>
  <c r="V79" i="24" s="1"/>
  <c r="T79" i="24" a="1"/>
  <c r="T79" i="24" s="1"/>
  <c r="R79" i="24" a="1"/>
  <c r="R79" i="24" s="1"/>
  <c r="P79" i="24" a="1"/>
  <c r="P79" i="24" s="1"/>
  <c r="N79" i="24"/>
  <c r="N79" i="24" a="1"/>
  <c r="L79" i="24" a="1"/>
  <c r="L79" i="24" s="1"/>
  <c r="J79" i="24" a="1"/>
  <c r="J79" i="24" s="1"/>
  <c r="H79" i="24"/>
  <c r="H79" i="24" a="1"/>
  <c r="F79" i="24" a="1"/>
  <c r="F79" i="24" s="1"/>
  <c r="D79" i="24" a="1"/>
  <c r="D79" i="24" s="1"/>
  <c r="B79" i="24" a="1"/>
  <c r="B79" i="24" s="1"/>
  <c r="AV78" i="24" a="1"/>
  <c r="AV78" i="24" s="1"/>
  <c r="AT78" i="24"/>
  <c r="AT78" i="24" a="1"/>
  <c r="AR78" i="24" a="1"/>
  <c r="AR78" i="24" s="1"/>
  <c r="AP78" i="24" a="1"/>
  <c r="AP78" i="24" s="1"/>
  <c r="AN78" i="24"/>
  <c r="AN78" i="24" a="1"/>
  <c r="AL78" i="24" a="1"/>
  <c r="AL78" i="24" s="1"/>
  <c r="AJ78" i="24" a="1"/>
  <c r="AJ78" i="24" s="1"/>
  <c r="AH78" i="24" a="1"/>
  <c r="AH78" i="24" s="1"/>
  <c r="AF78" i="24" a="1"/>
  <c r="AF78" i="24" s="1"/>
  <c r="AD78" i="24"/>
  <c r="AD78" i="24" a="1"/>
  <c r="AB78" i="24" a="1"/>
  <c r="AB78" i="24" s="1"/>
  <c r="Z78" i="24" a="1"/>
  <c r="Z78" i="24" s="1"/>
  <c r="X78" i="24"/>
  <c r="X78" i="24" a="1"/>
  <c r="V78" i="24" a="1"/>
  <c r="V78" i="24" s="1"/>
  <c r="T78" i="24" a="1"/>
  <c r="T78" i="24" s="1"/>
  <c r="R78" i="24" a="1"/>
  <c r="R78" i="24" s="1"/>
  <c r="P78" i="24" a="1"/>
  <c r="P78" i="24" s="1"/>
  <c r="N78" i="24" a="1"/>
  <c r="N78" i="24" s="1"/>
  <c r="L78" i="24" a="1"/>
  <c r="L78" i="24" s="1"/>
  <c r="J78" i="24" a="1"/>
  <c r="J78" i="24" s="1"/>
  <c r="H78" i="24"/>
  <c r="H78" i="24" a="1"/>
  <c r="F78" i="24" a="1"/>
  <c r="F78" i="24" s="1"/>
  <c r="D78" i="24" a="1"/>
  <c r="D78" i="24" s="1"/>
  <c r="B78" i="24" a="1"/>
  <c r="B78" i="24" s="1"/>
  <c r="AV77" i="24" a="1"/>
  <c r="AV77" i="24" s="1"/>
  <c r="AT77" i="24" a="1"/>
  <c r="AT77" i="24" s="1"/>
  <c r="AR77" i="24" a="1"/>
  <c r="AR77" i="24" s="1"/>
  <c r="AP77" i="24" a="1"/>
  <c r="AP77" i="24" s="1"/>
  <c r="AN77" i="24"/>
  <c r="AN77" i="24" a="1"/>
  <c r="AL77" i="24" a="1"/>
  <c r="AL77" i="24" s="1"/>
  <c r="AJ77" i="24" a="1"/>
  <c r="AJ77" i="24" s="1"/>
  <c r="AH77" i="24"/>
  <c r="AH77" i="24" a="1"/>
  <c r="AF77" i="24" a="1"/>
  <c r="AF77" i="24" s="1"/>
  <c r="AD77" i="24" a="1"/>
  <c r="AD77" i="24" s="1"/>
  <c r="AB77" i="24" a="1"/>
  <c r="AB77" i="24" s="1"/>
  <c r="Z77" i="24" a="1"/>
  <c r="Z77" i="24" s="1"/>
  <c r="X77" i="24"/>
  <c r="X77" i="24" a="1"/>
  <c r="V77" i="24" a="1"/>
  <c r="V77" i="24" s="1"/>
  <c r="T77" i="24" a="1"/>
  <c r="T77" i="24" s="1"/>
  <c r="R77" i="24" a="1"/>
  <c r="R77" i="24" s="1"/>
  <c r="P77" i="24" a="1"/>
  <c r="P77" i="24" s="1"/>
  <c r="N77" i="24" a="1"/>
  <c r="N77" i="24" s="1"/>
  <c r="L77" i="24" a="1"/>
  <c r="L77" i="24" s="1"/>
  <c r="J77" i="24" a="1"/>
  <c r="J77" i="24" s="1"/>
  <c r="H77" i="24"/>
  <c r="H77" i="24" a="1"/>
  <c r="F77" i="24" a="1"/>
  <c r="F77" i="24" s="1"/>
  <c r="D77" i="24" a="1"/>
  <c r="D77" i="24" s="1"/>
  <c r="B77" i="24" a="1"/>
  <c r="B77" i="24" s="1"/>
  <c r="AV76" i="24" a="1"/>
  <c r="AV76" i="24" s="1"/>
  <c r="AT76" i="24" a="1"/>
  <c r="AT76" i="24" s="1"/>
  <c r="AR76" i="24" a="1"/>
  <c r="AR76" i="24" s="1"/>
  <c r="AP76" i="24" a="1"/>
  <c r="AP76" i="24" s="1"/>
  <c r="AN76" i="24"/>
  <c r="AN76" i="24" a="1"/>
  <c r="AL76" i="24" a="1"/>
  <c r="AL76" i="24" s="1"/>
  <c r="AJ76" i="24" a="1"/>
  <c r="AJ76" i="24" s="1"/>
  <c r="AH76" i="24"/>
  <c r="AH76" i="24" a="1"/>
  <c r="AF76" i="24" a="1"/>
  <c r="AF76" i="24" s="1"/>
  <c r="AD76" i="24" a="1"/>
  <c r="AD76" i="24" s="1"/>
  <c r="AB76" i="24" a="1"/>
  <c r="AB76" i="24" s="1"/>
  <c r="Z76" i="24" a="1"/>
  <c r="Z76" i="24" s="1"/>
  <c r="X76" i="24"/>
  <c r="X76" i="24" a="1"/>
  <c r="V76" i="24" a="1"/>
  <c r="V76" i="24" s="1"/>
  <c r="T76" i="24" a="1"/>
  <c r="T76" i="24" s="1"/>
  <c r="R76" i="24" a="1"/>
  <c r="R76" i="24" s="1"/>
  <c r="P76" i="24" a="1"/>
  <c r="P76" i="24" s="1"/>
  <c r="N76" i="24" a="1"/>
  <c r="N76" i="24" s="1"/>
  <c r="L76" i="24" a="1"/>
  <c r="L76" i="24" s="1"/>
  <c r="J76" i="24" a="1"/>
  <c r="J76" i="24" s="1"/>
  <c r="H76" i="24"/>
  <c r="H76" i="24" a="1"/>
  <c r="F76" i="24" a="1"/>
  <c r="F76" i="24" s="1"/>
  <c r="D76" i="24" a="1"/>
  <c r="D76" i="24" s="1"/>
  <c r="B76" i="24"/>
  <c r="B76" i="24" a="1"/>
  <c r="AV75" i="24" a="1"/>
  <c r="AV75" i="24" s="1"/>
  <c r="AT75" i="24" a="1"/>
  <c r="AT75" i="24" s="1"/>
  <c r="AR75" i="24" a="1"/>
  <c r="AR75" i="24" s="1"/>
  <c r="AP75" i="24" a="1"/>
  <c r="AP75" i="24" s="1"/>
  <c r="AN75" i="24"/>
  <c r="AN75" i="24" a="1"/>
  <c r="AL75" i="24" a="1"/>
  <c r="AL75" i="24" s="1"/>
  <c r="AJ75" i="24" a="1"/>
  <c r="AJ75" i="24" s="1"/>
  <c r="AH75" i="24" a="1"/>
  <c r="AH75" i="24" s="1"/>
  <c r="AF75" i="24" a="1"/>
  <c r="AF75" i="24" s="1"/>
  <c r="AD75" i="24" a="1"/>
  <c r="AD75" i="24" s="1"/>
  <c r="AB75" i="24" a="1"/>
  <c r="AB75" i="24" s="1"/>
  <c r="Z75" i="24" a="1"/>
  <c r="Z75" i="24" s="1"/>
  <c r="X75" i="24"/>
  <c r="X75" i="24" a="1"/>
  <c r="V75" i="24" a="1"/>
  <c r="V75" i="24" s="1"/>
  <c r="T75" i="24" a="1"/>
  <c r="T75" i="24" s="1"/>
  <c r="R75" i="24" a="1"/>
  <c r="R75" i="24" s="1"/>
  <c r="P75" i="24" a="1"/>
  <c r="P75" i="24" s="1"/>
  <c r="N75" i="24" a="1"/>
  <c r="N75" i="24" s="1"/>
  <c r="L75" i="24" a="1"/>
  <c r="L75" i="24" s="1"/>
  <c r="J75" i="24" a="1"/>
  <c r="J75" i="24" s="1"/>
  <c r="H75" i="24"/>
  <c r="H75" i="24" a="1"/>
  <c r="F75" i="24" a="1"/>
  <c r="F75" i="24" s="1"/>
  <c r="D75" i="24" a="1"/>
  <c r="D75" i="24" s="1"/>
  <c r="B75" i="24"/>
  <c r="B75" i="24" a="1"/>
  <c r="AV74" i="24" a="1"/>
  <c r="AV74" i="24" s="1"/>
  <c r="AT74" i="24" a="1"/>
  <c r="AT74" i="24" s="1"/>
  <c r="AR74" i="24" a="1"/>
  <c r="AR74" i="24" s="1"/>
  <c r="AP74" i="24" a="1"/>
  <c r="AP74" i="24" s="1"/>
  <c r="AN74" i="24"/>
  <c r="AN74" i="24" a="1"/>
  <c r="AL74" i="24" a="1"/>
  <c r="AL74" i="24" s="1"/>
  <c r="AJ74" i="24" a="1"/>
  <c r="AJ74" i="24" s="1"/>
  <c r="AH74" i="24" a="1"/>
  <c r="AH74" i="24" s="1"/>
  <c r="AF74" i="24" a="1"/>
  <c r="AF74" i="24" s="1"/>
  <c r="AD74" i="24" a="1"/>
  <c r="AD74" i="24" s="1"/>
  <c r="AB74" i="24" a="1"/>
  <c r="AB74" i="24" s="1"/>
  <c r="Z74" i="24" a="1"/>
  <c r="Z74" i="24" s="1"/>
  <c r="X74" i="24"/>
  <c r="X74" i="24" a="1"/>
  <c r="V74" i="24" a="1"/>
  <c r="V74" i="24" s="1"/>
  <c r="T74" i="24" a="1"/>
  <c r="T74" i="24" s="1"/>
  <c r="R74" i="24" a="1"/>
  <c r="R74" i="24" s="1"/>
  <c r="P74" i="24" a="1"/>
  <c r="P74" i="24" s="1"/>
  <c r="N74" i="24" a="1"/>
  <c r="N74" i="24" s="1"/>
  <c r="L74" i="24" a="1"/>
  <c r="L74" i="24" s="1"/>
  <c r="J74" i="24" a="1"/>
  <c r="J74" i="24" s="1"/>
  <c r="H74" i="24"/>
  <c r="H74" i="24" a="1"/>
  <c r="F74" i="24" a="1"/>
  <c r="F74" i="24" s="1"/>
  <c r="D74" i="24" a="1"/>
  <c r="D74" i="24" s="1"/>
  <c r="B74" i="24"/>
  <c r="B74" i="24" a="1"/>
  <c r="AV73" i="24" a="1"/>
  <c r="AV73" i="24" s="1"/>
  <c r="AT73" i="24" a="1"/>
  <c r="AT73" i="24" s="1"/>
  <c r="AR73" i="24" a="1"/>
  <c r="AR73" i="24" s="1"/>
  <c r="AP73" i="24" a="1"/>
  <c r="AP73" i="24" s="1"/>
  <c r="AN73" i="24"/>
  <c r="AN73" i="24" a="1"/>
  <c r="AL73" i="24" a="1"/>
  <c r="AL73" i="24" s="1"/>
  <c r="AJ73" i="24" a="1"/>
  <c r="AJ73" i="24" s="1"/>
  <c r="AH73" i="24" a="1"/>
  <c r="AH73" i="24" s="1"/>
  <c r="AF73" i="24" a="1"/>
  <c r="AF73" i="24" s="1"/>
  <c r="AD73" i="24" a="1"/>
  <c r="AD73" i="24" s="1"/>
  <c r="AB73" i="24" a="1"/>
  <c r="AB73" i="24" s="1"/>
  <c r="Z73" i="24" a="1"/>
  <c r="Z73" i="24" s="1"/>
  <c r="X73" i="24"/>
  <c r="X73" i="24" a="1"/>
  <c r="V73" i="24" a="1"/>
  <c r="V73" i="24" s="1"/>
  <c r="T73" i="24" a="1"/>
  <c r="T73" i="24" s="1"/>
  <c r="R73" i="24"/>
  <c r="R73" i="24" a="1"/>
  <c r="P73" i="24" a="1"/>
  <c r="P73" i="24" s="1"/>
  <c r="N73" i="24" a="1"/>
  <c r="N73" i="24" s="1"/>
  <c r="L73" i="24" a="1"/>
  <c r="L73" i="24" s="1"/>
  <c r="J73" i="24" a="1"/>
  <c r="J73" i="24" s="1"/>
  <c r="H73" i="24"/>
  <c r="H73" i="24" a="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J69" i="24"/>
  <c r="AH69" i="24"/>
  <c r="D69" i="24"/>
  <c r="B69" i="24"/>
  <c r="AV67" i="24"/>
  <c r="AV67" i="24" a="1"/>
  <c r="AT67" i="24" a="1"/>
  <c r="AT67" i="24" s="1"/>
  <c r="AR67" i="24" a="1"/>
  <c r="AR67" i="24" s="1"/>
  <c r="AP67" i="24"/>
  <c r="AP67" i="24" a="1"/>
  <c r="AN67" i="24" a="1"/>
  <c r="AN67" i="24" s="1"/>
  <c r="AL67" i="24" a="1"/>
  <c r="AL67" i="24" s="1"/>
  <c r="AJ67" i="24" a="1"/>
  <c r="AJ67" i="24" s="1"/>
  <c r="AH67" i="24" a="1"/>
  <c r="AH67" i="24" s="1"/>
  <c r="AF67" i="24"/>
  <c r="AF67" i="24" a="1"/>
  <c r="AD67" i="24" a="1"/>
  <c r="AD67" i="24" s="1"/>
  <c r="AB67" i="24" a="1"/>
  <c r="AB67" i="24" s="1"/>
  <c r="Z67" i="24" a="1"/>
  <c r="Z67" i="24" s="1"/>
  <c r="X67" i="24" a="1"/>
  <c r="X67" i="24" s="1"/>
  <c r="V67" i="24" a="1"/>
  <c r="V67" i="24" s="1"/>
  <c r="T67" i="24" a="1"/>
  <c r="T67" i="24" s="1"/>
  <c r="R67" i="24" a="1"/>
  <c r="R67" i="24" s="1"/>
  <c r="P67" i="24"/>
  <c r="P67" i="24" a="1"/>
  <c r="N67" i="24" a="1"/>
  <c r="N67" i="24" s="1"/>
  <c r="L67" i="24" a="1"/>
  <c r="L67" i="24" s="1"/>
  <c r="J67" i="24" a="1"/>
  <c r="J67" i="24" s="1"/>
  <c r="H67" i="24" a="1"/>
  <c r="H67" i="24" s="1"/>
  <c r="F67" i="24" a="1"/>
  <c r="F67" i="24" s="1"/>
  <c r="D67" i="24" a="1"/>
  <c r="D67" i="24" s="1"/>
  <c r="B67" i="24" a="1"/>
  <c r="B67" i="24" s="1"/>
  <c r="AV66" i="24"/>
  <c r="AV68" i="24" s="1"/>
  <c r="AV66" i="24" a="1"/>
  <c r="AT66" i="24" a="1"/>
  <c r="AT66" i="24" s="1"/>
  <c r="AR66" i="24" a="1"/>
  <c r="AR66" i="24" s="1"/>
  <c r="AR68" i="24" s="1"/>
  <c r="AP66" i="24"/>
  <c r="AP68" i="24" s="1"/>
  <c r="AP66" i="24" a="1"/>
  <c r="AN66" i="24" a="1"/>
  <c r="AN66" i="24" s="1"/>
  <c r="AN68" i="24" s="1"/>
  <c r="AL66" i="24" a="1"/>
  <c r="AL66" i="24" s="1"/>
  <c r="AJ66" i="24" a="1"/>
  <c r="AJ66" i="24" s="1"/>
  <c r="AH66" i="24" a="1"/>
  <c r="AH66" i="24" s="1"/>
  <c r="AF66" i="24"/>
  <c r="AF68" i="24" s="1"/>
  <c r="AF66" i="24" a="1"/>
  <c r="AD66" i="24" a="1"/>
  <c r="AD66" i="24" s="1"/>
  <c r="AB66" i="24" a="1"/>
  <c r="AB66" i="24" s="1"/>
  <c r="Z66" i="24" a="1"/>
  <c r="Z66" i="24" s="1"/>
  <c r="Z68" i="24" s="1"/>
  <c r="X66" i="24" a="1"/>
  <c r="X66" i="24" s="1"/>
  <c r="V66" i="24" a="1"/>
  <c r="V66" i="24" s="1"/>
  <c r="T66" i="24" a="1"/>
  <c r="T66" i="24" s="1"/>
  <c r="T68" i="24" s="1"/>
  <c r="R66" i="24" a="1"/>
  <c r="R66" i="24" s="1"/>
  <c r="R68" i="24" s="1"/>
  <c r="P66" i="24"/>
  <c r="P68" i="24" s="1"/>
  <c r="P66" i="24" a="1"/>
  <c r="N66" i="24" a="1"/>
  <c r="N66" i="24" s="1"/>
  <c r="N68" i="24" s="1"/>
  <c r="L66" i="24" a="1"/>
  <c r="L66" i="24" s="1"/>
  <c r="J66" i="24"/>
  <c r="J66" i="24" a="1"/>
  <c r="H66" i="24" a="1"/>
  <c r="H66" i="24" s="1"/>
  <c r="F66" i="24" a="1"/>
  <c r="F66" i="24" s="1"/>
  <c r="D66" i="24" a="1"/>
  <c r="D66" i="24" s="1"/>
  <c r="B66" i="24" a="1"/>
  <c r="B66" i="24" s="1"/>
  <c r="AV65" i="24"/>
  <c r="AV69" i="24" s="1"/>
  <c r="AV65" i="24" a="1"/>
  <c r="AT65" i="24" a="1"/>
  <c r="AT65" i="24" s="1"/>
  <c r="AT69" i="24" s="1"/>
  <c r="AR65" i="24" a="1"/>
  <c r="AR65" i="24" s="1"/>
  <c r="AR69" i="24" s="1"/>
  <c r="AP65" i="24" a="1"/>
  <c r="AP65" i="24" s="1"/>
  <c r="AP69" i="24" s="1"/>
  <c r="AN65" i="24" a="1"/>
  <c r="AN65" i="24" s="1"/>
  <c r="AN69" i="24" s="1"/>
  <c r="AL65" i="24" a="1"/>
  <c r="AL65" i="24" s="1"/>
  <c r="AL69" i="24" s="1"/>
  <c r="AJ65" i="24" a="1"/>
  <c r="AJ65" i="24" s="1"/>
  <c r="AH65" i="24" a="1"/>
  <c r="AH65" i="24" s="1"/>
  <c r="AF65" i="24"/>
  <c r="AF69" i="24" s="1"/>
  <c r="AF65" i="24" a="1"/>
  <c r="AD65" i="24" a="1"/>
  <c r="AD65" i="24" s="1"/>
  <c r="AD69" i="24" s="1"/>
  <c r="AB65" i="24" a="1"/>
  <c r="AB65" i="24" s="1"/>
  <c r="AB69" i="24" s="1"/>
  <c r="Z65" i="24" a="1"/>
  <c r="Z65" i="24" s="1"/>
  <c r="Z69" i="24" s="1"/>
  <c r="X65" i="24" a="1"/>
  <c r="X65" i="24" s="1"/>
  <c r="X69" i="24" s="1"/>
  <c r="V65" i="24" a="1"/>
  <c r="V65" i="24" s="1"/>
  <c r="V69" i="24" s="1"/>
  <c r="T65" i="24" a="1"/>
  <c r="T65" i="24" s="1"/>
  <c r="T69" i="24" s="1"/>
  <c r="R65" i="24" a="1"/>
  <c r="R65" i="24" s="1"/>
  <c r="R69" i="24" s="1"/>
  <c r="P65" i="24"/>
  <c r="P69" i="24" s="1"/>
  <c r="P65" i="24" a="1"/>
  <c r="N65" i="24" a="1"/>
  <c r="N65" i="24" s="1"/>
  <c r="N69" i="24" s="1"/>
  <c r="L65" i="24" a="1"/>
  <c r="L65" i="24" s="1"/>
  <c r="L69" i="24" s="1"/>
  <c r="J65" i="24"/>
  <c r="J69" i="24" s="1"/>
  <c r="J65" i="24" a="1"/>
  <c r="H65" i="24" a="1"/>
  <c r="H65" i="24" s="1"/>
  <c r="H69" i="24" s="1"/>
  <c r="F65" i="24" a="1"/>
  <c r="F65" i="24" s="1"/>
  <c r="F69" i="24" s="1"/>
  <c r="D65" i="24" a="1"/>
  <c r="D65"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c r="AT58" i="24" a="1"/>
  <c r="AR58" i="24"/>
  <c r="AR58" i="24" a="1"/>
  <c r="AP58" i="24" a="1"/>
  <c r="AP58" i="24" s="1"/>
  <c r="AN58" i="24" a="1"/>
  <c r="AN58" i="24" s="1"/>
  <c r="AL58" i="24" a="1"/>
  <c r="AL58" i="24" s="1"/>
  <c r="AJ58" i="24" a="1"/>
  <c r="AJ58" i="24" s="1"/>
  <c r="AH58" i="24" a="1"/>
  <c r="AH58" i="24" s="1"/>
  <c r="AF58" i="24"/>
  <c r="AF58" i="24" a="1"/>
  <c r="AD58" i="24"/>
  <c r="AD58" i="24" a="1"/>
  <c r="AB58" i="24"/>
  <c r="AB58" i="24" a="1"/>
  <c r="Z58" i="24" a="1"/>
  <c r="Z58" i="24" s="1"/>
  <c r="X58" i="24" a="1"/>
  <c r="X58" i="24" s="1"/>
  <c r="V58" i="24" a="1"/>
  <c r="V58" i="24" s="1"/>
  <c r="T58" i="24" a="1"/>
  <c r="T58" i="24" s="1"/>
  <c r="R58" i="24" a="1"/>
  <c r="R58" i="24" s="1"/>
  <c r="P58" i="24"/>
  <c r="P58" i="24" a="1"/>
  <c r="N58" i="24"/>
  <c r="N58" i="24" a="1"/>
  <c r="L58" i="24"/>
  <c r="L58" i="24" a="1"/>
  <c r="J58" i="24" a="1"/>
  <c r="J58" i="24" s="1"/>
  <c r="H58" i="24" a="1"/>
  <c r="H58" i="24" s="1"/>
  <c r="F58" i="24" a="1"/>
  <c r="F58" i="24" s="1"/>
  <c r="D58" i="24" a="1"/>
  <c r="D58" i="24" s="1"/>
  <c r="B58" i="24" a="1"/>
  <c r="B58" i="24" s="1"/>
  <c r="AV57" i="24"/>
  <c r="AV57" i="24" a="1"/>
  <c r="AT57" i="24"/>
  <c r="AT57" i="24" a="1"/>
  <c r="AR57" i="24"/>
  <c r="AR57" i="24" a="1"/>
  <c r="AP57" i="24" a="1"/>
  <c r="AP57" i="24" s="1"/>
  <c r="AN57" i="24" a="1"/>
  <c r="AN57" i="24" s="1"/>
  <c r="AL57" i="24" a="1"/>
  <c r="AL57" i="24" s="1"/>
  <c r="AJ57" i="24" a="1"/>
  <c r="AJ57" i="24" s="1"/>
  <c r="AH57" i="24" a="1"/>
  <c r="AH57" i="24" s="1"/>
  <c r="AF57" i="24"/>
  <c r="AF57" i="24" a="1"/>
  <c r="AD57" i="24"/>
  <c r="AD57" i="24" a="1"/>
  <c r="AB57" i="24"/>
  <c r="AB57" i="24" a="1"/>
  <c r="Z57" i="24" a="1"/>
  <c r="Z57" i="24" s="1"/>
  <c r="X57" i="24" a="1"/>
  <c r="X57" i="24" s="1"/>
  <c r="V57" i="24" a="1"/>
  <c r="V57" i="24" s="1"/>
  <c r="T57" i="24" a="1"/>
  <c r="T57" i="24" s="1"/>
  <c r="R57" i="24" a="1"/>
  <c r="R57" i="24" s="1"/>
  <c r="P57" i="24"/>
  <c r="P57" i="24" a="1"/>
  <c r="N57" i="24"/>
  <c r="N57" i="24" a="1"/>
  <c r="L57" i="24"/>
  <c r="L57" i="24" a="1"/>
  <c r="J57" i="24" a="1"/>
  <c r="J57" i="24" s="1"/>
  <c r="H57" i="24" a="1"/>
  <c r="H57" i="24" s="1"/>
  <c r="F57" i="24" a="1"/>
  <c r="F57" i="24" s="1"/>
  <c r="D57" i="24" a="1"/>
  <c r="D57" i="24" s="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T80" i="24" s="1"/>
  <c r="AR55" i="24"/>
  <c r="AP55" i="24"/>
  <c r="AN55" i="24"/>
  <c r="AL55" i="24"/>
  <c r="AJ55" i="24"/>
  <c r="AJ80" i="24" s="1"/>
  <c r="AH55" i="24"/>
  <c r="AF55" i="24"/>
  <c r="AF80" i="24" s="1"/>
  <c r="AD55" i="24"/>
  <c r="AB55" i="24"/>
  <c r="AB80" i="24" s="1"/>
  <c r="Z55" i="24"/>
  <c r="Z80" i="24" s="1"/>
  <c r="X55" i="24"/>
  <c r="X80" i="24" s="1"/>
  <c r="V55" i="24"/>
  <c r="T55" i="24"/>
  <c r="R55" i="24"/>
  <c r="P55" i="24"/>
  <c r="N55" i="24"/>
  <c r="N80" i="24" s="1"/>
  <c r="L55" i="24"/>
  <c r="J55" i="24"/>
  <c r="H55" i="24"/>
  <c r="F55" i="24"/>
  <c r="D55" i="24"/>
  <c r="D80" i="24" s="1"/>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N81" i="24" s="1"/>
  <c r="AL51" i="24"/>
  <c r="AJ51" i="24"/>
  <c r="AH51" i="24"/>
  <c r="AF51" i="24"/>
  <c r="AD51" i="24"/>
  <c r="AD81" i="24" s="1"/>
  <c r="AB51" i="24"/>
  <c r="Z51" i="24"/>
  <c r="X51" i="24"/>
  <c r="V51" i="24"/>
  <c r="T51" i="24"/>
  <c r="R51" i="24"/>
  <c r="R81" i="24" s="1"/>
  <c r="P51" i="24"/>
  <c r="P81" i="24" s="1"/>
  <c r="N51" i="24"/>
  <c r="N81" i="24" s="1"/>
  <c r="L51" i="24"/>
  <c r="L81" i="24" s="1"/>
  <c r="J51" i="24"/>
  <c r="J81" i="24" s="1"/>
  <c r="H51" i="24"/>
  <c r="H81" i="24" s="1"/>
  <c r="F51" i="24"/>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c r="AT43" i="24" a="1"/>
  <c r="AR43" i="24" a="1"/>
  <c r="AR43" i="24" s="1"/>
  <c r="AP43" i="24" a="1"/>
  <c r="AP43" i="24" s="1"/>
  <c r="AN43" i="24" a="1"/>
  <c r="AN43" i="24" s="1"/>
  <c r="AL43" i="24" a="1"/>
  <c r="AL43" i="24" s="1"/>
  <c r="AJ43" i="24" a="1"/>
  <c r="AJ43" i="24" s="1"/>
  <c r="AH43" i="24" a="1"/>
  <c r="AH43" i="24" s="1"/>
  <c r="AF43" i="24"/>
  <c r="AF43" i="24" a="1"/>
  <c r="AD43" i="24"/>
  <c r="AD43" i="24" a="1"/>
  <c r="AB43" i="24" a="1"/>
  <c r="AB43" i="24" s="1"/>
  <c r="Z43" i="24" a="1"/>
  <c r="Z43" i="24" s="1"/>
  <c r="X43" i="24" a="1"/>
  <c r="X43" i="24" s="1"/>
  <c r="V43" i="24" a="1"/>
  <c r="V43" i="24" s="1"/>
  <c r="T43" i="24" a="1"/>
  <c r="T43" i="24" s="1"/>
  <c r="R43" i="24" a="1"/>
  <c r="R43" i="24" s="1"/>
  <c r="P43" i="24"/>
  <c r="P43" i="24" a="1"/>
  <c r="N43" i="24"/>
  <c r="N43" i="24" a="1"/>
  <c r="L43" i="24" a="1"/>
  <c r="L43" i="24" s="1"/>
  <c r="J43" i="24" a="1"/>
  <c r="J43" i="24" s="1"/>
  <c r="H43" i="24" a="1"/>
  <c r="H43" i="24" s="1"/>
  <c r="F43" i="24" a="1"/>
  <c r="F43" i="24" s="1"/>
  <c r="D43" i="24" a="1"/>
  <c r="D43" i="24" s="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T81" i="18"/>
  <c r="AR81" i="18"/>
  <c r="AP81" i="18"/>
  <c r="AJ81" i="18"/>
  <c r="AH81" i="18"/>
  <c r="AD81" i="18"/>
  <c r="X81" i="18"/>
  <c r="N81" i="18"/>
  <c r="L81" i="18"/>
  <c r="J81" i="18"/>
  <c r="D81" i="18"/>
  <c r="B81" i="18"/>
  <c r="AT80" i="18"/>
  <c r="AN80" i="18"/>
  <c r="AD80" i="18"/>
  <c r="AB80" i="18"/>
  <c r="Z80" i="18"/>
  <c r="T80" i="18"/>
  <c r="R80" i="18"/>
  <c r="N80" i="18"/>
  <c r="H80" i="18"/>
  <c r="AV79" i="18" a="1"/>
  <c r="AV79" i="18" s="1"/>
  <c r="AT79" i="18" a="1"/>
  <c r="AT79" i="18" s="1"/>
  <c r="AR79" i="18"/>
  <c r="AR79" i="18" a="1"/>
  <c r="AP79" i="18" a="1"/>
  <c r="AP79" i="18" s="1"/>
  <c r="AN79" i="18" a="1"/>
  <c r="AN79" i="18" s="1"/>
  <c r="AL79" i="18" a="1"/>
  <c r="AL79" i="18" s="1"/>
  <c r="AJ79" i="18"/>
  <c r="AJ79" i="18" a="1"/>
  <c r="AH79" i="18" a="1"/>
  <c r="AH79" i="18" s="1"/>
  <c r="AF79" i="18" a="1"/>
  <c r="AF79" i="18" s="1"/>
  <c r="AD79" i="18" a="1"/>
  <c r="AD79" i="18" s="1"/>
  <c r="AB79" i="18"/>
  <c r="AB79" i="18" a="1"/>
  <c r="Z79" i="18" a="1"/>
  <c r="Z79" i="18" s="1"/>
  <c r="X79" i="18" a="1"/>
  <c r="X79" i="18" s="1"/>
  <c r="V79" i="18" a="1"/>
  <c r="V79" i="18" s="1"/>
  <c r="T79" i="18"/>
  <c r="T79" i="18" a="1"/>
  <c r="R79" i="18" a="1"/>
  <c r="R79" i="18" s="1"/>
  <c r="P79" i="18" a="1"/>
  <c r="P79" i="18" s="1"/>
  <c r="N79" i="18" a="1"/>
  <c r="N79" i="18" s="1"/>
  <c r="L79" i="18"/>
  <c r="L79" i="18" a="1"/>
  <c r="J79" i="18" a="1"/>
  <c r="J79" i="18" s="1"/>
  <c r="H79" i="18" a="1"/>
  <c r="H79" i="18" s="1"/>
  <c r="F79" i="18" a="1"/>
  <c r="F79" i="18" s="1"/>
  <c r="D79" i="18"/>
  <c r="D79" i="18" a="1"/>
  <c r="B79" i="18" a="1"/>
  <c r="B79" i="18" s="1"/>
  <c r="AV78" i="18" a="1"/>
  <c r="AV78" i="18" s="1"/>
  <c r="AT78" i="18" a="1"/>
  <c r="AT78" i="18" s="1"/>
  <c r="AR78" i="18"/>
  <c r="AR78" i="18" a="1"/>
  <c r="AP78" i="18" a="1"/>
  <c r="AP78" i="18" s="1"/>
  <c r="AN78" i="18" a="1"/>
  <c r="AN78" i="18" s="1"/>
  <c r="AL78" i="18" a="1"/>
  <c r="AL78" i="18" s="1"/>
  <c r="AJ78" i="18"/>
  <c r="AJ78" i="18" a="1"/>
  <c r="AH78" i="18" a="1"/>
  <c r="AH78" i="18" s="1"/>
  <c r="AF78" i="18" a="1"/>
  <c r="AF78" i="18" s="1"/>
  <c r="AD78" i="18" a="1"/>
  <c r="AD78" i="18" s="1"/>
  <c r="AB78" i="18"/>
  <c r="AB78" i="18" a="1"/>
  <c r="Z78" i="18" a="1"/>
  <c r="Z78" i="18" s="1"/>
  <c r="X78" i="18" a="1"/>
  <c r="X78" i="18" s="1"/>
  <c r="V78" i="18" a="1"/>
  <c r="V78" i="18" s="1"/>
  <c r="T78" i="18"/>
  <c r="T78" i="18" a="1"/>
  <c r="R78" i="18" a="1"/>
  <c r="R78" i="18" s="1"/>
  <c r="P78" i="18" a="1"/>
  <c r="P78" i="18" s="1"/>
  <c r="N78" i="18" a="1"/>
  <c r="N78" i="18" s="1"/>
  <c r="L78" i="18"/>
  <c r="L78" i="18" a="1"/>
  <c r="J78" i="18" a="1"/>
  <c r="J78" i="18" s="1"/>
  <c r="H78" i="18" a="1"/>
  <c r="H78" i="18" s="1"/>
  <c r="F78" i="18" a="1"/>
  <c r="F78" i="18" s="1"/>
  <c r="D78" i="18"/>
  <c r="D78" i="18" a="1"/>
  <c r="B78" i="18" a="1"/>
  <c r="B78" i="18" s="1"/>
  <c r="AV77" i="18" a="1"/>
  <c r="AV77" i="18" s="1"/>
  <c r="AT77" i="18" a="1"/>
  <c r="AT77" i="18" s="1"/>
  <c r="AR77" i="18"/>
  <c r="AR77" i="18" a="1"/>
  <c r="AP77" i="18" a="1"/>
  <c r="AP77" i="18" s="1"/>
  <c r="AN77" i="18" a="1"/>
  <c r="AN77" i="18" s="1"/>
  <c r="AL77" i="18" a="1"/>
  <c r="AL77" i="18" s="1"/>
  <c r="AJ77" i="18"/>
  <c r="AJ77" i="18" a="1"/>
  <c r="AH77" i="18" a="1"/>
  <c r="AH77" i="18" s="1"/>
  <c r="AF77" i="18" a="1"/>
  <c r="AF77" i="18" s="1"/>
  <c r="AD77" i="18" a="1"/>
  <c r="AD77" i="18" s="1"/>
  <c r="AB77" i="18"/>
  <c r="AB77" i="18" a="1"/>
  <c r="Z77" i="18" a="1"/>
  <c r="Z77" i="18" s="1"/>
  <c r="X77" i="18" a="1"/>
  <c r="X77" i="18" s="1"/>
  <c r="V77" i="18" a="1"/>
  <c r="V77" i="18" s="1"/>
  <c r="T77" i="18"/>
  <c r="T77" i="18" a="1"/>
  <c r="R77" i="18" a="1"/>
  <c r="R77" i="18" s="1"/>
  <c r="P77" i="18" a="1"/>
  <c r="P77" i="18" s="1"/>
  <c r="N77" i="18" a="1"/>
  <c r="N77" i="18" s="1"/>
  <c r="L77" i="18"/>
  <c r="L77" i="18" a="1"/>
  <c r="J77" i="18" a="1"/>
  <c r="J77" i="18" s="1"/>
  <c r="H77" i="18" a="1"/>
  <c r="H77" i="18" s="1"/>
  <c r="F77" i="18" a="1"/>
  <c r="F77" i="18" s="1"/>
  <c r="D77" i="18"/>
  <c r="D77" i="18" a="1"/>
  <c r="B77" i="18" a="1"/>
  <c r="B77" i="18" s="1"/>
  <c r="AV76" i="18" a="1"/>
  <c r="AV76" i="18" s="1"/>
  <c r="AT76" i="18" a="1"/>
  <c r="AT76" i="18" s="1"/>
  <c r="AR76" i="18"/>
  <c r="AR76" i="18" a="1"/>
  <c r="AP76" i="18" a="1"/>
  <c r="AP76" i="18" s="1"/>
  <c r="AN76" i="18" a="1"/>
  <c r="AN76" i="18" s="1"/>
  <c r="AL76" i="18" a="1"/>
  <c r="AL76" i="18" s="1"/>
  <c r="AJ76" i="18"/>
  <c r="AJ76" i="18" a="1"/>
  <c r="AH76" i="18" a="1"/>
  <c r="AH76" i="18" s="1"/>
  <c r="AF76" i="18" a="1"/>
  <c r="AF76" i="18" s="1"/>
  <c r="AD76" i="18" a="1"/>
  <c r="AD76" i="18" s="1"/>
  <c r="AB76" i="18"/>
  <c r="AB76" i="18" a="1"/>
  <c r="Z76" i="18" a="1"/>
  <c r="Z76" i="18" s="1"/>
  <c r="X76" i="18" a="1"/>
  <c r="X76" i="18" s="1"/>
  <c r="V76" i="18" a="1"/>
  <c r="V76" i="18" s="1"/>
  <c r="T76" i="18"/>
  <c r="T76" i="18" a="1"/>
  <c r="R76" i="18" a="1"/>
  <c r="R76" i="18" s="1"/>
  <c r="P76" i="18" a="1"/>
  <c r="P76" i="18" s="1"/>
  <c r="N76" i="18" a="1"/>
  <c r="N76" i="18" s="1"/>
  <c r="L76" i="18"/>
  <c r="L76" i="18" a="1"/>
  <c r="J76" i="18" a="1"/>
  <c r="J76" i="18" s="1"/>
  <c r="H76" i="18" a="1"/>
  <c r="H76" i="18" s="1"/>
  <c r="F76" i="18" a="1"/>
  <c r="F76" i="18" s="1"/>
  <c r="D76" i="18"/>
  <c r="D76" i="18" a="1"/>
  <c r="B76" i="18" a="1"/>
  <c r="B76" i="18" s="1"/>
  <c r="AV75" i="18" a="1"/>
  <c r="AV75" i="18" s="1"/>
  <c r="AT75" i="18" a="1"/>
  <c r="AT75" i="18" s="1"/>
  <c r="AR75" i="18"/>
  <c r="AR75" i="18" a="1"/>
  <c r="AP75" i="18" a="1"/>
  <c r="AP75" i="18" s="1"/>
  <c r="AN75" i="18" a="1"/>
  <c r="AN75" i="18" s="1"/>
  <c r="AL75" i="18" a="1"/>
  <c r="AL75" i="18" s="1"/>
  <c r="AJ75" i="18"/>
  <c r="AJ75" i="18" a="1"/>
  <c r="AH75" i="18" a="1"/>
  <c r="AH75" i="18" s="1"/>
  <c r="AF75" i="18" a="1"/>
  <c r="AF75" i="18" s="1"/>
  <c r="AD75" i="18" a="1"/>
  <c r="AD75" i="18" s="1"/>
  <c r="AB75" i="18"/>
  <c r="AB75" i="18" a="1"/>
  <c r="Z75" i="18" a="1"/>
  <c r="Z75" i="18" s="1"/>
  <c r="X75" i="18" a="1"/>
  <c r="X75" i="18" s="1"/>
  <c r="V75" i="18" a="1"/>
  <c r="V75" i="18" s="1"/>
  <c r="T75" i="18"/>
  <c r="T75" i="18" a="1"/>
  <c r="R75" i="18" a="1"/>
  <c r="R75" i="18" s="1"/>
  <c r="P75" i="18" a="1"/>
  <c r="P75" i="18" s="1"/>
  <c r="N75" i="18" a="1"/>
  <c r="N75" i="18" s="1"/>
  <c r="L75" i="18"/>
  <c r="L75" i="18" a="1"/>
  <c r="J75" i="18" a="1"/>
  <c r="J75" i="18" s="1"/>
  <c r="H75" i="18" a="1"/>
  <c r="H75" i="18" s="1"/>
  <c r="F75" i="18" a="1"/>
  <c r="F75" i="18" s="1"/>
  <c r="D75" i="18"/>
  <c r="D75" i="18" a="1"/>
  <c r="B75" i="18" a="1"/>
  <c r="B75" i="18" s="1"/>
  <c r="AV74" i="18" a="1"/>
  <c r="AV74" i="18" s="1"/>
  <c r="AT74" i="18" a="1"/>
  <c r="AT74" i="18" s="1"/>
  <c r="AR74" i="18"/>
  <c r="AR74" i="18" a="1"/>
  <c r="AP74" i="18" a="1"/>
  <c r="AP74" i="18" s="1"/>
  <c r="AN74" i="18" a="1"/>
  <c r="AN74" i="18" s="1"/>
  <c r="AL74" i="18" a="1"/>
  <c r="AL74" i="18" s="1"/>
  <c r="AJ74" i="18"/>
  <c r="AJ74" i="18" a="1"/>
  <c r="AH74" i="18" a="1"/>
  <c r="AH74" i="18" s="1"/>
  <c r="AF74" i="18" a="1"/>
  <c r="AF74" i="18" s="1"/>
  <c r="AD74" i="18" a="1"/>
  <c r="AD74" i="18" s="1"/>
  <c r="AB74" i="18"/>
  <c r="AB74" i="18" a="1"/>
  <c r="Z74" i="18" a="1"/>
  <c r="Z74" i="18" s="1"/>
  <c r="X74" i="18" a="1"/>
  <c r="X74" i="18" s="1"/>
  <c r="V74" i="18" a="1"/>
  <c r="V74" i="18" s="1"/>
  <c r="T74" i="18"/>
  <c r="T74" i="18" a="1"/>
  <c r="R74" i="18" a="1"/>
  <c r="R74" i="18" s="1"/>
  <c r="P74" i="18" a="1"/>
  <c r="P74" i="18" s="1"/>
  <c r="N74" i="18" a="1"/>
  <c r="N74" i="18" s="1"/>
  <c r="L74" i="18"/>
  <c r="L74" i="18" a="1"/>
  <c r="J74" i="18" a="1"/>
  <c r="J74" i="18" s="1"/>
  <c r="H74" i="18" a="1"/>
  <c r="H74" i="18" s="1"/>
  <c r="F74" i="18" a="1"/>
  <c r="F74" i="18" s="1"/>
  <c r="D74" i="18"/>
  <c r="D74" i="18" a="1"/>
  <c r="B74" i="18" a="1"/>
  <c r="B74" i="18" s="1"/>
  <c r="AV73" i="18" a="1"/>
  <c r="AV73" i="18" s="1"/>
  <c r="AT73" i="18" a="1"/>
  <c r="AT73" i="18" s="1"/>
  <c r="AR73" i="18"/>
  <c r="AR73" i="18" a="1"/>
  <c r="AP73" i="18" a="1"/>
  <c r="AP73" i="18" s="1"/>
  <c r="AN73" i="18" a="1"/>
  <c r="AN73" i="18" s="1"/>
  <c r="AL73" i="18" a="1"/>
  <c r="AL73" i="18" s="1"/>
  <c r="AJ73" i="18"/>
  <c r="AJ73" i="18" a="1"/>
  <c r="AH73" i="18" a="1"/>
  <c r="AH73" i="18" s="1"/>
  <c r="AF73" i="18" a="1"/>
  <c r="AF73" i="18" s="1"/>
  <c r="AD73" i="18" a="1"/>
  <c r="AD73" i="18" s="1"/>
  <c r="AB73" i="18"/>
  <c r="AB73" i="18" a="1"/>
  <c r="Z73" i="18" a="1"/>
  <c r="Z73" i="18" s="1"/>
  <c r="X73" i="18" a="1"/>
  <c r="X73" i="18" s="1"/>
  <c r="V73" i="18" a="1"/>
  <c r="V73" i="18" s="1"/>
  <c r="T73" i="18"/>
  <c r="T73" i="18" a="1"/>
  <c r="R73" i="18" a="1"/>
  <c r="R73" i="18" s="1"/>
  <c r="P73" i="18" a="1"/>
  <c r="P73" i="18" s="1"/>
  <c r="N73" i="18" a="1"/>
  <c r="N73" i="18" s="1"/>
  <c r="L73" i="18"/>
  <c r="L73" i="18" a="1"/>
  <c r="J73" i="18" a="1"/>
  <c r="J73" i="18" s="1"/>
  <c r="H73" i="18" a="1"/>
  <c r="H73" i="18" s="1"/>
  <c r="F73" i="18" a="1"/>
  <c r="F73" i="18" s="1"/>
  <c r="D73" i="18"/>
  <c r="D73" i="18" a="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B69" i="18"/>
  <c r="T69" i="18"/>
  <c r="AR68" i="18"/>
  <c r="AJ68" i="18"/>
  <c r="T68" i="18"/>
  <c r="L68" i="18"/>
  <c r="D68" i="18"/>
  <c r="AV67" i="18" a="1"/>
  <c r="AV67" i="18" s="1"/>
  <c r="AT67" i="18" a="1"/>
  <c r="AT67" i="18" s="1"/>
  <c r="AR67" i="18"/>
  <c r="AR67" i="18" a="1"/>
  <c r="AP67" i="18" a="1"/>
  <c r="AP67" i="18" s="1"/>
  <c r="AN67" i="18" a="1"/>
  <c r="AN67" i="18" s="1"/>
  <c r="AL67" i="18" a="1"/>
  <c r="AL67" i="18" s="1"/>
  <c r="AJ67" i="18"/>
  <c r="AJ67" i="18" a="1"/>
  <c r="AH67" i="18" a="1"/>
  <c r="AH67" i="18" s="1"/>
  <c r="AF67" i="18" a="1"/>
  <c r="AF67" i="18" s="1"/>
  <c r="AD67" i="18" a="1"/>
  <c r="AD67" i="18" s="1"/>
  <c r="AB67" i="18"/>
  <c r="AB67" i="18" a="1"/>
  <c r="Z67" i="18" a="1"/>
  <c r="Z67" i="18" s="1"/>
  <c r="X67" i="18" a="1"/>
  <c r="X67" i="18" s="1"/>
  <c r="V67" i="18" a="1"/>
  <c r="V67" i="18" s="1"/>
  <c r="T67" i="18"/>
  <c r="T67" i="18" a="1"/>
  <c r="R67" i="18" a="1"/>
  <c r="R67" i="18" s="1"/>
  <c r="P67" i="18" a="1"/>
  <c r="P67" i="18" s="1"/>
  <c r="N67" i="18" a="1"/>
  <c r="N67" i="18" s="1"/>
  <c r="L67" i="18"/>
  <c r="L67" i="18" a="1"/>
  <c r="J67" i="18" a="1"/>
  <c r="J67" i="18" s="1"/>
  <c r="H67" i="18" a="1"/>
  <c r="H67" i="18" s="1"/>
  <c r="F67" i="18" a="1"/>
  <c r="F67" i="18" s="1"/>
  <c r="D67" i="18"/>
  <c r="D67" i="18" a="1"/>
  <c r="B67" i="18" a="1"/>
  <c r="B67" i="18" s="1"/>
  <c r="AV66" i="18" a="1"/>
  <c r="AV66" i="18" s="1"/>
  <c r="AV68" i="18" s="1"/>
  <c r="AT66" i="18" a="1"/>
  <c r="AT66" i="18" s="1"/>
  <c r="AR66" i="18"/>
  <c r="AR66" i="18" a="1"/>
  <c r="AP66" i="18" a="1"/>
  <c r="AP66" i="18" s="1"/>
  <c r="AN66" i="18" a="1"/>
  <c r="AN66" i="18" s="1"/>
  <c r="AN68" i="18" s="1"/>
  <c r="AL66" i="18" a="1"/>
  <c r="AL66" i="18" s="1"/>
  <c r="AL68" i="18" s="1"/>
  <c r="AJ66" i="18"/>
  <c r="AJ66" i="18" a="1"/>
  <c r="AH66" i="18" a="1"/>
  <c r="AH66" i="18" s="1"/>
  <c r="AF66" i="18" a="1"/>
  <c r="AF66" i="18" s="1"/>
  <c r="AF68" i="18" s="1"/>
  <c r="AD66" i="18" a="1"/>
  <c r="AD66" i="18" s="1"/>
  <c r="AD68" i="18" s="1"/>
  <c r="AB66" i="18"/>
  <c r="AB68" i="18" s="1"/>
  <c r="AB66" i="18" a="1"/>
  <c r="Z66" i="18" a="1"/>
  <c r="Z66" i="18" s="1"/>
  <c r="X66" i="18" a="1"/>
  <c r="X66" i="18" s="1"/>
  <c r="X68" i="18" s="1"/>
  <c r="V66" i="18" a="1"/>
  <c r="V66" i="18" s="1"/>
  <c r="V68" i="18" s="1"/>
  <c r="T66" i="18"/>
  <c r="T66" i="18" a="1"/>
  <c r="R66" i="18" a="1"/>
  <c r="R66" i="18" s="1"/>
  <c r="P66" i="18" a="1"/>
  <c r="P66" i="18" s="1"/>
  <c r="N66" i="18" a="1"/>
  <c r="N66" i="18" s="1"/>
  <c r="N68" i="18" s="1"/>
  <c r="L66" i="18"/>
  <c r="L66" i="18" a="1"/>
  <c r="J66" i="18" a="1"/>
  <c r="J66" i="18" s="1"/>
  <c r="H66" i="18" a="1"/>
  <c r="H66" i="18" s="1"/>
  <c r="F66" i="18" a="1"/>
  <c r="F66" i="18" s="1"/>
  <c r="F68" i="18" s="1"/>
  <c r="D66" i="18"/>
  <c r="D66" i="18" a="1"/>
  <c r="B66" i="18" a="1"/>
  <c r="B66" i="18" s="1"/>
  <c r="AV65" i="18" a="1"/>
  <c r="AV65" i="18" s="1"/>
  <c r="AV69" i="18" s="1"/>
  <c r="AT65" i="18" a="1"/>
  <c r="AT65" i="18" s="1"/>
  <c r="AT69" i="18" s="1"/>
  <c r="AR65" i="18"/>
  <c r="AR69" i="18" s="1"/>
  <c r="AR65" i="18" a="1"/>
  <c r="AP65" i="18" a="1"/>
  <c r="AP65" i="18" s="1"/>
  <c r="AP69" i="18" s="1"/>
  <c r="AN65" i="18" a="1"/>
  <c r="AN65" i="18" s="1"/>
  <c r="AN69" i="18" s="1"/>
  <c r="AL65" i="18" a="1"/>
  <c r="AL65" i="18" s="1"/>
  <c r="AL69" i="18" s="1"/>
  <c r="AJ65" i="18"/>
  <c r="AJ69" i="18" s="1"/>
  <c r="AJ65" i="18" a="1"/>
  <c r="AH65" i="18" a="1"/>
  <c r="AH65" i="18" s="1"/>
  <c r="AH69" i="18" s="1"/>
  <c r="AF65" i="18" a="1"/>
  <c r="AF65" i="18" s="1"/>
  <c r="AF69" i="18" s="1"/>
  <c r="AD65" i="18" a="1"/>
  <c r="AD65" i="18" s="1"/>
  <c r="AD69" i="18" s="1"/>
  <c r="AB65" i="18"/>
  <c r="AB65" i="18" a="1"/>
  <c r="Z65" i="18" a="1"/>
  <c r="Z65" i="18" s="1"/>
  <c r="Z69" i="18" s="1"/>
  <c r="X65" i="18" a="1"/>
  <c r="X65" i="18" s="1"/>
  <c r="X69" i="18" s="1"/>
  <c r="V65" i="18" a="1"/>
  <c r="V65" i="18" s="1"/>
  <c r="V69" i="18" s="1"/>
  <c r="T65" i="18"/>
  <c r="T65" i="18" a="1"/>
  <c r="R65" i="18" a="1"/>
  <c r="R65" i="18" s="1"/>
  <c r="R69" i="18" s="1"/>
  <c r="P65" i="18" a="1"/>
  <c r="P65" i="18" s="1"/>
  <c r="P69" i="18" s="1"/>
  <c r="N65" i="18" a="1"/>
  <c r="N65" i="18" s="1"/>
  <c r="N69" i="18" s="1"/>
  <c r="L65" i="18"/>
  <c r="L69" i="18" s="1"/>
  <c r="L65" i="18" a="1"/>
  <c r="J65" i="18" a="1"/>
  <c r="J65" i="18" s="1"/>
  <c r="J69" i="18" s="1"/>
  <c r="H65" i="18" a="1"/>
  <c r="H65" i="18" s="1"/>
  <c r="H69" i="18" s="1"/>
  <c r="F65" i="18" a="1"/>
  <c r="F65" i="18" s="1"/>
  <c r="F69" i="18" s="1"/>
  <c r="D65" i="18"/>
  <c r="D69" i="18" s="1"/>
  <c r="D65" i="18" a="1"/>
  <c r="B65" i="18"/>
  <c r="B69" i="18" s="1"/>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a="1"/>
  <c r="AT58" i="18" s="1"/>
  <c r="AR58" i="18"/>
  <c r="AR58" i="18" a="1"/>
  <c r="AP58" i="18" a="1"/>
  <c r="AP58" i="18" s="1"/>
  <c r="AN58" i="18"/>
  <c r="AN58" i="18" a="1"/>
  <c r="AL58" i="18"/>
  <c r="AL58" i="18" a="1"/>
  <c r="AJ58" i="18" a="1"/>
  <c r="AJ58" i="18" s="1"/>
  <c r="AH58" i="18" a="1"/>
  <c r="AH58" i="18" s="1"/>
  <c r="AF58" i="18"/>
  <c r="AF58" i="18" a="1"/>
  <c r="AD58" i="18" a="1"/>
  <c r="AD58" i="18" s="1"/>
  <c r="AB58" i="18"/>
  <c r="AB58" i="18" a="1"/>
  <c r="Z58" i="18" a="1"/>
  <c r="Z58" i="18" s="1"/>
  <c r="X58" i="18"/>
  <c r="X58" i="18" a="1"/>
  <c r="V58" i="18"/>
  <c r="V58" i="18" a="1"/>
  <c r="T58" i="18" a="1"/>
  <c r="T58" i="18" s="1"/>
  <c r="R58" i="18" a="1"/>
  <c r="R58" i="18" s="1"/>
  <c r="P58" i="18"/>
  <c r="P58" i="18" a="1"/>
  <c r="N58" i="18" a="1"/>
  <c r="N58" i="18" s="1"/>
  <c r="L58" i="18"/>
  <c r="L58" i="18" a="1"/>
  <c r="J58" i="18" a="1"/>
  <c r="J58" i="18" s="1"/>
  <c r="H58" i="18"/>
  <c r="H58" i="18" a="1"/>
  <c r="F58" i="18"/>
  <c r="F58" i="18" a="1"/>
  <c r="D58" i="18" a="1"/>
  <c r="D58" i="18" s="1"/>
  <c r="B58" i="18" a="1"/>
  <c r="B58" i="18" s="1"/>
  <c r="AV57" i="18"/>
  <c r="AV57" i="18" a="1"/>
  <c r="AT57" i="18" a="1"/>
  <c r="AT57" i="18" s="1"/>
  <c r="AR57" i="18"/>
  <c r="AR57" i="18" a="1"/>
  <c r="AP57" i="18" a="1"/>
  <c r="AP57" i="18" s="1"/>
  <c r="AN57" i="18"/>
  <c r="AN57" i="18" a="1"/>
  <c r="AL57" i="18"/>
  <c r="AL57" i="18" a="1"/>
  <c r="AJ57" i="18" a="1"/>
  <c r="AJ57" i="18" s="1"/>
  <c r="AH57" i="18" a="1"/>
  <c r="AH57" i="18" s="1"/>
  <c r="AF57" i="18"/>
  <c r="AF57" i="18" a="1"/>
  <c r="AD57" i="18" a="1"/>
  <c r="AD57" i="18" s="1"/>
  <c r="AB57" i="18"/>
  <c r="AB57" i="18" a="1"/>
  <c r="Z57" i="18" a="1"/>
  <c r="Z57" i="18" s="1"/>
  <c r="X57" i="18"/>
  <c r="X57" i="18" a="1"/>
  <c r="V57" i="18"/>
  <c r="V57" i="18" a="1"/>
  <c r="T57" i="18" a="1"/>
  <c r="T57" i="18" s="1"/>
  <c r="R57" i="18" a="1"/>
  <c r="R57" i="18" s="1"/>
  <c r="P57" i="18"/>
  <c r="P57" i="18" a="1"/>
  <c r="N57" i="18" a="1"/>
  <c r="N57" i="18" s="1"/>
  <c r="L57" i="18"/>
  <c r="L57" i="18" a="1"/>
  <c r="J57" i="18" a="1"/>
  <c r="J57" i="18" s="1"/>
  <c r="H57" i="18"/>
  <c r="H57" i="18" a="1"/>
  <c r="F57" i="18"/>
  <c r="F57" i="18" a="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V80" i="18" s="1"/>
  <c r="AT55" i="18"/>
  <c r="AR55" i="18"/>
  <c r="AR80" i="18" s="1"/>
  <c r="AP55" i="18"/>
  <c r="AP80" i="18" s="1"/>
  <c r="AN55" i="18"/>
  <c r="AL55" i="18"/>
  <c r="AL80" i="18" s="1"/>
  <c r="AJ55" i="18"/>
  <c r="AJ80" i="18" s="1"/>
  <c r="AH55" i="18"/>
  <c r="AH80" i="18" s="1"/>
  <c r="AF55" i="18"/>
  <c r="AF80" i="18" s="1"/>
  <c r="AD55" i="18"/>
  <c r="AB55" i="18"/>
  <c r="Z55" i="18"/>
  <c r="X55" i="18"/>
  <c r="X80" i="18" s="1"/>
  <c r="V55" i="18"/>
  <c r="V80" i="18" s="1"/>
  <c r="T55" i="18"/>
  <c r="R55" i="18"/>
  <c r="P55" i="18"/>
  <c r="P80" i="18" s="1"/>
  <c r="N55" i="18"/>
  <c r="L55" i="18"/>
  <c r="L80" i="18" s="1"/>
  <c r="J55" i="18"/>
  <c r="J80" i="18" s="1"/>
  <c r="H55" i="18"/>
  <c r="F55" i="18"/>
  <c r="F80" i="18" s="1"/>
  <c r="D55" i="18"/>
  <c r="D80" i="18" s="1"/>
  <c r="B55" i="18"/>
  <c r="B80" i="18" s="1"/>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R51" i="18"/>
  <c r="AP51" i="18"/>
  <c r="AN51" i="18"/>
  <c r="AN81" i="18" s="1"/>
  <c r="AL51" i="18"/>
  <c r="AL81" i="18" s="1"/>
  <c r="AJ51" i="18"/>
  <c r="AH51" i="18"/>
  <c r="AF51" i="18"/>
  <c r="AF81" i="18" s="1"/>
  <c r="AD51" i="18"/>
  <c r="AB51" i="18"/>
  <c r="AB81" i="18" s="1"/>
  <c r="Z51" i="18"/>
  <c r="Z81" i="18" s="1"/>
  <c r="X51" i="18"/>
  <c r="V51" i="18"/>
  <c r="V81" i="18" s="1"/>
  <c r="T51" i="18"/>
  <c r="T81" i="18" s="1"/>
  <c r="R51" i="18"/>
  <c r="R81" i="18" s="1"/>
  <c r="P51" i="18"/>
  <c r="P81" i="18" s="1"/>
  <c r="N51" i="18"/>
  <c r="L51" i="18"/>
  <c r="J51" i="18"/>
  <c r="H51" i="18"/>
  <c r="H81" i="18" s="1"/>
  <c r="F51" i="18"/>
  <c r="F81" i="18" s="1"/>
  <c r="D51" i="18"/>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c r="AR43" i="18" a="1"/>
  <c r="AP43" i="18" a="1"/>
  <c r="AP43" i="18" s="1"/>
  <c r="AN43" i="18"/>
  <c r="AN43" i="18" a="1"/>
  <c r="AL43" i="18"/>
  <c r="AL43" i="18" a="1"/>
  <c r="AJ43" i="18" a="1"/>
  <c r="AJ43" i="18" s="1"/>
  <c r="AH43" i="18" a="1"/>
  <c r="AH43" i="18" s="1"/>
  <c r="AF43" i="18"/>
  <c r="AF43" i="18" a="1"/>
  <c r="AD43" i="18" a="1"/>
  <c r="AD43" i="18" s="1"/>
  <c r="AB43" i="18"/>
  <c r="AB43" i="18" a="1"/>
  <c r="Z43" i="18" a="1"/>
  <c r="Z43" i="18" s="1"/>
  <c r="X43" i="18"/>
  <c r="X43" i="18" a="1"/>
  <c r="V43" i="18"/>
  <c r="V43" i="18" a="1"/>
  <c r="T43" i="18" a="1"/>
  <c r="T43" i="18" s="1"/>
  <c r="R43" i="18" a="1"/>
  <c r="R43" i="18" s="1"/>
  <c r="P43" i="18"/>
  <c r="P43" i="18" a="1"/>
  <c r="N43" i="18" a="1"/>
  <c r="N43" i="18" s="1"/>
  <c r="L43" i="18"/>
  <c r="L43" i="18" a="1"/>
  <c r="J43" i="18" a="1"/>
  <c r="J43" i="18" s="1"/>
  <c r="H43" i="18"/>
  <c r="H43" i="18" a="1"/>
  <c r="F43" i="18"/>
  <c r="F43" i="18" a="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B43" i="22"/>
  <c r="AN81" i="22"/>
  <c r="AJ81" i="22"/>
  <c r="AH81" i="22"/>
  <c r="AF81" i="22"/>
  <c r="AB81" i="22"/>
  <c r="Z81" i="22"/>
  <c r="X81" i="22"/>
  <c r="H81" i="22"/>
  <c r="D81" i="22"/>
  <c r="B81" i="22"/>
  <c r="AV80" i="22"/>
  <c r="AR80" i="22"/>
  <c r="AP80" i="22"/>
  <c r="AN80" i="22"/>
  <c r="AL80" i="22"/>
  <c r="AJ80" i="22"/>
  <c r="X80" i="22"/>
  <c r="T80" i="22"/>
  <c r="R80" i="22"/>
  <c r="P80" i="22"/>
  <c r="L80" i="22"/>
  <c r="J80" i="22"/>
  <c r="H80" i="22"/>
  <c r="F80" i="22"/>
  <c r="AV79" i="22" a="1"/>
  <c r="AV79" i="22" s="1"/>
  <c r="AT79" i="22" a="1"/>
  <c r="AT79" i="22" s="1"/>
  <c r="AR79" i="22"/>
  <c r="AR79" i="22" a="1"/>
  <c r="AP79" i="22" a="1"/>
  <c r="AP79" i="22" s="1"/>
  <c r="AN79" i="22"/>
  <c r="AN79" i="22" a="1"/>
  <c r="AL79" i="22" a="1"/>
  <c r="AL79" i="22" s="1"/>
  <c r="AJ79" i="22" a="1"/>
  <c r="AJ79" i="22" s="1"/>
  <c r="AH79" i="22" a="1"/>
  <c r="AH79" i="22" s="1"/>
  <c r="AF79" i="22" a="1"/>
  <c r="AF79" i="22" s="1"/>
  <c r="AD79" i="22" a="1"/>
  <c r="AD79" i="22" s="1"/>
  <c r="AB79" i="22"/>
  <c r="AB79" i="22" a="1"/>
  <c r="Z79" i="22" a="1"/>
  <c r="Z79" i="22" s="1"/>
  <c r="X79" i="22"/>
  <c r="X79" i="22" a="1"/>
  <c r="V79" i="22" a="1"/>
  <c r="V79" i="22" s="1"/>
  <c r="T79" i="22" a="1"/>
  <c r="T79" i="22" s="1"/>
  <c r="R79" i="22"/>
  <c r="R79" i="22" a="1"/>
  <c r="P79" i="22" a="1"/>
  <c r="P79" i="22" s="1"/>
  <c r="N79" i="22" a="1"/>
  <c r="N79" i="22" s="1"/>
  <c r="L79" i="22"/>
  <c r="L79" i="22" a="1"/>
  <c r="J79" i="22" a="1"/>
  <c r="J79" i="22" s="1"/>
  <c r="H79" i="22"/>
  <c r="H79" i="22" a="1"/>
  <c r="F79" i="22" a="1"/>
  <c r="F79" i="22" s="1"/>
  <c r="D79" i="22" a="1"/>
  <c r="D79" i="22" s="1"/>
  <c r="B79" i="22" a="1"/>
  <c r="B79" i="22" s="1"/>
  <c r="AV78" i="22" a="1"/>
  <c r="AV78" i="22" s="1"/>
  <c r="AT78" i="22" a="1"/>
  <c r="AT78" i="22" s="1"/>
  <c r="AR78" i="22"/>
  <c r="AR78" i="22" a="1"/>
  <c r="AP78" i="22" a="1"/>
  <c r="AP78" i="22" s="1"/>
  <c r="AN78" i="22"/>
  <c r="AN78" i="22" a="1"/>
  <c r="AL78" i="22" a="1"/>
  <c r="AL78" i="22" s="1"/>
  <c r="AJ78" i="22" a="1"/>
  <c r="AJ78" i="22" s="1"/>
  <c r="AH78" i="22" a="1"/>
  <c r="AH78" i="22" s="1"/>
  <c r="AF78" i="22" a="1"/>
  <c r="AF78" i="22" s="1"/>
  <c r="AD78" i="22" a="1"/>
  <c r="AD78" i="22" s="1"/>
  <c r="AB78" i="22"/>
  <c r="AB78" i="22" a="1"/>
  <c r="Z78" i="22" a="1"/>
  <c r="Z78" i="22" s="1"/>
  <c r="X78" i="22"/>
  <c r="X78" i="22" a="1"/>
  <c r="V78" i="22" a="1"/>
  <c r="V78" i="22" s="1"/>
  <c r="T78" i="22" a="1"/>
  <c r="T78" i="22" s="1"/>
  <c r="R78" i="22" a="1"/>
  <c r="R78" i="22" s="1"/>
  <c r="P78" i="22" a="1"/>
  <c r="P78" i="22" s="1"/>
  <c r="N78" i="22" a="1"/>
  <c r="N78" i="22" s="1"/>
  <c r="L78" i="22"/>
  <c r="L78" i="22" a="1"/>
  <c r="J78" i="22" a="1"/>
  <c r="J78" i="22" s="1"/>
  <c r="H78" i="22"/>
  <c r="H78" i="22" a="1"/>
  <c r="F78" i="22" a="1"/>
  <c r="F78" i="22" s="1"/>
  <c r="D78" i="22" a="1"/>
  <c r="D78" i="22" s="1"/>
  <c r="B78" i="22" a="1"/>
  <c r="B78" i="22" s="1"/>
  <c r="AV77" i="22" a="1"/>
  <c r="AV77" i="22" s="1"/>
  <c r="AT77" i="22" a="1"/>
  <c r="AT77" i="22" s="1"/>
  <c r="AR77" i="22"/>
  <c r="AR77" i="22" a="1"/>
  <c r="AP77" i="22" a="1"/>
  <c r="AP77" i="22" s="1"/>
  <c r="AN77" i="22"/>
  <c r="AN77" i="22" a="1"/>
  <c r="AL77" i="22" a="1"/>
  <c r="AL77" i="22" s="1"/>
  <c r="AJ77" i="22" a="1"/>
  <c r="AJ77" i="22" s="1"/>
  <c r="AH77" i="22" a="1"/>
  <c r="AH77" i="22" s="1"/>
  <c r="AF77" i="22" a="1"/>
  <c r="AF77" i="22" s="1"/>
  <c r="AD77" i="22" a="1"/>
  <c r="AD77" i="22" s="1"/>
  <c r="AB77" i="22"/>
  <c r="AB77" i="22" a="1"/>
  <c r="Z77" i="22" a="1"/>
  <c r="Z77" i="22" s="1"/>
  <c r="X77" i="22"/>
  <c r="X77" i="22" a="1"/>
  <c r="V77" i="22" a="1"/>
  <c r="V77" i="22" s="1"/>
  <c r="T77" i="22" a="1"/>
  <c r="T77" i="22" s="1"/>
  <c r="R77" i="22" a="1"/>
  <c r="R77" i="22" s="1"/>
  <c r="P77" i="22" a="1"/>
  <c r="P77" i="22" s="1"/>
  <c r="N77" i="22" a="1"/>
  <c r="N77" i="22" s="1"/>
  <c r="L77" i="22"/>
  <c r="L77" i="22" a="1"/>
  <c r="J77" i="22" a="1"/>
  <c r="J77" i="22" s="1"/>
  <c r="H77" i="22"/>
  <c r="H77" i="22" a="1"/>
  <c r="F77" i="22" a="1"/>
  <c r="F77" i="22" s="1"/>
  <c r="D77" i="22" a="1"/>
  <c r="D77" i="22" s="1"/>
  <c r="B77" i="22" a="1"/>
  <c r="B77" i="22" s="1"/>
  <c r="AV76" i="22" a="1"/>
  <c r="AV76" i="22" s="1"/>
  <c r="AT76" i="22" a="1"/>
  <c r="AT76" i="22" s="1"/>
  <c r="AR76" i="22"/>
  <c r="AR76" i="22" a="1"/>
  <c r="AP76" i="22" a="1"/>
  <c r="AP76" i="22" s="1"/>
  <c r="AN76" i="22"/>
  <c r="AN76" i="22" a="1"/>
  <c r="AL76" i="22" a="1"/>
  <c r="AL76" i="22" s="1"/>
  <c r="AJ76" i="22" a="1"/>
  <c r="AJ76" i="22" s="1"/>
  <c r="AH76" i="22" a="1"/>
  <c r="AH76" i="22" s="1"/>
  <c r="AF76" i="22" a="1"/>
  <c r="AF76" i="22" s="1"/>
  <c r="AD76" i="22" a="1"/>
  <c r="AD76" i="22" s="1"/>
  <c r="AB76" i="22"/>
  <c r="AB76" i="22" a="1"/>
  <c r="Z76" i="22" a="1"/>
  <c r="Z76" i="22" s="1"/>
  <c r="X76" i="22"/>
  <c r="X76" i="22" a="1"/>
  <c r="V76" i="22" a="1"/>
  <c r="V76" i="22" s="1"/>
  <c r="T76" i="22" a="1"/>
  <c r="T76" i="22" s="1"/>
  <c r="R76" i="22" a="1"/>
  <c r="R76" i="22" s="1"/>
  <c r="P76" i="22" a="1"/>
  <c r="P76" i="22" s="1"/>
  <c r="N76" i="22" a="1"/>
  <c r="N76" i="22" s="1"/>
  <c r="L76" i="22"/>
  <c r="L76" i="22" a="1"/>
  <c r="J76" i="22" a="1"/>
  <c r="J76" i="22" s="1"/>
  <c r="H76" i="22"/>
  <c r="H76" i="22" a="1"/>
  <c r="F76" i="22" a="1"/>
  <c r="F76" i="22" s="1"/>
  <c r="D76" i="22" a="1"/>
  <c r="D76" i="22" s="1"/>
  <c r="B76" i="22" a="1"/>
  <c r="B76" i="22" s="1"/>
  <c r="AV75" i="22" a="1"/>
  <c r="AV75" i="22" s="1"/>
  <c r="AT75" i="22" a="1"/>
  <c r="AT75" i="22" s="1"/>
  <c r="AR75" i="22"/>
  <c r="AR75" i="22" a="1"/>
  <c r="AP75" i="22" a="1"/>
  <c r="AP75" i="22" s="1"/>
  <c r="AN75" i="22"/>
  <c r="AN75" i="22" a="1"/>
  <c r="AL75" i="22" a="1"/>
  <c r="AL75" i="22" s="1"/>
  <c r="AJ75" i="22" a="1"/>
  <c r="AJ75" i="22" s="1"/>
  <c r="AH75" i="22"/>
  <c r="AH75" i="22" a="1"/>
  <c r="AF75" i="22" a="1"/>
  <c r="AF75" i="22" s="1"/>
  <c r="AD75" i="22" a="1"/>
  <c r="AD75" i="22" s="1"/>
  <c r="AB75" i="22"/>
  <c r="AB75" i="22" a="1"/>
  <c r="Z75" i="22" a="1"/>
  <c r="Z75" i="22" s="1"/>
  <c r="X75" i="22"/>
  <c r="X75" i="22" a="1"/>
  <c r="V75" i="22" a="1"/>
  <c r="V75" i="22" s="1"/>
  <c r="T75" i="22" a="1"/>
  <c r="T75" i="22" s="1"/>
  <c r="R75" i="22"/>
  <c r="R75" i="22" a="1"/>
  <c r="P75" i="22" a="1"/>
  <c r="P75" i="22" s="1"/>
  <c r="N75" i="22" a="1"/>
  <c r="N75" i="22" s="1"/>
  <c r="L75" i="22"/>
  <c r="L75" i="22" a="1"/>
  <c r="J75" i="22" a="1"/>
  <c r="J75" i="22" s="1"/>
  <c r="H75" i="22"/>
  <c r="H75" i="22" a="1"/>
  <c r="F75" i="22" a="1"/>
  <c r="F75" i="22" s="1"/>
  <c r="D75" i="22" a="1"/>
  <c r="D75" i="22" s="1"/>
  <c r="B75" i="22"/>
  <c r="B75" i="22" a="1"/>
  <c r="AV74" i="22" a="1"/>
  <c r="AV74" i="22" s="1"/>
  <c r="AT74" i="22" a="1"/>
  <c r="AT74" i="22" s="1"/>
  <c r="AR74" i="22"/>
  <c r="AR74" i="22" a="1"/>
  <c r="AP74" i="22" a="1"/>
  <c r="AP74" i="22" s="1"/>
  <c r="AN74" i="22"/>
  <c r="AN74" i="22" a="1"/>
  <c r="AL74" i="22" a="1"/>
  <c r="AL74" i="22" s="1"/>
  <c r="AJ74" i="22" a="1"/>
  <c r="AJ74" i="22" s="1"/>
  <c r="AH74" i="22" a="1"/>
  <c r="AH74" i="22" s="1"/>
  <c r="AF74" i="22" a="1"/>
  <c r="AF74" i="22" s="1"/>
  <c r="AD74" i="22" a="1"/>
  <c r="AD74" i="22" s="1"/>
  <c r="AB74" i="22"/>
  <c r="AB74" i="22" a="1"/>
  <c r="Z74" i="22" a="1"/>
  <c r="Z74" i="22" s="1"/>
  <c r="X74" i="22"/>
  <c r="X74" i="22" a="1"/>
  <c r="V74" i="22" a="1"/>
  <c r="V74" i="22" s="1"/>
  <c r="T74" i="22" a="1"/>
  <c r="T74" i="22" s="1"/>
  <c r="R74" i="22" a="1"/>
  <c r="R74" i="22" s="1"/>
  <c r="P74" i="22" a="1"/>
  <c r="P74" i="22" s="1"/>
  <c r="N74" i="22" a="1"/>
  <c r="N74" i="22" s="1"/>
  <c r="L74" i="22"/>
  <c r="L74" i="22" a="1"/>
  <c r="J74" i="22" a="1"/>
  <c r="J74" i="22" s="1"/>
  <c r="H74" i="22"/>
  <c r="H74" i="22" a="1"/>
  <c r="F74" i="22" a="1"/>
  <c r="F74" i="22" s="1"/>
  <c r="D74" i="22" a="1"/>
  <c r="D74" i="22" s="1"/>
  <c r="B74" i="22"/>
  <c r="B74" i="22" a="1"/>
  <c r="AV73" i="22" a="1"/>
  <c r="AV73" i="22" s="1"/>
  <c r="AT73" i="22" a="1"/>
  <c r="AT73" i="22" s="1"/>
  <c r="AR73" i="22"/>
  <c r="AR73" i="22" a="1"/>
  <c r="AP73" i="22" a="1"/>
  <c r="AP73" i="22" s="1"/>
  <c r="AN73" i="22"/>
  <c r="AN73" i="22" a="1"/>
  <c r="AL73" i="22" a="1"/>
  <c r="AL73" i="22" s="1"/>
  <c r="AJ73" i="22" a="1"/>
  <c r="AJ73" i="22" s="1"/>
  <c r="AH73" i="22" a="1"/>
  <c r="AH73" i="22" s="1"/>
  <c r="AF73" i="22" a="1"/>
  <c r="AF73" i="22" s="1"/>
  <c r="AD73" i="22" a="1"/>
  <c r="AD73" i="22" s="1"/>
  <c r="AB73" i="22"/>
  <c r="AB73" i="22" a="1"/>
  <c r="Z73" i="22" a="1"/>
  <c r="Z73" i="22" s="1"/>
  <c r="X73" i="22"/>
  <c r="X73" i="22" a="1"/>
  <c r="V73" i="22" a="1"/>
  <c r="V73" i="22" s="1"/>
  <c r="T73" i="22" a="1"/>
  <c r="T73" i="22" s="1"/>
  <c r="R73" i="22"/>
  <c r="R73" i="22" a="1"/>
  <c r="P73" i="22" a="1"/>
  <c r="P73" i="22" s="1"/>
  <c r="N73" i="22" a="1"/>
  <c r="N73" i="22" s="1"/>
  <c r="L73" i="22"/>
  <c r="L73" i="22" a="1"/>
  <c r="J73" i="22" a="1"/>
  <c r="J73" i="22" s="1"/>
  <c r="H73" i="22"/>
  <c r="H73" i="22" a="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J69" i="22"/>
  <c r="AH69" i="22"/>
  <c r="T69" i="22"/>
  <c r="F69" i="22"/>
  <c r="D69" i="22"/>
  <c r="B69" i="22"/>
  <c r="AJ68" i="22"/>
  <c r="V68" i="22"/>
  <c r="T68" i="22"/>
  <c r="D68" i="22"/>
  <c r="AV67" i="22"/>
  <c r="AV67" i="22" a="1"/>
  <c r="AT67" i="22" a="1"/>
  <c r="AT67" i="22" s="1"/>
  <c r="AR67" i="22" a="1"/>
  <c r="AR67" i="22" s="1"/>
  <c r="AP67" i="22" a="1"/>
  <c r="AP67" i="22" s="1"/>
  <c r="AN67" i="22" a="1"/>
  <c r="AN67" i="22" s="1"/>
  <c r="AL67" i="22" a="1"/>
  <c r="AL67" i="22" s="1"/>
  <c r="AJ67" i="22"/>
  <c r="AJ67" i="22" a="1"/>
  <c r="AH67" i="22" a="1"/>
  <c r="AH67" i="22" s="1"/>
  <c r="AF67" i="22"/>
  <c r="AF67" i="22" a="1"/>
  <c r="AD67" i="22" a="1"/>
  <c r="AD67" i="22" s="1"/>
  <c r="AB67" i="22" a="1"/>
  <c r="AB67" i="22" s="1"/>
  <c r="Z67" i="22" a="1"/>
  <c r="Z67" i="22" s="1"/>
  <c r="X67" i="22" a="1"/>
  <c r="X67" i="22" s="1"/>
  <c r="V67" i="22" a="1"/>
  <c r="V67" i="22" s="1"/>
  <c r="T67" i="22"/>
  <c r="T67" i="22" a="1"/>
  <c r="R67" i="22" a="1"/>
  <c r="R67" i="22" s="1"/>
  <c r="P67" i="22"/>
  <c r="P67" i="22" a="1"/>
  <c r="N67" i="22" a="1"/>
  <c r="N67" i="22" s="1"/>
  <c r="L67" i="22" a="1"/>
  <c r="L67" i="22" s="1"/>
  <c r="J67" i="22" a="1"/>
  <c r="J67" i="22" s="1"/>
  <c r="H67" i="22" a="1"/>
  <c r="H67" i="22" s="1"/>
  <c r="F67" i="22" a="1"/>
  <c r="F67" i="22" s="1"/>
  <c r="D67" i="22"/>
  <c r="D67" i="22" a="1"/>
  <c r="B67" i="22" a="1"/>
  <c r="B67" i="22" s="1"/>
  <c r="AV66" i="22"/>
  <c r="AV68" i="22" s="1"/>
  <c r="AV66" i="22" a="1"/>
  <c r="AT66" i="22" a="1"/>
  <c r="AT66" i="22" s="1"/>
  <c r="AR66" i="22" a="1"/>
  <c r="AR66" i="22" s="1"/>
  <c r="AR68" i="22" s="1"/>
  <c r="AP66" i="22" a="1"/>
  <c r="AP66" i="22" s="1"/>
  <c r="AN66" i="22" a="1"/>
  <c r="AN66" i="22" s="1"/>
  <c r="AN68" i="22" s="1"/>
  <c r="AL66" i="22" a="1"/>
  <c r="AL66" i="22" s="1"/>
  <c r="AL68" i="22" s="1"/>
  <c r="AJ66" i="22"/>
  <c r="AJ66" i="22" a="1"/>
  <c r="AH66" i="22" a="1"/>
  <c r="AH66" i="22" s="1"/>
  <c r="AH68" i="22" s="1"/>
  <c r="AF66" i="22"/>
  <c r="AF68" i="22" s="1"/>
  <c r="AF66" i="22" a="1"/>
  <c r="AD66" i="22" a="1"/>
  <c r="AD66" i="22" s="1"/>
  <c r="AB66" i="22" a="1"/>
  <c r="AB66" i="22" s="1"/>
  <c r="AB68" i="22" s="1"/>
  <c r="Z66" i="22" a="1"/>
  <c r="Z66" i="22" s="1"/>
  <c r="Z68" i="22" s="1"/>
  <c r="X66" i="22" a="1"/>
  <c r="X66" i="22" s="1"/>
  <c r="V66" i="22" a="1"/>
  <c r="V66" i="22" s="1"/>
  <c r="T66" i="22"/>
  <c r="T66" i="22" a="1"/>
  <c r="R66" i="22" a="1"/>
  <c r="R66" i="22" s="1"/>
  <c r="R68" i="22" s="1"/>
  <c r="P66" i="22"/>
  <c r="P68" i="22" s="1"/>
  <c r="P66" i="22" a="1"/>
  <c r="N66" i="22" a="1"/>
  <c r="N66" i="22" s="1"/>
  <c r="L66" i="22" a="1"/>
  <c r="L66" i="22" s="1"/>
  <c r="L68" i="22" s="1"/>
  <c r="J66" i="22"/>
  <c r="J66" i="22" a="1"/>
  <c r="H66" i="22" a="1"/>
  <c r="H66" i="22" s="1"/>
  <c r="F66" i="22" a="1"/>
  <c r="F66" i="22" s="1"/>
  <c r="D66" i="22"/>
  <c r="D66" i="22" a="1"/>
  <c r="B66" i="22" a="1"/>
  <c r="B66" i="22" s="1"/>
  <c r="B68" i="22" s="1"/>
  <c r="AV65" i="22"/>
  <c r="AV69" i="22" s="1"/>
  <c r="AV65" i="22" a="1"/>
  <c r="AT65" i="22" a="1"/>
  <c r="AT65" i="22" s="1"/>
  <c r="AT69" i="22" s="1"/>
  <c r="AR65" i="22" a="1"/>
  <c r="AR65" i="22" s="1"/>
  <c r="AR69" i="22" s="1"/>
  <c r="AP65" i="22"/>
  <c r="AP69" i="22" s="1"/>
  <c r="AP65" i="22" a="1"/>
  <c r="AN65" i="22" a="1"/>
  <c r="AN65" i="22" s="1"/>
  <c r="AN69" i="22" s="1"/>
  <c r="AL65" i="22" a="1"/>
  <c r="AL65" i="22" s="1"/>
  <c r="AL69" i="22" s="1"/>
  <c r="AJ65" i="22"/>
  <c r="AJ65" i="22" a="1"/>
  <c r="AH65" i="22" a="1"/>
  <c r="AH65" i="22" s="1"/>
  <c r="AF65" i="22"/>
  <c r="AF69" i="22" s="1"/>
  <c r="AF65" i="22" a="1"/>
  <c r="AD65" i="22" a="1"/>
  <c r="AD65" i="22" s="1"/>
  <c r="AD69" i="22" s="1"/>
  <c r="AB65" i="22" a="1"/>
  <c r="AB65" i="22" s="1"/>
  <c r="AB69" i="22" s="1"/>
  <c r="Z65" i="22" a="1"/>
  <c r="Z65" i="22" s="1"/>
  <c r="Z69" i="22" s="1"/>
  <c r="X65" i="22" a="1"/>
  <c r="X65" i="22" s="1"/>
  <c r="X69" i="22" s="1"/>
  <c r="V65" i="22" a="1"/>
  <c r="V65" i="22" s="1"/>
  <c r="V69" i="22" s="1"/>
  <c r="T65" i="22"/>
  <c r="T65" i="22" a="1"/>
  <c r="R65" i="22" a="1"/>
  <c r="R65" i="22" s="1"/>
  <c r="R69" i="22" s="1"/>
  <c r="P65" i="22"/>
  <c r="P69" i="22" s="1"/>
  <c r="P65" i="22" a="1"/>
  <c r="N65" i="22" a="1"/>
  <c r="N65" i="22" s="1"/>
  <c r="N69" i="22" s="1"/>
  <c r="L65" i="22" a="1"/>
  <c r="L65" i="22" s="1"/>
  <c r="L69" i="22" s="1"/>
  <c r="J65" i="22" a="1"/>
  <c r="J65" i="22" s="1"/>
  <c r="J69" i="22" s="1"/>
  <c r="H65" i="22" a="1"/>
  <c r="H65" i="22" s="1"/>
  <c r="H69" i="22" s="1"/>
  <c r="F65" i="22" a="1"/>
  <c r="F65" i="22" s="1"/>
  <c r="D65" i="22"/>
  <c r="D65" i="22" a="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c r="AT58" i="22" a="1"/>
  <c r="AR58" i="22" a="1"/>
  <c r="AR58" i="22" s="1"/>
  <c r="AP58" i="22" a="1"/>
  <c r="AP58" i="22" s="1"/>
  <c r="AN58" i="22" a="1"/>
  <c r="AN58" i="22" s="1"/>
  <c r="AL58" i="22" a="1"/>
  <c r="AL58" i="22" s="1"/>
  <c r="AJ58" i="22" a="1"/>
  <c r="AJ58" i="22" s="1"/>
  <c r="AH58" i="22"/>
  <c r="AH58" i="22" a="1"/>
  <c r="AF58" i="22"/>
  <c r="AF58" i="22" a="1"/>
  <c r="AD58" i="22"/>
  <c r="AD58" i="22" a="1"/>
  <c r="AB58" i="22" a="1"/>
  <c r="AB58" i="22" s="1"/>
  <c r="Z58" i="22" a="1"/>
  <c r="Z58" i="22" s="1"/>
  <c r="X58" i="22" a="1"/>
  <c r="X58" i="22" s="1"/>
  <c r="V58" i="22" a="1"/>
  <c r="V58" i="22" s="1"/>
  <c r="T58" i="22" a="1"/>
  <c r="T58" i="22" s="1"/>
  <c r="R58" i="22" a="1"/>
  <c r="R58" i="22" s="1"/>
  <c r="P58" i="22"/>
  <c r="P58" i="22" a="1"/>
  <c r="N58" i="22"/>
  <c r="N58" i="22" a="1"/>
  <c r="L58" i="22" a="1"/>
  <c r="L58" i="22" s="1"/>
  <c r="J58" i="22" a="1"/>
  <c r="J58" i="22" s="1"/>
  <c r="H58" i="22" a="1"/>
  <c r="H58" i="22" s="1"/>
  <c r="F58" i="22" a="1"/>
  <c r="F58" i="22" s="1"/>
  <c r="D58" i="22" a="1"/>
  <c r="D58" i="22" s="1"/>
  <c r="B58" i="22" a="1"/>
  <c r="B58" i="22" s="1"/>
  <c r="AV57" i="22"/>
  <c r="AV57" i="22" a="1"/>
  <c r="AT57" i="22"/>
  <c r="AT57" i="22" a="1"/>
  <c r="AR57" i="22" a="1"/>
  <c r="AR57" i="22" s="1"/>
  <c r="AP57" i="22" a="1"/>
  <c r="AP57" i="22" s="1"/>
  <c r="AN57" i="22" a="1"/>
  <c r="AN57" i="22" s="1"/>
  <c r="AL57" i="22" a="1"/>
  <c r="AL57" i="22" s="1"/>
  <c r="AJ57" i="22" a="1"/>
  <c r="AJ57" i="22" s="1"/>
  <c r="AH57" i="22" a="1"/>
  <c r="AH57" i="22" s="1"/>
  <c r="AF57" i="22"/>
  <c r="AF57" i="22" a="1"/>
  <c r="AD57" i="22"/>
  <c r="AD57" i="22" a="1"/>
  <c r="AB57" i="22" a="1"/>
  <c r="AB57" i="22" s="1"/>
  <c r="Z57" i="22" a="1"/>
  <c r="Z57" i="22" s="1"/>
  <c r="X57" i="22" a="1"/>
  <c r="X57" i="22" s="1"/>
  <c r="V57" i="22" a="1"/>
  <c r="V57" i="22" s="1"/>
  <c r="T57" i="22" a="1"/>
  <c r="T57" i="22" s="1"/>
  <c r="R57" i="22" a="1"/>
  <c r="R57" i="22" s="1"/>
  <c r="P57" i="22"/>
  <c r="P57" i="22" a="1"/>
  <c r="N57" i="22" a="1"/>
  <c r="N57" i="22" s="1"/>
  <c r="L57" i="22" a="1"/>
  <c r="L57" i="22" s="1"/>
  <c r="J57" i="22" a="1"/>
  <c r="J57" i="22" s="1"/>
  <c r="H57" i="22" a="1"/>
  <c r="H57" i="22" s="1"/>
  <c r="F57" i="22" a="1"/>
  <c r="F57" i="22" s="1"/>
  <c r="D57" i="22" a="1"/>
  <c r="D57" i="22" s="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T80" i="22" s="1"/>
  <c r="AR55" i="22"/>
  <c r="AP55" i="22"/>
  <c r="AN55" i="22"/>
  <c r="AL55" i="22"/>
  <c r="AJ55" i="22"/>
  <c r="AH55" i="22"/>
  <c r="AH80" i="22" s="1"/>
  <c r="AF55" i="22"/>
  <c r="AF80" i="22" s="1"/>
  <c r="AD55" i="22"/>
  <c r="AD80" i="22" s="1"/>
  <c r="AB55" i="22"/>
  <c r="AB80" i="22" s="1"/>
  <c r="Z55" i="22"/>
  <c r="Z80" i="22" s="1"/>
  <c r="X55" i="22"/>
  <c r="V55" i="22"/>
  <c r="V80" i="22" s="1"/>
  <c r="T55" i="22"/>
  <c r="R55" i="22"/>
  <c r="P55" i="22"/>
  <c r="N55" i="22"/>
  <c r="N80" i="22" s="1"/>
  <c r="L55" i="22"/>
  <c r="J55" i="22"/>
  <c r="H55" i="22"/>
  <c r="F55" i="22"/>
  <c r="D55" i="22"/>
  <c r="D80" i="22" s="1"/>
  <c r="B55" i="22"/>
  <c r="B80" i="22" s="1"/>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P81" i="22" s="1"/>
  <c r="AN51" i="22"/>
  <c r="AL51" i="22"/>
  <c r="AL81" i="22" s="1"/>
  <c r="AJ51" i="22"/>
  <c r="AH51" i="22"/>
  <c r="AF51" i="22"/>
  <c r="AD51" i="22"/>
  <c r="AD81" i="22" s="1"/>
  <c r="AB51" i="22"/>
  <c r="Z51" i="22"/>
  <c r="X51" i="22"/>
  <c r="V51" i="22"/>
  <c r="V81" i="22" s="1"/>
  <c r="T51" i="22"/>
  <c r="T81" i="22" s="1"/>
  <c r="R51" i="22"/>
  <c r="R81" i="22" s="1"/>
  <c r="P51" i="22"/>
  <c r="P81" i="22" s="1"/>
  <c r="N51" i="22"/>
  <c r="N81" i="22" s="1"/>
  <c r="L51" i="22"/>
  <c r="L81" i="22" s="1"/>
  <c r="J51" i="22"/>
  <c r="J81" i="22" s="1"/>
  <c r="H51" i="22"/>
  <c r="F51" i="22"/>
  <c r="F81" i="22" s="1"/>
  <c r="D51" i="22"/>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a="1"/>
  <c r="AP43" i="22" s="1"/>
  <c r="AN43" i="22" a="1"/>
  <c r="AN43" i="22" s="1"/>
  <c r="AL43" i="22" a="1"/>
  <c r="AL43" i="22" s="1"/>
  <c r="AJ43" i="22" a="1"/>
  <c r="AJ43" i="22" s="1"/>
  <c r="AH43" i="22" a="1"/>
  <c r="AH43" i="22" s="1"/>
  <c r="AF43" i="22"/>
  <c r="AF43" i="22" a="1"/>
  <c r="AD43" i="22" a="1"/>
  <c r="AD43" i="22" s="1"/>
  <c r="AB43" i="22" a="1"/>
  <c r="AB43" i="22" s="1"/>
  <c r="Z43" i="22" a="1"/>
  <c r="Z43" i="22" s="1"/>
  <c r="X43" i="22" a="1"/>
  <c r="X43" i="22" s="1"/>
  <c r="V43" i="22" a="1"/>
  <c r="V43" i="22" s="1"/>
  <c r="T43" i="22" a="1"/>
  <c r="T43" i="22" s="1"/>
  <c r="R43" i="22" a="1"/>
  <c r="R43" i="22" s="1"/>
  <c r="P43" i="22"/>
  <c r="P43" i="22" a="1"/>
  <c r="N43" i="22" a="1"/>
  <c r="N43" i="22" s="1"/>
  <c r="L43" i="22" a="1"/>
  <c r="L43" i="22" s="1"/>
  <c r="J43" i="22" a="1"/>
  <c r="J43" i="22" s="1"/>
  <c r="H43" i="22" a="1"/>
  <c r="H43" i="22" s="1"/>
  <c r="F43" i="22" a="1"/>
  <c r="F43" i="22" s="1"/>
  <c r="D43" i="22" a="1"/>
  <c r="D43" i="22" s="1"/>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J81" i="12"/>
  <c r="AH81" i="12"/>
  <c r="AF81" i="12"/>
  <c r="AB81" i="12"/>
  <c r="Z81" i="12"/>
  <c r="R81" i="12"/>
  <c r="D81" i="12"/>
  <c r="B81" i="12"/>
  <c r="AV80" i="12"/>
  <c r="AR80" i="12"/>
  <c r="AP80" i="12"/>
  <c r="AH80" i="12"/>
  <c r="Z80" i="12"/>
  <c r="T80" i="12"/>
  <c r="R80" i="12"/>
  <c r="P80" i="12"/>
  <c r="L80" i="12"/>
  <c r="J80" i="12"/>
  <c r="B80" i="12"/>
  <c r="AV79" i="12" a="1"/>
  <c r="AV79" i="12" s="1"/>
  <c r="AT79" i="12" a="1"/>
  <c r="AT79" i="12" s="1"/>
  <c r="AR79" i="12"/>
  <c r="AR79" i="12" a="1"/>
  <c r="AP79" i="12" a="1"/>
  <c r="AP79" i="12" s="1"/>
  <c r="AN79" i="12"/>
  <c r="AN79" i="12" a="1"/>
  <c r="AL79" i="12" a="1"/>
  <c r="AL79" i="12" s="1"/>
  <c r="AJ79" i="12"/>
  <c r="AJ79" i="12" a="1"/>
  <c r="AH79" i="12" a="1"/>
  <c r="AH79" i="12" s="1"/>
  <c r="AF79" i="12" a="1"/>
  <c r="AF79" i="12" s="1"/>
  <c r="AD79" i="12" a="1"/>
  <c r="AD79" i="12" s="1"/>
  <c r="AB79" i="12"/>
  <c r="AB79" i="12" a="1"/>
  <c r="Z79" i="12" a="1"/>
  <c r="Z79" i="12" s="1"/>
  <c r="X79" i="12"/>
  <c r="X79" i="12" a="1"/>
  <c r="V79" i="12" a="1"/>
  <c r="V79" i="12" s="1"/>
  <c r="T79" i="12"/>
  <c r="T79" i="12" a="1"/>
  <c r="R79" i="12" a="1"/>
  <c r="R79" i="12" s="1"/>
  <c r="P79" i="12" a="1"/>
  <c r="P79" i="12" s="1"/>
  <c r="N79" i="12" a="1"/>
  <c r="N79" i="12" s="1"/>
  <c r="L79" i="12"/>
  <c r="L79" i="12" a="1"/>
  <c r="J79" i="12" a="1"/>
  <c r="J79" i="12" s="1"/>
  <c r="H79" i="12"/>
  <c r="H79" i="12" a="1"/>
  <c r="F79" i="12" a="1"/>
  <c r="F79" i="12" s="1"/>
  <c r="D79" i="12"/>
  <c r="D79" i="12" a="1"/>
  <c r="B79" i="12" a="1"/>
  <c r="B79" i="12" s="1"/>
  <c r="AV78" i="12" a="1"/>
  <c r="AV78" i="12" s="1"/>
  <c r="AT78" i="12" a="1"/>
  <c r="AT78" i="12" s="1"/>
  <c r="AR78" i="12"/>
  <c r="AR78" i="12" a="1"/>
  <c r="AP78" i="12" a="1"/>
  <c r="AP78" i="12" s="1"/>
  <c r="AN78" i="12"/>
  <c r="AN78" i="12" a="1"/>
  <c r="AL78" i="12" a="1"/>
  <c r="AL78" i="12" s="1"/>
  <c r="AJ78" i="12"/>
  <c r="AJ78" i="12" a="1"/>
  <c r="AH78" i="12" a="1"/>
  <c r="AH78" i="12" s="1"/>
  <c r="AF78" i="12" a="1"/>
  <c r="AF78" i="12" s="1"/>
  <c r="AD78" i="12" a="1"/>
  <c r="AD78" i="12" s="1"/>
  <c r="AB78" i="12"/>
  <c r="AB78" i="12" a="1"/>
  <c r="Z78" i="12" a="1"/>
  <c r="Z78" i="12" s="1"/>
  <c r="X78" i="12"/>
  <c r="X78" i="12" a="1"/>
  <c r="V78" i="12" a="1"/>
  <c r="V78" i="12" s="1"/>
  <c r="T78" i="12"/>
  <c r="T78" i="12" a="1"/>
  <c r="R78" i="12" a="1"/>
  <c r="R78" i="12" s="1"/>
  <c r="P78" i="12" a="1"/>
  <c r="P78" i="12" s="1"/>
  <c r="N78" i="12" a="1"/>
  <c r="N78" i="12" s="1"/>
  <c r="L78" i="12"/>
  <c r="L78" i="12" a="1"/>
  <c r="J78" i="12" a="1"/>
  <c r="J78" i="12" s="1"/>
  <c r="H78" i="12"/>
  <c r="H78" i="12" a="1"/>
  <c r="F78" i="12" a="1"/>
  <c r="F78" i="12" s="1"/>
  <c r="D78" i="12"/>
  <c r="D78" i="12" a="1"/>
  <c r="B78" i="12" a="1"/>
  <c r="B78" i="12" s="1"/>
  <c r="AV77" i="12" a="1"/>
  <c r="AV77" i="12" s="1"/>
  <c r="AT77" i="12" a="1"/>
  <c r="AT77" i="12" s="1"/>
  <c r="AR77" i="12"/>
  <c r="AR77" i="12" a="1"/>
  <c r="AP77" i="12" a="1"/>
  <c r="AP77" i="12" s="1"/>
  <c r="AN77" i="12"/>
  <c r="AN77" i="12" a="1"/>
  <c r="AL77" i="12" a="1"/>
  <c r="AL77" i="12" s="1"/>
  <c r="AJ77" i="12"/>
  <c r="AJ77" i="12" a="1"/>
  <c r="AH77" i="12" a="1"/>
  <c r="AH77" i="12" s="1"/>
  <c r="AF77" i="12" a="1"/>
  <c r="AF77" i="12" s="1"/>
  <c r="AD77" i="12" a="1"/>
  <c r="AD77" i="12" s="1"/>
  <c r="AB77" i="12"/>
  <c r="AB77" i="12" a="1"/>
  <c r="Z77" i="12" a="1"/>
  <c r="Z77" i="12" s="1"/>
  <c r="X77" i="12"/>
  <c r="X77" i="12" a="1"/>
  <c r="V77" i="12" a="1"/>
  <c r="V77" i="12" s="1"/>
  <c r="T77" i="12"/>
  <c r="T77" i="12" a="1"/>
  <c r="R77" i="12" a="1"/>
  <c r="R77" i="12" s="1"/>
  <c r="P77" i="12" a="1"/>
  <c r="P77" i="12" s="1"/>
  <c r="N77" i="12" a="1"/>
  <c r="N77" i="12" s="1"/>
  <c r="L77" i="12"/>
  <c r="L77" i="12" a="1"/>
  <c r="J77" i="12" a="1"/>
  <c r="J77" i="12" s="1"/>
  <c r="H77" i="12"/>
  <c r="H77" i="12" a="1"/>
  <c r="F77" i="12" a="1"/>
  <c r="F77" i="12" s="1"/>
  <c r="D77" i="12"/>
  <c r="D77" i="12" a="1"/>
  <c r="B77" i="12" a="1"/>
  <c r="B77" i="12" s="1"/>
  <c r="AV76" i="12" a="1"/>
  <c r="AV76" i="12" s="1"/>
  <c r="AT76" i="12" a="1"/>
  <c r="AT76" i="12" s="1"/>
  <c r="AR76" i="12"/>
  <c r="AR76" i="12" a="1"/>
  <c r="AP76" i="12" a="1"/>
  <c r="AP76" i="12" s="1"/>
  <c r="AN76" i="12"/>
  <c r="AN76" i="12" a="1"/>
  <c r="AL76" i="12" a="1"/>
  <c r="AL76" i="12" s="1"/>
  <c r="AJ76" i="12"/>
  <c r="AJ76" i="12" a="1"/>
  <c r="AH76" i="12" a="1"/>
  <c r="AH76" i="12" s="1"/>
  <c r="AF76" i="12" a="1"/>
  <c r="AF76" i="12" s="1"/>
  <c r="AD76" i="12" a="1"/>
  <c r="AD76" i="12" s="1"/>
  <c r="AB76" i="12"/>
  <c r="AB76" i="12" a="1"/>
  <c r="Z76" i="12" a="1"/>
  <c r="Z76" i="12" s="1"/>
  <c r="X76" i="12"/>
  <c r="X76" i="12" a="1"/>
  <c r="V76" i="12" a="1"/>
  <c r="V76" i="12" s="1"/>
  <c r="T76" i="12" a="1"/>
  <c r="T76" i="12" s="1"/>
  <c r="R76" i="12" a="1"/>
  <c r="R76" i="12" s="1"/>
  <c r="P76" i="12" a="1"/>
  <c r="P76" i="12" s="1"/>
  <c r="N76" i="12" a="1"/>
  <c r="N76" i="12" s="1"/>
  <c r="L76" i="12" a="1"/>
  <c r="L76" i="12" s="1"/>
  <c r="J76" i="12" a="1"/>
  <c r="J76" i="12" s="1"/>
  <c r="H76" i="12"/>
  <c r="H76" i="12" a="1"/>
  <c r="F76" i="12" a="1"/>
  <c r="F76" i="12" s="1"/>
  <c r="D76" i="12" a="1"/>
  <c r="D76" i="12" s="1"/>
  <c r="B76" i="12" a="1"/>
  <c r="B76" i="12" s="1"/>
  <c r="AV75" i="12" a="1"/>
  <c r="AV75" i="12" s="1"/>
  <c r="AT75" i="12" a="1"/>
  <c r="AT75" i="12" s="1"/>
  <c r="AR75" i="12" a="1"/>
  <c r="AR75" i="12" s="1"/>
  <c r="AP75" i="12" a="1"/>
  <c r="AP75" i="12" s="1"/>
  <c r="AN75" i="12"/>
  <c r="AN75" i="12" a="1"/>
  <c r="AL75" i="12" a="1"/>
  <c r="AL75" i="12" s="1"/>
  <c r="AJ75" i="12" a="1"/>
  <c r="AJ75" i="12" s="1"/>
  <c r="AH75" i="12" a="1"/>
  <c r="AH75" i="12" s="1"/>
  <c r="AF75" i="12" a="1"/>
  <c r="AF75" i="12" s="1"/>
  <c r="AD75" i="12" a="1"/>
  <c r="AD75" i="12" s="1"/>
  <c r="AB75" i="12" a="1"/>
  <c r="AB75" i="12" s="1"/>
  <c r="Z75" i="12" a="1"/>
  <c r="Z75" i="12" s="1"/>
  <c r="X75" i="12"/>
  <c r="X75" i="12" a="1"/>
  <c r="V75" i="12" a="1"/>
  <c r="V75" i="12" s="1"/>
  <c r="T75" i="12" a="1"/>
  <c r="T75" i="12" s="1"/>
  <c r="R75" i="12" a="1"/>
  <c r="R75" i="12" s="1"/>
  <c r="P75" i="12" a="1"/>
  <c r="P75" i="12" s="1"/>
  <c r="N75" i="12" a="1"/>
  <c r="N75" i="12" s="1"/>
  <c r="L75" i="12" a="1"/>
  <c r="L75" i="12" s="1"/>
  <c r="J75" i="12" a="1"/>
  <c r="J75" i="12" s="1"/>
  <c r="H75" i="12"/>
  <c r="H75" i="12" a="1"/>
  <c r="F75" i="12" a="1"/>
  <c r="F75" i="12" s="1"/>
  <c r="D75" i="12" a="1"/>
  <c r="D75" i="12" s="1"/>
  <c r="B75" i="12" a="1"/>
  <c r="B75" i="12" s="1"/>
  <c r="AV74" i="12" a="1"/>
  <c r="AV74" i="12" s="1"/>
  <c r="AT74" i="12" a="1"/>
  <c r="AT74" i="12" s="1"/>
  <c r="AR74" i="12" a="1"/>
  <c r="AR74" i="12" s="1"/>
  <c r="AP74" i="12" a="1"/>
  <c r="AP74" i="12" s="1"/>
  <c r="AN74" i="12"/>
  <c r="AN74" i="12" a="1"/>
  <c r="AL74" i="12" a="1"/>
  <c r="AL74" i="12" s="1"/>
  <c r="AJ74" i="12" a="1"/>
  <c r="AJ74" i="12" s="1"/>
  <c r="AH74" i="12" a="1"/>
  <c r="AH74" i="12" s="1"/>
  <c r="AF74" i="12" a="1"/>
  <c r="AF74" i="12" s="1"/>
  <c r="AD74" i="12" a="1"/>
  <c r="AD74" i="12" s="1"/>
  <c r="AB74" i="12" a="1"/>
  <c r="AB74" i="12" s="1"/>
  <c r="Z74" i="12" a="1"/>
  <c r="Z74" i="12" s="1"/>
  <c r="X74" i="12"/>
  <c r="X74" i="12" a="1"/>
  <c r="V74" i="12" a="1"/>
  <c r="V74" i="12" s="1"/>
  <c r="T74" i="12" a="1"/>
  <c r="T74" i="12" s="1"/>
  <c r="R74" i="12" a="1"/>
  <c r="R74" i="12" s="1"/>
  <c r="P74" i="12" a="1"/>
  <c r="P74" i="12" s="1"/>
  <c r="N74" i="12" a="1"/>
  <c r="N74" i="12" s="1"/>
  <c r="L74" i="12" a="1"/>
  <c r="L74" i="12" s="1"/>
  <c r="J74" i="12" a="1"/>
  <c r="J74" i="12" s="1"/>
  <c r="H74" i="12"/>
  <c r="H74" i="12" a="1"/>
  <c r="F74" i="12" a="1"/>
  <c r="F74" i="12" s="1"/>
  <c r="D74" i="12" a="1"/>
  <c r="D74" i="12" s="1"/>
  <c r="B74" i="12" a="1"/>
  <c r="B74" i="12" s="1"/>
  <c r="AV73" i="12" a="1"/>
  <c r="AV73" i="12" s="1"/>
  <c r="AT73" i="12" a="1"/>
  <c r="AT73" i="12" s="1"/>
  <c r="AR73" i="12" a="1"/>
  <c r="AR73" i="12" s="1"/>
  <c r="AP73" i="12" a="1"/>
  <c r="AP73" i="12" s="1"/>
  <c r="AN73" i="12"/>
  <c r="AN73" i="12" a="1"/>
  <c r="AL73" i="12" a="1"/>
  <c r="AL73" i="12" s="1"/>
  <c r="AJ73" i="12" a="1"/>
  <c r="AJ73" i="12" s="1"/>
  <c r="AH73" i="12" a="1"/>
  <c r="AH73" i="12" s="1"/>
  <c r="AF73" i="12" a="1"/>
  <c r="AF73" i="12" s="1"/>
  <c r="AD73" i="12" a="1"/>
  <c r="AD73" i="12" s="1"/>
  <c r="AB73" i="12" a="1"/>
  <c r="AB73" i="12" s="1"/>
  <c r="Z73" i="12" a="1"/>
  <c r="Z73" i="12" s="1"/>
  <c r="X73" i="12"/>
  <c r="X73" i="12" a="1"/>
  <c r="V73" i="12" a="1"/>
  <c r="V73" i="12" s="1"/>
  <c r="T73" i="12" a="1"/>
  <c r="T73" i="12" s="1"/>
  <c r="R73" i="12" a="1"/>
  <c r="R73" i="12" s="1"/>
  <c r="P73" i="12" a="1"/>
  <c r="P73" i="12" s="1"/>
  <c r="N73" i="12" a="1"/>
  <c r="N73" i="12" s="1"/>
  <c r="L73" i="12" a="1"/>
  <c r="L73" i="12" s="1"/>
  <c r="J73" i="12" a="1"/>
  <c r="J73" i="12" s="1"/>
  <c r="H73" i="12"/>
  <c r="H73" i="12" a="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V67" i="12"/>
  <c r="AV67" i="12" a="1"/>
  <c r="AT67" i="12" a="1"/>
  <c r="AT67" i="12" s="1"/>
  <c r="AR67" i="12" a="1"/>
  <c r="AR67" i="12" s="1"/>
  <c r="AP67" i="12" a="1"/>
  <c r="AP67" i="12" s="1"/>
  <c r="AN67" i="12" a="1"/>
  <c r="AN67" i="12" s="1"/>
  <c r="AL67" i="12" a="1"/>
  <c r="AL67" i="12" s="1"/>
  <c r="AJ67" i="12" a="1"/>
  <c r="AJ67" i="12" s="1"/>
  <c r="AH67" i="12" a="1"/>
  <c r="AH67" i="12" s="1"/>
  <c r="AF67" i="12"/>
  <c r="AF67" i="12" a="1"/>
  <c r="AD67" i="12" a="1"/>
  <c r="AD67" i="12" s="1"/>
  <c r="AB67" i="12" a="1"/>
  <c r="AB67" i="12" s="1"/>
  <c r="Z67" i="12" a="1"/>
  <c r="Z67" i="12" s="1"/>
  <c r="X67" i="12" a="1"/>
  <c r="X67" i="12" s="1"/>
  <c r="V67" i="12" a="1"/>
  <c r="V67" i="12" s="1"/>
  <c r="T67" i="12" a="1"/>
  <c r="T67" i="12" s="1"/>
  <c r="R67" i="12" a="1"/>
  <c r="R67" i="12" s="1"/>
  <c r="P67" i="12"/>
  <c r="P67" i="12" a="1"/>
  <c r="N67" i="12" a="1"/>
  <c r="N67" i="12" s="1"/>
  <c r="L67" i="12" a="1"/>
  <c r="L67" i="12" s="1"/>
  <c r="J67" i="12" a="1"/>
  <c r="J67" i="12" s="1"/>
  <c r="H67" i="12" a="1"/>
  <c r="H67" i="12" s="1"/>
  <c r="F67" i="12" a="1"/>
  <c r="F67" i="12" s="1"/>
  <c r="D67" i="12" a="1"/>
  <c r="D67" i="12" s="1"/>
  <c r="B67" i="12" a="1"/>
  <c r="B67" i="12" s="1"/>
  <c r="AV66" i="12"/>
  <c r="AV68" i="12" s="1"/>
  <c r="AV66" i="12" a="1"/>
  <c r="AT66" i="12" a="1"/>
  <c r="AT66" i="12" s="1"/>
  <c r="AT68" i="12" s="1"/>
  <c r="AR66" i="12" a="1"/>
  <c r="AR66" i="12" s="1"/>
  <c r="AR68" i="12" s="1"/>
  <c r="AP66" i="12" a="1"/>
  <c r="AP66" i="12" s="1"/>
  <c r="AN66" i="12" a="1"/>
  <c r="AN66" i="12" s="1"/>
  <c r="AL66" i="12" a="1"/>
  <c r="AL66" i="12" s="1"/>
  <c r="AJ66" i="12" a="1"/>
  <c r="AJ66" i="12" s="1"/>
  <c r="AH66" i="12" a="1"/>
  <c r="AH66" i="12" s="1"/>
  <c r="AF66" i="12"/>
  <c r="AF68" i="12" s="1"/>
  <c r="AF66" i="12" a="1"/>
  <c r="AD66" i="12" a="1"/>
  <c r="AD66" i="12" s="1"/>
  <c r="AD68" i="12" s="1"/>
  <c r="AB66" i="12" a="1"/>
  <c r="AB66" i="12" s="1"/>
  <c r="AB68" i="12" s="1"/>
  <c r="Z66" i="12" a="1"/>
  <c r="Z66" i="12" s="1"/>
  <c r="Z68" i="12" s="1"/>
  <c r="X66" i="12" a="1"/>
  <c r="X66" i="12" s="1"/>
  <c r="X68" i="12" s="1"/>
  <c r="V66" i="12" a="1"/>
  <c r="V66" i="12" s="1"/>
  <c r="V68" i="12" s="1"/>
  <c r="T66" i="12" a="1"/>
  <c r="T66" i="12" s="1"/>
  <c r="T68" i="12" s="1"/>
  <c r="R66" i="12" a="1"/>
  <c r="R66" i="12" s="1"/>
  <c r="R68" i="12" s="1"/>
  <c r="P66" i="12"/>
  <c r="P68" i="12" s="1"/>
  <c r="P66" i="12" a="1"/>
  <c r="N66" i="12" a="1"/>
  <c r="N66" i="12" s="1"/>
  <c r="N68" i="12" s="1"/>
  <c r="L66" i="12" a="1"/>
  <c r="L66" i="12" s="1"/>
  <c r="J66" i="12" a="1"/>
  <c r="J66" i="12" s="1"/>
  <c r="H66" i="12" a="1"/>
  <c r="H66" i="12" s="1"/>
  <c r="F66" i="12" a="1"/>
  <c r="F66" i="12" s="1"/>
  <c r="D66" i="12" a="1"/>
  <c r="D66" i="12" s="1"/>
  <c r="B66" i="12" a="1"/>
  <c r="B66" i="12" s="1"/>
  <c r="AV65" i="12"/>
  <c r="AV69" i="12" s="1"/>
  <c r="AV65" i="12" a="1"/>
  <c r="AT65" i="12" a="1"/>
  <c r="AT65" i="12" s="1"/>
  <c r="AT69" i="12" s="1"/>
  <c r="AR65" i="12" a="1"/>
  <c r="AR65" i="12" s="1"/>
  <c r="AR69" i="12" s="1"/>
  <c r="AP65" i="12" a="1"/>
  <c r="AP65" i="12" s="1"/>
  <c r="AP69" i="12" s="1"/>
  <c r="AN65" i="12" a="1"/>
  <c r="AN65" i="12" s="1"/>
  <c r="AN69" i="12" s="1"/>
  <c r="AL65" i="12" a="1"/>
  <c r="AL65" i="12" s="1"/>
  <c r="AL69" i="12" s="1"/>
  <c r="AJ65" i="12" a="1"/>
  <c r="AJ65" i="12" s="1"/>
  <c r="AJ69" i="12" s="1"/>
  <c r="AH65" i="12" a="1"/>
  <c r="AH65" i="12" s="1"/>
  <c r="AH69" i="12" s="1"/>
  <c r="AF65" i="12"/>
  <c r="AF69" i="12" s="1"/>
  <c r="AF65" i="12" a="1"/>
  <c r="AD65" i="12" a="1"/>
  <c r="AD65" i="12" s="1"/>
  <c r="AD69" i="12" s="1"/>
  <c r="AB65" i="12" a="1"/>
  <c r="AB65" i="12" s="1"/>
  <c r="AB69" i="12" s="1"/>
  <c r="Z65" i="12" a="1"/>
  <c r="Z65" i="12" s="1"/>
  <c r="Z69" i="12" s="1"/>
  <c r="X65" i="12" a="1"/>
  <c r="X65" i="12" s="1"/>
  <c r="X69" i="12" s="1"/>
  <c r="V65" i="12" a="1"/>
  <c r="V65" i="12" s="1"/>
  <c r="V69" i="12" s="1"/>
  <c r="T65" i="12" a="1"/>
  <c r="T65" i="12" s="1"/>
  <c r="T69" i="12" s="1"/>
  <c r="R65" i="12" a="1"/>
  <c r="R65" i="12" s="1"/>
  <c r="R69" i="12" s="1"/>
  <c r="P65" i="12"/>
  <c r="P69" i="12" s="1"/>
  <c r="P65" i="12" a="1"/>
  <c r="N65" i="12" a="1"/>
  <c r="N65" i="12" s="1"/>
  <c r="N69" i="12" s="1"/>
  <c r="L65" i="12" a="1"/>
  <c r="L65" i="12" s="1"/>
  <c r="L69" i="12" s="1"/>
  <c r="J65" i="12" a="1"/>
  <c r="J65" i="12" s="1"/>
  <c r="J69" i="12" s="1"/>
  <c r="H65" i="12" a="1"/>
  <c r="H65" i="12" s="1"/>
  <c r="H69" i="12" s="1"/>
  <c r="F65" i="12" a="1"/>
  <c r="F65" i="12" s="1"/>
  <c r="F69" i="12" s="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c r="AT58" i="12" a="1"/>
  <c r="AR58" i="12"/>
  <c r="AR58" i="12" a="1"/>
  <c r="AP58" i="12" a="1"/>
  <c r="AP58" i="12" s="1"/>
  <c r="AN58" i="12" a="1"/>
  <c r="AN58" i="12" s="1"/>
  <c r="AL58" i="12" a="1"/>
  <c r="AL58" i="12" s="1"/>
  <c r="AJ58" i="12"/>
  <c r="AJ58" i="12" a="1"/>
  <c r="AH58" i="12"/>
  <c r="AH58" i="12" a="1"/>
  <c r="AF58" i="12"/>
  <c r="AF58" i="12" a="1"/>
  <c r="AD58" i="12"/>
  <c r="AD58" i="12" a="1"/>
  <c r="AB58" i="12"/>
  <c r="AB58" i="12" a="1"/>
  <c r="Z58" i="12" a="1"/>
  <c r="Z58" i="12" s="1"/>
  <c r="X58" i="12" a="1"/>
  <c r="X58" i="12" s="1"/>
  <c r="V58" i="12" a="1"/>
  <c r="V58" i="12" s="1"/>
  <c r="T58" i="12"/>
  <c r="T58" i="12" a="1"/>
  <c r="R58" i="12"/>
  <c r="R58" i="12" a="1"/>
  <c r="P58" i="12"/>
  <c r="P58" i="12" a="1"/>
  <c r="N58" i="12"/>
  <c r="N58" i="12" a="1"/>
  <c r="L58" i="12"/>
  <c r="L58" i="12" a="1"/>
  <c r="J58" i="12" a="1"/>
  <c r="J58" i="12" s="1"/>
  <c r="H58" i="12" a="1"/>
  <c r="H58" i="12" s="1"/>
  <c r="F58" i="12" a="1"/>
  <c r="F58" i="12" s="1"/>
  <c r="D58" i="12"/>
  <c r="D58" i="12" a="1"/>
  <c r="B58" i="12" a="1"/>
  <c r="B58" i="12" s="1"/>
  <c r="AV57" i="12"/>
  <c r="AV57" i="12" a="1"/>
  <c r="AT57" i="12"/>
  <c r="AT57" i="12" a="1"/>
  <c r="AR57" i="12"/>
  <c r="AR57" i="12" a="1"/>
  <c r="AP57" i="12" a="1"/>
  <c r="AP57" i="12" s="1"/>
  <c r="AN57" i="12" a="1"/>
  <c r="AN57" i="12" s="1"/>
  <c r="AL57" i="12" a="1"/>
  <c r="AL57" i="12" s="1"/>
  <c r="AJ57" i="12"/>
  <c r="AJ57" i="12" a="1"/>
  <c r="AH57" i="12" a="1"/>
  <c r="AH57" i="12" s="1"/>
  <c r="AF57" i="12"/>
  <c r="AF57" i="12" a="1"/>
  <c r="AD57" i="12"/>
  <c r="AD57" i="12" a="1"/>
  <c r="AB57" i="12"/>
  <c r="AB57" i="12" a="1"/>
  <c r="Z57" i="12" a="1"/>
  <c r="Z57" i="12" s="1"/>
  <c r="X57" i="12" a="1"/>
  <c r="X57" i="12" s="1"/>
  <c r="V57" i="12" a="1"/>
  <c r="V57" i="12" s="1"/>
  <c r="T57" i="12"/>
  <c r="T57" i="12" a="1"/>
  <c r="R57" i="12" a="1"/>
  <c r="R57" i="12" s="1"/>
  <c r="P57" i="12"/>
  <c r="P57" i="12" a="1"/>
  <c r="N57" i="12" a="1"/>
  <c r="N57" i="12" s="1"/>
  <c r="L57" i="12"/>
  <c r="L57" i="12" a="1"/>
  <c r="J57" i="12" a="1"/>
  <c r="J57" i="12" s="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T80" i="12" s="1"/>
  <c r="AR55" i="12"/>
  <c r="AP55" i="12"/>
  <c r="AN55" i="12"/>
  <c r="AN80" i="12" s="1"/>
  <c r="AL55" i="12"/>
  <c r="AL80" i="12" s="1"/>
  <c r="AJ55" i="12"/>
  <c r="AJ80" i="12" s="1"/>
  <c r="AH55" i="12"/>
  <c r="AF55" i="12"/>
  <c r="AF80" i="12" s="1"/>
  <c r="AD55" i="12"/>
  <c r="AD80" i="12" s="1"/>
  <c r="AB55" i="12"/>
  <c r="AB80" i="12" s="1"/>
  <c r="Z55" i="12"/>
  <c r="X55" i="12"/>
  <c r="X80" i="12" s="1"/>
  <c r="V55" i="12"/>
  <c r="V80" i="12" s="1"/>
  <c r="T55" i="12"/>
  <c r="R55" i="12"/>
  <c r="P55" i="12"/>
  <c r="N55" i="12"/>
  <c r="N80" i="12" s="1"/>
  <c r="L55" i="12"/>
  <c r="J55" i="12"/>
  <c r="H55" i="12"/>
  <c r="H80" i="12" s="1"/>
  <c r="F55" i="12"/>
  <c r="F80" i="12" s="1"/>
  <c r="D55" i="12"/>
  <c r="D80" i="12" s="1"/>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L81" i="12" s="1"/>
  <c r="AJ51" i="12"/>
  <c r="AH51" i="12"/>
  <c r="AF51" i="12"/>
  <c r="AD51" i="12"/>
  <c r="AD81" i="12" s="1"/>
  <c r="AB51" i="12"/>
  <c r="Z51" i="12"/>
  <c r="X51" i="12"/>
  <c r="X81" i="12" s="1"/>
  <c r="V51" i="12"/>
  <c r="V81" i="12" s="1"/>
  <c r="T51" i="12"/>
  <c r="T81" i="12" s="1"/>
  <c r="R51" i="12"/>
  <c r="P51" i="12"/>
  <c r="P81" i="12" s="1"/>
  <c r="N51" i="12"/>
  <c r="N81" i="12" s="1"/>
  <c r="L51" i="12"/>
  <c r="L81" i="12" s="1"/>
  <c r="J51" i="12"/>
  <c r="J81" i="12" s="1"/>
  <c r="H51" i="12"/>
  <c r="H81" i="12" s="1"/>
  <c r="F51" i="12"/>
  <c r="F81" i="12" s="1"/>
  <c r="D51" i="12"/>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a="1"/>
  <c r="AL43" i="12" s="1"/>
  <c r="AJ43" i="12"/>
  <c r="AJ43" i="12" a="1"/>
  <c r="AH43" i="12" a="1"/>
  <c r="AH43" i="12" s="1"/>
  <c r="AF43" i="12"/>
  <c r="AF43" i="12" a="1"/>
  <c r="AD43" i="12" a="1"/>
  <c r="AD43" i="12" s="1"/>
  <c r="AB43" i="12" a="1"/>
  <c r="AB43" i="12" s="1"/>
  <c r="Z43" i="12" a="1"/>
  <c r="Z43" i="12" s="1"/>
  <c r="X43" i="12" a="1"/>
  <c r="X43" i="12" s="1"/>
  <c r="V43" i="12" a="1"/>
  <c r="V43" i="12" s="1"/>
  <c r="T43" i="12"/>
  <c r="T43" i="12" a="1"/>
  <c r="R43" i="12" a="1"/>
  <c r="R43" i="12" s="1"/>
  <c r="P43" i="12"/>
  <c r="P43" i="12" a="1"/>
  <c r="N43" i="12" a="1"/>
  <c r="N43" i="12" s="1"/>
  <c r="L43" i="12" a="1"/>
  <c r="L43" i="12" s="1"/>
  <c r="J43" i="12" a="1"/>
  <c r="J43" i="12" s="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D81" i="11"/>
  <c r="AB81" i="11"/>
  <c r="Z81" i="11"/>
  <c r="T81" i="11"/>
  <c r="R81" i="11"/>
  <c r="AT80" i="11"/>
  <c r="AR80" i="11"/>
  <c r="AP80" i="11"/>
  <c r="AJ80" i="11"/>
  <c r="AH80" i="11"/>
  <c r="N80" i="11"/>
  <c r="L80" i="11"/>
  <c r="J80" i="11"/>
  <c r="D80" i="11"/>
  <c r="B80" i="11"/>
  <c r="AV79" i="11" a="1"/>
  <c r="AV79" i="11" s="1"/>
  <c r="AT79" i="11" a="1"/>
  <c r="AT79" i="11" s="1"/>
  <c r="AR79" i="11"/>
  <c r="AR79" i="11" a="1"/>
  <c r="AP79" i="11" a="1"/>
  <c r="AP79" i="11" s="1"/>
  <c r="AN79" i="11" a="1"/>
  <c r="AN79" i="11" s="1"/>
  <c r="AL79" i="11" a="1"/>
  <c r="AL79" i="11" s="1"/>
  <c r="AJ79" i="11"/>
  <c r="AJ79" i="11" a="1"/>
  <c r="AH79" i="11" a="1"/>
  <c r="AH79" i="11" s="1"/>
  <c r="AF79" i="11" a="1"/>
  <c r="AF79" i="11" s="1"/>
  <c r="AD79" i="11" a="1"/>
  <c r="AD79" i="11" s="1"/>
  <c r="AB79" i="11"/>
  <c r="AB79" i="11" a="1"/>
  <c r="Z79" i="11" a="1"/>
  <c r="Z79" i="11" s="1"/>
  <c r="X79" i="11" a="1"/>
  <c r="X79" i="11" s="1"/>
  <c r="V79" i="11" a="1"/>
  <c r="V79" i="11" s="1"/>
  <c r="T79" i="11"/>
  <c r="T79" i="11" a="1"/>
  <c r="R79" i="11" a="1"/>
  <c r="R79" i="11" s="1"/>
  <c r="P79" i="11" a="1"/>
  <c r="P79" i="11" s="1"/>
  <c r="N79" i="11" a="1"/>
  <c r="N79" i="11" s="1"/>
  <c r="L79" i="11"/>
  <c r="L79" i="11" a="1"/>
  <c r="J79" i="11" a="1"/>
  <c r="J79" i="11" s="1"/>
  <c r="H79" i="11" a="1"/>
  <c r="H79" i="11" s="1"/>
  <c r="F79" i="11" a="1"/>
  <c r="F79" i="11" s="1"/>
  <c r="D79" i="11"/>
  <c r="D79" i="11" a="1"/>
  <c r="B79" i="11" a="1"/>
  <c r="B79" i="11" s="1"/>
  <c r="AV78" i="11" a="1"/>
  <c r="AV78" i="11" s="1"/>
  <c r="AT78" i="11" a="1"/>
  <c r="AT78" i="11" s="1"/>
  <c r="AR78" i="11"/>
  <c r="AR78" i="11" a="1"/>
  <c r="AP78" i="11" a="1"/>
  <c r="AP78" i="11" s="1"/>
  <c r="AN78" i="11" a="1"/>
  <c r="AN78" i="11" s="1"/>
  <c r="AL78" i="11" a="1"/>
  <c r="AL78" i="11" s="1"/>
  <c r="AJ78" i="11"/>
  <c r="AJ78" i="11" a="1"/>
  <c r="AH78" i="11" a="1"/>
  <c r="AH78" i="11" s="1"/>
  <c r="AF78" i="11" a="1"/>
  <c r="AF78" i="11" s="1"/>
  <c r="AD78" i="11" a="1"/>
  <c r="AD78" i="11" s="1"/>
  <c r="AB78" i="11"/>
  <c r="AB78" i="11" a="1"/>
  <c r="Z78" i="11" a="1"/>
  <c r="Z78" i="11" s="1"/>
  <c r="X78" i="11" a="1"/>
  <c r="X78" i="11" s="1"/>
  <c r="V78" i="11" a="1"/>
  <c r="V78" i="11" s="1"/>
  <c r="T78" i="11" a="1"/>
  <c r="T78" i="11" s="1"/>
  <c r="R78" i="11" a="1"/>
  <c r="R78" i="11" s="1"/>
  <c r="P78" i="11" a="1"/>
  <c r="P78" i="11" s="1"/>
  <c r="N78" i="11" a="1"/>
  <c r="N78" i="11" s="1"/>
  <c r="L78" i="11"/>
  <c r="L78" i="11" a="1"/>
  <c r="J78" i="11" a="1"/>
  <c r="J78" i="11" s="1"/>
  <c r="H78" i="11" a="1"/>
  <c r="H78" i="11" s="1"/>
  <c r="F78" i="11" a="1"/>
  <c r="F78" i="11" s="1"/>
  <c r="D78" i="11" a="1"/>
  <c r="D78" i="11" s="1"/>
  <c r="B78" i="11" a="1"/>
  <c r="B78" i="11" s="1"/>
  <c r="AV77" i="11" a="1"/>
  <c r="AV77" i="11" s="1"/>
  <c r="AT77" i="11" a="1"/>
  <c r="AT77" i="11" s="1"/>
  <c r="AR77" i="11"/>
  <c r="AR77" i="11" a="1"/>
  <c r="AP77" i="11" a="1"/>
  <c r="AP77" i="11" s="1"/>
  <c r="AN77" i="11" a="1"/>
  <c r="AN77" i="11" s="1"/>
  <c r="AL77" i="11" a="1"/>
  <c r="AL77" i="11" s="1"/>
  <c r="AJ77" i="11" a="1"/>
  <c r="AJ77" i="11" s="1"/>
  <c r="AH77" i="11" a="1"/>
  <c r="AH77" i="11" s="1"/>
  <c r="AF77" i="11" a="1"/>
  <c r="AF77" i="11" s="1"/>
  <c r="AD77" i="11" a="1"/>
  <c r="AD77" i="11" s="1"/>
  <c r="AB77" i="11"/>
  <c r="AB77" i="11" a="1"/>
  <c r="Z77" i="11" a="1"/>
  <c r="Z77" i="11" s="1"/>
  <c r="X77" i="11" a="1"/>
  <c r="X77" i="11" s="1"/>
  <c r="V77" i="11" a="1"/>
  <c r="V77" i="11" s="1"/>
  <c r="T77" i="11" a="1"/>
  <c r="T77" i="11" s="1"/>
  <c r="R77" i="11" a="1"/>
  <c r="R77" i="11" s="1"/>
  <c r="P77" i="11" a="1"/>
  <c r="P77" i="11" s="1"/>
  <c r="N77" i="11" a="1"/>
  <c r="N77" i="11" s="1"/>
  <c r="L77" i="11"/>
  <c r="L77" i="11" a="1"/>
  <c r="J77" i="11" a="1"/>
  <c r="J77" i="11" s="1"/>
  <c r="H77" i="11" a="1"/>
  <c r="H77" i="11" s="1"/>
  <c r="F77" i="11" a="1"/>
  <c r="F77" i="11" s="1"/>
  <c r="D77" i="11" a="1"/>
  <c r="D77" i="11" s="1"/>
  <c r="B77" i="11" a="1"/>
  <c r="B77" i="11" s="1"/>
  <c r="AV76" i="11" a="1"/>
  <c r="AV76" i="11" s="1"/>
  <c r="AT76" i="11" a="1"/>
  <c r="AT76" i="11" s="1"/>
  <c r="AR76" i="11"/>
  <c r="AR76" i="11" a="1"/>
  <c r="AP76" i="11" a="1"/>
  <c r="AP76" i="11" s="1"/>
  <c r="AN76" i="11" a="1"/>
  <c r="AN76" i="11" s="1"/>
  <c r="AL76" i="11" a="1"/>
  <c r="AL76" i="11" s="1"/>
  <c r="AJ76" i="11" a="1"/>
  <c r="AJ76" i="11" s="1"/>
  <c r="AH76" i="11" a="1"/>
  <c r="AH76" i="11" s="1"/>
  <c r="AF76" i="11" a="1"/>
  <c r="AF76" i="11" s="1"/>
  <c r="AD76" i="11" a="1"/>
  <c r="AD76" i="11" s="1"/>
  <c r="AB76" i="11"/>
  <c r="AB76" i="11" a="1"/>
  <c r="Z76" i="11" a="1"/>
  <c r="Z76" i="11" s="1"/>
  <c r="X76" i="11" a="1"/>
  <c r="X76" i="11" s="1"/>
  <c r="V76" i="11" a="1"/>
  <c r="V76" i="11" s="1"/>
  <c r="T76" i="11" a="1"/>
  <c r="T76" i="11" s="1"/>
  <c r="R76" i="11" a="1"/>
  <c r="R76" i="11" s="1"/>
  <c r="P76" i="11" a="1"/>
  <c r="P76" i="11" s="1"/>
  <c r="N76" i="11" a="1"/>
  <c r="N76" i="11" s="1"/>
  <c r="L76" i="11"/>
  <c r="L76" i="11" a="1"/>
  <c r="J76" i="11" a="1"/>
  <c r="J76" i="11" s="1"/>
  <c r="H76" i="11" a="1"/>
  <c r="H76" i="11" s="1"/>
  <c r="F76" i="11" a="1"/>
  <c r="F76" i="11" s="1"/>
  <c r="D76" i="11" a="1"/>
  <c r="D76" i="11" s="1"/>
  <c r="B76" i="11" a="1"/>
  <c r="B76" i="11" s="1"/>
  <c r="AV75" i="11" a="1"/>
  <c r="AV75" i="11" s="1"/>
  <c r="AT75" i="11" a="1"/>
  <c r="AT75" i="11" s="1"/>
  <c r="AR75" i="11" a="1"/>
  <c r="AR75" i="11" s="1"/>
  <c r="AP75" i="11" a="1"/>
  <c r="AP75" i="11" s="1"/>
  <c r="AN75" i="11" a="1"/>
  <c r="AN75" i="11" s="1"/>
  <c r="AL75" i="11" a="1"/>
  <c r="AL75" i="11" s="1"/>
  <c r="AJ75" i="11" a="1"/>
  <c r="AJ75" i="11" s="1"/>
  <c r="AH75" i="11" a="1"/>
  <c r="AH75" i="11" s="1"/>
  <c r="AF75" i="11" a="1"/>
  <c r="AF75" i="11" s="1"/>
  <c r="AD75" i="11" a="1"/>
  <c r="AD75" i="11" s="1"/>
  <c r="AB75" i="11" a="1"/>
  <c r="AB75" i="11" s="1"/>
  <c r="Z75" i="11" a="1"/>
  <c r="Z75" i="11" s="1"/>
  <c r="X75" i="11" a="1"/>
  <c r="X75" i="11" s="1"/>
  <c r="V75" i="11" a="1"/>
  <c r="V75" i="11" s="1"/>
  <c r="T75" i="11" a="1"/>
  <c r="T75" i="11" s="1"/>
  <c r="R75" i="11" a="1"/>
  <c r="R75" i="11" s="1"/>
  <c r="P75" i="11" a="1"/>
  <c r="P75" i="11" s="1"/>
  <c r="N75" i="11" a="1"/>
  <c r="N75" i="11" s="1"/>
  <c r="L75" i="11" a="1"/>
  <c r="L75" i="11" s="1"/>
  <c r="J75" i="11" a="1"/>
  <c r="J75" i="11" s="1"/>
  <c r="H75" i="11" a="1"/>
  <c r="H75" i="11" s="1"/>
  <c r="F75" i="11" a="1"/>
  <c r="F75" i="11" s="1"/>
  <c r="D75" i="11" a="1"/>
  <c r="D75" i="11" s="1"/>
  <c r="B75" i="11" a="1"/>
  <c r="B75" i="11" s="1"/>
  <c r="AV74" i="11" a="1"/>
  <c r="AV74" i="11" s="1"/>
  <c r="AT74" i="11" a="1"/>
  <c r="AT74" i="11" s="1"/>
  <c r="AR74" i="11" a="1"/>
  <c r="AR74" i="11" s="1"/>
  <c r="AP74" i="11" a="1"/>
  <c r="AP74" i="11" s="1"/>
  <c r="AN74" i="11" a="1"/>
  <c r="AN74" i="11" s="1"/>
  <c r="AL74" i="11" a="1"/>
  <c r="AL74" i="11" s="1"/>
  <c r="AJ74" i="11" a="1"/>
  <c r="AJ74" i="11" s="1"/>
  <c r="AH74" i="11" a="1"/>
  <c r="AH74" i="11" s="1"/>
  <c r="AF74" i="11" a="1"/>
  <c r="AF74" i="11" s="1"/>
  <c r="AD74" i="11" a="1"/>
  <c r="AD74" i="11" s="1"/>
  <c r="AB74" i="11" a="1"/>
  <c r="AB74" i="11" s="1"/>
  <c r="Z74" i="11" a="1"/>
  <c r="Z74" i="11" s="1"/>
  <c r="X74" i="11" a="1"/>
  <c r="X74" i="11" s="1"/>
  <c r="V74" i="11" a="1"/>
  <c r="V74" i="11" s="1"/>
  <c r="T74" i="11" a="1"/>
  <c r="T74" i="11" s="1"/>
  <c r="R74" i="11" a="1"/>
  <c r="R74" i="11" s="1"/>
  <c r="P74" i="11" a="1"/>
  <c r="P74" i="11" s="1"/>
  <c r="N74" i="11" a="1"/>
  <c r="N74" i="11" s="1"/>
  <c r="L74" i="11" a="1"/>
  <c r="L74" i="11" s="1"/>
  <c r="J74" i="11" a="1"/>
  <c r="J74" i="11" s="1"/>
  <c r="H74" i="11" a="1"/>
  <c r="H74" i="11" s="1"/>
  <c r="F74" i="11" a="1"/>
  <c r="F74" i="11" s="1"/>
  <c r="D74" i="11" a="1"/>
  <c r="D74" i="11" s="1"/>
  <c r="B74" i="11" a="1"/>
  <c r="B74" i="11" s="1"/>
  <c r="AV73" i="11" a="1"/>
  <c r="AV73" i="11" s="1"/>
  <c r="AT73" i="11" a="1"/>
  <c r="AT73" i="11" s="1"/>
  <c r="AR73" i="11" a="1"/>
  <c r="AR73" i="11" s="1"/>
  <c r="AP73" i="11" a="1"/>
  <c r="AP73" i="11" s="1"/>
  <c r="AN73" i="11" a="1"/>
  <c r="AN73" i="11" s="1"/>
  <c r="AL73" i="11" a="1"/>
  <c r="AL73" i="11" s="1"/>
  <c r="AJ73" i="11" a="1"/>
  <c r="AJ73" i="11" s="1"/>
  <c r="AH73" i="11" a="1"/>
  <c r="AH73" i="11" s="1"/>
  <c r="AF73" i="11" a="1"/>
  <c r="AF73" i="11" s="1"/>
  <c r="AD73" i="11" a="1"/>
  <c r="AD73" i="11" s="1"/>
  <c r="AB73" i="11" a="1"/>
  <c r="AB73" i="11" s="1"/>
  <c r="Z73" i="11" a="1"/>
  <c r="Z73" i="11" s="1"/>
  <c r="X73" i="11" a="1"/>
  <c r="X73" i="11" s="1"/>
  <c r="V73" i="11" a="1"/>
  <c r="V73" i="11" s="1"/>
  <c r="T73" i="11" a="1"/>
  <c r="T73" i="11" s="1"/>
  <c r="R73" i="11" a="1"/>
  <c r="R73" i="11" s="1"/>
  <c r="P73" i="11" a="1"/>
  <c r="P73" i="11" s="1"/>
  <c r="N73" i="11" a="1"/>
  <c r="N73" i="11" s="1"/>
  <c r="L73" i="11" a="1"/>
  <c r="L73" i="11" s="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B69" i="11"/>
  <c r="AV67" i="11" a="1"/>
  <c r="AV67" i="11" s="1"/>
  <c r="AT67" i="11" a="1"/>
  <c r="AT67" i="11" s="1"/>
  <c r="AR67" i="11" a="1"/>
  <c r="AR67" i="11" s="1"/>
  <c r="AP67" i="11" a="1"/>
  <c r="AP67" i="11" s="1"/>
  <c r="AN67" i="11" a="1"/>
  <c r="AN67" i="11" s="1"/>
  <c r="AL67" i="11" a="1"/>
  <c r="AL67" i="11" s="1"/>
  <c r="AJ67" i="11" a="1"/>
  <c r="AJ67" i="11" s="1"/>
  <c r="AH67" i="11" a="1"/>
  <c r="AH67" i="11" s="1"/>
  <c r="AF67" i="11" a="1"/>
  <c r="AF67" i="11" s="1"/>
  <c r="AD67" i="11" a="1"/>
  <c r="AD67" i="11" s="1"/>
  <c r="AB67" i="11" a="1"/>
  <c r="AB67" i="11" s="1"/>
  <c r="Z67" i="11" a="1"/>
  <c r="Z67" i="11" s="1"/>
  <c r="X67" i="11" a="1"/>
  <c r="X67" i="11" s="1"/>
  <c r="V67" i="11" a="1"/>
  <c r="V67" i="11" s="1"/>
  <c r="T67" i="11" a="1"/>
  <c r="T67" i="11" s="1"/>
  <c r="R67" i="11" a="1"/>
  <c r="R67" i="11" s="1"/>
  <c r="P67" i="11" a="1"/>
  <c r="P67" i="11" s="1"/>
  <c r="N67" i="11" a="1"/>
  <c r="N67" i="11" s="1"/>
  <c r="L67" i="11" a="1"/>
  <c r="L67" i="11" s="1"/>
  <c r="J67" i="11" a="1"/>
  <c r="J67" i="11" s="1"/>
  <c r="H67" i="11" a="1"/>
  <c r="H67" i="11" s="1"/>
  <c r="F67" i="11" a="1"/>
  <c r="F67" i="11" s="1"/>
  <c r="D67" i="11" a="1"/>
  <c r="D67" i="11" s="1"/>
  <c r="B67" i="11" a="1"/>
  <c r="B67" i="11" s="1"/>
  <c r="AV66" i="11" a="1"/>
  <c r="AV66" i="11" s="1"/>
  <c r="AT66" i="11" a="1"/>
  <c r="AT66" i="11" s="1"/>
  <c r="AT68" i="11" s="1"/>
  <c r="AR66" i="11" a="1"/>
  <c r="AR66" i="11" s="1"/>
  <c r="AR68" i="11" s="1"/>
  <c r="AP66" i="11" a="1"/>
  <c r="AP66" i="11" s="1"/>
  <c r="AP68" i="11" s="1"/>
  <c r="AN66" i="11" a="1"/>
  <c r="AN66" i="11" s="1"/>
  <c r="AL66" i="11" a="1"/>
  <c r="AL66" i="11" s="1"/>
  <c r="AL68" i="11" s="1"/>
  <c r="AJ66" i="11" a="1"/>
  <c r="AJ66" i="11" s="1"/>
  <c r="AJ68" i="11" s="1"/>
  <c r="AH66" i="11" a="1"/>
  <c r="AH66" i="11" s="1"/>
  <c r="AH68" i="11" s="1"/>
  <c r="AF66" i="11" a="1"/>
  <c r="AF66" i="11" s="1"/>
  <c r="AF68" i="11" s="1"/>
  <c r="AD66" i="11" a="1"/>
  <c r="AD66" i="11" s="1"/>
  <c r="AB66" i="11" a="1"/>
  <c r="AB66" i="11" s="1"/>
  <c r="Z66" i="11" a="1"/>
  <c r="Z66" i="11" s="1"/>
  <c r="X66" i="11" a="1"/>
  <c r="X66" i="11" s="1"/>
  <c r="X68" i="11" s="1"/>
  <c r="V66" i="11" a="1"/>
  <c r="V66" i="11" s="1"/>
  <c r="T66" i="11" a="1"/>
  <c r="T66" i="11" s="1"/>
  <c r="R66" i="11" a="1"/>
  <c r="R66" i="11" s="1"/>
  <c r="P66" i="11" a="1"/>
  <c r="P66" i="11" s="1"/>
  <c r="N66" i="11" a="1"/>
  <c r="N66" i="11" s="1"/>
  <c r="N68" i="11" s="1"/>
  <c r="L66" i="11" a="1"/>
  <c r="L66" i="11" s="1"/>
  <c r="L68" i="11" s="1"/>
  <c r="J66" i="11" a="1"/>
  <c r="J66" i="11" s="1"/>
  <c r="J68" i="11" s="1"/>
  <c r="H66" i="11" a="1"/>
  <c r="H66" i="11" s="1"/>
  <c r="F66" i="11" a="1"/>
  <c r="F66" i="11" s="1"/>
  <c r="F68" i="11" s="1"/>
  <c r="D66" i="11" a="1"/>
  <c r="D66" i="11" s="1"/>
  <c r="D68" i="11" s="1"/>
  <c r="B66" i="11" a="1"/>
  <c r="B66" i="11" s="1"/>
  <c r="B68" i="11" s="1"/>
  <c r="AV65" i="11" a="1"/>
  <c r="AV65" i="11" s="1"/>
  <c r="AV69" i="11" s="1"/>
  <c r="AT65" i="11" a="1"/>
  <c r="AT65" i="11" s="1"/>
  <c r="AT69" i="11" s="1"/>
  <c r="AR65" i="11" a="1"/>
  <c r="AR65" i="11" s="1"/>
  <c r="AR69" i="11" s="1"/>
  <c r="AP65" i="11" a="1"/>
  <c r="AP65" i="11" s="1"/>
  <c r="AP69" i="11" s="1"/>
  <c r="AN65" i="11" a="1"/>
  <c r="AN65" i="11" s="1"/>
  <c r="AN69" i="11" s="1"/>
  <c r="AL65" i="11" a="1"/>
  <c r="AL65" i="11" s="1"/>
  <c r="AL69" i="11" s="1"/>
  <c r="AJ65" i="11" a="1"/>
  <c r="AJ65" i="11" s="1"/>
  <c r="AJ69" i="11" s="1"/>
  <c r="AH65" i="11" a="1"/>
  <c r="AH65" i="11" s="1"/>
  <c r="AH69" i="11" s="1"/>
  <c r="AF65" i="11" a="1"/>
  <c r="AF65" i="11" s="1"/>
  <c r="AF69" i="11" s="1"/>
  <c r="AD65" i="11" a="1"/>
  <c r="AD65" i="11" s="1"/>
  <c r="AD69" i="11" s="1"/>
  <c r="AB65" i="11" a="1"/>
  <c r="AB65" i="11" s="1"/>
  <c r="AB69" i="11" s="1"/>
  <c r="Z65" i="11" a="1"/>
  <c r="Z65" i="11" s="1"/>
  <c r="Z69" i="11" s="1"/>
  <c r="X65" i="11" a="1"/>
  <c r="X65" i="11" s="1"/>
  <c r="X69" i="11" s="1"/>
  <c r="V65" i="11" a="1"/>
  <c r="V65" i="11" s="1"/>
  <c r="V69" i="11" s="1"/>
  <c r="T65" i="11" a="1"/>
  <c r="T65" i="11" s="1"/>
  <c r="T69" i="11" s="1"/>
  <c r="R65" i="11" a="1"/>
  <c r="R65" i="11" s="1"/>
  <c r="R69" i="11" s="1"/>
  <c r="P65" i="11" a="1"/>
  <c r="P65" i="11" s="1"/>
  <c r="P69" i="11" s="1"/>
  <c r="N65" i="11" a="1"/>
  <c r="N65" i="11" s="1"/>
  <c r="N69" i="11" s="1"/>
  <c r="L65" i="11" a="1"/>
  <c r="L65" i="11" s="1"/>
  <c r="L69" i="11" s="1"/>
  <c r="J65" i="11" a="1"/>
  <c r="J65" i="11" s="1"/>
  <c r="J69" i="11" s="1"/>
  <c r="H65" i="11" a="1"/>
  <c r="H65" i="11" s="1"/>
  <c r="H69" i="11" s="1"/>
  <c r="F65" i="11" a="1"/>
  <c r="F65" i="11" s="1"/>
  <c r="F69" i="11" s="1"/>
  <c r="D65" i="11" a="1"/>
  <c r="D65" i="11" s="1"/>
  <c r="D69" i="11" s="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a="1"/>
  <c r="AR58" i="11" s="1"/>
  <c r="AP58" i="11"/>
  <c r="AP58" i="11" a="1"/>
  <c r="AN58" i="11"/>
  <c r="AN58" i="11" a="1"/>
  <c r="AL58" i="11" a="1"/>
  <c r="AL58" i="11" s="1"/>
  <c r="AJ58" i="11"/>
  <c r="AJ58" i="11" a="1"/>
  <c r="AH58" i="11" a="1"/>
  <c r="AH58" i="11" s="1"/>
  <c r="AF58" i="11"/>
  <c r="AF58" i="11" a="1"/>
  <c r="AD58" i="11"/>
  <c r="AD58" i="11" a="1"/>
  <c r="AB58" i="11" a="1"/>
  <c r="AB58" i="11" s="1"/>
  <c r="Z58" i="11"/>
  <c r="Z58" i="11" a="1"/>
  <c r="X58" i="11"/>
  <c r="X58" i="11" a="1"/>
  <c r="V58" i="11" a="1"/>
  <c r="V58" i="11" s="1"/>
  <c r="T58" i="11"/>
  <c r="T58" i="11" a="1"/>
  <c r="R58" i="11" a="1"/>
  <c r="R58" i="11" s="1"/>
  <c r="P58" i="11"/>
  <c r="P58" i="11" a="1"/>
  <c r="N58" i="11"/>
  <c r="N58" i="11" a="1"/>
  <c r="L58" i="11" a="1"/>
  <c r="L58" i="11" s="1"/>
  <c r="J58" i="11"/>
  <c r="J58" i="11" a="1"/>
  <c r="H58" i="11"/>
  <c r="H58" i="11" a="1"/>
  <c r="F58" i="11" a="1"/>
  <c r="F58" i="11" s="1"/>
  <c r="D58" i="11"/>
  <c r="D58" i="11" a="1"/>
  <c r="B58" i="11" a="1"/>
  <c r="B58" i="11" s="1"/>
  <c r="AV57" i="11"/>
  <c r="AV57" i="11" a="1"/>
  <c r="AT57" i="11"/>
  <c r="AT57" i="11" a="1"/>
  <c r="AR57" i="11" a="1"/>
  <c r="AR57" i="11" s="1"/>
  <c r="AP57" i="11"/>
  <c r="AP57" i="11" a="1"/>
  <c r="AN57" i="11"/>
  <c r="AN57" i="11" a="1"/>
  <c r="AL57" i="11" a="1"/>
  <c r="AL57" i="11" s="1"/>
  <c r="AJ57" i="11"/>
  <c r="AJ57" i="11" a="1"/>
  <c r="AH57" i="11" a="1"/>
  <c r="AH57" i="11" s="1"/>
  <c r="AF57" i="11"/>
  <c r="AF57" i="11" a="1"/>
  <c r="AD57" i="11"/>
  <c r="AD57" i="11" a="1"/>
  <c r="AB57" i="11" a="1"/>
  <c r="AB57" i="11" s="1"/>
  <c r="Z57" i="11" a="1"/>
  <c r="Z57" i="11" s="1"/>
  <c r="X57" i="11"/>
  <c r="X57" i="11" a="1"/>
  <c r="V57" i="11" a="1"/>
  <c r="V57" i="11" s="1"/>
  <c r="T57" i="11"/>
  <c r="T57" i="11" a="1"/>
  <c r="R57" i="11" a="1"/>
  <c r="R57" i="11" s="1"/>
  <c r="P57" i="11"/>
  <c r="P57" i="11" a="1"/>
  <c r="N57" i="11"/>
  <c r="N57" i="11" a="1"/>
  <c r="L57" i="11" a="1"/>
  <c r="L57" i="11" s="1"/>
  <c r="J57" i="11" a="1"/>
  <c r="J57" i="11" s="1"/>
  <c r="H57" i="11"/>
  <c r="H57" i="11" a="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V80" i="11" s="1"/>
  <c r="AT55" i="11"/>
  <c r="AR55" i="11"/>
  <c r="AP55" i="11"/>
  <c r="AN55" i="11"/>
  <c r="AN80" i="11" s="1"/>
  <c r="AL55" i="11"/>
  <c r="AL80" i="11" s="1"/>
  <c r="AJ55" i="11"/>
  <c r="AH55" i="11"/>
  <c r="AF55" i="11"/>
  <c r="AF80" i="11" s="1"/>
  <c r="AD55" i="11"/>
  <c r="AD80" i="11" s="1"/>
  <c r="AB55" i="11"/>
  <c r="AB80" i="11" s="1"/>
  <c r="Z55" i="11"/>
  <c r="Z80" i="11" s="1"/>
  <c r="X55" i="11"/>
  <c r="X80" i="11" s="1"/>
  <c r="V55" i="11"/>
  <c r="V80" i="11" s="1"/>
  <c r="T55" i="11"/>
  <c r="T80" i="11" s="1"/>
  <c r="R55" i="11"/>
  <c r="R80" i="11" s="1"/>
  <c r="P55" i="11"/>
  <c r="P80" i="11" s="1"/>
  <c r="N55" i="11"/>
  <c r="L55" i="11"/>
  <c r="J55" i="11"/>
  <c r="H55" i="11"/>
  <c r="H80" i="11" s="1"/>
  <c r="F55" i="11"/>
  <c r="F80" i="11" s="1"/>
  <c r="D55" i="1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N81" i="11" s="1"/>
  <c r="AL51" i="11"/>
  <c r="AL81" i="11" s="1"/>
  <c r="AJ51" i="11"/>
  <c r="AJ81" i="11" s="1"/>
  <c r="AH51" i="11"/>
  <c r="AH81" i="11" s="1"/>
  <c r="AF51" i="11"/>
  <c r="AF81" i="11" s="1"/>
  <c r="AD51" i="11"/>
  <c r="AB51" i="11"/>
  <c r="Z51" i="11"/>
  <c r="X51" i="11"/>
  <c r="X81" i="11" s="1"/>
  <c r="V51" i="11"/>
  <c r="V81" i="11" s="1"/>
  <c r="T51" i="11"/>
  <c r="R51" i="11"/>
  <c r="P51" i="11"/>
  <c r="P81" i="11" s="1"/>
  <c r="N51" i="11"/>
  <c r="N81" i="11" s="1"/>
  <c r="L51" i="11"/>
  <c r="L81" i="11" s="1"/>
  <c r="J51" i="11"/>
  <c r="J81" i="11" s="1"/>
  <c r="H51" i="11"/>
  <c r="H81" i="11" s="1"/>
  <c r="F51" i="11"/>
  <c r="F81" i="11" s="1"/>
  <c r="D51" i="11"/>
  <c r="D81" i="11" s="1"/>
  <c r="B51" i="11"/>
  <c r="B81" i="11" s="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a="1"/>
  <c r="AP43" i="11" s="1"/>
  <c r="AN43" i="11"/>
  <c r="AN43" i="11" a="1"/>
  <c r="AL43" i="11" a="1"/>
  <c r="AL43" i="11" s="1"/>
  <c r="AJ43" i="11"/>
  <c r="AJ43" i="11" a="1"/>
  <c r="AH43" i="11" a="1"/>
  <c r="AH43" i="11" s="1"/>
  <c r="AF43" i="11"/>
  <c r="AF43" i="11" a="1"/>
  <c r="AD43" i="11" a="1"/>
  <c r="AD43" i="11" s="1"/>
  <c r="AB43" i="11" a="1"/>
  <c r="AB43" i="11" s="1"/>
  <c r="Z43" i="11" a="1"/>
  <c r="Z43" i="11" s="1"/>
  <c r="X43" i="11" a="1"/>
  <c r="X43" i="11" s="1"/>
  <c r="V43" i="11" a="1"/>
  <c r="V43" i="11" s="1"/>
  <c r="T43" i="11"/>
  <c r="T43" i="11" a="1"/>
  <c r="R43" i="11" a="1"/>
  <c r="R43" i="11" s="1"/>
  <c r="P43" i="11"/>
  <c r="P43" i="11" a="1"/>
  <c r="N43" i="11" a="1"/>
  <c r="N43" i="11" s="1"/>
  <c r="L43" i="11" a="1"/>
  <c r="L43" i="11" s="1"/>
  <c r="J43" i="11" a="1"/>
  <c r="J43" i="11" s="1"/>
  <c r="H43" i="11" a="1"/>
  <c r="H43" i="11" s="1"/>
  <c r="F43" i="11" a="1"/>
  <c r="F43" i="11" s="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P8" i="39"/>
  <c r="X4" i="23"/>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T9" i="23"/>
  <c r="S9" i="23"/>
  <c r="R9" i="23"/>
  <c r="Q9" i="23"/>
  <c r="P9" i="23"/>
  <c r="O9" i="23"/>
  <c r="N9" i="23"/>
  <c r="M9" i="23"/>
  <c r="L9" i="23"/>
  <c r="K9" i="23"/>
  <c r="J9" i="23"/>
  <c r="I9" i="23"/>
  <c r="H9" i="23"/>
  <c r="G9" i="23"/>
  <c r="F9" i="23"/>
  <c r="E9" i="23"/>
  <c r="D9" i="23"/>
  <c r="C9" i="23"/>
  <c r="B9" i="23"/>
  <c r="Y8" i="23"/>
  <c r="X8" i="23"/>
  <c r="W8" i="23"/>
  <c r="V8" i="23"/>
  <c r="U8" i="23"/>
  <c r="T8" i="23"/>
  <c r="S8" i="23"/>
  <c r="R8" i="23"/>
  <c r="Q8" i="23"/>
  <c r="P8" i="23"/>
  <c r="O8" i="23"/>
  <c r="N8" i="23"/>
  <c r="M8" i="23"/>
  <c r="L8" i="23"/>
  <c r="K8" i="23"/>
  <c r="J8" i="23"/>
  <c r="I8" i="23"/>
  <c r="H8" i="23"/>
  <c r="G8" i="23"/>
  <c r="F8" i="23"/>
  <c r="E8" i="23"/>
  <c r="D8" i="23"/>
  <c r="C8" i="23"/>
  <c r="B8" i="23"/>
  <c r="Y7" i="23"/>
  <c r="X7" i="23"/>
  <c r="W7" i="23"/>
  <c r="V7" i="23"/>
  <c r="U7" i="23"/>
  <c r="T7" i="23"/>
  <c r="S7" i="23"/>
  <c r="R7" i="23"/>
  <c r="Q7" i="23"/>
  <c r="P7" i="23"/>
  <c r="O7" i="23"/>
  <c r="N7" i="23"/>
  <c r="M7" i="23"/>
  <c r="L7" i="23"/>
  <c r="K7" i="23"/>
  <c r="J7" i="23"/>
  <c r="I7" i="23"/>
  <c r="H7" i="23"/>
  <c r="G7" i="23"/>
  <c r="F7" i="23"/>
  <c r="E7" i="23"/>
  <c r="D7" i="23"/>
  <c r="C7" i="23"/>
  <c r="B7" i="23"/>
  <c r="Y6" i="23"/>
  <c r="X6" i="23"/>
  <c r="W6" i="23"/>
  <c r="V6" i="23"/>
  <c r="U6" i="23"/>
  <c r="T6" i="23"/>
  <c r="S6" i="23"/>
  <c r="R6" i="23"/>
  <c r="Q6" i="23"/>
  <c r="P6" i="23"/>
  <c r="O6" i="23"/>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V4" i="23"/>
  <c r="U4" i="23"/>
  <c r="T4" i="23"/>
  <c r="S4" i="23"/>
  <c r="R4" i="23"/>
  <c r="Q4" i="23"/>
  <c r="P4" i="23"/>
  <c r="O4" i="23"/>
  <c r="N4" i="23"/>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AP68" i="35" l="1"/>
  <c r="H68" i="35"/>
  <c r="AF68" i="35"/>
  <c r="AH68" i="35"/>
  <c r="N68" i="35"/>
  <c r="AR68" i="35"/>
  <c r="J68" i="35"/>
  <c r="P68" i="35"/>
  <c r="B68" i="35"/>
  <c r="B68" i="38"/>
  <c r="AV68" i="38"/>
  <c r="J68" i="38"/>
  <c r="AH68" i="38"/>
  <c r="L68" i="38"/>
  <c r="AJ68" i="38"/>
  <c r="P68" i="38"/>
  <c r="R68" i="38"/>
  <c r="Z68" i="21"/>
  <c r="AL68" i="21"/>
  <c r="D68" i="21"/>
  <c r="F68" i="21"/>
  <c r="H68" i="21"/>
  <c r="AD68" i="21"/>
  <c r="AF68" i="21"/>
  <c r="AH68" i="21"/>
  <c r="AT68" i="24"/>
  <c r="X68" i="24"/>
  <c r="B68" i="24"/>
  <c r="AB68" i="24"/>
  <c r="D68" i="24"/>
  <c r="AD68" i="24"/>
  <c r="F68" i="24"/>
  <c r="H68" i="24"/>
  <c r="AH68" i="24"/>
  <c r="J68" i="24"/>
  <c r="AJ68" i="24"/>
  <c r="L68" i="24"/>
  <c r="AL68" i="24"/>
  <c r="V68" i="24"/>
  <c r="H68" i="18"/>
  <c r="AH68" i="18"/>
  <c r="J68" i="18"/>
  <c r="P68" i="18"/>
  <c r="AP68" i="18"/>
  <c r="R68" i="18"/>
  <c r="AT68" i="18"/>
  <c r="Z68" i="18"/>
  <c r="B68" i="18"/>
  <c r="AP68" i="22"/>
  <c r="N68" i="22"/>
  <c r="X68" i="22"/>
  <c r="AT68" i="22"/>
  <c r="J68" i="22"/>
  <c r="F68" i="22"/>
  <c r="H68" i="22"/>
  <c r="AD68" i="22"/>
  <c r="B68" i="12"/>
  <c r="D68" i="12"/>
  <c r="F68" i="12"/>
  <c r="AH68" i="12"/>
  <c r="H68" i="12"/>
  <c r="AJ68" i="12"/>
  <c r="J68" i="12"/>
  <c r="AL68" i="12"/>
  <c r="L68" i="12"/>
  <c r="AN68" i="12"/>
  <c r="AP68" i="12"/>
  <c r="H68" i="11"/>
  <c r="AN68" i="11"/>
  <c r="P68" i="11"/>
  <c r="AV68" i="11"/>
  <c r="R68" i="11"/>
  <c r="T68" i="11"/>
  <c r="V68" i="11"/>
  <c r="Z68" i="11"/>
  <c r="AB68" i="11"/>
  <c r="AD68" i="11"/>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K6" i="39"/>
  <c r="J6" i="39"/>
  <c r="I6" i="39"/>
  <c r="H6" i="39"/>
  <c r="C66" i="1" l="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AF52" i="38" l="1"/>
  <c r="AF82" i="38" s="1"/>
  <c r="AB52" i="38"/>
  <c r="AB82" i="38" s="1"/>
  <c r="AV52" i="38"/>
  <c r="AV82" i="38" s="1"/>
  <c r="AR52" i="38"/>
  <c r="AR82" i="38" s="1"/>
  <c r="P52" i="38"/>
  <c r="P82" i="38" s="1"/>
  <c r="AL52" i="38"/>
  <c r="AL82" i="38" s="1"/>
  <c r="L52" i="38"/>
  <c r="L82" i="38" s="1"/>
  <c r="AJ52" i="38"/>
  <c r="AJ82" i="38" s="1"/>
  <c r="B52" i="38"/>
  <c r="B82" i="38" s="1"/>
  <c r="N52" i="38"/>
  <c r="N82" i="38" s="1"/>
  <c r="D52" i="38"/>
  <c r="D82" i="38" s="1"/>
  <c r="J52" i="38"/>
  <c r="J82" i="38" s="1"/>
  <c r="AP52" i="38"/>
  <c r="AP82" i="38" s="1"/>
  <c r="R52" i="38"/>
  <c r="R82" i="38" s="1"/>
  <c r="X52" i="38"/>
  <c r="X82" i="38" s="1"/>
  <c r="AN52" i="38"/>
  <c r="AN82" i="38" s="1"/>
  <c r="AD52" i="38"/>
  <c r="AD82" i="38" s="1"/>
  <c r="F52" i="38"/>
  <c r="F82" i="38" s="1"/>
  <c r="V52" i="38"/>
  <c r="V82" i="38" s="1"/>
  <c r="AT52" i="38"/>
  <c r="AT82" i="38" s="1"/>
  <c r="AH52" i="38"/>
  <c r="AH82" i="38" s="1"/>
  <c r="Z52" i="38"/>
  <c r="Z82" i="38" s="1"/>
  <c r="T52" i="38"/>
  <c r="T82" i="38" s="1"/>
  <c r="H52" i="38"/>
  <c r="H82" i="38" s="1"/>
  <c r="P52" i="21"/>
  <c r="P82" i="21" s="1"/>
  <c r="AV52" i="21"/>
  <c r="AV82" i="21" s="1"/>
  <c r="AH52" i="21"/>
  <c r="AH82" i="21" s="1"/>
  <c r="AP52" i="21"/>
  <c r="AP82" i="21" s="1"/>
  <c r="Z52" i="21"/>
  <c r="Z82" i="21" s="1"/>
  <c r="F52" i="21"/>
  <c r="F82" i="21" s="1"/>
  <c r="AJ52" i="21"/>
  <c r="AJ82" i="21" s="1"/>
  <c r="V52" i="21"/>
  <c r="V82" i="21" s="1"/>
  <c r="AB52" i="21"/>
  <c r="AB82" i="21" s="1"/>
  <c r="AD52" i="21"/>
  <c r="AD82" i="21" s="1"/>
  <c r="AL52" i="21"/>
  <c r="AL82" i="21" s="1"/>
  <c r="B52" i="21"/>
  <c r="B82" i="21" s="1"/>
  <c r="R52" i="21"/>
  <c r="R82" i="21" s="1"/>
  <c r="AR52" i="21"/>
  <c r="AR82" i="21" s="1"/>
  <c r="H52" i="21"/>
  <c r="H82" i="21" s="1"/>
  <c r="T52" i="21"/>
  <c r="T82" i="21" s="1"/>
  <c r="N52" i="21"/>
  <c r="N82" i="21" s="1"/>
  <c r="D52" i="21"/>
  <c r="D82" i="21" s="1"/>
  <c r="AT52" i="21"/>
  <c r="AT82" i="21" s="1"/>
  <c r="J52" i="21"/>
  <c r="J82" i="21" s="1"/>
  <c r="AF52" i="21"/>
  <c r="AF82" i="21" s="1"/>
  <c r="AN52" i="21"/>
  <c r="AN82" i="21" s="1"/>
  <c r="X52" i="21"/>
  <c r="X82" i="21" s="1"/>
  <c r="L52" i="21"/>
  <c r="L82" i="21" s="1"/>
  <c r="P52" i="24"/>
  <c r="P82" i="24" s="1"/>
  <c r="N52" i="24"/>
  <c r="N82" i="24" s="1"/>
  <c r="AF52" i="24"/>
  <c r="AF82" i="24" s="1"/>
  <c r="AD52" i="24"/>
  <c r="AD82" i="24" s="1"/>
  <c r="AT52" i="24"/>
  <c r="AT82" i="24" s="1"/>
  <c r="AV52" i="24"/>
  <c r="AV82" i="24" s="1"/>
  <c r="T52" i="24"/>
  <c r="T82" i="24" s="1"/>
  <c r="R52" i="24"/>
  <c r="R82" i="24" s="1"/>
  <c r="AR52" i="24"/>
  <c r="AR82" i="24" s="1"/>
  <c r="AN52" i="24"/>
  <c r="AN82" i="24" s="1"/>
  <c r="L52" i="24"/>
  <c r="L82" i="24" s="1"/>
  <c r="B52" i="24"/>
  <c r="B82" i="24" s="1"/>
  <c r="AH52" i="24"/>
  <c r="AH82" i="24" s="1"/>
  <c r="AJ52" i="24"/>
  <c r="AJ82" i="24" s="1"/>
  <c r="V52" i="24"/>
  <c r="V82" i="24" s="1"/>
  <c r="H52" i="24"/>
  <c r="H82" i="24" s="1"/>
  <c r="X52" i="24"/>
  <c r="X82" i="24" s="1"/>
  <c r="Z52" i="24"/>
  <c r="Z82" i="24" s="1"/>
  <c r="AB52" i="24"/>
  <c r="AB82" i="24" s="1"/>
  <c r="J52" i="24"/>
  <c r="J82" i="24" s="1"/>
  <c r="AP52" i="24"/>
  <c r="AP82" i="24" s="1"/>
  <c r="D52" i="24"/>
  <c r="D82" i="24" s="1"/>
  <c r="AL52" i="24"/>
  <c r="AL82" i="24" s="1"/>
  <c r="F52" i="24"/>
  <c r="F82" i="24" s="1"/>
  <c r="AR52" i="18"/>
  <c r="AR82" i="18" s="1"/>
  <c r="V52" i="18"/>
  <c r="V82" i="18" s="1"/>
  <c r="AN52" i="18"/>
  <c r="AN82" i="18" s="1"/>
  <c r="AL52" i="18"/>
  <c r="AL82" i="18" s="1"/>
  <c r="P52" i="18"/>
  <c r="P82" i="18" s="1"/>
  <c r="L52" i="18"/>
  <c r="L82" i="18" s="1"/>
  <c r="X52" i="18"/>
  <c r="X82" i="18" s="1"/>
  <c r="AF52" i="18"/>
  <c r="AF82" i="18" s="1"/>
  <c r="H52" i="18"/>
  <c r="H82" i="18" s="1"/>
  <c r="AB52" i="18"/>
  <c r="AB82" i="18" s="1"/>
  <c r="AV52" i="18"/>
  <c r="AV82" i="18" s="1"/>
  <c r="F52" i="18"/>
  <c r="F82" i="18" s="1"/>
  <c r="Z52" i="18"/>
  <c r="Z82" i="18" s="1"/>
  <c r="R52" i="18"/>
  <c r="R82" i="18" s="1"/>
  <c r="AH52" i="18"/>
  <c r="AH82" i="18" s="1"/>
  <c r="D52" i="18"/>
  <c r="D82" i="18" s="1"/>
  <c r="T52" i="18"/>
  <c r="T82" i="18" s="1"/>
  <c r="J52" i="18"/>
  <c r="J82" i="18" s="1"/>
  <c r="AD52" i="18"/>
  <c r="AD82" i="18" s="1"/>
  <c r="AP52" i="18"/>
  <c r="AP82" i="18" s="1"/>
  <c r="B52" i="18"/>
  <c r="B82" i="18" s="1"/>
  <c r="AJ52" i="18"/>
  <c r="AJ82" i="18" s="1"/>
  <c r="N52" i="18"/>
  <c r="N82" i="18" s="1"/>
  <c r="AT52" i="18"/>
  <c r="AT82" i="18" s="1"/>
  <c r="AF52" i="22"/>
  <c r="AF82" i="22" s="1"/>
  <c r="AV52" i="22"/>
  <c r="AV82" i="22" s="1"/>
  <c r="P52" i="22"/>
  <c r="P82" i="22" s="1"/>
  <c r="AR52" i="22"/>
  <c r="AR82" i="22" s="1"/>
  <c r="AP52" i="22"/>
  <c r="AP82" i="22" s="1"/>
  <c r="X52" i="22"/>
  <c r="X82" i="22" s="1"/>
  <c r="AT52" i="22"/>
  <c r="AT82" i="22" s="1"/>
  <c r="Z52" i="22"/>
  <c r="Z82" i="22" s="1"/>
  <c r="AL52" i="22"/>
  <c r="AL82" i="22" s="1"/>
  <c r="AB52" i="22"/>
  <c r="AB82" i="22" s="1"/>
  <c r="H52" i="22"/>
  <c r="H82" i="22" s="1"/>
  <c r="L52" i="22"/>
  <c r="L82" i="22" s="1"/>
  <c r="R52" i="22"/>
  <c r="R82" i="22" s="1"/>
  <c r="AJ52" i="22"/>
  <c r="AJ82" i="22" s="1"/>
  <c r="AD52" i="22"/>
  <c r="AD82" i="22" s="1"/>
  <c r="AN52" i="22"/>
  <c r="AN82" i="22" s="1"/>
  <c r="B52" i="22"/>
  <c r="B82" i="22" s="1"/>
  <c r="N52" i="22"/>
  <c r="N82" i="22" s="1"/>
  <c r="T52" i="22"/>
  <c r="T82" i="22" s="1"/>
  <c r="AH52" i="22"/>
  <c r="AH82" i="22" s="1"/>
  <c r="V52" i="22"/>
  <c r="V82" i="22" s="1"/>
  <c r="D52" i="22"/>
  <c r="D82" i="22" s="1"/>
  <c r="F52" i="22"/>
  <c r="F82" i="22" s="1"/>
  <c r="J52" i="22"/>
  <c r="J82" i="22" s="1"/>
  <c r="AJ52" i="12"/>
  <c r="AJ82" i="12" s="1"/>
  <c r="AF52" i="12"/>
  <c r="AF82" i="12" s="1"/>
  <c r="D52" i="12"/>
  <c r="D82" i="12" s="1"/>
  <c r="T52" i="12"/>
  <c r="T82" i="12" s="1"/>
  <c r="AV52" i="12"/>
  <c r="AV82" i="12" s="1"/>
  <c r="P52" i="12"/>
  <c r="P82" i="12" s="1"/>
  <c r="AN52" i="12"/>
  <c r="AN82" i="12" s="1"/>
  <c r="B52" i="12"/>
  <c r="B82" i="12" s="1"/>
  <c r="AB52" i="12"/>
  <c r="AB82" i="12" s="1"/>
  <c r="L52" i="12"/>
  <c r="L82" i="12" s="1"/>
  <c r="AD52" i="12"/>
  <c r="AD82" i="12" s="1"/>
  <c r="V52" i="12"/>
  <c r="V82" i="12" s="1"/>
  <c r="J52" i="12"/>
  <c r="J82" i="12" s="1"/>
  <c r="AR52" i="12"/>
  <c r="AR82" i="12" s="1"/>
  <c r="Z52" i="12"/>
  <c r="Z82" i="12" s="1"/>
  <c r="AP52" i="12"/>
  <c r="AP82" i="12" s="1"/>
  <c r="AL52" i="12"/>
  <c r="AL82" i="12" s="1"/>
  <c r="F52" i="12"/>
  <c r="F82" i="12" s="1"/>
  <c r="AH52" i="12"/>
  <c r="AH82" i="12" s="1"/>
  <c r="X52" i="12"/>
  <c r="X82" i="12" s="1"/>
  <c r="R52" i="12"/>
  <c r="R82" i="12" s="1"/>
  <c r="N52" i="12"/>
  <c r="N82" i="12" s="1"/>
  <c r="AT52" i="12"/>
  <c r="AT82" i="12" s="1"/>
  <c r="H52" i="12"/>
  <c r="H82" i="12" s="1"/>
  <c r="AF52" i="11"/>
  <c r="AF82" i="11" s="1"/>
  <c r="H52" i="11"/>
  <c r="H82" i="11" s="1"/>
  <c r="D52" i="11"/>
  <c r="D82" i="11" s="1"/>
  <c r="AV52" i="11"/>
  <c r="AV82" i="11" s="1"/>
  <c r="X52" i="11"/>
  <c r="X82" i="11" s="1"/>
  <c r="T52" i="11"/>
  <c r="T82" i="11" s="1"/>
  <c r="AN52" i="11"/>
  <c r="AN82" i="11" s="1"/>
  <c r="P52" i="11"/>
  <c r="P82" i="11" s="1"/>
  <c r="AJ52" i="11"/>
  <c r="AJ82" i="11" s="1"/>
  <c r="J52" i="11"/>
  <c r="J82" i="11" s="1"/>
  <c r="AT52" i="11"/>
  <c r="AT82" i="11" s="1"/>
  <c r="N52" i="11"/>
  <c r="N82" i="11" s="1"/>
  <c r="AP52" i="11"/>
  <c r="AP82" i="11" s="1"/>
  <c r="F52" i="11"/>
  <c r="F82" i="11" s="1"/>
  <c r="AH52" i="11"/>
  <c r="AH82" i="11" s="1"/>
  <c r="L52" i="11"/>
  <c r="L82" i="11" s="1"/>
  <c r="B52" i="11"/>
  <c r="B82" i="11" s="1"/>
  <c r="AD52" i="11"/>
  <c r="AD82" i="11" s="1"/>
  <c r="AR52" i="11"/>
  <c r="AR82" i="11" s="1"/>
  <c r="R52" i="11"/>
  <c r="R82" i="11" s="1"/>
  <c r="Z52" i="11"/>
  <c r="Z82" i="11" s="1"/>
  <c r="AL52" i="11"/>
  <c r="AL82" i="11" s="1"/>
  <c r="AB52" i="11"/>
  <c r="AB82" i="11" s="1"/>
  <c r="V52" i="11"/>
  <c r="V82" i="11"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D19" i="23"/>
  <c r="D3" i="39"/>
  <c r="E19" i="23"/>
  <c r="E3" i="39"/>
  <c r="F19" i="23"/>
  <c r="F3" i="39"/>
  <c r="G19" i="23"/>
  <c r="G3" i="39"/>
  <c r="H19" i="23"/>
  <c r="H3" i="39"/>
  <c r="J19" i="23"/>
  <c r="J3" i="39"/>
  <c r="K19" i="23"/>
  <c r="K3" i="39"/>
  <c r="L19" i="23"/>
  <c r="L3" i="39"/>
  <c r="M19" i="23"/>
  <c r="M3" i="39"/>
  <c r="Y20" i="23"/>
  <c r="Y4" i="39"/>
  <c r="V20" i="23"/>
  <c r="V4" i="39"/>
  <c r="X20" i="23"/>
  <c r="X4" i="39"/>
  <c r="M20" i="23"/>
  <c r="M4" i="39"/>
  <c r="S20" i="23"/>
  <c r="S4" i="39"/>
  <c r="G20" i="23"/>
  <c r="G4" i="39"/>
  <c r="H20" i="23"/>
  <c r="H4" i="39"/>
  <c r="I20" i="23"/>
  <c r="I4" i="39"/>
  <c r="K20" i="23"/>
  <c r="K4" i="39"/>
  <c r="L20" i="23"/>
  <c r="L4" i="39"/>
  <c r="O20" i="23"/>
  <c r="O4" i="39"/>
  <c r="Q20" i="23"/>
  <c r="Q4" i="39"/>
  <c r="R20" i="23"/>
  <c r="R4" i="39"/>
  <c r="T20" i="23"/>
  <c r="T4" i="39"/>
  <c r="F20" i="23"/>
  <c r="F4" i="39"/>
  <c r="W20" i="23"/>
  <c r="W4" i="39"/>
  <c r="J20" i="23"/>
  <c r="J4" i="39"/>
  <c r="N20" i="23"/>
  <c r="N4" i="39"/>
  <c r="P20" i="23"/>
  <c r="P4" i="39"/>
  <c r="B20" i="23"/>
  <c r="B4" i="39"/>
  <c r="C20" i="23"/>
  <c r="C4" i="39"/>
  <c r="D20" i="23"/>
  <c r="D4" i="39"/>
  <c r="E20" i="23"/>
  <c r="E4" i="39"/>
  <c r="U20" i="23"/>
  <c r="U4" i="39"/>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V9" i="39"/>
  <c r="X25" i="23"/>
  <c r="X9" i="39"/>
  <c r="M25" i="23"/>
  <c r="M9" i="39"/>
  <c r="O25" i="23"/>
  <c r="O9" i="39"/>
  <c r="Q25" i="23"/>
  <c r="Q9" i="39"/>
  <c r="C25" i="23"/>
  <c r="C9" i="39"/>
  <c r="D25" i="23"/>
  <c r="D9" i="39"/>
  <c r="E25" i="23"/>
  <c r="E9" i="39"/>
  <c r="F25" i="23"/>
  <c r="F9" i="39"/>
  <c r="G25" i="23"/>
  <c r="G9" i="39"/>
  <c r="W25" i="23"/>
  <c r="W9" i="39"/>
  <c r="H25" i="23"/>
  <c r="H9" i="39"/>
  <c r="I25" i="23"/>
  <c r="I9" i="39"/>
  <c r="Y25" i="23"/>
  <c r="Y9" i="39"/>
  <c r="C43" i="2"/>
  <c r="C52" i="1" l="1" a="1"/>
  <c r="C52" i="1" s="1"/>
  <c r="D52" i="1" l="1"/>
  <c r="H25" i="1" s="1" a="1"/>
  <c r="C52" i="2"/>
  <c r="V24" i="23" l="1"/>
  <c r="H24" i="23"/>
  <c r="H8" i="39"/>
  <c r="C24" i="23"/>
  <c r="C8" i="39"/>
  <c r="N24" i="23"/>
  <c r="N8" i="39"/>
  <c r="W24" i="23"/>
  <c r="X24" i="23"/>
  <c r="Y24" i="23"/>
  <c r="J24" i="23"/>
  <c r="J8" i="39"/>
  <c r="K24" i="23"/>
  <c r="K8" i="39"/>
  <c r="M24" i="23"/>
  <c r="M8" i="39"/>
  <c r="O24" i="23"/>
  <c r="O8" i="39"/>
  <c r="D24" i="23"/>
  <c r="D8" i="39"/>
  <c r="F24" i="23"/>
  <c r="F8" i="39"/>
  <c r="G24" i="23"/>
  <c r="G8" i="39"/>
  <c r="I24" i="23"/>
  <c r="I8" i="39"/>
  <c r="B24" i="23"/>
  <c r="B8" i="39"/>
  <c r="L24" i="23"/>
  <c r="L8" i="39"/>
  <c r="P24" i="23"/>
  <c r="Q24" i="23"/>
  <c r="Q8" i="39"/>
  <c r="R24" i="23"/>
  <c r="S24" i="23"/>
  <c r="T24" i="23"/>
  <c r="E24" i="23"/>
  <c r="E8" i="39"/>
  <c r="U24" i="23"/>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B23" i="23"/>
  <c r="B7" i="39"/>
  <c r="R23" i="23"/>
  <c r="C23" i="23"/>
  <c r="C7" i="39"/>
  <c r="S23" i="23"/>
  <c r="D23" i="23"/>
  <c r="D7" i="39"/>
  <c r="T23" i="23"/>
  <c r="E23" i="23"/>
  <c r="E7" i="39"/>
  <c r="U23" i="23"/>
  <c r="F23" i="23"/>
  <c r="F7" i="39"/>
  <c r="V23" i="23"/>
  <c r="G23" i="23"/>
  <c r="G7" i="39"/>
  <c r="W23" i="23"/>
  <c r="H23" i="23"/>
  <c r="H7" i="39"/>
  <c r="I23" i="23"/>
  <c r="I7" i="39"/>
  <c r="J23" i="23"/>
  <c r="K23" i="23"/>
  <c r="L23" i="23"/>
  <c r="M23" i="23"/>
  <c r="N23" i="23"/>
  <c r="O23" i="23"/>
  <c r="P23" i="23"/>
  <c r="D22" i="23"/>
  <c r="D6" i="39"/>
  <c r="C22" i="23"/>
  <c r="C6" i="39"/>
  <c r="F22" i="23"/>
  <c r="F6" i="39"/>
  <c r="B22" i="23"/>
  <c r="B6" i="39"/>
  <c r="E22" i="23"/>
  <c r="E6" i="39"/>
  <c r="F18" i="23"/>
  <c r="F2" i="39"/>
  <c r="W18" i="23"/>
  <c r="W2" i="39"/>
  <c r="H18" i="23"/>
  <c r="H2" i="39"/>
  <c r="I18" i="23"/>
  <c r="I2" i="39"/>
  <c r="K18" i="23"/>
  <c r="K2" i="39"/>
  <c r="L18" i="23"/>
  <c r="L2" i="39"/>
  <c r="M18" i="23"/>
  <c r="M2" i="39"/>
  <c r="P18" i="23"/>
  <c r="P2" i="39"/>
  <c r="B18" i="23"/>
  <c r="B2" i="39"/>
  <c r="T18" i="23"/>
  <c r="T2" i="39"/>
  <c r="V18" i="23"/>
  <c r="V2" i="39"/>
  <c r="G18" i="23"/>
  <c r="G2" i="39"/>
  <c r="X18" i="23"/>
  <c r="X2" i="39"/>
  <c r="Y18" i="23"/>
  <c r="Y2" i="39"/>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R58" i="3" s="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AN58" i="3" s="1"/>
  <c r="F58" i="3" a="1"/>
  <c r="F58" i="3" s="1"/>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R57" i="3" s="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F53" i="38" l="1"/>
  <c r="AF83" i="38" s="1"/>
  <c r="AB53" i="38"/>
  <c r="AB83" i="38" s="1"/>
  <c r="AV53" i="38"/>
  <c r="AV83" i="38" s="1"/>
  <c r="V53" i="38"/>
  <c r="V83" i="38" s="1"/>
  <c r="AR53" i="38"/>
  <c r="AR83" i="38" s="1"/>
  <c r="P53" i="38"/>
  <c r="P83" i="38" s="1"/>
  <c r="AL53" i="38"/>
  <c r="AL83" i="38" s="1"/>
  <c r="L53" i="38"/>
  <c r="L83" i="38" s="1"/>
  <c r="B53" i="38"/>
  <c r="B83" i="38" s="1"/>
  <c r="J53" i="38"/>
  <c r="J83" i="38" s="1"/>
  <c r="N53" i="38"/>
  <c r="N83" i="38" s="1"/>
  <c r="D53" i="38"/>
  <c r="D83" i="38" s="1"/>
  <c r="AJ53" i="38"/>
  <c r="AJ83" i="38" s="1"/>
  <c r="F53" i="38"/>
  <c r="F83" i="38" s="1"/>
  <c r="R53" i="38"/>
  <c r="R83" i="38" s="1"/>
  <c r="AH53" i="38"/>
  <c r="AH83" i="38" s="1"/>
  <c r="T53" i="38"/>
  <c r="T83" i="38" s="1"/>
  <c r="X53" i="38"/>
  <c r="X83" i="38" s="1"/>
  <c r="AD53" i="38"/>
  <c r="AD83" i="38" s="1"/>
  <c r="H53" i="38"/>
  <c r="H83" i="38" s="1"/>
  <c r="AP53" i="38"/>
  <c r="AP83" i="38" s="1"/>
  <c r="Z53" i="38"/>
  <c r="Z83" i="38" s="1"/>
  <c r="AN53" i="38"/>
  <c r="AN83" i="38" s="1"/>
  <c r="AT53" i="38"/>
  <c r="AT83" i="38" s="1"/>
  <c r="AT53" i="21"/>
  <c r="AT83" i="21" s="1"/>
  <c r="X53" i="21"/>
  <c r="X83" i="21" s="1"/>
  <c r="H53" i="21"/>
  <c r="H83" i="21" s="1"/>
  <c r="B53" i="21"/>
  <c r="B83" i="21" s="1"/>
  <c r="AN53" i="21"/>
  <c r="AN83" i="21" s="1"/>
  <c r="AF53" i="21"/>
  <c r="AF83" i="21" s="1"/>
  <c r="N53" i="21"/>
  <c r="N83" i="21" s="1"/>
  <c r="AL53" i="21"/>
  <c r="AL83" i="21" s="1"/>
  <c r="R53" i="21"/>
  <c r="R83" i="21" s="1"/>
  <c r="D53" i="21"/>
  <c r="D83" i="21" s="1"/>
  <c r="AV53" i="21"/>
  <c r="AV83" i="21" s="1"/>
  <c r="J53" i="21"/>
  <c r="J83" i="21" s="1"/>
  <c r="AR53" i="21"/>
  <c r="AR83" i="21" s="1"/>
  <c r="T53" i="21"/>
  <c r="T83" i="21" s="1"/>
  <c r="AD53" i="21"/>
  <c r="AD83" i="21" s="1"/>
  <c r="AJ53" i="21"/>
  <c r="AJ83" i="21" s="1"/>
  <c r="AP53" i="21"/>
  <c r="AP83" i="21" s="1"/>
  <c r="L53" i="21"/>
  <c r="L83" i="21" s="1"/>
  <c r="AB53" i="21"/>
  <c r="AB83" i="21" s="1"/>
  <c r="Z53" i="21"/>
  <c r="Z83" i="21" s="1"/>
  <c r="P53" i="21"/>
  <c r="P83" i="21" s="1"/>
  <c r="AH53" i="21"/>
  <c r="AH83" i="21" s="1"/>
  <c r="V53" i="21"/>
  <c r="V83" i="21" s="1"/>
  <c r="F53" i="21"/>
  <c r="F83" i="21" s="1"/>
  <c r="AR53" i="24"/>
  <c r="AR83" i="24" s="1"/>
  <c r="P53" i="24"/>
  <c r="P83" i="24" s="1"/>
  <c r="N53" i="24"/>
  <c r="N83" i="24" s="1"/>
  <c r="AF53" i="24"/>
  <c r="AF83" i="24" s="1"/>
  <c r="AD53" i="24"/>
  <c r="AD83" i="24" s="1"/>
  <c r="B53" i="24"/>
  <c r="B83" i="24" s="1"/>
  <c r="AT53" i="24"/>
  <c r="AT83" i="24" s="1"/>
  <c r="AV53" i="24"/>
  <c r="AV83" i="24" s="1"/>
  <c r="AN53" i="24"/>
  <c r="AN83" i="24" s="1"/>
  <c r="T53" i="24"/>
  <c r="T83" i="24" s="1"/>
  <c r="L53" i="24"/>
  <c r="L83" i="24" s="1"/>
  <c r="AB53" i="24"/>
  <c r="AB83" i="24" s="1"/>
  <c r="F53" i="24"/>
  <c r="F83" i="24" s="1"/>
  <c r="V53" i="24"/>
  <c r="V83" i="24" s="1"/>
  <c r="AJ53" i="24"/>
  <c r="AJ83" i="24" s="1"/>
  <c r="AL53" i="24"/>
  <c r="AL83" i="24" s="1"/>
  <c r="D53" i="24"/>
  <c r="D83" i="24" s="1"/>
  <c r="AP53" i="24"/>
  <c r="AP83" i="24" s="1"/>
  <c r="AH53" i="24"/>
  <c r="AH83" i="24" s="1"/>
  <c r="J53" i="24"/>
  <c r="J83" i="24" s="1"/>
  <c r="Z53" i="24"/>
  <c r="Z83" i="24" s="1"/>
  <c r="X53" i="24"/>
  <c r="X83" i="24" s="1"/>
  <c r="R53" i="24"/>
  <c r="R83" i="24" s="1"/>
  <c r="H53" i="24"/>
  <c r="H83" i="24" s="1"/>
  <c r="AL53" i="18"/>
  <c r="AL83" i="18" s="1"/>
  <c r="P53" i="18"/>
  <c r="P83" i="18" s="1"/>
  <c r="F53" i="18"/>
  <c r="F83" i="18" s="1"/>
  <c r="L53" i="18"/>
  <c r="L83" i="18" s="1"/>
  <c r="AF53" i="18"/>
  <c r="AF83" i="18" s="1"/>
  <c r="H53" i="18"/>
  <c r="H83" i="18" s="1"/>
  <c r="AB53" i="18"/>
  <c r="AB83" i="18" s="1"/>
  <c r="AV53" i="18"/>
  <c r="AV83" i="18" s="1"/>
  <c r="X53" i="18"/>
  <c r="X83" i="18" s="1"/>
  <c r="AR53" i="18"/>
  <c r="AR83" i="18" s="1"/>
  <c r="AN53" i="18"/>
  <c r="AN83" i="18" s="1"/>
  <c r="V53" i="18"/>
  <c r="V83" i="18" s="1"/>
  <c r="AJ53" i="18"/>
  <c r="AJ83" i="18" s="1"/>
  <c r="Z53" i="18"/>
  <c r="Z83" i="18" s="1"/>
  <c r="B53" i="18"/>
  <c r="B83" i="18" s="1"/>
  <c r="AH53" i="18"/>
  <c r="AH83" i="18" s="1"/>
  <c r="R53" i="18"/>
  <c r="R83" i="18" s="1"/>
  <c r="J53" i="18"/>
  <c r="J83" i="18" s="1"/>
  <c r="AP53" i="18"/>
  <c r="AP83" i="18" s="1"/>
  <c r="AT53" i="18"/>
  <c r="AT83" i="18" s="1"/>
  <c r="D53" i="18"/>
  <c r="D83" i="18" s="1"/>
  <c r="N53" i="18"/>
  <c r="N83" i="18" s="1"/>
  <c r="T53" i="18"/>
  <c r="T83" i="18" s="1"/>
  <c r="AD53" i="18"/>
  <c r="AD83" i="18" s="1"/>
  <c r="P53" i="22"/>
  <c r="P83" i="22" s="1"/>
  <c r="AH53" i="22"/>
  <c r="AH83" i="22" s="1"/>
  <c r="AF53" i="22"/>
  <c r="AF83" i="22" s="1"/>
  <c r="B53" i="22"/>
  <c r="B83" i="22" s="1"/>
  <c r="AV53" i="22"/>
  <c r="AV83" i="22" s="1"/>
  <c r="V53" i="22"/>
  <c r="V83" i="22" s="1"/>
  <c r="N53" i="22"/>
  <c r="N83" i="22" s="1"/>
  <c r="AN53" i="22"/>
  <c r="AN83" i="22" s="1"/>
  <c r="X53" i="22"/>
  <c r="X83" i="22" s="1"/>
  <c r="AT53" i="22"/>
  <c r="AT83" i="22" s="1"/>
  <c r="J53" i="22"/>
  <c r="J83" i="22" s="1"/>
  <c r="D53" i="22"/>
  <c r="D83" i="22" s="1"/>
  <c r="H53" i="22"/>
  <c r="H83" i="22" s="1"/>
  <c r="Z53" i="22"/>
  <c r="Z83" i="22" s="1"/>
  <c r="F53" i="22"/>
  <c r="F83" i="22" s="1"/>
  <c r="AP53" i="22"/>
  <c r="AP83" i="22" s="1"/>
  <c r="R53" i="22"/>
  <c r="R83" i="22" s="1"/>
  <c r="AR53" i="22"/>
  <c r="AR83" i="22" s="1"/>
  <c r="AJ53" i="22"/>
  <c r="AJ83" i="22" s="1"/>
  <c r="T53" i="22"/>
  <c r="T83" i="22" s="1"/>
  <c r="L53" i="22"/>
  <c r="L83" i="22" s="1"/>
  <c r="AB53" i="22"/>
  <c r="AB83" i="22" s="1"/>
  <c r="AD53" i="22"/>
  <c r="AD83" i="22" s="1"/>
  <c r="AL53" i="22"/>
  <c r="AL83" i="22" s="1"/>
  <c r="AJ53" i="12"/>
  <c r="AJ83" i="12" s="1"/>
  <c r="AF53" i="12"/>
  <c r="AF83" i="12" s="1"/>
  <c r="D53" i="12"/>
  <c r="D83" i="12" s="1"/>
  <c r="AV53" i="12"/>
  <c r="AV83" i="12" s="1"/>
  <c r="P53" i="12"/>
  <c r="P83" i="12" s="1"/>
  <c r="T53" i="12"/>
  <c r="T83" i="12" s="1"/>
  <c r="AB53" i="12"/>
  <c r="AB83" i="12" s="1"/>
  <c r="N53" i="12"/>
  <c r="N83" i="12" s="1"/>
  <c r="AL53" i="12"/>
  <c r="AL83" i="12" s="1"/>
  <c r="AN53" i="12"/>
  <c r="AN83" i="12" s="1"/>
  <c r="AT53" i="12"/>
  <c r="AT83" i="12" s="1"/>
  <c r="H53" i="12"/>
  <c r="H83" i="12" s="1"/>
  <c r="B53" i="12"/>
  <c r="B83" i="12" s="1"/>
  <c r="AD53" i="12"/>
  <c r="AD83" i="12" s="1"/>
  <c r="Z53" i="12"/>
  <c r="Z83" i="12" s="1"/>
  <c r="R53" i="12"/>
  <c r="R83" i="12" s="1"/>
  <c r="AR53" i="12"/>
  <c r="AR83" i="12" s="1"/>
  <c r="AP53" i="12"/>
  <c r="AP83" i="12" s="1"/>
  <c r="F53" i="12"/>
  <c r="F83" i="12" s="1"/>
  <c r="J53" i="12"/>
  <c r="J83" i="12" s="1"/>
  <c r="X53" i="12"/>
  <c r="X83" i="12" s="1"/>
  <c r="AH53" i="12"/>
  <c r="AH83" i="12" s="1"/>
  <c r="L53" i="12"/>
  <c r="L83" i="12" s="1"/>
  <c r="V53" i="12"/>
  <c r="V83" i="12" s="1"/>
  <c r="D53" i="11"/>
  <c r="D83" i="11" s="1"/>
  <c r="AV53" i="11"/>
  <c r="AV83" i="11" s="1"/>
  <c r="X53" i="11"/>
  <c r="X83" i="11" s="1"/>
  <c r="T53" i="11"/>
  <c r="T83" i="11" s="1"/>
  <c r="AN53" i="11"/>
  <c r="AN83" i="11" s="1"/>
  <c r="P53" i="11"/>
  <c r="P83" i="11" s="1"/>
  <c r="AJ53" i="11"/>
  <c r="AJ83" i="11" s="1"/>
  <c r="AF53" i="11"/>
  <c r="AF83" i="11" s="1"/>
  <c r="H53" i="11"/>
  <c r="H83" i="11" s="1"/>
  <c r="AT53" i="11"/>
  <c r="AT83" i="11" s="1"/>
  <c r="AH53" i="11"/>
  <c r="AH83" i="11" s="1"/>
  <c r="AB53" i="11"/>
  <c r="AB83" i="11" s="1"/>
  <c r="N53" i="11"/>
  <c r="N83" i="11" s="1"/>
  <c r="AL53" i="11"/>
  <c r="AL83" i="11" s="1"/>
  <c r="AD53" i="11"/>
  <c r="AD83" i="11" s="1"/>
  <c r="AR53" i="11"/>
  <c r="AR83" i="11" s="1"/>
  <c r="V53" i="11"/>
  <c r="V83" i="11" s="1"/>
  <c r="J53" i="11"/>
  <c r="J83" i="11" s="1"/>
  <c r="B53" i="11"/>
  <c r="B83" i="11" s="1"/>
  <c r="L53" i="11"/>
  <c r="L83" i="11" s="1"/>
  <c r="F53" i="11"/>
  <c r="F83" i="11" s="1"/>
  <c r="Z53" i="11"/>
  <c r="Z83" i="11" s="1"/>
  <c r="AP53" i="11"/>
  <c r="AP83" i="11" s="1"/>
  <c r="R53" i="11"/>
  <c r="R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D29" i="2" s="1"/>
  <c r="C27" i="2" a="1"/>
  <c r="D27" i="2" s="1"/>
  <c r="C28" i="2" a="1"/>
  <c r="C28" i="2" s="1"/>
  <c r="L10" i="2" a="1"/>
  <c r="M10" i="2" s="1"/>
  <c r="O12" i="2" a="1"/>
  <c r="P12" i="2" s="1"/>
  <c r="L7" i="2" a="1"/>
  <c r="L7" i="2" s="1"/>
  <c r="C55" i="2" a="1"/>
  <c r="C55" i="2" s="1"/>
  <c r="C24" i="2" a="1"/>
  <c r="D24" i="2" s="1"/>
  <c r="C25" i="2" a="1"/>
  <c r="C27" i="2"/>
  <c r="C32" i="2"/>
  <c r="C29" i="2" l="1"/>
  <c r="K55" i="2" s="1"/>
  <c r="D28" i="2"/>
  <c r="AK58" i="2" a="1"/>
  <c r="O12" i="2"/>
  <c r="L10" i="2"/>
  <c r="M7" i="2"/>
  <c r="C24" i="2"/>
  <c r="C40" i="2" s="1" a="1"/>
  <c r="D40" i="2" s="1"/>
  <c r="H23" i="2" a="1"/>
  <c r="C26" i="2"/>
  <c r="D26" i="2"/>
  <c r="D25" i="2"/>
  <c r="C25" i="2"/>
  <c r="C42" i="2" a="1"/>
  <c r="C42" i="2" s="1"/>
  <c r="AE58" i="2" a="1"/>
  <c r="W59" i="2" a="1"/>
  <c r="Y58" i="2" a="1"/>
  <c r="AC58" i="2" a="1"/>
  <c r="AA56" i="2" a="1"/>
  <c r="AI55" i="2" a="1"/>
  <c r="Q34" i="2" a="1"/>
  <c r="R34" i="2" s="1"/>
  <c r="AC58" i="2" l="1"/>
  <c r="Y58" i="2"/>
  <c r="W59" i="2"/>
  <c r="AE58" i="2"/>
  <c r="P3" i="2" a="1"/>
  <c r="P3" i="2" s="1"/>
  <c r="AI55" i="2"/>
  <c r="AK58" i="2"/>
  <c r="AA56" i="2"/>
  <c r="C38" i="2" a="1"/>
  <c r="D38" i="2" s="1"/>
  <c r="T21" i="2" a="1"/>
  <c r="U21" i="2" s="1"/>
  <c r="C44" i="2" a="1"/>
  <c r="H23" i="2"/>
  <c r="I23" i="2"/>
  <c r="Q34" i="2"/>
  <c r="C40" i="2"/>
  <c r="O3" i="2" a="1"/>
  <c r="O3" i="2" s="1"/>
  <c r="P4" i="2" l="1"/>
  <c r="C38" i="2"/>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<sst xmlns="http://schemas.openxmlformats.org/spreadsheetml/2006/main" count="1133" uniqueCount="199">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</sst>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0.99252888912768267</c:v>
                </c:pt>
                <c:pt idx="2">
                  <c:v>0.98457074698995584</c:v>
                </c:pt>
                <c:pt idx="3">
                  <c:v>0.9760598669652627</c:v>
                </c:pt>
                <c:pt idx="4">
                  <c:v>0.96691741306640455</c:v>
                </c:pt>
                <c:pt idx="5">
                  <c:v>0.95704762962531464</c:v>
                </c:pt>
                <c:pt idx="6">
                  <c:v>0.9463322802866212</c:v>
                </c:pt>
                <c:pt idx="7">
                  <c:v>0.93462285416705793</c:v>
                </c:pt>
                <c:pt idx="8">
                  <c:v>0.92172835823327648</c:v>
                </c:pt>
                <c:pt idx="9">
                  <c:v>0.90739669080415608</c:v>
                </c:pt>
                <c:pt idx="10">
                  <c:v>0.89128412493137821</c:v>
                </c:pt>
                <c:pt idx="11">
                  <c:v>0.87290386440917955</c:v>
                </c:pt>
                <c:pt idx="12">
                  <c:v>0.85153532421491229</c:v>
                </c:pt>
                <c:pt idx="13">
                  <c:v>0.82605766459414409</c:v>
                </c:pt>
                <c:pt idx="14">
                  <c:v>0.79463519916899183</c:v>
                </c:pt>
                <c:pt idx="15">
                  <c:v>0.75412731266518351</c:v>
                </c:pt>
                <c:pt idx="16">
                  <c:v>0.69907491460246374</c:v>
                </c:pt>
                <c:pt idx="17">
                  <c:v>0.62019036563810592</c:v>
                </c:pt>
                <c:pt idx="18">
                  <c:v>0.50107966188275521</c:v>
                </c:pt>
                <c:pt idx="19">
                  <c:v>0.30540399582537364</c:v>
                </c:pt>
                <c:pt idx="20">
                  <c:v>0.25057056668840255</c:v>
                </c:pt>
                <c:pt idx="21">
                  <c:v>0.18851499643974359</c:v>
                </c:pt>
                <c:pt idx="22">
                  <c:v>0.1192196569059468</c:v>
                </c:pt>
                <c:pt idx="23">
                  <c:v>4.6902309372485754E-2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0.99788194945239517</c:v>
                </c:pt>
                <c:pt idx="2">
                  <c:v>0.99534922342675092</c:v>
                </c:pt>
                <c:pt idx="3">
                  <c:v>0.99234585601006309</c:v>
                </c:pt>
                <c:pt idx="4">
                  <c:v>0.98880462846509753</c:v>
                </c:pt>
                <c:pt idx="5">
                  <c:v>0.98464320438238773</c:v>
                </c:pt>
                <c:pt idx="6">
                  <c:v>0.97976060342419247</c:v>
                </c:pt>
                <c:pt idx="7">
                  <c:v>0.97402955191556562</c:v>
                </c:pt>
                <c:pt idx="8">
                  <c:v>0.9672871515079341</c:v>
                </c:pt>
                <c:pt idx="9">
                  <c:v>0.95931987778591643</c:v>
                </c:pt>
                <c:pt idx="10">
                  <c:v>0.94983952616234069</c:v>
                </c:pt>
                <c:pt idx="11">
                  <c:v>0.93844361510143082</c:v>
                </c:pt>
                <c:pt idx="12">
                  <c:v>0.92454621117684987</c:v>
                </c:pt>
                <c:pt idx="13">
                  <c:v>0.90725144542552882</c:v>
                </c:pt>
                <c:pt idx="14">
                  <c:v>0.8851102687462189</c:v>
                </c:pt>
                <c:pt idx="15">
                  <c:v>0.85563912056876235</c:v>
                </c:pt>
                <c:pt idx="16">
                  <c:v>0.81436581913806816</c:v>
                </c:pt>
                <c:pt idx="17">
                  <c:v>0.75290138954358221</c:v>
                </c:pt>
                <c:pt idx="18">
                  <c:v>0.65386187728702505</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0.9978963757772612</c:v>
                </c:pt>
                <c:pt idx="2">
                  <c:v>0.99537870438636677</c:v>
                </c:pt>
                <c:pt idx="3">
                  <c:v>0.99239112808957597</c:v>
                </c:pt>
                <c:pt idx="4">
                  <c:v>0.98886639420612921</c:v>
                </c:pt>
                <c:pt idx="5">
                  <c:v>0.98472260304840498</c:v>
                </c:pt>
                <c:pt idx="6">
                  <c:v>0.97985847119586977</c:v>
                </c:pt>
                <c:pt idx="7">
                  <c:v>0.97414683523188705</c:v>
                </c:pt>
                <c:pt idx="8">
                  <c:v>0.96742460868266722</c:v>
                </c:pt>
                <c:pt idx="9">
                  <c:v>0.95947781396255749</c:v>
                </c:pt>
                <c:pt idx="10">
                  <c:v>0.95001741429540343</c:v>
                </c:pt>
                <c:pt idx="11">
                  <c:v>0.93863942316403937</c:v>
                </c:pt>
                <c:pt idx="12">
                  <c:v>0.92475521499811197</c:v>
                </c:pt>
                <c:pt idx="13">
                  <c:v>0.90746428639717291</c:v>
                </c:pt>
                <c:pt idx="14">
                  <c:v>0.88531041115248466</c:v>
                </c:pt>
                <c:pt idx="15">
                  <c:v>0.85580120179529517</c:v>
                </c:pt>
                <c:pt idx="16">
                  <c:v>0.8144640218437329</c:v>
                </c:pt>
                <c:pt idx="17">
                  <c:v>0.75293630995913874</c:v>
                </c:pt>
                <c:pt idx="18">
                  <c:v>0.65386697430316643</c:v>
                </c:pt>
                <c:pt idx="19">
                  <c:v>0.47078231890322431</c:v>
                </c:pt>
                <c:pt idx="20">
                  <c:v>0.4135289459099718</c:v>
                </c:pt>
                <c:pt idx="21">
                  <c:v>0.34410505167532562</c:v>
                </c:pt>
                <c:pt idx="22">
                  <c:v>0.25786215612821467</c:v>
                </c:pt>
                <c:pt idx="23">
                  <c:v>0.14733318232448125</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1.0025945862222858</c:v>
                </c:pt>
                <c:pt idx="2">
                  <c:v>1.0041679729175457</c:v>
                </c:pt>
                <c:pt idx="3">
                  <c:v>1.0046825583600916</c:v>
                </c:pt>
                <c:pt idx="4">
                  <c:v>1.0040707820915791</c:v>
                </c:pt>
                <c:pt idx="5">
                  <c:v>1.0022314066678499</c:v>
                </c:pt>
                <c:pt idx="6">
                  <c:v>0.99902169236050808</c:v>
                </c:pt>
                <c:pt idx="7">
                  <c:v>0.99424555845089935</c:v>
                </c:pt>
                <c:pt idx="8">
                  <c:v>0.98763445461175026</c:v>
                </c:pt>
                <c:pt idx="9">
                  <c:v>0.97881695781569544</c:v>
                </c:pt>
                <c:pt idx="10">
                  <c:v>0.96726874007810382</c:v>
                </c:pt>
                <c:pt idx="11">
                  <c:v>0.95222684459547913</c:v>
                </c:pt>
                <c:pt idx="12">
                  <c:v>0.93253538315139317</c:v>
                </c:pt>
                <c:pt idx="13">
                  <c:v>0.90634862423340012</c:v>
                </c:pt>
                <c:pt idx="14">
                  <c:v>0.87051974827210887</c:v>
                </c:pt>
                <c:pt idx="15">
                  <c:v>0.81925305752022481</c:v>
                </c:pt>
                <c:pt idx="16">
                  <c:v>0.74114205885422446</c:v>
                </c:pt>
                <c:pt idx="17">
                  <c:v>0.61556986912424705</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1.0035639662027487</c:v>
                </c:pt>
                <c:pt idx="2">
                  <c:v>1.0067261080057168</c:v>
                </c:pt>
                <c:pt idx="3">
                  <c:v>1.009436462883669</c:v>
                </c:pt>
                <c:pt idx="4">
                  <c:v>1.01163404326017</c:v>
                </c:pt>
                <c:pt idx="5">
                  <c:v>1.013243824156145</c:v>
                </c:pt>
                <c:pt idx="6">
                  <c:v>1.0141724012250519</c:v>
                </c:pt>
                <c:pt idx="7">
                  <c:v>1.0143020167575676</c:v>
                </c:pt>
                <c:pt idx="8">
                  <c:v>1.0134817023685911</c:v>
                </c:pt>
                <c:pt idx="9">
                  <c:v>1.0115138722803971</c:v>
                </c:pt>
                <c:pt idx="10">
                  <c:v>1.0081328454431739</c:v>
                </c:pt>
                <c:pt idx="11">
                  <c:v>1.00296908753884</c:v>
                </c:pt>
                <c:pt idx="12">
                  <c:v>0.99548414501895155</c:v>
                </c:pt>
                <c:pt idx="13">
                  <c:v>0.98484411742628741</c:v>
                </c:pt>
                <c:pt idx="14">
                  <c:v>0.96965010340467384</c:v>
                </c:pt>
                <c:pt idx="15">
                  <c:v>0.94732923392592783</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0.97665190836283655</c:v>
                </c:pt>
                <c:pt idx="2">
                  <c:v>0.94891375291778601</c:v>
                </c:pt>
                <c:pt idx="3">
                  <c:v>0.91632605734349371</c:v>
                </c:pt>
                <c:pt idx="4">
                  <c:v>0.87865644458795733</c:v>
                </c:pt>
                <c:pt idx="5">
                  <c:v>0.83608465324626224</c:v>
                </c:pt>
                <c:pt idx="6">
                  <c:v>0.78944573098810134</c:v>
                </c:pt>
                <c:pt idx="7">
                  <c:v>0.74077011888833566</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0.98522109333148</c:v>
                </c:pt>
                <c:pt idx="2">
                  <c:v>0.96897308790149594</c:v>
                </c:pt>
                <c:pt idx="3">
                  <c:v>0.95101999501765266</c:v>
                </c:pt>
                <c:pt idx="4">
                  <c:v>0.93108218857876779</c:v>
                </c:pt>
                <c:pt idx="5">
                  <c:v>0.90883046401877132</c:v>
                </c:pt>
                <c:pt idx="6">
                  <c:v>0.88388229847568356</c:v>
                </c:pt>
                <c:pt idx="7">
                  <c:v>0.85580303623885168</c:v>
                </c:pt>
                <c:pt idx="8">
                  <c:v>0.82411762748303097</c:v>
                </c:pt>
                <c:pt idx="9">
                  <c:v>0.78834060059910838</c:v>
                </c:pt>
                <c:pt idx="10">
                  <c:v>0.74803670807352585</c:v>
                </c:pt>
                <c:pt idx="11">
                  <c:v>0.70292291514587979</c:v>
                </c:pt>
                <c:pt idx="12">
                  <c:v>0.65301610403959931</c:v>
                </c:pt>
                <c:pt idx="13">
                  <c:v>0.59879494178760884</c:v>
                </c:pt>
                <c:pt idx="14">
                  <c:v>0.54126832669786673</c:v>
                </c:pt>
                <c:pt idx="15">
                  <c:v>0.48173913906388871</c:v>
                </c:pt>
                <c:pt idx="16">
                  <c:v>0.42104341549503627</c:v>
                </c:pt>
                <c:pt idx="17">
                  <c:v>0.35822165341251033</c:v>
                </c:pt>
                <c:pt idx="18">
                  <c:v>0.28863553727136204</c:v>
                </c:pt>
                <c:pt idx="19">
                  <c:v>0.19946388064469767</c:v>
                </c:pt>
                <c:pt idx="20">
                  <c:v>0</c:v>
                </c:pt>
                <c:pt idx="21">
                  <c:v>0</c:v>
                </c:pt>
                <c:pt idx="22">
                  <c:v>0</c:v>
                </c:pt>
                <c:pt idx="23">
                  <c:v>0</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0.98745478718715329</c:v>
                </c:pt>
                <c:pt idx="2">
                  <c:v>0.97383959704147083</c:v>
                </c:pt>
                <c:pt idx="3">
                  <c:v>0.95899547643907679</c:v>
                </c:pt>
                <c:pt idx="4">
                  <c:v>0.94273100447280977</c:v>
                </c:pt>
                <c:pt idx="5">
                  <c:v>0.92481386591850712</c:v>
                </c:pt>
                <c:pt idx="6">
                  <c:v>0.90495953717722188</c:v>
                </c:pt>
                <c:pt idx="7">
                  <c:v>0.88281740505978101</c:v>
                </c:pt>
                <c:pt idx="8">
                  <c:v>0.85795231336544653</c:v>
                </c:pt>
                <c:pt idx="9">
                  <c:v>0.82982100974390816</c:v>
                </c:pt>
                <c:pt idx="10">
                  <c:v>0.7977434449026467</c:v>
                </c:pt>
                <c:pt idx="11">
                  <c:v>0.76086939556482891</c:v>
                </c:pt>
                <c:pt idx="12">
                  <c:v>0.71814449593622409</c:v>
                </c:pt>
                <c:pt idx="13">
                  <c:v>0.66828629223553437</c:v>
                </c:pt>
                <c:pt idx="14">
                  <c:v>0.60979072723323313</c:v>
                </c:pt>
                <c:pt idx="15">
                  <c:v>0.54100107583978752</c:v>
                </c:pt>
                <c:pt idx="16">
                  <c:v>0.46027223337099443</c:v>
                </c:pt>
                <c:pt idx="17">
                  <c:v>0.36623315677763235</c:v>
                </c:pt>
                <c:pt idx="18">
                  <c:v>0.25808009452024033</c:v>
                </c:pt>
                <c:pt idx="19">
                  <c:v>0.13576899162396186</c:v>
                </c:pt>
                <c:pt idx="20">
                  <c:v>0.10965823964279608</c:v>
                </c:pt>
                <c:pt idx="21">
                  <c:v>8.3016145801479854E-2</c:v>
                </c:pt>
                <c:pt idx="22">
                  <c:v>5.5852197147360935E-2</c:v>
                </c:pt>
                <c:pt idx="23">
                  <c:v>2.8176562867840697E-2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0.56058995943839174</c:v>
                </c:pt>
                <c:pt idx="1">
                  <c:v>0.56435806775340513</c:v>
                </c:pt>
                <c:pt idx="2">
                  <c:v>0.56150295180158516</c:v>
                </c:pt>
                <c:pt idx="3">
                  <c:v>0.55863428637504242</c:v>
                </c:pt>
                <c:pt idx="4">
                  <c:v>0.55575123444648522</c:v>
                </c:pt>
                <c:pt idx="5">
                  <c:v>0.55285315344969399</c:v>
                </c:pt>
                <c:pt idx="6">
                  <c:v>0.54994000442982405</c:v>
                </c:pt>
                <c:pt idx="7">
                  <c:v>0.54701274305636927</c:v>
                </c:pt>
                <c:pt idx="8">
                  <c:v>0.54407431794811911</c:v>
                </c:pt>
                <c:pt idx="9">
                  <c:v>0.54113105645448556</c:v>
                </c:pt>
                <c:pt idx="10">
                  <c:v>0.53819512886262688</c:v>
                </c:pt>
                <c:pt idx="11">
                  <c:v>0.5352885922690086</c:v>
                </c:pt>
                <c:pt idx="12">
                  <c:v>0.53245010067044019</c:v>
                </c:pt>
                <c:pt idx="13">
                  <c:v>0.52974568103057629</c:v>
                </c:pt>
                <c:pt idx="14">
                  <c:v>0.52728426868303613</c:v>
                </c:pt>
                <c:pt idx="15">
                  <c:v>0.52523142699810099</c:v>
                </c:pt>
                <c:pt idx="16">
                  <c:v>0.52378604525930617</c:v>
                </c:pt>
                <c:pt idx="17">
                  <c:v>0.52304413311510634</c:v>
                </c:pt>
                <c:pt idx="18">
                  <c:v>0.52282056133697252</c:v>
                </c:pt>
                <c:pt idx="19">
                  <c:v>0.52279169030063133</c:v>
                </c:pt>
                <c:pt idx="20">
                  <c:v>0.52279118998151086</c:v>
                </c:pt>
                <c:pt idx="21">
                  <c:v>0.52279100829522007</c:v>
                </c:pt>
                <c:pt idx="22">
                  <c:v>0.5227909562439228</c:v>
                </c:pt>
                <c:pt idx="23">
                  <c:v>0.52279094591232</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0.56058995943839174</c:v>
                </c:pt>
                <c:pt idx="1">
                  <c:v>0.56142928339086406</c:v>
                </c:pt>
                <c:pt idx="2">
                  <c:v>0.55542435687717917</c:v>
                </c:pt>
                <c:pt idx="3">
                  <c:v>0.54915029781784019</c:v>
                </c:pt>
                <c:pt idx="4">
                  <c:v>0.5425636019753648</c:v>
                </c:pt>
                <c:pt idx="5">
                  <c:v>0.53560999715027491</c:v>
                </c:pt>
                <c:pt idx="6">
                  <c:v>0.52821998955745653</c:v>
                </c:pt>
                <c:pt idx="7">
                  <c:v>0.52030257944499403</c:v>
                </c:pt>
                <c:pt idx="8">
                  <c:v>0.51173442091286347</c:v>
                </c:pt>
                <c:pt idx="9">
                  <c:v>0.5023419823444023</c:v>
                </c:pt>
                <c:pt idx="10">
                  <c:v>0.49186971074431635</c:v>
                </c:pt>
                <c:pt idx="11">
                  <c:v>0.47992153871765608</c:v>
                </c:pt>
                <c:pt idx="12">
                  <c:v>0.46584677357396209</c:v>
                </c:pt>
                <c:pt idx="13">
                  <c:v>0.44850534416857629</c:v>
                </c:pt>
                <c:pt idx="14">
                  <c:v>0.4257576626821854</c:v>
                </c:pt>
                <c:pt idx="15">
                  <c:v>0.39330845056790825</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0.56058995943839174</c:v>
                </c:pt>
                <c:pt idx="1">
                  <c:v>0.56433100521565016</c:v>
                </c:pt>
                <c:pt idx="2">
                  <c:v>0.56144770878138517</c:v>
                </c:pt>
                <c:pt idx="3">
                  <c:v>0.55854958152609091</c:v>
                </c:pt>
                <c:pt idx="4">
                  <c:v>0.55563564185859571</c:v>
                </c:pt>
                <c:pt idx="5">
                  <c:v>0.55270515008716714</c:v>
                </c:pt>
                <c:pt idx="6">
                  <c:v>0.54975807575616387</c:v>
                </c:pt>
                <c:pt idx="7">
                  <c:v>0.54679555882732933</c:v>
                </c:pt>
                <c:pt idx="8">
                  <c:v>0.54382105373328204</c:v>
                </c:pt>
                <c:pt idx="9">
                  <c:v>0.54084189364487889</c:v>
                </c:pt>
                <c:pt idx="10">
                  <c:v>0.53787208885938476</c:v>
                </c:pt>
                <c:pt idx="11">
                  <c:v>0.53493681878838861</c:v>
                </c:pt>
                <c:pt idx="12">
                  <c:v>0.53207988324681743</c:v>
                </c:pt>
                <c:pt idx="13">
                  <c:v>0.52937537067480478</c:v>
                </c:pt>
                <c:pt idx="14">
                  <c:v>0.52694367420348776</c:v>
                </c:pt>
                <c:pt idx="15">
                  <c:v>0.52496200337354804</c:v>
                </c:pt>
                <c:pt idx="16">
                  <c:v>0.52362538536160308</c:v>
                </c:pt>
                <c:pt idx="17">
                  <c:v>0.52298649101916139</c:v>
                </c:pt>
                <c:pt idx="18">
                  <c:v>0.52281167243310278</c:v>
                </c:pt>
                <c:pt idx="19">
                  <c:v>0.52279141841484145</c:v>
                </c:pt>
                <c:pt idx="20">
                  <c:v>0.52279109919515476</c:v>
                </c:pt>
                <c:pt idx="21">
                  <c:v>0.52279098506093902</c:v>
                </c:pt>
                <c:pt idx="22">
                  <c:v>0.5227909523982861</c:v>
                </c:pt>
                <c:pt idx="23">
                  <c:v>0.52279094578632934</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0.56058995943839174</c:v>
                </c:pt>
                <c:pt idx="1">
                  <c:v>0.56097851529026921</c:v>
                </c:pt>
                <c:pt idx="2">
                  <c:v>0.55457832976306198</c:v>
                </c:pt>
                <c:pt idx="3">
                  <c:v>0.54795964547290421</c:v>
                </c:pt>
                <c:pt idx="4">
                  <c:v>0.54107606965512667</c:v>
                </c:pt>
                <c:pt idx="5">
                  <c:v>0.53387244572438575</c:v>
                </c:pt>
                <c:pt idx="6">
                  <c:v>0.52628084844509526</c:v>
                </c:pt>
                <c:pt idx="7">
                  <c:v>0.51821483847434102</c:v>
                </c:pt>
                <c:pt idx="8">
                  <c:v>0.50956043904175352</c:v>
                </c:pt>
                <c:pt idx="9">
                  <c:v>0.50016184330711244</c:v>
                </c:pt>
                <c:pt idx="10">
                  <c:v>0.48979749518410171</c:v>
                </c:pt>
                <c:pt idx="11">
                  <c:v>0.47814014540658023</c:v>
                </c:pt>
                <c:pt idx="12">
                  <c:v>0.46468894845121594</c:v>
                </c:pt>
                <c:pt idx="13">
                  <c:v>0.44865853060016497</c:v>
                </c:pt>
                <c:pt idx="14">
                  <c:v>0.42882935626280266</c:v>
                </c:pt>
                <c:pt idx="15">
                  <c:v>0.40352988105668974</c:v>
                </c:pt>
                <c:pt idx="16">
                  <c:v>0.37178741749829591</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0.56058995943839174</c:v>
                </c:pt>
                <c:pt idx="1">
                  <c:v>0.57947559898033241</c:v>
                </c:pt>
                <c:pt idx="2">
                  <c:v>0.59217855800247432</c:v>
                </c:pt>
                <c:pt idx="3">
                  <c:v>0.60537501059308307</c:v>
                </c:pt>
                <c:pt idx="4">
                  <c:v>0.61914611305400258</c:v>
                </c:pt>
                <c:pt idx="5">
                  <c:v>0.63359473053567839</c:v>
                </c:pt>
                <c:pt idx="6">
                  <c:v>0.64885508838425654</c:v>
                </c:pt>
                <c:pt idx="7">
                  <c:v>0.66510783330072687</c:v>
                </c:pt>
                <c:pt idx="8">
                  <c:v>0.6826045850398712</c:v>
                </c:pt>
                <c:pt idx="9">
                  <c:v>0.70170915594424299</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0.56058995943839174</c:v>
                </c:pt>
                <c:pt idx="1">
                  <c:v>0.57441786787385696</c:v>
                </c:pt>
                <c:pt idx="2">
                  <c:v>0.58115867723515535</c:v>
                </c:pt>
                <c:pt idx="3">
                  <c:v>0.58728656943116675</c:v>
                </c:pt>
                <c:pt idx="4">
                  <c:v>0.5926673266106558</c:v>
                </c:pt>
                <c:pt idx="5">
                  <c:v>0.59719136000674244</c:v>
                </c:pt>
                <c:pt idx="6">
                  <c:v>0.60078686686429061</c:v>
                </c:pt>
                <c:pt idx="7">
                  <c:v>0.60339832429169726</c:v>
                </c:pt>
                <c:pt idx="8">
                  <c:v>0</c:v>
                </c:pt>
                <c:pt idx="9">
                  <c:v>0</c:v>
                </c:pt>
                <c:pt idx="10">
                  <c:v>0</c:v>
                </c:pt>
                <c:pt idx="11">
                  <c:v>0</c:v>
                </c:pt>
                <c:pt idx="12">
                  <c:v>0</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0.56058995943839174</c:v>
                </c:pt>
                <c:pt idx="1">
                  <c:v>0.56659998240160492</c:v>
                </c:pt>
                <c:pt idx="2">
                  <c:v>0.56598927835307988</c:v>
                </c:pt>
                <c:pt idx="3">
                  <c:v>0.56536461814634598</c:v>
                </c:pt>
                <c:pt idx="4">
                  <c:v>0.56472126021108682</c:v>
                </c:pt>
                <c:pt idx="5">
                  <c:v>0.56405330873286708</c:v>
                </c:pt>
                <c:pt idx="6">
                  <c:v>0.56335347225949262</c:v>
                </c:pt>
                <c:pt idx="7">
                  <c:v>0.56261274561319208</c:v>
                </c:pt>
                <c:pt idx="8">
                  <c:v>0.56182008474476841</c:v>
                </c:pt>
                <c:pt idx="9">
                  <c:v>0.56096205928625742</c:v>
                </c:pt>
                <c:pt idx="10">
                  <c:v>0.56002259345369021</c:v>
                </c:pt>
                <c:pt idx="11">
                  <c:v>0.55898288404396512</c:v>
                </c:pt>
                <c:pt idx="12">
                  <c:v>0.55782179417882594</c:v>
                </c:pt>
                <c:pt idx="13">
                  <c:v>0.55651709601285937</c:v>
                </c:pt>
                <c:pt idx="14">
                  <c:v>0.5550481071550748</c:v>
                </c:pt>
                <c:pt idx="15">
                  <c:v>0.5534001338003609</c:v>
                </c:pt>
                <c:pt idx="16">
                  <c:v>0.55157039589679524</c:v>
                </c:pt>
                <c:pt idx="17">
                  <c:v>0.54957362274655552</c:v>
                </c:pt>
                <c:pt idx="18">
                  <c:v>0.54744403169233447</c:v>
                </c:pt>
                <c:pt idx="19">
                  <c:v>0.54523104664415534</c:v>
                </c:pt>
                <c:pt idx="20">
                  <c:v>0.54478331129391977</c:v>
                </c:pt>
                <c:pt idx="21">
                  <c:v>0.54433489145158209</c:v>
                </c:pt>
                <c:pt idx="22">
                  <c:v>0.543886212343066</c:v>
                </c:pt>
                <c:pt idx="23">
                  <c:v>0.54343768534659842</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0.56058995943839174</c:v>
                </c:pt>
                <c:pt idx="1">
                  <c:v>0.5677340714788619</c:v>
                </c:pt>
                <c:pt idx="2">
                  <c:v>0.56833721743124732</c:v>
                </c:pt>
                <c:pt idx="3">
                  <c:v>0.56901671333496151</c:v>
                </c:pt>
                <c:pt idx="4">
                  <c:v>0.56977957588180417</c:v>
                </c:pt>
                <c:pt idx="5">
                  <c:v>0.57063282229923273</c:v>
                </c:pt>
                <c:pt idx="6">
                  <c:v>0.57158297818259374</c:v>
                </c:pt>
                <c:pt idx="7">
                  <c:v>0.57263521788560601</c:v>
                </c:pt>
                <c:pt idx="8">
                  <c:v>0.57379191625317894</c:v>
                </c:pt>
                <c:pt idx="9">
                  <c:v>0.57505026280431082</c:v>
                </c:pt>
                <c:pt idx="10">
                  <c:v>0.57639825509450482</c:v>
                </c:pt>
                <c:pt idx="11">
                  <c:v>0.57780817476436619</c:v>
                </c:pt>
                <c:pt idx="12">
                  <c:v>0.57922601050217015</c:v>
                </c:pt>
                <c:pt idx="13">
                  <c:v>0.58055524212180043</c:v>
                </c:pt>
                <c:pt idx="14">
                  <c:v>0.58163372934159785</c:v>
                </c:pt>
                <c:pt idx="15">
                  <c:v>0.58220011207405564</c:v>
                </c:pt>
                <c:pt idx="16">
                  <c:v>0.58181857361772349</c:v>
                </c:pt>
                <c:pt idx="17">
                  <c:v>0.57959702863593365</c:v>
                </c:pt>
                <c:pt idx="18">
                  <c:v>0.57300813527310934</c:v>
                </c:pt>
                <c:pt idx="19">
                  <c:v>0.55202043193179628</c:v>
                </c:pt>
                <c:pt idx="20">
                  <c:v>0</c:v>
                </c:pt>
                <c:pt idx="21">
                  <c:v>0</c:v>
                </c:pt>
                <c:pt idx="22">
                  <c:v>0</c:v>
                </c:pt>
                <c:pt idx="23">
                  <c:v>0</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5.3264588942903368E-2</c:v>
                </c:pt>
                <c:pt idx="2">
                  <c:v>0.10534021009273802</c:v>
                </c:pt>
                <c:pt idx="3">
                  <c:v>0.16274041854184082</c:v>
                </c:pt>
                <c:pt idx="4">
                  <c:v>0.22639389288339509</c:v>
                </c:pt>
                <c:pt idx="5">
                  <c:v>0.29748507045296785</c:v>
                </c:pt>
                <c:pt idx="6">
                  <c:v>0.37755849001819158</c:v>
                </c:pt>
                <c:pt idx="7">
                  <c:v>0.46868087608674158</c:v>
                </c:pt>
                <c:pt idx="8">
                  <c:v>0.57370181806392162</c:v>
                </c:pt>
                <c:pt idx="9">
                  <c:v>0.69669359222921423</c:v>
                </c:pt>
                <c:pt idx="10">
                  <c:v>0.8437231726783353</c:v>
                </c:pt>
                <c:pt idx="11">
                  <c:v>1.0242867156861777</c:v>
                </c:pt>
                <c:pt idx="12">
                  <c:v>1.2541427986972027</c:v>
                </c:pt>
                <c:pt idx="13">
                  <c:v>1.5613242805355556</c:v>
                </c:pt>
                <c:pt idx="14">
                  <c:v>1.9999427877439693</c:v>
                </c:pt>
                <c:pt idx="15">
                  <c:v>2.6845960526303538</c:v>
                </c:pt>
                <c:pt idx="16">
                  <c:v>3.8828577905501973</c:v>
                </c:pt>
                <c:pt idx="17">
                  <c:v>6.2892211518459362</c:v>
                </c:pt>
                <c:pt idx="18">
                  <c:v>12.082142367304394</c:v>
                </c:pt>
                <c:pt idx="19">
                  <c:v>32.111124681610285</c:v>
                </c:pt>
                <c:pt idx="20">
                  <c:v>42.260847879137529</c:v>
                </c:pt>
                <c:pt idx="21">
                  <c:v>58.471687890322308</c:v>
                </c:pt>
                <c:pt idx="22">
                  <c:v>87.255014313942084</c:v>
                </c:pt>
                <c:pt idx="23">
                  <c:v>148.11398934480863</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5.6360007483831819E-2</c:v>
                </c:pt>
                <c:pt idx="2">
                  <c:v>0.11184029325818903</c:v>
                </c:pt>
                <c:pt idx="3">
                  <c:v>0.17300297800585213</c:v>
                </c:pt>
                <c:pt idx="4">
                  <c:v>0.24083815515781312</c:v>
                </c:pt>
                <c:pt idx="5">
                  <c:v>0.31660683013151864</c:v>
                </c:pt>
                <c:pt idx="6">
                  <c:v>0.40196336915716474</c:v>
                </c:pt>
                <c:pt idx="7">
                  <c:v>0.49912178505960902</c:v>
                </c:pt>
                <c:pt idx="8">
                  <c:v>0.61114936546286369</c:v>
                </c:pt>
                <c:pt idx="9">
                  <c:v>0.74245261492886516</c:v>
                </c:pt>
                <c:pt idx="10">
                  <c:v>0.89963996709003236</c:v>
                </c:pt>
                <c:pt idx="11">
                  <c:v>1.0931386943301522</c:v>
                </c:pt>
                <c:pt idx="12">
                  <c:v>1.340418928254578</c:v>
                </c:pt>
                <c:pt idx="13">
                  <c:v>1.6729007564682898</c:v>
                </c:pt>
                <c:pt idx="14">
                  <c:v>2.1519867854023644</c:v>
                </c:pt>
                <c:pt idx="15">
                  <c:v>2.9093529968655476</c:v>
                </c:pt>
                <c:pt idx="16">
                  <c:v>4.2554470357960099</c:v>
                </c:pt>
                <c:pt idx="17">
                  <c:v>6.9995228816815427</c:v>
                </c:pt>
                <c:pt idx="18">
                  <c:v>13.690338031997086</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5.5295082421593568E-2</c:v>
                </c:pt>
                <c:pt idx="2">
                  <c:v>0.10960951952066278</c:v>
                </c:pt>
                <c:pt idx="3">
                  <c:v>0.16949440886134501</c:v>
                </c:pt>
                <c:pt idx="4">
                  <c:v>0.23592794768418004</c:v>
                </c:pt>
                <c:pt idx="5">
                  <c:v>0.31016193152228755</c:v>
                </c:pt>
                <c:pt idx="6">
                  <c:v>0.39383562106001802</c:v>
                </c:pt>
                <c:pt idx="7">
                  <c:v>0.48915404995577366</c:v>
                </c:pt>
                <c:pt idx="8">
                  <c:v>0.59917661271342082</c:v>
                </c:pt>
                <c:pt idx="9">
                  <c:v>0.72830869344153737</c:v>
                </c:pt>
                <c:pt idx="10">
                  <c:v>0.88317074281243968</c:v>
                </c:pt>
                <c:pt idx="11">
                  <c:v>1.0742313498534406</c:v>
                </c:pt>
                <c:pt idx="12">
                  <c:v>1.3190633995139958</c:v>
                </c:pt>
                <c:pt idx="13">
                  <c:v>1.6493324679082593</c:v>
                </c:pt>
                <c:pt idx="14">
                  <c:v>2.1270055370592482</c:v>
                </c:pt>
                <c:pt idx="15">
                  <c:v>2.8849376603441557</c:v>
                </c:pt>
                <c:pt idx="16">
                  <c:v>4.2353096993855202</c:v>
                </c:pt>
                <c:pt idx="17">
                  <c:v>6.9874816651534468</c:v>
                </c:pt>
                <c:pt idx="18">
                  <c:v>13.68603121652478</c:v>
                </c:pt>
                <c:pt idx="19">
                  <c:v>37.007124483444983</c:v>
                </c:pt>
                <c:pt idx="20">
                  <c:v>48.750718007761982</c:v>
                </c:pt>
                <c:pt idx="21">
                  <c:v>67.274689425411381</c:v>
                </c:pt>
                <c:pt idx="22">
                  <c:v>99.291454084221201</c:v>
                </c:pt>
                <c:pt idx="23">
                  <c:v>162.94281696416638</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6.0438600909018841E-2</c:v>
                </c:pt>
                <c:pt idx="2">
                  <c:v>0.11992356497497968</c:v>
                </c:pt>
                <c:pt idx="3">
                  <c:v>0.18502549942231886</c:v>
                </c:pt>
                <c:pt idx="4">
                  <c:v>0.25673080788314895</c:v>
                </c:pt>
                <c:pt idx="5">
                  <c:v>0.33628053388787721</c:v>
                </c:pt>
                <c:pt idx="6">
                  <c:v>0.42527629462084465</c:v>
                </c:pt>
                <c:pt idx="7">
                  <c:v>0.52583679820406715</c:v>
                </c:pt>
                <c:pt idx="8">
                  <c:v>0.64084585884001322</c:v>
                </c:pt>
                <c:pt idx="9">
                  <c:v>0.77435340423337451</c:v>
                </c:pt>
                <c:pt idx="10">
                  <c:v>0.93224692327322622</c:v>
                </c:pt>
                <c:pt idx="11">
                  <c:v>1.1234078179077609</c:v>
                </c:pt>
                <c:pt idx="12">
                  <c:v>1.3617537260945667</c:v>
                </c:pt>
                <c:pt idx="13">
                  <c:v>1.6698265952806168</c:v>
                </c:pt>
                <c:pt idx="14">
                  <c:v>2.0845331495511297</c:v>
                </c:pt>
                <c:pt idx="15">
                  <c:v>2.6620191827846704</c:v>
                </c:pt>
                <c:pt idx="16">
                  <c:v>3.4537096780483338</c:v>
                </c:pt>
                <c:pt idx="17">
                  <c:v>4.3377904781822467</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5.434901980127238E-2</c:v>
                </c:pt>
                <c:pt idx="2">
                  <c:v>0.10795966221017568</c:v>
                </c:pt>
                <c:pt idx="3">
                  <c:v>0.16748659960347076</c:v>
                </c:pt>
                <c:pt idx="4">
                  <c:v>0.23405950174977389</c:v>
                </c:pt>
                <c:pt idx="5">
                  <c:v>0.30915573833556054</c:v>
                </c:pt>
                <c:pt idx="6">
                  <c:v>0.39475656745190146</c:v>
                </c:pt>
                <c:pt idx="7">
                  <c:v>0.49359685990444191</c:v>
                </c:pt>
                <c:pt idx="8">
                  <c:v>0.60958029411413572</c:v>
                </c:pt>
                <c:pt idx="9">
                  <c:v>0.74849963082318283</c:v>
                </c:pt>
                <c:pt idx="10">
                  <c:v>0.91934768031871061</c:v>
                </c:pt>
                <c:pt idx="11">
                  <c:v>1.1368542642758206</c:v>
                </c:pt>
                <c:pt idx="12">
                  <c:v>1.4266900686653945</c:v>
                </c:pt>
                <c:pt idx="13">
                  <c:v>1.8369044948249567</c:v>
                </c:pt>
                <c:pt idx="14">
                  <c:v>2.4645709120394623</c:v>
                </c:pt>
                <c:pt idx="15">
                  <c:v>3.5202387571230811</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3.3877643901445827E-2</c:v>
                </c:pt>
                <c:pt idx="2">
                  <c:v>6.1079762418396889E-2</c:v>
                </c:pt>
                <c:pt idx="3">
                  <c:v>8.6625460232075707E-2</c:v>
                </c:pt>
                <c:pt idx="4">
                  <c:v>0.10971359806031232</c:v>
                </c:pt>
                <c:pt idx="5">
                  <c:v>0.12960971811696112</c:v>
                </c:pt>
                <c:pt idx="6">
                  <c:v>0.14575186035621601</c:v>
                </c:pt>
                <c:pt idx="7">
                  <c:v>0.15770233316018481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4.2982762204895983E-2</c:v>
                </c:pt>
                <c:pt idx="2">
                  <c:v>8.2561188105078356E-2</c:v>
                </c:pt>
                <c:pt idx="3">
                  <c:v>0.12466623160997088</c:v>
                </c:pt>
                <c:pt idx="4">
                  <c:v>0.16945365998887768</c:v>
                </c:pt>
                <c:pt idx="5">
                  <c:v>0.21707002126271158</c:v>
                </c:pt>
                <c:pt idx="6">
                  <c:v>0.267648632691665</c:v>
                </c:pt>
                <c:pt idx="7">
                  <c:v>0.32131119654021822</c:v>
                </c:pt>
                <c:pt idx="8">
                  <c:v>0.37818854325200674</c:v>
                </c:pt>
                <c:pt idx="9">
                  <c:v>0.43848882588914795</c:v>
                </c:pt>
                <c:pt idx="10">
                  <c:v>0.50267435385928738</c:v>
                </c:pt>
                <c:pt idx="11">
                  <c:v>0.57187823279593042</c:v>
                </c:pt>
                <c:pt idx="12">
                  <c:v>0.64883200718540224</c:v>
                </c:pt>
                <c:pt idx="13">
                  <c:v>0.73987066798628642</c:v>
                </c:pt>
                <c:pt idx="14">
                  <c:v>0.85928869014376175</c:v>
                </c:pt>
                <c:pt idx="15">
                  <c:v>1.0395784179464795</c:v>
                </c:pt>
                <c:pt idx="16">
                  <c:v>1.3606052134043376</c:v>
                </c:pt>
                <c:pt idx="17">
                  <c:v>2.0577805505103837</c:v>
                </c:pt>
                <c:pt idx="18">
                  <c:v>4.0410941513062282</c:v>
                </c:pt>
                <c:pt idx="19">
                  <c:v>12.879091059900496</c:v>
                </c:pt>
                <c:pt idx="20">
                  <c:v>0</c:v>
                </c:pt>
                <c:pt idx="21">
                  <c:v>0</c:v>
                </c:pt>
                <c:pt idx="22">
                  <c:v>0</c:v>
                </c:pt>
                <c:pt idx="23">
                  <c:v>0</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4.6257260950744589E-2</c:v>
                </c:pt>
                <c:pt idx="2">
                  <c:v>8.9990572299602667E-2</c:v>
                </c:pt>
                <c:pt idx="3">
                  <c:v>0.13736710345633904</c:v>
                </c:pt>
                <c:pt idx="4">
                  <c:v>0.18884838679660709</c:v>
                </c:pt>
                <c:pt idx="5">
                  <c:v>0.24497600763203758</c:v>
                </c:pt>
                <c:pt idx="6">
                  <c:v>0.30638865389788472</c:v>
                </c:pt>
                <c:pt idx="7">
                  <c:v>0.3738429494290243</c:v>
                </c:pt>
                <c:pt idx="8">
                  <c:v>0.44823733639533125</c:v>
                </c:pt>
                <c:pt idx="9">
                  <c:v>0.53063891147853737</c:v>
                </c:pt>
                <c:pt idx="10">
                  <c:v>0.62230771208310487</c:v>
                </c:pt>
                <c:pt idx="11">
                  <c:v>0.72471141308108211</c:v>
                </c:pt>
                <c:pt idx="12">
                  <c:v>0.83951130458126944</c:v>
                </c:pt>
                <c:pt idx="13">
                  <c:v>0.96848945786765928</c:v>
                </c:pt>
                <c:pt idx="14">
                  <c:v>1.1133716642841205</c:v>
                </c:pt>
                <c:pt idx="15">
                  <c:v>1.2755018145135393</c:v>
                </c:pt>
                <c:pt idx="16">
                  <c:v>1.4553682840818822</c:v>
                </c:pt>
                <c:pt idx="17">
                  <c:v>1.6521016310255803</c:v>
                </c:pt>
                <c:pt idx="18">
                  <c:v>1.8631992392969376</c:v>
                </c:pt>
                <c:pt idx="19">
                  <c:v>2.0847324239218614</c:v>
                </c:pt>
                <c:pt idx="20">
                  <c:v>2.1298839922178519</c:v>
                </c:pt>
                <c:pt idx="21">
                  <c:v>2.1752277215333891</c:v>
                </c:pt>
                <c:pt idx="22">
                  <c:v>2.220725895289196</c:v>
                </c:pt>
                <c:pt idx="23">
                  <c:v>2.2663415549364951</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1152094" cy="7279341"/>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95" zoomScaleNormal="100" workbookViewId="0">
      <selection activeCell="S137" sqref="A127:S137"/>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1000.0000000000014</v>
      </c>
      <c r="I21">
        <v>999.99999999999898</v>
      </c>
      <c r="K21" s="120">
        <f t="array" ref="K21:L21">H21:I21-pY</f>
        <v>1.3642420526593924E-12</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1457.0034251455254</v>
      </c>
      <c r="O32" s="29">
        <v>1457.0034251455224</v>
      </c>
      <c r="P32" t="s">
        <v>133</v>
      </c>
    </row>
    <row r="33" spans="2:16" x14ac:dyDescent="0.2">
      <c r="B33" t="s">
        <v>18</v>
      </c>
      <c r="C33" s="178">
        <v>1000</v>
      </c>
      <c r="D33" s="179">
        <v>1000</v>
      </c>
      <c r="E33" t="s">
        <v>56</v>
      </c>
      <c r="K33" s="125"/>
      <c r="L33" s="125"/>
      <c r="N33" s="29">
        <f t="array" ref="N33:O33">aKL*(K/KL)^(rhoKL-1)*pKL</f>
        <v>999.99999999999864</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999.99999999999886</v>
      </c>
      <c r="K34" s="120">
        <f t="array" ref="K34:L34">H34:I34-pKL</f>
        <v>0</v>
      </c>
      <c r="L34" s="120">
        <v>-1.1368683772161603E-12</v>
      </c>
    </row>
    <row r="35" spans="2:16" x14ac:dyDescent="0.2">
      <c r="B35" t="s">
        <v>62</v>
      </c>
      <c r="C35" s="170">
        <v>1000</v>
      </c>
      <c r="D35" s="171">
        <v>1000</v>
      </c>
      <c r="H35" s="29">
        <f t="array" ref="H35:I35">(aKLE^sigmaKLE*pKL^(1-sigmaKLE)+bKLE^sigmaKLE*pEY^(1-sigmaKLE))^(1/(1-sigmaKLE))</f>
        <v>1000.0000000000002</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262.78711299999759</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1145.754757999995</v>
      </c>
      <c r="K40" s="120">
        <f t="array" ref="K40:L40">H40:I40-D</f>
        <v>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13763.097676000007</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14362.768558000025</v>
      </c>
      <c r="I48" s="29">
        <v>817.26650999999993</v>
      </c>
      <c r="K48" s="120">
        <f t="array" ref="K48:L48">H48:I48-KLE</f>
        <v>2.1827872842550278E-11</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0.47195767671988198</v>
      </c>
      <c r="I70" s="38">
        <v>0.31738834428178964</v>
      </c>
      <c r="K70" s="120">
        <f t="array" ref="K70:L71">H70:I71-C70:D71</f>
        <v>6.6613381477509392E-16</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0.34962461301992509</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0.18079094942242824</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0.22092201281804763</v>
      </c>
      <c r="K73" s="120">
        <f t="array" ref="K73:L73">H73:I73-kappa</f>
        <v>0</v>
      </c>
      <c r="L73" s="120">
        <v>0</v>
      </c>
    </row>
    <row r="75" spans="2:14" x14ac:dyDescent="0.2">
      <c r="F75" t="s">
        <v>42</v>
      </c>
    </row>
    <row r="77" spans="2:14" x14ac:dyDescent="0.2">
      <c r="B77" t="s">
        <v>129</v>
      </c>
      <c r="C77" s="183">
        <f t="array" ref="C77:D77">(S/D)^rhoS*pD*D/(pD*D+pW*M)</f>
        <v>0.96381792329050164</v>
      </c>
      <c r="D77" s="184">
        <v>0.94968696469905056</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0.65721667750764312</v>
      </c>
      <c r="F78" s="129">
        <f t="array" ref="F78:G78">F77:G77-S</f>
        <v>0</v>
      </c>
      <c r="G78" s="130">
        <v>0</v>
      </c>
      <c r="J78">
        <v>0.29150803042407891</v>
      </c>
      <c r="K78">
        <v>0.76679688485558739</v>
      </c>
      <c r="M78">
        <v>0.23922401666925366</v>
      </c>
      <c r="N78">
        <v>0.68167509101198809</v>
      </c>
    </row>
    <row r="79" spans="2:14" x14ac:dyDescent="0.2">
      <c r="B79" t="s">
        <v>131</v>
      </c>
      <c r="C79" s="187">
        <v>2</v>
      </c>
      <c r="D79" s="188">
        <v>4</v>
      </c>
      <c r="J79">
        <v>2</v>
      </c>
      <c r="K79">
        <v>3.7610000000000001</v>
      </c>
      <c r="M79">
        <v>2</v>
      </c>
      <c r="N79">
        <v>4</v>
      </c>
    </row>
    <row r="80" spans="2:14" x14ac:dyDescent="0.2">
      <c r="B80" t="s">
        <v>132</v>
      </c>
      <c r="C80" s="189">
        <f t="array" ref="C80:D80">(sigmaS-1)/sigmaS</f>
        <v>0.5</v>
      </c>
      <c r="D80" s="190">
        <v>0.75</v>
      </c>
      <c r="J80">
        <v>0.5</v>
      </c>
      <c r="K80">
        <v>0.73411326774793939</v>
      </c>
      <c r="M80">
        <v>0.5</v>
      </c>
      <c r="N80">
        <v>0.75</v>
      </c>
    </row>
    <row r="81" spans="2:14" x14ac:dyDescent="0.2">
      <c r="C81" s="191"/>
      <c r="D81" s="191"/>
    </row>
    <row r="82" spans="2:14" x14ac:dyDescent="0.2">
      <c r="B82" t="s">
        <v>31</v>
      </c>
      <c r="C82" s="183">
        <f t="array" ref="C82:D82">(KL/K)^rhoKL*pK*K/(pK*K+pL*Labour)</f>
        <v>6.2297252684317761E-3</v>
      </c>
      <c r="D82" s="184">
        <v>1.1323039100895927E-2</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1.7896188409690724E-3</v>
      </c>
      <c r="D83" s="186">
        <v>5.295408999879611E-10</v>
      </c>
      <c r="F83" s="129">
        <f t="array" ref="F83:G83">F82:G82-KL</f>
        <v>0</v>
      </c>
      <c r="G83" s="130">
        <v>0</v>
      </c>
      <c r="J83">
        <v>0.1069127767935206</v>
      </c>
      <c r="K83">
        <v>2.4476064673301264E-2</v>
      </c>
      <c r="M83">
        <v>5.4594777174641881E-2</v>
      </c>
      <c r="N83">
        <v>1.1890509449475719E-4</v>
      </c>
    </row>
    <row r="84" spans="2:14" x14ac:dyDescent="0.2">
      <c r="B84" t="s">
        <v>33</v>
      </c>
      <c r="C84" s="187">
        <v>0.15</v>
      </c>
      <c r="D84" s="188">
        <v>7.4999999999999997E-2</v>
      </c>
      <c r="J84">
        <v>0.42</v>
      </c>
      <c r="K84">
        <v>0.45010780507311415</v>
      </c>
      <c r="M84">
        <v>0.3</v>
      </c>
      <c r="N84">
        <v>0.15</v>
      </c>
    </row>
    <row r="85" spans="2:14" x14ac:dyDescent="0.2">
      <c r="B85" t="s">
        <v>34</v>
      </c>
      <c r="C85" s="189">
        <f t="array" ref="C85:D85">(sigmaKL-1)/sigmaKL</f>
        <v>-5.666666666666667</v>
      </c>
      <c r="D85" s="190">
        <v>-12.333333333333334</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0.91823968729733552</v>
      </c>
      <c r="D87" s="184">
        <v>4.7914221543935986E-2</v>
      </c>
      <c r="E87" s="62" t="s">
        <v>53</v>
      </c>
      <c r="F87" s="63">
        <f t="array" ref="F87:G87">(aKLE*KL^rhoKLE+bKLE*(alphaEY*Y)^rhoKLE)^(1/rhoKLE)</f>
        <v>14362.768558</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1.7332060821993295E-3</v>
      </c>
      <c r="D88" s="186">
        <v>7.8814252643960914E-2</v>
      </c>
      <c r="F88" s="129">
        <f t="array" ref="F88:G88">F87:G87-KLE</f>
        <v>0</v>
      </c>
      <c r="G88" s="130">
        <v>0</v>
      </c>
      <c r="J88">
        <v>1.757694977252001E-4</v>
      </c>
      <c r="K88">
        <v>0.13475758340934371</v>
      </c>
      <c r="M88">
        <v>2.214314390241483E-3</v>
      </c>
      <c r="N88">
        <v>6.1425571228765741E-2</v>
      </c>
    </row>
    <row r="89" spans="2:14" x14ac:dyDescent="0.2">
      <c r="B89" t="s">
        <v>51</v>
      </c>
      <c r="C89" s="187">
        <v>0.5</v>
      </c>
      <c r="D89" s="188">
        <v>0.25</v>
      </c>
      <c r="J89">
        <v>0.3518</v>
      </c>
      <c r="K89">
        <v>0.23739378994633001</v>
      </c>
      <c r="M89">
        <v>0.5</v>
      </c>
      <c r="N89">
        <v>0.25</v>
      </c>
    </row>
    <row r="90" spans="2:14" x14ac:dyDescent="0.2">
      <c r="B90" t="s">
        <v>52</v>
      </c>
      <c r="C90" s="189">
        <f t="array" ref="C90:D90">(sigmaKLE-1)/sigmaKLE</f>
        <v>-1</v>
      </c>
      <c r="D90" s="190">
        <v>-3</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0.39008348025535444</v>
      </c>
      <c r="D92" s="184">
        <v>0.31136355826594386</v>
      </c>
      <c r="E92" s="62" t="s">
        <v>19</v>
      </c>
      <c r="F92" s="63">
        <f t="array" ref="F92:G92">(aY*KLE^rhoY+bY*(alphaMY*Y)^rhoY)^(1/rhoY)</f>
        <v>27857.010133999996</v>
      </c>
      <c r="G92" s="64">
        <v>1236.767447999998</v>
      </c>
      <c r="J92">
        <v>0.34302659523177403</v>
      </c>
      <c r="K92">
        <v>0.42557690792009023</v>
      </c>
      <c r="M92">
        <v>0.42285434707953978</v>
      </c>
      <c r="N92">
        <v>0.3208524508888656</v>
      </c>
    </row>
    <row r="93" spans="2:14" x14ac:dyDescent="0.2">
      <c r="B93" t="s">
        <v>38</v>
      </c>
      <c r="C93" s="185">
        <f t="array" ref="C93:D93">(Y/(alphaMY*Y))^rhoY*pMY*alphaMY*Y/(pMY*alphaMY*Y+pK*K+pL*Labour+pEY*alphaEY*Y)</f>
        <v>0.34926535250575885</v>
      </c>
      <c r="D93" s="186">
        <v>3.8919522129570013E-2</v>
      </c>
      <c r="F93" s="129">
        <f t="array" ref="F93:G93">F92:G92-Y</f>
        <v>0</v>
      </c>
      <c r="G93" s="130">
        <v>-2.2737367544323206E-12</v>
      </c>
      <c r="J93">
        <v>0.35296646929548525</v>
      </c>
      <c r="K93">
        <v>6.2733891927605194E-4</v>
      </c>
      <c r="M93">
        <v>0.3176642154488255</v>
      </c>
      <c r="N93">
        <v>3.8708344241683464E-2</v>
      </c>
    </row>
    <row r="94" spans="2:14" x14ac:dyDescent="0.2">
      <c r="B94" t="s">
        <v>39</v>
      </c>
      <c r="C94" s="187">
        <v>0.7</v>
      </c>
      <c r="D94" s="188">
        <v>0.35</v>
      </c>
      <c r="J94">
        <v>0.6678438215200766</v>
      </c>
      <c r="K94">
        <v>0.23777313182546062</v>
      </c>
      <c r="M94">
        <v>0.7</v>
      </c>
      <c r="N94">
        <v>0.35</v>
      </c>
    </row>
    <row r="95" spans="2:14" x14ac:dyDescent="0.2">
      <c r="B95" t="s">
        <v>40</v>
      </c>
      <c r="C95" s="189">
        <f t="array" ref="C95:D95">(sigmaY-1)/sigmaY</f>
        <v>-0.42857142857142866</v>
      </c>
      <c r="D95" s="190">
        <v>-1.8571428571428574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I21"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13356525.921000011</v>
      </c>
      <c r="M3" s="52">
        <v>398781.47400000016</v>
      </c>
      <c r="N3" s="53">
        <f t="array" ref="N3:N4">TRANSPOSE(pC*Consumption)</f>
        <v>6637565.1089999964</v>
      </c>
      <c r="O3" s="54">
        <f t="array" ref="O3:O4">TRANSPOSE(pG*G)</f>
        <v>3330668.2879999997</v>
      </c>
      <c r="P3" s="54">
        <f t="array" ref="P3:P4">TRANSPOSE(pI*I)</f>
        <v>3247244.4950000001</v>
      </c>
      <c r="Q3" s="60">
        <f t="array" ref="Q3:Q4">TRANSPOSE(pX*X)</f>
        <v>3195047.6040000012</v>
      </c>
      <c r="R3" s="9">
        <f t="array" ref="R3">SUM(L3:Q3)</f>
        <v>30165832.89100001</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599670.8820000008</v>
      </c>
      <c r="M4" s="56">
        <v>434900.03099999984</v>
      </c>
      <c r="N4" s="55">
        <v>382100.58199999377</v>
      </c>
      <c r="O4" s="57">
        <v>0</v>
      </c>
      <c r="P4" s="57">
        <v>0</v>
      </c>
      <c r="Q4" s="49">
        <v>91012.690000004397</v>
      </c>
      <c r="R4" s="11">
        <f t="array" ref="R4">SUM(L4:Q4)</f>
        <v>1507684.1849999989</v>
      </c>
    </row>
    <row r="5" spans="2:18" x14ac:dyDescent="0.2">
      <c r="B5" s="12" t="s">
        <v>1</v>
      </c>
      <c r="C5" s="51">
        <v>5036295.3101960644</v>
      </c>
      <c r="D5" s="52">
        <v>74905.331803938272</v>
      </c>
      <c r="E5" s="13"/>
      <c r="F5" s="13"/>
      <c r="G5" s="13"/>
      <c r="H5" s="13"/>
      <c r="I5" s="1"/>
      <c r="K5" s="12" t="s">
        <v>1</v>
      </c>
      <c r="L5" s="51">
        <f t="array" ref="L5:M5">w*Labour</f>
        <v>5036295.3101960644</v>
      </c>
      <c r="M5" s="52">
        <v>74905.331803938272</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2301604.2068039374</v>
      </c>
      <c r="M6" s="58">
        <v>34231.993196061703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137715.65500000006</v>
      </c>
      <c r="M7" s="58">
        <v>20719.463999999996</v>
      </c>
      <c r="N7" s="13"/>
      <c r="O7" s="13"/>
      <c r="P7" s="13"/>
      <c r="Q7" s="13"/>
      <c r="R7" s="1"/>
    </row>
    <row r="8" spans="2:18" x14ac:dyDescent="0.2">
      <c r="B8" s="14" t="s">
        <v>2</v>
      </c>
      <c r="C8" s="53">
        <v>6425198.1590000018</v>
      </c>
      <c r="D8" s="58">
        <v>273229.1540000001</v>
      </c>
      <c r="E8" s="13"/>
      <c r="F8" s="13"/>
      <c r="G8" s="13"/>
      <c r="H8" s="13"/>
      <c r="I8" s="1"/>
      <c r="K8" s="14" t="s">
        <v>2</v>
      </c>
      <c r="L8" s="53">
        <f t="array" ref="L8:M8">pK*kappa*Y</f>
        <v>6425198.1590000307</v>
      </c>
      <c r="M8" s="58">
        <v>273229.15400000027</v>
      </c>
      <c r="N8" s="13"/>
      <c r="O8" s="13"/>
      <c r="P8" s="13"/>
      <c r="Q8" s="13"/>
      <c r="R8" s="1"/>
    </row>
    <row r="9" spans="2:18" x14ac:dyDescent="0.2">
      <c r="B9" s="2" t="s">
        <v>3</v>
      </c>
      <c r="C9" s="127">
        <v>1886393.7399999965</v>
      </c>
      <c r="D9" s="128">
        <v>262787.11299999768</v>
      </c>
      <c r="E9" s="13"/>
      <c r="F9" s="13"/>
      <c r="G9" s="13"/>
      <c r="H9" s="13"/>
      <c r="I9" s="1"/>
      <c r="K9" s="2" t="s">
        <v>3</v>
      </c>
      <c r="L9" s="127">
        <f t="array" ref="L9:M9">pW*M</f>
        <v>1886393.7399999918</v>
      </c>
      <c r="M9" s="128">
        <v>262787.11299999757</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422429.01700000011</v>
      </c>
      <c r="M10" s="60">
        <v>8129.6240000000025</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30165832.891000036</v>
      </c>
      <c r="M12" s="18">
        <f>SUM(M3:M11)</f>
        <v>1507684.184999998</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0</v>
      </c>
      <c r="M14" s="24">
        <f t="array" ref="M14">R4-M12</f>
        <v>0</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24.000000000000185</v>
      </c>
    </row>
    <row r="19" spans="2:21" ht="10.5" x14ac:dyDescent="0.25">
      <c r="B19" s="96" t="s">
        <v>79</v>
      </c>
      <c r="C19" s="112" t="s">
        <v>87</v>
      </c>
      <c r="H19" s="96" t="s">
        <v>60</v>
      </c>
      <c r="K19" s="96" t="s">
        <v>59</v>
      </c>
      <c r="Q19" s="96" t="s">
        <v>42</v>
      </c>
    </row>
    <row r="21" spans="2:21" ht="10.5" x14ac:dyDescent="0.25">
      <c r="B21" t="s">
        <v>12</v>
      </c>
      <c r="C21" s="84">
        <f t="array" ref="C21:D21">ABS(C80:D80)</f>
        <v>1000</v>
      </c>
      <c r="D21" s="85">
        <v>1000</v>
      </c>
      <c r="H21" s="63">
        <f t="array" ref="H21:I21">(aY^sigmaY*pKLE^(1-sigmaY)+bY^sigmaY*pMY^(1-sigmaY))^(1/(1-sigmaY))*(1+tauY)</f>
        <v>1000.0000000000014</v>
      </c>
      <c r="I21" s="64">
        <v>999.99999999999898</v>
      </c>
      <c r="J21" s="113" t="s">
        <v>69</v>
      </c>
      <c r="K21" s="120">
        <f t="array" ref="K21:L21">H21:I21/pY-1</f>
        <v>0</v>
      </c>
      <c r="L21" s="120">
        <v>-9.9920072216264089E-16</v>
      </c>
      <c r="N21" s="71">
        <f t="array" ref="N21:O35">PRICES/Calibration!PRICES-1</f>
        <v>0</v>
      </c>
      <c r="O21" s="72">
        <v>0</v>
      </c>
      <c r="Q21" s="120">
        <f t="array" ref="Q21:R21">(pKLE*KLE+pMY*alphaMY*Y)*(1+tauY)/Y-pY</f>
        <v>1.4779288903810084E-12</v>
      </c>
      <c r="R21" s="120">
        <v>0</v>
      </c>
      <c r="T21" s="120">
        <f t="array" ref="T21:U21">(aX^sigmaX*pD^(1-sigmaX)+bX^sigmaX*pW^(1-sigmaX))^(1/(1-sigmaX))-pY</f>
        <v>0</v>
      </c>
      <c r="U21" s="120">
        <v>-2.0463630789890885E-12</v>
      </c>
    </row>
    <row r="22" spans="2:21" x14ac:dyDescent="0.2">
      <c r="B22" t="s">
        <v>116</v>
      </c>
      <c r="C22" s="101">
        <f t="array" ref="C22:D22">Calibration!pW</f>
        <v>1000</v>
      </c>
      <c r="D22" s="102">
        <v>1000</v>
      </c>
      <c r="N22" s="73">
        <v>0</v>
      </c>
      <c r="O22" s="74">
        <v>0</v>
      </c>
    </row>
    <row r="23" spans="2:21" ht="10.5" x14ac:dyDescent="0.25">
      <c r="B23" t="s">
        <v>128</v>
      </c>
      <c r="C23" s="97">
        <f t="array" ref="C23:D23">ABS(C81:D81)</f>
        <v>1000</v>
      </c>
      <c r="D23" s="98">
        <v>1000</v>
      </c>
      <c r="H23" s="63">
        <f t="array" ref="H23:I23">(aS^sigmaS*pD^(1-sigmaS)+bS^sigmaS*pW^(1-sigmaS))^(1/(1-sigmaS))</f>
        <v>999.99999999999864</v>
      </c>
      <c r="I23" s="64">
        <v>999.99999999999977</v>
      </c>
      <c r="J23" s="113" t="s">
        <v>121</v>
      </c>
      <c r="K23" s="120">
        <f t="array" ref="K23:L23">(pY*Y+pW*M)/(pS*S+pW*X)-1</f>
        <v>0</v>
      </c>
      <c r="L23" s="120">
        <v>0</v>
      </c>
      <c r="N23" s="73">
        <v>0</v>
      </c>
      <c r="O23" s="74">
        <v>0</v>
      </c>
      <c r="Q23" s="120">
        <f t="array" ref="Q23:R23">pS*S-pD*D-pW*M</f>
        <v>4.7497451305389404E-8</v>
      </c>
      <c r="R23" s="120">
        <v>-1.862645149230957E-9</v>
      </c>
    </row>
    <row r="24" spans="2:21" x14ac:dyDescent="0.2">
      <c r="B24" t="s">
        <v>77</v>
      </c>
      <c r="C24" s="116">
        <f t="array" ref="C24:D24">aX^(sigmaX/(sigmaX-1))*(pY^(1-sigmaX)-bX^sigmaX*pW^(1-sigmaX))^(1/(1-sigmaX))</f>
        <v>999.99999999999943</v>
      </c>
      <c r="D24" s="174">
        <v>999.99999999999909</v>
      </c>
      <c r="N24" s="73">
        <v>0</v>
      </c>
      <c r="O24" s="74">
        <v>-8.8817841970012523E-16</v>
      </c>
    </row>
    <row r="25" spans="2:21" x14ac:dyDescent="0.2">
      <c r="B25" t="s">
        <v>13</v>
      </c>
      <c r="C25" s="33">
        <f t="array" ref="C25:D26">TRANSPOSE(pS*(1+tauTS))</f>
        <v>1015.9116825427475</v>
      </c>
      <c r="D25" s="34">
        <v>1015.9116825427475</v>
      </c>
      <c r="E25" t="s">
        <v>63</v>
      </c>
      <c r="N25" s="73">
        <v>0</v>
      </c>
      <c r="O25" s="74">
        <v>0</v>
      </c>
    </row>
    <row r="26" spans="2:21" x14ac:dyDescent="0.2">
      <c r="C26" s="35">
        <v>1005.7716594496609</v>
      </c>
      <c r="D26" s="36">
        <v>1005.7716594496609</v>
      </c>
      <c r="E26" t="s">
        <v>41</v>
      </c>
      <c r="N26" s="73">
        <v>0</v>
      </c>
      <c r="O26" s="74">
        <v>0</v>
      </c>
    </row>
    <row r="27" spans="2:21" ht="10.5" x14ac:dyDescent="0.25">
      <c r="B27" t="s">
        <v>14</v>
      </c>
      <c r="C27" s="41">
        <f t="array" ref="C27:D27">pS*(1+tauTS)</f>
        <v>1015.9116825427475</v>
      </c>
      <c r="D27" s="42">
        <v>1005.7716594496609</v>
      </c>
      <c r="J27" s="96"/>
      <c r="N27" s="73">
        <v>0</v>
      </c>
      <c r="O27" s="74">
        <v>0</v>
      </c>
    </row>
    <row r="28" spans="2:21" ht="10.5" x14ac:dyDescent="0.25">
      <c r="B28" t="s">
        <v>15</v>
      </c>
      <c r="C28" s="41">
        <f t="array" ref="C28:D28">pS*(1+tauTS)</f>
        <v>1015.9116825427475</v>
      </c>
      <c r="D28" s="42">
        <v>1005.7716594496609</v>
      </c>
      <c r="J28" s="96"/>
      <c r="N28" s="73">
        <v>0</v>
      </c>
      <c r="O28" s="74">
        <v>0</v>
      </c>
    </row>
    <row r="29" spans="2:21" ht="10.5" x14ac:dyDescent="0.25">
      <c r="B29" t="s">
        <v>29</v>
      </c>
      <c r="C29" s="41">
        <f t="array" ref="C29:D29">pS*(1+tauTS)</f>
        <v>1015.9116825427475</v>
      </c>
      <c r="D29" s="42">
        <v>1005.7716594496609</v>
      </c>
      <c r="J29" s="96"/>
      <c r="N29" s="73">
        <v>0</v>
      </c>
      <c r="O29" s="74">
        <v>0</v>
      </c>
    </row>
    <row r="30" spans="2:21" ht="10.5" x14ac:dyDescent="0.25">
      <c r="B30" t="s">
        <v>16</v>
      </c>
      <c r="C30" s="41">
        <f t="array" ref="C30:D30">pW</f>
        <v>1000</v>
      </c>
      <c r="D30" s="42">
        <v>1000</v>
      </c>
      <c r="J30" s="96"/>
      <c r="N30" s="73">
        <v>0</v>
      </c>
      <c r="O30" s="74">
        <v>0</v>
      </c>
    </row>
    <row r="31" spans="2:21" x14ac:dyDescent="0.2">
      <c r="B31" t="s">
        <v>17</v>
      </c>
      <c r="C31" s="97">
        <f>ABS(C82)</f>
        <v>1000</v>
      </c>
      <c r="D31" s="174">
        <f>wQ</f>
        <v>1000</v>
      </c>
      <c r="N31" s="73">
        <v>0</v>
      </c>
      <c r="O31" s="74">
        <v>0</v>
      </c>
    </row>
    <row r="32" spans="2:21" x14ac:dyDescent="0.2">
      <c r="B32" t="s">
        <v>36</v>
      </c>
      <c r="C32" s="41">
        <f t="array" ref="C32:D32">w*(1+tauL)</f>
        <v>1457.0034251455234</v>
      </c>
      <c r="D32" s="42">
        <v>1457.0034251455236</v>
      </c>
      <c r="N32" s="73">
        <v>0</v>
      </c>
      <c r="O32" s="74">
        <v>0</v>
      </c>
      <c r="Q32" s="120">
        <f t="array" ref="Q32:R32">bKL*(Labour/KL)^(rhoKL-1)*pKL/pL-1</f>
        <v>1.1546319456101628E-14</v>
      </c>
      <c r="R32" s="120">
        <v>0</v>
      </c>
      <c r="S32" t="s">
        <v>135</v>
      </c>
    </row>
    <row r="33" spans="2:19" x14ac:dyDescent="0.2">
      <c r="B33" t="s">
        <v>18</v>
      </c>
      <c r="C33" s="154">
        <f>ABS(C83)</f>
        <v>1000</v>
      </c>
      <c r="D33" s="175">
        <f>C33</f>
        <v>1000</v>
      </c>
      <c r="E33" t="s">
        <v>56</v>
      </c>
      <c r="N33" s="73">
        <v>0</v>
      </c>
      <c r="O33" s="74">
        <v>0</v>
      </c>
      <c r="Q33" s="120">
        <f t="array" ref="Q33:R33">aKL*(K/KL)^(rhoKL-1)*pKL/pK-1</f>
        <v>-1.9872992140790302E-14</v>
      </c>
      <c r="R33" s="120">
        <v>-1.0436096431476471E-14</v>
      </c>
      <c r="S33" t="s">
        <v>135</v>
      </c>
    </row>
    <row r="34" spans="2:19" ht="10.5" x14ac:dyDescent="0.25">
      <c r="B34" t="s">
        <v>61</v>
      </c>
      <c r="C34" s="97">
        <f t="array" ref="C34:D34">ABS(C84:D84)</f>
        <v>1000</v>
      </c>
      <c r="D34" s="98">
        <v>1000</v>
      </c>
      <c r="J34" s="113" t="s">
        <v>134</v>
      </c>
      <c r="K34" s="120">
        <f t="array" ref="K34:L34">pKL*KL/(pK*K+pL*Labour)-1</f>
        <v>0</v>
      </c>
      <c r="L34" s="120">
        <v>0</v>
      </c>
      <c r="N34" s="73">
        <v>0</v>
      </c>
      <c r="O34" s="74">
        <v>0</v>
      </c>
      <c r="Q34" s="120">
        <f t="array" ref="Q34:R34">(aKL^sigmaKL*pK^(1-sigmaKL)+bKL^sigmaKL*pL^(1-sigmaKL))^((rhoKL-1)/rhoKL)-pKL</f>
        <v>0</v>
      </c>
      <c r="R34" s="120">
        <v>0</v>
      </c>
      <c r="S34" t="s">
        <v>135</v>
      </c>
    </row>
    <row r="35" spans="2:19" x14ac:dyDescent="0.2">
      <c r="B35" t="s">
        <v>62</v>
      </c>
      <c r="C35" s="35">
        <f t="array" ref="C35:D35">(aKLE^sigmaKLE*pKL^(1-sigmaKLE)+bKLE^sigmaKLE*pEY^(1-sigmaKLE))^(1/(1-sigmaKLE))</f>
        <v>1000.0000000000002</v>
      </c>
      <c r="D35" s="36">
        <v>999.99999999999977</v>
      </c>
      <c r="N35" s="75">
        <v>0</v>
      </c>
      <c r="O35" s="76">
        <v>0</v>
      </c>
      <c r="Q35" s="120">
        <f t="array" ref="Q35:R35">(pKL*KL+pEY*alphaEY*Y)/KLE-pKLE</f>
        <v>0</v>
      </c>
      <c r="R35" s="120">
        <v>0</v>
      </c>
    </row>
    <row r="37" spans="2:19" ht="10.5" x14ac:dyDescent="0.25">
      <c r="B37" t="s">
        <v>19</v>
      </c>
      <c r="C37" s="84">
        <f t="array" ref="C37:D37">ABS(C89:D89)</f>
        <v>27857.010133999996</v>
      </c>
      <c r="D37" s="85">
        <v>1236.7674480000003</v>
      </c>
      <c r="H37" s="63">
        <f t="array" ref="H37:I37">(aX*D^rhoX+bX*X^rhoX)^(1/rhoX)</f>
        <v>27857.010133999949</v>
      </c>
      <c r="I37" s="64">
        <v>1236.7674480000046</v>
      </c>
      <c r="J37" s="113" t="s">
        <v>120</v>
      </c>
      <c r="K37" s="120">
        <f t="array" ref="K37:L37">H37:I37/Y-1</f>
        <v>-1.6653345369377348E-15</v>
      </c>
      <c r="L37" s="120">
        <v>3.5527136788005009E-15</v>
      </c>
      <c r="N37" s="71">
        <f t="array" ref="N37:O48">VOLUMES/Calibration!VOLUMES-1</f>
        <v>0</v>
      </c>
      <c r="O37" s="72">
        <v>0</v>
      </c>
      <c r="Q37" s="120">
        <f t="array" ref="Q37:R37">(aY*KLE^rhoY+bY*(alphaMY*Y)^rhoY)^(1/rhoY)-Y</f>
        <v>9.822542779147625E-11</v>
      </c>
      <c r="R37" s="120">
        <v>-2.2737367544323206E-12</v>
      </c>
    </row>
    <row r="38" spans="2:19" x14ac:dyDescent="0.2">
      <c r="B38" t="s">
        <v>3</v>
      </c>
      <c r="C38" s="41">
        <f t="array" ref="C38:D38">(bS/pW)^sigmaS*(aS^sigmaS*pD^(1-sigmaS)+bS^sigmaS*pW^(1-sigmaS))^(-1/rhoS)*S</f>
        <v>1886.3937399999918</v>
      </c>
      <c r="D38" s="42">
        <v>262.78711299999759</v>
      </c>
      <c r="N38" s="73">
        <v>-2.55351295663786E-15</v>
      </c>
      <c r="O38" s="74">
        <v>0</v>
      </c>
      <c r="Q38" s="120">
        <f t="array" ref="Q38:R38">pD*D+pW*M-pS*S</f>
        <v>-4.8428773880004883E-8</v>
      </c>
      <c r="R38" s="120">
        <v>1.862645149230957E-9</v>
      </c>
    </row>
    <row r="39" spans="2:19" ht="10.5" x14ac:dyDescent="0.25">
      <c r="B39" t="s">
        <v>127</v>
      </c>
      <c r="C39" s="82">
        <f t="array" ref="C39:D39">ABS(C85:D85)</f>
        <v>26548.356269999993</v>
      </c>
      <c r="D39" s="83">
        <v>1408.5418709999938</v>
      </c>
      <c r="E39" t="s">
        <v>122</v>
      </c>
      <c r="H39" s="63">
        <f t="array" ref="H39:I39">MMULT(Y,TRANSPOSE(alpha))+Consumption+G+I</f>
        <v>26548.356270000007</v>
      </c>
      <c r="I39" s="64">
        <v>1408.5418709999944</v>
      </c>
      <c r="J39" s="113" t="s">
        <v>72</v>
      </c>
      <c r="K39" s="120">
        <f t="array" ref="K39:L39">H39:I39/S-1</f>
        <v>0</v>
      </c>
      <c r="L39" s="120">
        <v>0</v>
      </c>
      <c r="N39" s="73">
        <v>0</v>
      </c>
      <c r="O39" s="74">
        <v>0</v>
      </c>
    </row>
    <row r="40" spans="2:19" x14ac:dyDescent="0.2">
      <c r="B40" t="s">
        <v>76</v>
      </c>
      <c r="C40" s="41">
        <f t="array" ref="C40:D40">(aS/pD)^sigmaS*(aS^sigmaS*pD^(1-sigmaS)+bS^sigmaS*pW^(1-sigmaS))^(-1/rhoS)*S</f>
        <v>24661.962529999968</v>
      </c>
      <c r="D40" s="42">
        <v>1145.7547579999991</v>
      </c>
      <c r="F40" s="166"/>
      <c r="N40" s="75">
        <v>-9.9920072216264089E-16</v>
      </c>
      <c r="O40" s="76">
        <v>2.6645352591003757E-15</v>
      </c>
    </row>
    <row r="41" spans="2:19" ht="10.5" x14ac:dyDescent="0.25">
      <c r="B41" t="s">
        <v>28</v>
      </c>
      <c r="C41" s="41">
        <f>(aU/pCQ)^sigmaU/(aU^sigmaU*pCQ^(1-sigmaU)+bU^sigmaU*pCE^(1-sigmaU))*Revenue</f>
        <v>6533.6044688320644</v>
      </c>
      <c r="D41" s="42">
        <f>(bU/pCE)^sigmaU/(aU^sigmaU*pCQ^(1-sigmaU)+bU^sigmaU*pCE^(1-sigmaU))*Revenue</f>
        <v>379.90788307663382</v>
      </c>
      <c r="E41" t="s">
        <v>57</v>
      </c>
      <c r="H41" s="62" t="s">
        <v>67</v>
      </c>
      <c r="I41" s="94">
        <v>0.9600000000000003</v>
      </c>
      <c r="J41" s="113" t="s">
        <v>73</v>
      </c>
      <c r="K41" s="120">
        <f>Model!SE/(1-I41)/Calibration!SE-1</f>
        <v>24.000000000000185</v>
      </c>
      <c r="N41" s="73">
        <v>0</v>
      </c>
      <c r="O41" s="74">
        <v>0</v>
      </c>
    </row>
    <row r="42" spans="2:19" x14ac:dyDescent="0.2">
      <c r="B42" t="s">
        <v>7</v>
      </c>
      <c r="C42" s="116">
        <f t="array" ref="C42">omegaG*GDP/pG</f>
        <v>3278.5018080150408</v>
      </c>
      <c r="D42" s="8">
        <v>0</v>
      </c>
      <c r="N42" s="73">
        <v>0</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3195.0476040000012</v>
      </c>
      <c r="D44" s="169">
        <v>91.012690000004397</v>
      </c>
      <c r="N44" s="73">
        <v>0</v>
      </c>
      <c r="O44" s="74">
        <v>3.5527136788005009E-15</v>
      </c>
    </row>
    <row r="45" spans="2:19" x14ac:dyDescent="0.2">
      <c r="B45" t="s">
        <v>27</v>
      </c>
      <c r="C45" s="84">
        <f t="array" ref="C45:D45">ABS(C88:D88)</f>
        <v>5036.2953101960647</v>
      </c>
      <c r="D45" s="85">
        <v>74.905331803938267</v>
      </c>
      <c r="H45" s="29"/>
      <c r="N45" s="73">
        <v>0</v>
      </c>
      <c r="O45" s="74">
        <v>0</v>
      </c>
      <c r="Q45" s="120">
        <f t="array" ref="Q45:R45">(bKL/pL)^sigmaKL*(aKL^sigmaKL*pK^(1-sigmaKL)+bKL^sigmaKL*pL^(1-sigmaKL))^(-1/rhoKL)*KL/Labour-1</f>
        <v>0</v>
      </c>
      <c r="R45" s="120">
        <v>0</v>
      </c>
      <c r="S45" t="s">
        <v>135</v>
      </c>
    </row>
    <row r="46" spans="2:19" x14ac:dyDescent="0.2">
      <c r="B46" t="s">
        <v>2</v>
      </c>
      <c r="C46" s="35">
        <f t="array" ref="C46:D46">(KL^rhoKL/aKL-bKL*Labour^rhoKL/aKL)^(1/rhoKL)</f>
        <v>6425.1981590000305</v>
      </c>
      <c r="D46" s="36">
        <v>273.22915400000028</v>
      </c>
      <c r="N46" s="73">
        <v>4.4408920985006262E-15</v>
      </c>
      <c r="O46" s="74">
        <v>0</v>
      </c>
      <c r="Q46" s="120">
        <f t="array" ref="Q46:R46">(aKL/pK)^sigmaKL*(aKL^sigmaKL*pK^(1-sigmaKL)+bKL^sigmaKL*pL^(1-sigmaKL))^(-1/rhoKL)*KL/K-1</f>
        <v>-2.9976021664879227E-15</v>
      </c>
      <c r="R46" s="120">
        <v>0</v>
      </c>
      <c r="S46" t="s">
        <v>135</v>
      </c>
    </row>
    <row r="47" spans="2:19" x14ac:dyDescent="0.2">
      <c r="B47" t="s">
        <v>35</v>
      </c>
      <c r="C47" s="41">
        <f t="array" ref="C47:D47">(aKLE/pKL)^sigmaKLE*(aKLE^sigmaKLE*pKL^(1-sigmaKLE)+bKLE^sigmaKLE*pEY^(1-sigmaKLE))^(-1/rhoKLE)*KLE</f>
        <v>13763.097676000029</v>
      </c>
      <c r="D47" s="42">
        <v>382.36647899999997</v>
      </c>
      <c r="N47" s="73">
        <v>1.7763568394002505E-15</v>
      </c>
      <c r="O47" s="74">
        <v>0</v>
      </c>
      <c r="Q47" s="120">
        <f t="array" ref="Q47:R47">(aKL*K^rhoKL+bKL*Labour^rhoKL)^(1/rhoKL)-KL</f>
        <v>0</v>
      </c>
      <c r="R47" s="120">
        <v>0</v>
      </c>
    </row>
    <row r="48" spans="2:19" x14ac:dyDescent="0.2">
      <c r="B48" t="s">
        <v>53</v>
      </c>
      <c r="C48" s="35">
        <f t="array" ref="C48:D48">(aY/pKLE)^sigmaY*(aY^sigmaY*pKLE^(1-sigmaY)+bY^sigmaY*pMY^(1-sigmaY))^(-1/rhoY)*Y</f>
        <v>14362.768558000025</v>
      </c>
      <c r="D48" s="36">
        <v>817.26650999999993</v>
      </c>
      <c r="N48" s="75">
        <v>0</v>
      </c>
      <c r="O48" s="76">
        <v>0</v>
      </c>
      <c r="Q48" s="120">
        <f t="array" ref="Q48:R48">(aKLE*KL^rhoKLE+bKLE*(alphaEY*Y)^rhoKLE)^(1/rhoKLE)-KLE</f>
        <v>0</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5.7716594496607888E-3</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2924829.9599999995</v>
      </c>
      <c r="J55" s="113" t="s">
        <v>71</v>
      </c>
      <c r="K55" s="120">
        <f t="array" ref="K55">pK/pI/Calibration!pK*Calibration!pI-1</f>
        <v>0</v>
      </c>
      <c r="N55" s="77">
        <f t="array" ref="N55:N59">AGGREGATES/Calibration!AGGREGATES-1</f>
        <v>0</v>
      </c>
      <c r="T55" s="113" t="s">
        <v>137</v>
      </c>
      <c r="U55" s="120">
        <f>SUM(K)/SUM(Calibration!K)-1</f>
        <v>4.4408920985006262E-15</v>
      </c>
      <c r="W55" s="120">
        <f>SUM(K)/SUM(Calibration!K)-1</f>
        <v>4.4408920985006262E-15</v>
      </c>
      <c r="Y55" s="120">
        <f>SUM(K)/SUM(Calibration!K)-1</f>
        <v>4.4408920985006262E-15</v>
      </c>
      <c r="AA55" s="120">
        <f>SUM(K)/SUM(Calibration!K)-1</f>
        <v>4.4408920985006262E-15</v>
      </c>
      <c r="AC55" s="120">
        <f>SUM(K)/SUM(Calibration!K)-1</f>
        <v>4.4408920985006262E-15</v>
      </c>
      <c r="AE55" s="120">
        <f>SUM(K)/SUM(Calibration!K)-1</f>
        <v>4.4408920985006262E-15</v>
      </c>
      <c r="AG55" s="120">
        <f t="array" ref="AG55">pK/pI/Calibration!pK*Calibration!pI*20%^sigmaw*(20%+80%*(SUM(Calibration!K)-SUM(K))/SUM(Calibration!K))^-sigmaw-1</f>
        <v>-1.5543122344752192E-15</v>
      </c>
      <c r="AI55" s="120">
        <f t="array" ref="AI55">pK/pI/Calibration!pK*Calibration!pI-1</f>
        <v>0</v>
      </c>
      <c r="AK55" s="120">
        <f>SUM(K)/SUM(Calibration!K)-1</f>
        <v>4.4408920985006262E-15</v>
      </c>
    </row>
    <row r="56" spans="2:38" ht="10.5" x14ac:dyDescent="0.25">
      <c r="B56" t="s">
        <v>47</v>
      </c>
      <c r="C56" s="80">
        <f>(aU*CQ^rhoU+bU*CE^rhoU)^(1/rhoU)</f>
        <v>1</v>
      </c>
      <c r="J56" s="113" t="s">
        <v>74</v>
      </c>
      <c r="K56" s="120">
        <f t="array" ref="K56">w/CPI/Calibration!w*10.8%^sigmaw*(10.8%+89.2%*(SUM(Calibration!Labour)-SUM(Labour))/SUM(Calibration!Labour))^-sigmaw-1</f>
        <v>0</v>
      </c>
      <c r="N56" s="78">
        <v>0</v>
      </c>
      <c r="T56" s="113" t="s">
        <v>138</v>
      </c>
      <c r="U56" s="120">
        <f>SUM(Labour)/SUM(Calibration!Labour)-1</f>
        <v>0</v>
      </c>
      <c r="W56" s="120">
        <f>SUM(Labour)/SUM(Calibration!Labour)-1</f>
        <v>0</v>
      </c>
      <c r="Y56" s="120">
        <f>SUM(Labour)/SUM(Calibration!Labour)-1</f>
        <v>0</v>
      </c>
      <c r="AA56" s="120">
        <f t="array" ref="AA56">omegaI*GDP/SUM(pI*I)-1</f>
        <v>0</v>
      </c>
      <c r="AC56" s="120">
        <f t="array" ref="AC56">w/CPI/Calibration!w-1</f>
        <v>0</v>
      </c>
      <c r="AE56" s="120">
        <f t="array" ref="AE56">w/CPI/Calibration!w-1</f>
        <v>0</v>
      </c>
      <c r="AG56" s="120">
        <f t="array" ref="AG56">w/CPI/Calibration!w*10.8%^sigmaw*(10.8%+89.2%*(SUM(Calibration!Labour)-SUM(Labour))/SUM(Calibration!Labour))^-sigmaw-1</f>
        <v>0</v>
      </c>
      <c r="AI56" s="120">
        <f t="array" ref="AI56">w/CPI/Calibration!w*10.8%^sigmaw*(10.8%+89.2%*(SUM(Calibration!Labour)-SUM(Labour))/SUM(Calibration!Labour))^-sigmaw-1</f>
        <v>0</v>
      </c>
      <c r="AK56" s="120">
        <f t="array" ref="AK56">w/CPI/Calibration!w-1</f>
        <v>0</v>
      </c>
    </row>
    <row r="57" spans="2:38" ht="10.5" x14ac:dyDescent="0.25">
      <c r="B57" t="s">
        <v>64</v>
      </c>
      <c r="C57" s="86">
        <f>ABS(C87)</f>
        <v>14734457.915000005</v>
      </c>
      <c r="J57" s="113" t="s">
        <v>88</v>
      </c>
      <c r="K57" s="120">
        <f t="array" ref="K57">I/SUM(K)/Calibration!I*SUM(K)-1</f>
        <v>0</v>
      </c>
      <c r="N57" s="78">
        <v>0</v>
      </c>
      <c r="Q57" s="120">
        <f t="array" ref="Q57">(SUM(pC*Consumption+pG*G+pI*I)+B)/GDP-1</f>
        <v>0</v>
      </c>
      <c r="R57" s="120">
        <f t="array" ref="R57">SUM(w*Labour,pK*K,T)/GDP-1</f>
        <v>1.9984014443252818E-15</v>
      </c>
      <c r="T57" s="113" t="s">
        <v>139</v>
      </c>
      <c r="U57" s="120">
        <f>B/GDP/Calibration!B*Calibration!GDP-1</f>
        <v>6.4392935428259079E-15</v>
      </c>
      <c r="W57" s="120">
        <f>B/GDP/Calibration!B*Calibration!GDP-1</f>
        <v>6.4392935428259079E-15</v>
      </c>
      <c r="Y57" s="120">
        <f>B/GDP/Calibration!B*Calibration!GDP-1</f>
        <v>6.4392935428259079E-15</v>
      </c>
      <c r="AA57" s="120">
        <f>B/GDP/Calibration!B*Calibration!GDP-1</f>
        <v>6.4392935428259079E-15</v>
      </c>
      <c r="AC57" s="120">
        <f>B/GDP/Calibration!B*Calibration!GDP-1</f>
        <v>6.4392935428259079E-15</v>
      </c>
      <c r="AE57" s="120">
        <f>B/GDP/Calibration!B*Calibration!GDP-1</f>
        <v>6.4392935428259079E-15</v>
      </c>
      <c r="AG57" s="120">
        <f>B/GDP/Calibration!B*Calibration!GDP-1</f>
        <v>6.4392935428259079E-15</v>
      </c>
      <c r="AI57" s="120">
        <f t="array" ref="AI57">I/SUM(K)/Calibration!I*SUM(K)-1</f>
        <v>0</v>
      </c>
      <c r="AK57" s="120">
        <f>B/GDP/Calibration!B*Calibration!GDP-1</f>
        <v>6.4392935428259079E-15</v>
      </c>
    </row>
    <row r="58" spans="2:38" ht="10.5" x14ac:dyDescent="0.25">
      <c r="B58" t="s">
        <v>54</v>
      </c>
      <c r="C58" s="117">
        <f t="array" ref="C58">GDP-SUM(pG*G,pI*I,B)</f>
        <v>7019665.6909999885</v>
      </c>
      <c r="J58" s="113" t="s">
        <v>136</v>
      </c>
      <c r="K58" s="120">
        <f t="array" ref="K58:L58">bKL*(KL/Labour)^(1/sigmaKL)*pKL/pL-1</f>
        <v>1.1546319456101628E-14</v>
      </c>
      <c r="L58" s="120">
        <v>-4.2188474935755949E-15</v>
      </c>
      <c r="N58" s="78">
        <v>-1.2212453270876722E-15</v>
      </c>
      <c r="Q58" s="120">
        <f t="array" ref="Q58">SUM(pC*Consumption)-Revenue</f>
        <v>0</v>
      </c>
      <c r="T58" s="113" t="s">
        <v>140</v>
      </c>
      <c r="U58" s="120">
        <f t="array" ref="U58:V58">bKL*(KL/Labour)^(1/sigmaKL)*pKL/pL-1</f>
        <v>1.1546319456101628E-14</v>
      </c>
      <c r="V58" s="120">
        <v>-4.2188474935755949E-15</v>
      </c>
      <c r="W58" s="120">
        <f t="array" ref="W58:X58">bKL*(KL/Labour)^(1/sigmaKL)*pKL/pL-1</f>
        <v>1.1546319456101628E-14</v>
      </c>
      <c r="X58" s="120">
        <v>-4.2188474935755949E-15</v>
      </c>
      <c r="Y58" s="120">
        <f t="array" ref="Y58">omegaI*GDP/SUM(pI*I)-1</f>
        <v>0</v>
      </c>
      <c r="Z58" s="120">
        <f>Labour_Q/KL_Q/Calibration!Labour_Q*Calibration!KL_Q-Labour_E/KL_E/Calibration!Labour_E*Calibration!KL_E</f>
        <v>-1.8873791418627661E-15</v>
      </c>
      <c r="AA58" s="120">
        <f t="array" ref="AA58:AB58">bKL*(KL/Labour)^(1/sigmaKL)*pKL/pL-1</f>
        <v>1.1546319456101628E-14</v>
      </c>
      <c r="AB58" s="120">
        <v>-4.2188474935755949E-15</v>
      </c>
      <c r="AC58" s="120">
        <f t="array" ref="AC58">omegaI*GDP/SUM(pI*I)-1</f>
        <v>0</v>
      </c>
      <c r="AD58" s="120">
        <f>Labour_Q/KL_Q/Calibration!Labour_Q*Calibration!KL_Q-Labour_E/KL_E/Calibration!Labour_E*Calibration!KL_E</f>
        <v>-1.8873791418627661E-15</v>
      </c>
      <c r="AE58" s="120">
        <f t="array" ref="AE58">omegaI*GDP/SUM(pI*I)-1</f>
        <v>0</v>
      </c>
      <c r="AF58" s="120">
        <f>Labour_Q/KL_Q/Calibration!Labour_Q*Calibration!KL_Q-Labour_E/KL_E/Calibration!Labour_E*Calibration!KL_E</f>
        <v>-1.8873791418627661E-15</v>
      </c>
      <c r="AG58" s="120">
        <f t="array" ref="AG58:AH58">bKL*(KL/Labour)^(1/sigmaKL)*pKL/pL-1</f>
        <v>1.1546319456101628E-14</v>
      </c>
      <c r="AH58" s="120">
        <v>-4.2188474935755949E-15</v>
      </c>
      <c r="AI58" s="120">
        <f t="array" ref="AI58:AJ58">bKL*(KL/Labour)^(1/sigmaKL)*pKL/pL-1</f>
        <v>1.1546319456101628E-14</v>
      </c>
      <c r="AJ58" s="120">
        <v>-4.2188474935755949E-15</v>
      </c>
      <c r="AK58" s="120">
        <f t="array" ref="AK58">(pI*I)/(Calibration!pI*Calibration!I)-1</f>
        <v>0</v>
      </c>
      <c r="AL58" s="120">
        <f>Labour_Q/KL_Q/Calibration!Labour_Q*Calibration!KL_Q-Labour_E/KL_E/Calibration!Labour_E*Calibration!KL_E</f>
        <v>-1.8873791418627661E-15</v>
      </c>
    </row>
    <row r="59" spans="2:38" ht="10.5" x14ac:dyDescent="0.25">
      <c r="B59" t="s">
        <v>75</v>
      </c>
      <c r="C59" s="117">
        <f t="array" ref="C59">SUM(pX*X - pW*M)</f>
        <v>1136879.4410000162</v>
      </c>
      <c r="J59" s="113" t="s">
        <v>70</v>
      </c>
      <c r="K59" s="120">
        <f t="array" ref="K59">(sL*(SUM(w*Labour))+sG*(T-SUM(pG*G))+sK*SUM(pK*K)-B)/SUM(pI*I)-1</f>
        <v>0</v>
      </c>
      <c r="N59" s="79">
        <v>6.4392935428259079E-15</v>
      </c>
      <c r="T59" s="113" t="s">
        <v>141</v>
      </c>
      <c r="U59" s="120">
        <f t="array" ref="U59">(sL*(SUM(w*Labour))+sG*(T-SUM(pG*G))+sK*SUM(pK*K)-B)/SUM(pI*I)-1</f>
        <v>0</v>
      </c>
      <c r="W59" s="120">
        <f t="array" ref="W59">omegaI*GDP/SUM(pI*I)-1</f>
        <v>0</v>
      </c>
      <c r="Y59" s="120">
        <f t="array" ref="Y59">(sL*(SUM(w*Labour))+sG*(T-SUM(pG*G))+sK*SUM(pK*K)-B)/SUM(pI*I)-1</f>
        <v>0</v>
      </c>
      <c r="AA59" s="120">
        <f t="array" ref="AA59">(sL*(SUM(w*Labour))+sG*(T-SUM(pG*G))+sK*SUM(pK*K)-B)/SUM(pI*I)-1</f>
        <v>0</v>
      </c>
      <c r="AC59" s="120">
        <f t="array" ref="AC59">(sL*(SUM(w*Labour))+sG*(T-SUM(pG*G))+sK*SUM(pK*K)-B)/SUM(pI*I)-1</f>
        <v>0</v>
      </c>
      <c r="AE59" s="120">
        <f t="array" ref="AE59">(sL*(SUM(w*Labour))+sG*(T-SUM(pG*G))+sK*SUM(pK*K)-B)/SUM(pI*I)-1</f>
        <v>0</v>
      </c>
      <c r="AG59" s="120">
        <f t="array" ref="AG59">(sL*(SUM(w*Labour))+sG*(T-SUM(pG*G))+sK*SUM(pK*K)-B)/SUM(pI*I)-1</f>
        <v>0</v>
      </c>
      <c r="AI59" s="120">
        <f t="array" ref="AI59">(sL*(SUM(w*Labour))+sG*(T-SUM(pG*G))+sK*SUM(pK*K)-B)/SUM(pI*I)-1</f>
        <v>0</v>
      </c>
      <c r="AK59" s="120">
        <f t="array" ref="AK59">(sL*(SUM(w*Labour))+sG*(T-SUM(pG*G))+sK*SUM(pK*K)-B)/SUM(pI*I)-1</f>
        <v>0</v>
      </c>
    </row>
    <row r="60" spans="2:38" ht="10.5" x14ac:dyDescent="0.25">
      <c r="B60" t="s">
        <v>161</v>
      </c>
      <c r="C60" s="232">
        <f t="array" ref="C60">SQRT(SUM(pC*Calibration!Consumption)*SUM(pC*Consumption)/SUM(Calibration!pC*Calibration!Consumption)/SUM(Calibration!pC*Consumption))</f>
        <v>1</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0.29754226190682465</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0.47195767671988198</v>
      </c>
      <c r="D70" s="38">
        <v>0.31738834428178964</v>
      </c>
      <c r="E70" t="s">
        <v>24</v>
      </c>
      <c r="N70" s="71">
        <f t="array" ref="N70:O73">FACTORS/Calibration!FACTORS-1</f>
        <v>0</v>
      </c>
      <c r="O70" s="72">
        <v>0</v>
      </c>
    </row>
    <row r="71" spans="2:15" x14ac:dyDescent="0.2">
      <c r="C71" s="39">
        <f t="array" ref="C71:D71">(bKLE/pEY)^sigmaKLE*(aKLE^sigmaKLE*pKL^(1-sigmaKLE)+bKLE^sigmaKLE*pEY^(1-sigmaKLE))^(-1/rhoKLE)*KLE/Y</f>
        <v>2.1403217525954466E-2</v>
      </c>
      <c r="D71" s="40">
        <v>0.3496246130199252</v>
      </c>
      <c r="E71" t="s">
        <v>25</v>
      </c>
      <c r="N71" s="73">
        <v>0</v>
      </c>
      <c r="O71" s="74">
        <v>0</v>
      </c>
    </row>
    <row r="72" spans="2:15" x14ac:dyDescent="0.2">
      <c r="B72" t="s">
        <v>22</v>
      </c>
      <c r="C72" s="37">
        <f t="array" ref="C72:D72">Labour/Y</f>
        <v>0.18079094942242827</v>
      </c>
      <c r="D72" s="38">
        <v>6.0565413429233668E-2</v>
      </c>
      <c r="N72" s="73">
        <v>0</v>
      </c>
      <c r="O72" s="74">
        <v>0</v>
      </c>
    </row>
    <row r="73" spans="2:15" x14ac:dyDescent="0.2">
      <c r="B73" t="s">
        <v>23</v>
      </c>
      <c r="C73" s="39">
        <f t="array" ref="C73:D73">K/Y</f>
        <v>0.23064923795098732</v>
      </c>
      <c r="D73" s="40">
        <v>0.22092201281804777</v>
      </c>
      <c r="N73" s="75">
        <v>4.6629367034256575E-15</v>
      </c>
      <c r="O73" s="76">
        <v>0</v>
      </c>
    </row>
    <row r="79" spans="2:15" ht="10.5" x14ac:dyDescent="0.25">
      <c r="B79" s="96" t="s">
        <v>106</v>
      </c>
    </row>
    <row r="80" spans="2:15" x14ac:dyDescent="0.2">
      <c r="B80" t="s">
        <v>12</v>
      </c>
      <c r="C80" s="84">
        <v>1000</v>
      </c>
      <c r="D80" s="85">
        <v>1000</v>
      </c>
    </row>
    <row r="81" spans="2:5" x14ac:dyDescent="0.2">
      <c r="B81" t="s">
        <v>128</v>
      </c>
      <c r="C81" s="97">
        <v>1000</v>
      </c>
      <c r="D81" s="98">
        <v>1000</v>
      </c>
    </row>
    <row r="82" spans="2:5" x14ac:dyDescent="0.2">
      <c r="B82" t="s">
        <v>17</v>
      </c>
      <c r="C82" s="97">
        <v>1000</v>
      </c>
      <c r="D82" s="98">
        <v>1000</v>
      </c>
    </row>
    <row r="83" spans="2:5" x14ac:dyDescent="0.2">
      <c r="B83" t="s">
        <v>18</v>
      </c>
      <c r="C83" s="156">
        <v>1000</v>
      </c>
      <c r="D83" s="157">
        <v>1000</v>
      </c>
    </row>
    <row r="84" spans="2:5" x14ac:dyDescent="0.2">
      <c r="B84" t="s">
        <v>61</v>
      </c>
      <c r="C84" s="156">
        <v>1000</v>
      </c>
      <c r="D84" s="157">
        <v>1000</v>
      </c>
    </row>
    <row r="85" spans="2:5" x14ac:dyDescent="0.2">
      <c r="B85" t="s">
        <v>127</v>
      </c>
      <c r="C85" s="82">
        <v>26548.356269999993</v>
      </c>
      <c r="D85" s="83">
        <v>1408.5418709999938</v>
      </c>
    </row>
    <row r="86" spans="2:5" x14ac:dyDescent="0.2">
      <c r="B86" t="s">
        <v>8</v>
      </c>
      <c r="C86" s="97">
        <v>3196.3846373657216</v>
      </c>
      <c r="D86" s="224">
        <v>5.7716594496607888E-3</v>
      </c>
      <c r="E86" t="s">
        <v>164</v>
      </c>
    </row>
    <row r="87" spans="2:5" x14ac:dyDescent="0.2">
      <c r="B87" t="s">
        <v>64</v>
      </c>
      <c r="C87" s="159">
        <v>14734457.915000005</v>
      </c>
      <c r="D87" s="160">
        <v>0</v>
      </c>
    </row>
    <row r="88" spans="2:5" x14ac:dyDescent="0.2">
      <c r="B88" t="s">
        <v>27</v>
      </c>
      <c r="C88" s="159">
        <v>5036.2953101960647</v>
      </c>
      <c r="D88" s="167">
        <v>74.905331803938267</v>
      </c>
    </row>
    <row r="89" spans="2:5" x14ac:dyDescent="0.2">
      <c r="B89" t="s">
        <v>19</v>
      </c>
      <c r="C89" s="158">
        <v>27857.010133999996</v>
      </c>
      <c r="D89" s="161">
        <v>1236.7674480000003</v>
      </c>
    </row>
  </sheetData>
  <conditionalFormatting sqref="K21:L21">
    <cfRule type="cellIs" dxfId="87" priority="1844" stopIfTrue="1" operator="notEqual">
      <formula>0</formula>
    </cfRule>
  </conditionalFormatting>
  <conditionalFormatting sqref="Q48:R48">
    <cfRule type="cellIs" dxfId="86" priority="1833" stopIfTrue="1" operator="notEqual">
      <formula>0</formula>
    </cfRule>
  </conditionalFormatting>
  <conditionalFormatting sqref="K39:L39">
    <cfRule type="cellIs" dxfId="85" priority="1841" stopIfTrue="1" operator="notEqual">
      <formula>0</formula>
    </cfRule>
  </conditionalFormatting>
  <conditionalFormatting sqref="K41">
    <cfRule type="cellIs" dxfId="84" priority="1840" stopIfTrue="1" operator="notEqual">
      <formula>0</formula>
    </cfRule>
  </conditionalFormatting>
  <conditionalFormatting sqref="Q47:R47">
    <cfRule type="cellIs" dxfId="83" priority="1838" stopIfTrue="1" operator="notEqual">
      <formula>0</formula>
    </cfRule>
  </conditionalFormatting>
  <conditionalFormatting sqref="Q37:R37">
    <cfRule type="cellIs" dxfId="82" priority="1835" stopIfTrue="1" operator="notEqual">
      <formula>0</formula>
    </cfRule>
  </conditionalFormatting>
  <conditionalFormatting sqref="R57">
    <cfRule type="cellIs" dxfId="81" priority="1829" stopIfTrue="1" operator="notEqual">
      <formula>0</formula>
    </cfRule>
  </conditionalFormatting>
  <conditionalFormatting sqref="Q57:Q58">
    <cfRule type="cellIs" dxfId="80" priority="1831" stopIfTrue="1" operator="notEqual">
      <formula>0</formula>
    </cfRule>
  </conditionalFormatting>
  <conditionalFormatting sqref="W59">
    <cfRule type="cellIs" dxfId="79" priority="1776" stopIfTrue="1" operator="notEqual">
      <formula>0</formula>
    </cfRule>
  </conditionalFormatting>
  <conditionalFormatting sqref="K37:L37">
    <cfRule type="cellIs" dxfId="78" priority="1410" stopIfTrue="1" operator="notEqual">
      <formula>0</formula>
    </cfRule>
  </conditionalFormatting>
  <conditionalFormatting sqref="Q21:R21">
    <cfRule type="cellIs" dxfId="77" priority="1393" stopIfTrue="1" operator="notEqual">
      <formula>0</formula>
    </cfRule>
  </conditionalFormatting>
  <conditionalFormatting sqref="Q23:R23">
    <cfRule type="cellIs" dxfId="76" priority="1397" stopIfTrue="1" operator="notEqual">
      <formula>0</formula>
    </cfRule>
  </conditionalFormatting>
  <conditionalFormatting sqref="Q38:R38">
    <cfRule type="cellIs" dxfId="75" priority="1396" stopIfTrue="1" operator="notEqual">
      <formula>0</formula>
    </cfRule>
  </conditionalFormatting>
  <conditionalFormatting sqref="Q34:R34">
    <cfRule type="cellIs" dxfId="74" priority="1395" stopIfTrue="1" operator="notEqual">
      <formula>0</formula>
    </cfRule>
  </conditionalFormatting>
  <conditionalFormatting sqref="Q35:R35">
    <cfRule type="cellIs" dxfId="73" priority="1394" stopIfTrue="1" operator="notEqual">
      <formula>0</formula>
    </cfRule>
  </conditionalFormatting>
  <conditionalFormatting sqref="K23:L23">
    <cfRule type="cellIs" dxfId="72" priority="1392" stopIfTrue="1" operator="notEqual">
      <formula>0</formula>
    </cfRule>
  </conditionalFormatting>
  <conditionalFormatting sqref="K34:L34">
    <cfRule type="cellIs" dxfId="71" priority="1163" stopIfTrue="1" operator="notEqual">
      <formula>0</formula>
    </cfRule>
  </conditionalFormatting>
  <conditionalFormatting sqref="Q33:R33">
    <cfRule type="cellIs" dxfId="70" priority="1157" stopIfTrue="1" operator="notEqual">
      <formula>0</formula>
    </cfRule>
  </conditionalFormatting>
  <conditionalFormatting sqref="Q46:R46">
    <cfRule type="cellIs" dxfId="69" priority="1161" stopIfTrue="1" operator="notEqual">
      <formula>0</formula>
    </cfRule>
  </conditionalFormatting>
  <conditionalFormatting sqref="Q45:R45">
    <cfRule type="cellIs" dxfId="68" priority="1162" stopIfTrue="1" operator="notEqual">
      <formula>0</formula>
    </cfRule>
  </conditionalFormatting>
  <conditionalFormatting sqref="W58">
    <cfRule type="cellIs" dxfId="67" priority="1148" stopIfTrue="1" operator="notEqual">
      <formula>0</formula>
    </cfRule>
  </conditionalFormatting>
  <conditionalFormatting sqref="Q32:R32">
    <cfRule type="cellIs" dxfId="66" priority="1158" stopIfTrue="1" operator="notEqual">
      <formula>0</formula>
    </cfRule>
  </conditionalFormatting>
  <conditionalFormatting sqref="X58">
    <cfRule type="cellIs" dxfId="65" priority="1147" stopIfTrue="1" operator="notEqual">
      <formula>0</formula>
    </cfRule>
  </conditionalFormatting>
  <conditionalFormatting sqref="W55">
    <cfRule type="cellIs" dxfId="64" priority="1106" stopIfTrue="1" operator="notEqual">
      <formula>0</formula>
    </cfRule>
  </conditionalFormatting>
  <conditionalFormatting sqref="W56">
    <cfRule type="cellIs" dxfId="63" priority="1105" stopIfTrue="1" operator="notEqual">
      <formula>0</formula>
    </cfRule>
  </conditionalFormatting>
  <conditionalFormatting sqref="Y55">
    <cfRule type="cellIs" dxfId="62" priority="1103" stopIfTrue="1" operator="notEqual">
      <formula>0</formula>
    </cfRule>
  </conditionalFormatting>
  <conditionalFormatting sqref="Y56">
    <cfRule type="cellIs" dxfId="61" priority="1102" stopIfTrue="1" operator="notEqual">
      <formula>0</formula>
    </cfRule>
  </conditionalFormatting>
  <conditionalFormatting sqref="AA59">
    <cfRule type="cellIs" dxfId="60" priority="1099" stopIfTrue="1" operator="notEqual">
      <formula>0</formula>
    </cfRule>
  </conditionalFormatting>
  <conditionalFormatting sqref="AA55">
    <cfRule type="cellIs" dxfId="59" priority="1097" stopIfTrue="1" operator="notEqual">
      <formula>0</formula>
    </cfRule>
  </conditionalFormatting>
  <conditionalFormatting sqref="AA58">
    <cfRule type="cellIs" dxfId="58" priority="1093" stopIfTrue="1" operator="notEqual">
      <formula>0</formula>
    </cfRule>
  </conditionalFormatting>
  <conditionalFormatting sqref="AB58">
    <cfRule type="cellIs" dxfId="57" priority="1092" stopIfTrue="1" operator="notEqual">
      <formula>0</formula>
    </cfRule>
  </conditionalFormatting>
  <conditionalFormatting sqref="U58">
    <cfRule type="cellIs" dxfId="56" priority="1070" stopIfTrue="1" operator="notEqual">
      <formula>0</formula>
    </cfRule>
  </conditionalFormatting>
  <conditionalFormatting sqref="V58">
    <cfRule type="cellIs" dxfId="55" priority="1069" stopIfTrue="1" operator="notEqual">
      <formula>0</formula>
    </cfRule>
  </conditionalFormatting>
  <conditionalFormatting sqref="U57">
    <cfRule type="cellIs" dxfId="54" priority="1067" stopIfTrue="1" operator="notEqual">
      <formula>0</formula>
    </cfRule>
  </conditionalFormatting>
  <conditionalFormatting sqref="U55">
    <cfRule type="cellIs" dxfId="53" priority="1071" stopIfTrue="1" operator="notEqual">
      <formula>0</formula>
    </cfRule>
  </conditionalFormatting>
  <conditionalFormatting sqref="U56">
    <cfRule type="cellIs" dxfId="52" priority="1068" stopIfTrue="1" operator="notEqual">
      <formula>0</formula>
    </cfRule>
  </conditionalFormatting>
  <conditionalFormatting sqref="U59">
    <cfRule type="cellIs" dxfId="51" priority="1066" stopIfTrue="1" operator="notEqual">
      <formula>0</formula>
    </cfRule>
  </conditionalFormatting>
  <conditionalFormatting sqref="Z58">
    <cfRule type="cellIs" dxfId="50" priority="1044" stopIfTrue="1" operator="notEqual">
      <formula>0</formula>
    </cfRule>
  </conditionalFormatting>
  <conditionalFormatting sqref="AC59">
    <cfRule type="cellIs" dxfId="49" priority="1037" stopIfTrue="1" operator="notEqual">
      <formula>0</formula>
    </cfRule>
  </conditionalFormatting>
  <conditionalFormatting sqref="AC55">
    <cfRule type="cellIs" dxfId="48" priority="1036" stopIfTrue="1" operator="notEqual">
      <formula>0</formula>
    </cfRule>
  </conditionalFormatting>
  <conditionalFormatting sqref="AC56">
    <cfRule type="cellIs" dxfId="47" priority="1032" stopIfTrue="1" operator="notEqual">
      <formula>0</formula>
    </cfRule>
  </conditionalFormatting>
  <conditionalFormatting sqref="AD58">
    <cfRule type="cellIs" dxfId="46" priority="1030" stopIfTrue="1" operator="notEqual">
      <formula>0</formula>
    </cfRule>
  </conditionalFormatting>
  <conditionalFormatting sqref="AE59">
    <cfRule type="cellIs" dxfId="45" priority="1023" stopIfTrue="1" operator="notEqual">
      <formula>0</formula>
    </cfRule>
  </conditionalFormatting>
  <conditionalFormatting sqref="AE55">
    <cfRule type="cellIs" dxfId="44" priority="1022" stopIfTrue="1" operator="notEqual">
      <formula>0</formula>
    </cfRule>
  </conditionalFormatting>
  <conditionalFormatting sqref="AE56">
    <cfRule type="cellIs" dxfId="43" priority="1020" stopIfTrue="1" operator="notEqual">
      <formula>0</formula>
    </cfRule>
  </conditionalFormatting>
  <conditionalFormatting sqref="AF58">
    <cfRule type="cellIs" dxfId="42" priority="1018" stopIfTrue="1" operator="notEqual">
      <formula>0</formula>
    </cfRule>
  </conditionalFormatting>
  <conditionalFormatting sqref="AI59">
    <cfRule type="cellIs" dxfId="41" priority="1011" stopIfTrue="1" operator="notEqual">
      <formula>0</formula>
    </cfRule>
  </conditionalFormatting>
  <conditionalFormatting sqref="AI57">
    <cfRule type="cellIs" dxfId="40" priority="1009" stopIfTrue="1" operator="notEqual">
      <formula>0</formula>
    </cfRule>
  </conditionalFormatting>
  <conditionalFormatting sqref="AI55">
    <cfRule type="cellIs" dxfId="39" priority="1010" stopIfTrue="1" operator="notEqual">
      <formula>0</formula>
    </cfRule>
  </conditionalFormatting>
  <conditionalFormatting sqref="AI58">
    <cfRule type="cellIs" dxfId="38" priority="1005" stopIfTrue="1" operator="notEqual">
      <formula>0</formula>
    </cfRule>
  </conditionalFormatting>
  <conditionalFormatting sqref="AJ58">
    <cfRule type="cellIs" dxfId="37" priority="1004" stopIfTrue="1" operator="notEqual">
      <formula>0</formula>
    </cfRule>
  </conditionalFormatting>
  <conditionalFormatting sqref="W57">
    <cfRule type="cellIs" dxfId="36" priority="906" stopIfTrue="1" operator="notEqual">
      <formula>0</formula>
    </cfRule>
  </conditionalFormatting>
  <conditionalFormatting sqref="Y57">
    <cfRule type="cellIs" dxfId="35" priority="905" stopIfTrue="1" operator="notEqual">
      <formula>0</formula>
    </cfRule>
  </conditionalFormatting>
  <conditionalFormatting sqref="AA57">
    <cfRule type="cellIs" dxfId="34" priority="904" stopIfTrue="1" operator="notEqual">
      <formula>0</formula>
    </cfRule>
  </conditionalFormatting>
  <conditionalFormatting sqref="AC57">
    <cfRule type="cellIs" dxfId="33" priority="903" stopIfTrue="1" operator="notEqual">
      <formula>0</formula>
    </cfRule>
  </conditionalFormatting>
  <conditionalFormatting sqref="AE57">
    <cfRule type="cellIs" dxfId="32" priority="902" stopIfTrue="1" operator="notEqual">
      <formula>0</formula>
    </cfRule>
  </conditionalFormatting>
  <conditionalFormatting sqref="AK57">
    <cfRule type="cellIs" dxfId="31" priority="802" stopIfTrue="1" operator="notEqual">
      <formula>0</formula>
    </cfRule>
  </conditionalFormatting>
  <conditionalFormatting sqref="AK58">
    <cfRule type="cellIs" dxfId="30" priority="801" stopIfTrue="1" operator="notEqual">
      <formula>0</formula>
    </cfRule>
  </conditionalFormatting>
  <conditionalFormatting sqref="Y58">
    <cfRule type="cellIs" dxfId="29" priority="840" stopIfTrue="1" operator="notEqual">
      <formula>0</formula>
    </cfRule>
  </conditionalFormatting>
  <conditionalFormatting sqref="AA56">
    <cfRule type="cellIs" dxfId="28" priority="833" stopIfTrue="1" operator="notEqual">
      <formula>0</formula>
    </cfRule>
  </conditionalFormatting>
  <conditionalFormatting sqref="AC58">
    <cfRule type="cellIs" dxfId="27" priority="826" stopIfTrue="1" operator="notEqual">
      <formula>0</formula>
    </cfRule>
  </conditionalFormatting>
  <conditionalFormatting sqref="AE58">
    <cfRule type="cellIs" dxfId="26" priority="819" stopIfTrue="1" operator="notEqual">
      <formula>0</formula>
    </cfRule>
  </conditionalFormatting>
  <conditionalFormatting sqref="AK59">
    <cfRule type="cellIs" dxfId="25" priority="806" stopIfTrue="1" operator="notEqual">
      <formula>0</formula>
    </cfRule>
  </conditionalFormatting>
  <conditionalFormatting sqref="AK56">
    <cfRule type="cellIs" dxfId="24" priority="804" stopIfTrue="1" operator="notEqual">
      <formula>0</formula>
    </cfRule>
  </conditionalFormatting>
  <conditionalFormatting sqref="AK55">
    <cfRule type="cellIs" dxfId="23" priority="805" stopIfTrue="1" operator="notEqual">
      <formula>0</formula>
    </cfRule>
  </conditionalFormatting>
  <conditionalFormatting sqref="AL58">
    <cfRule type="cellIs" dxfId="22" priority="803" stopIfTrue="1" operator="notEqual">
      <formula>0</formula>
    </cfRule>
  </conditionalFormatting>
  <conditionalFormatting sqref="T21:U21">
    <cfRule type="cellIs" dxfId="21" priority="763" stopIfTrue="1" operator="notEqual">
      <formula>0</formula>
    </cfRule>
  </conditionalFormatting>
  <conditionalFormatting sqref="AG58">
    <cfRule type="cellIs" dxfId="20" priority="740" stopIfTrue="1" operator="notEqual">
      <formula>0</formula>
    </cfRule>
  </conditionalFormatting>
  <conditionalFormatting sqref="AH58">
    <cfRule type="cellIs" dxfId="19" priority="739" stopIfTrue="1" operator="notEqual">
      <formula>0</formula>
    </cfRule>
  </conditionalFormatting>
  <conditionalFormatting sqref="AG57">
    <cfRule type="cellIs" dxfId="18" priority="736" stopIfTrue="1" operator="notEqual">
      <formula>0</formula>
    </cfRule>
  </conditionalFormatting>
  <conditionalFormatting sqref="AG59">
    <cfRule type="cellIs" dxfId="17" priority="743" stopIfTrue="1" operator="notEqual">
      <formula>0</formula>
    </cfRule>
  </conditionalFormatting>
  <conditionalFormatting sqref="AG56">
    <cfRule type="cellIs" dxfId="16" priority="615" stopIfTrue="1" operator="notEqual">
      <formula>0</formula>
    </cfRule>
  </conditionalFormatting>
  <conditionalFormatting sqref="AG55">
    <cfRule type="cellIs" dxfId="15" priority="614" stopIfTrue="1" operator="notEqual">
      <formula>0</formula>
    </cfRule>
  </conditionalFormatting>
  <conditionalFormatting sqref="AI56">
    <cfRule type="cellIs" dxfId="14" priority="613" stopIfTrue="1" operator="notEqual">
      <formula>0</formula>
    </cfRule>
  </conditionalFormatting>
  <conditionalFormatting sqref="Y59">
    <cfRule type="cellIs" dxfId="13" priority="492"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zoomScale="80" zoomScaleNormal="80" workbookViewId="0">
      <pane xSplit="1" ySplit="1" topLeftCell="S2" activePane="bottomRight" state="frozen"/>
      <selection pane="topRight" activeCell="B1" sqref="B1"/>
      <selection pane="bottomLeft" activeCell="A2" sqref="A2"/>
      <selection pane="bottomRight" activeCell="AC53"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c r="AR1" s="94"/>
      <c r="AT1" s="94"/>
      <c r="AV1" s="94"/>
    </row>
    <row r="2" spans="1:49" x14ac:dyDescent="0.2">
      <c r="A2" s="229" t="s">
        <v>155</v>
      </c>
      <c r="B2" s="226">
        <v>5.7716594496607888E-3</v>
      </c>
      <c r="C2" s="227"/>
      <c r="D2" s="226">
        <v>4.2982762204895983E-2</v>
      </c>
      <c r="E2" s="227"/>
      <c r="F2" s="226">
        <v>8.2561188105078356E-2</v>
      </c>
      <c r="G2" s="227"/>
      <c r="H2" s="226">
        <v>0.12466623160997088</v>
      </c>
      <c r="I2" s="227"/>
      <c r="J2" s="226">
        <v>0.16945365998887768</v>
      </c>
      <c r="K2" s="227"/>
      <c r="L2" s="226">
        <v>0.21707002126271158</v>
      </c>
      <c r="M2" s="227"/>
      <c r="N2" s="226">
        <v>0.267648632691665</v>
      </c>
      <c r="O2" s="227"/>
      <c r="P2" s="226">
        <v>0.32131119654021822</v>
      </c>
      <c r="Q2" s="227"/>
      <c r="R2" s="226">
        <v>0.37818854325200674</v>
      </c>
      <c r="S2" s="227"/>
      <c r="T2" s="226">
        <v>0.43848882588914795</v>
      </c>
      <c r="U2" s="227"/>
      <c r="V2" s="226">
        <v>0.50267435385928738</v>
      </c>
      <c r="W2" s="227"/>
      <c r="X2" s="226">
        <v>0.57187823279593042</v>
      </c>
      <c r="Y2" s="227"/>
      <c r="Z2" s="226">
        <v>0.64883200718540224</v>
      </c>
      <c r="AA2" s="227"/>
      <c r="AB2" s="226">
        <v>0.73987066798628642</v>
      </c>
      <c r="AC2" s="227"/>
      <c r="AD2" s="226">
        <v>0.85928869014376175</v>
      </c>
      <c r="AE2" s="227"/>
      <c r="AF2" s="226">
        <v>1.0395784179464795</v>
      </c>
      <c r="AG2" s="227"/>
      <c r="AH2" s="226">
        <v>1.3606052134043376</v>
      </c>
      <c r="AI2" s="227"/>
      <c r="AJ2" s="226">
        <v>2.0577805505103837</v>
      </c>
      <c r="AK2" s="227"/>
      <c r="AL2" s="226">
        <v>4.0410941513062282</v>
      </c>
      <c r="AM2" s="227"/>
      <c r="AN2" s="226">
        <v>12.879091059900496</v>
      </c>
      <c r="AO2" s="227"/>
      <c r="AP2" s="226"/>
      <c r="AQ2" s="227"/>
      <c r="AR2" s="226"/>
      <c r="AS2" s="227"/>
      <c r="AT2" s="226"/>
      <c r="AU2" s="227"/>
      <c r="AV2" s="226"/>
      <c r="AW2" s="227"/>
    </row>
    <row r="3" spans="1:49" x14ac:dyDescent="0.2">
      <c r="A3" t="s">
        <v>12</v>
      </c>
      <c r="B3" s="84">
        <v>1000</v>
      </c>
      <c r="C3" s="85">
        <v>1000</v>
      </c>
      <c r="D3" s="84">
        <v>999.22289203843627</v>
      </c>
      <c r="E3" s="85">
        <v>1018.0697567205763</v>
      </c>
      <c r="F3" s="84">
        <v>998.84014288262688</v>
      </c>
      <c r="G3" s="85">
        <v>1037.9356439002322</v>
      </c>
      <c r="H3" s="84">
        <v>998.95334535620111</v>
      </c>
      <c r="I3" s="85">
        <v>1059.8232323829786</v>
      </c>
      <c r="J3" s="84">
        <v>999.69814342015695</v>
      </c>
      <c r="K3" s="85">
        <v>1083.9948026227396</v>
      </c>
      <c r="L3" s="84">
        <v>1001.257994809209</v>
      </c>
      <c r="M3" s="85">
        <v>1110.7591571700939</v>
      </c>
      <c r="N3" s="84">
        <v>1003.8841296435954</v>
      </c>
      <c r="O3" s="85">
        <v>1140.4876611678358</v>
      </c>
      <c r="P3" s="84">
        <v>1007.9254000004858</v>
      </c>
      <c r="Q3" s="85">
        <v>1173.6417188715757</v>
      </c>
      <c r="R3" s="84">
        <v>1013.8731392509969</v>
      </c>
      <c r="S3" s="85">
        <v>1210.8234497196593</v>
      </c>
      <c r="T3" s="84">
        <v>1022.4290209206052</v>
      </c>
      <c r="U3" s="85">
        <v>1252.8722583476747</v>
      </c>
      <c r="V3" s="84">
        <v>1034.6103362142292</v>
      </c>
      <c r="W3" s="85">
        <v>1301.0519070428263</v>
      </c>
      <c r="X3" s="84">
        <v>1051.9126874434444</v>
      </c>
      <c r="Y3" s="85">
        <v>1357.4164910861221</v>
      </c>
      <c r="Z3" s="84">
        <v>1076.5657290812449</v>
      </c>
      <c r="AA3" s="85">
        <v>1425.5263570415227</v>
      </c>
      <c r="AB3" s="84">
        <v>1111.9452345539401</v>
      </c>
      <c r="AC3" s="85">
        <v>1511.8585348802617</v>
      </c>
      <c r="AD3" s="84">
        <v>1163.3010920141649</v>
      </c>
      <c r="AE3" s="85">
        <v>1628.6830094722075</v>
      </c>
      <c r="AF3" s="84">
        <v>1239.3356961621673</v>
      </c>
      <c r="AG3" s="85">
        <v>1800.5813002960067</v>
      </c>
      <c r="AH3" s="84">
        <v>1356.548957070504</v>
      </c>
      <c r="AI3" s="85">
        <v>2082.4452411550133</v>
      </c>
      <c r="AJ3" s="84">
        <v>1553.0306800637522</v>
      </c>
      <c r="AK3" s="85">
        <v>2622.4316069361148</v>
      </c>
      <c r="AL3" s="84">
        <v>1935.2539558447054</v>
      </c>
      <c r="AM3" s="85">
        <v>3939.4485416289622</v>
      </c>
      <c r="AN3" s="84">
        <v>2906.4630676869238</v>
      </c>
      <c r="AO3" s="85">
        <v>8900.8613120981554</v>
      </c>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c r="AQ4" s="102"/>
      <c r="AR4" s="101"/>
      <c r="AS4" s="102"/>
      <c r="AT4" s="101"/>
      <c r="AU4" s="102"/>
      <c r="AV4" s="101"/>
      <c r="AW4" s="102"/>
    </row>
    <row r="5" spans="1:49" x14ac:dyDescent="0.2">
      <c r="A5" t="s">
        <v>128</v>
      </c>
      <c r="B5" s="41">
        <v>1000</v>
      </c>
      <c r="C5" s="42">
        <v>1000</v>
      </c>
      <c r="D5" s="41">
        <v>999.18445285928874</v>
      </c>
      <c r="E5" s="42">
        <v>1015.7282701271087</v>
      </c>
      <c r="F5" s="41">
        <v>998.78267327008098</v>
      </c>
      <c r="G5" s="42">
        <v>1032.7036495161333</v>
      </c>
      <c r="H5" s="41">
        <v>998.90151091990276</v>
      </c>
      <c r="I5" s="42">
        <v>1051.0264131143163</v>
      </c>
      <c r="J5" s="41">
        <v>999.68324383609547</v>
      </c>
      <c r="K5" s="42">
        <v>1070.8023041185352</v>
      </c>
      <c r="L5" s="41">
        <v>1001.3196572235031</v>
      </c>
      <c r="M5" s="42">
        <v>1092.1430817096571</v>
      </c>
      <c r="N5" s="41">
        <v>1004.0722829036384</v>
      </c>
      <c r="O5" s="42">
        <v>1115.1693143892874</v>
      </c>
      <c r="P5" s="41">
        <v>1008.3023576519967</v>
      </c>
      <c r="Q5" s="42">
        <v>1140.0174422819632</v>
      </c>
      <c r="R5" s="41">
        <v>1014.5152428794188</v>
      </c>
      <c r="S5" s="42">
        <v>1166.8561996536635</v>
      </c>
      <c r="T5" s="41">
        <v>1023.4264776172114</v>
      </c>
      <c r="U5" s="42">
        <v>1195.92158848802</v>
      </c>
      <c r="V5" s="41">
        <v>1036.06209610422</v>
      </c>
      <c r="W5" s="42">
        <v>1227.5824205072702</v>
      </c>
      <c r="X5" s="41">
        <v>1053.9093628937358</v>
      </c>
      <c r="Y5" s="42">
        <v>1262.4584947902881</v>
      </c>
      <c r="Z5" s="41">
        <v>1079.1455524871749</v>
      </c>
      <c r="AA5" s="42">
        <v>1301.6064251289558</v>
      </c>
      <c r="AB5" s="41">
        <v>1114.9917013456486</v>
      </c>
      <c r="AC5" s="42">
        <v>1346.7632041837828</v>
      </c>
      <c r="AD5" s="41">
        <v>1166.3165765017691</v>
      </c>
      <c r="AE5" s="42">
        <v>1400.5308270026994</v>
      </c>
      <c r="AF5" s="41">
        <v>1240.9373985951288</v>
      </c>
      <c r="AG5" s="42">
        <v>1466.138930851155</v>
      </c>
      <c r="AH5" s="41">
        <v>1353.2164750813854</v>
      </c>
      <c r="AI5" s="42">
        <v>1545.8649104901285</v>
      </c>
      <c r="AJ5" s="41">
        <v>1535.1863695942402</v>
      </c>
      <c r="AK5" s="42">
        <v>1635.6503417372066</v>
      </c>
      <c r="AL5" s="41">
        <v>1871.1787223076274</v>
      </c>
      <c r="AM5" s="42">
        <v>1713.1007923015823</v>
      </c>
      <c r="AN5" s="41">
        <v>2642.5021696097033</v>
      </c>
      <c r="AO5" s="42">
        <v>1746.7401965326387</v>
      </c>
      <c r="AP5" s="41"/>
      <c r="AQ5" s="42"/>
      <c r="AR5" s="41"/>
      <c r="AS5" s="42"/>
      <c r="AT5" s="41"/>
      <c r="AU5" s="42"/>
      <c r="AV5" s="41"/>
      <c r="AW5" s="42"/>
    </row>
    <row r="6" spans="1:49" x14ac:dyDescent="0.2">
      <c r="A6" t="s">
        <v>77</v>
      </c>
      <c r="B6" s="41">
        <v>999.99999999999943</v>
      </c>
      <c r="C6" s="42">
        <v>999.99999999999909</v>
      </c>
      <c r="D6" s="41">
        <v>999.12212637533344</v>
      </c>
      <c r="E6" s="42">
        <v>1019.4778484355345</v>
      </c>
      <c r="F6" s="41">
        <v>998.68968192546902</v>
      </c>
      <c r="G6" s="42">
        <v>1040.8321642542487</v>
      </c>
      <c r="H6" s="41">
        <v>998.817586840903</v>
      </c>
      <c r="I6" s="42">
        <v>1064.2932050836014</v>
      </c>
      <c r="J6" s="41">
        <v>999.65902345411575</v>
      </c>
      <c r="K6" s="42">
        <v>1090.1284890668214</v>
      </c>
      <c r="L6" s="41">
        <v>1001.4207415093103</v>
      </c>
      <c r="M6" s="42">
        <v>1118.6529041963379</v>
      </c>
      <c r="N6" s="41">
        <v>1004.3851383563192</v>
      </c>
      <c r="O6" s="42">
        <v>1150.2453175878238</v>
      </c>
      <c r="P6" s="41">
        <v>1008.9430843512883</v>
      </c>
      <c r="Q6" s="42">
        <v>1185.3770877708041</v>
      </c>
      <c r="R6" s="41">
        <v>1015.6428832772242</v>
      </c>
      <c r="S6" s="42">
        <v>1224.6646907461914</v>
      </c>
      <c r="T6" s="41">
        <v>1025.2636391302935</v>
      </c>
      <c r="U6" s="42">
        <v>1268.9699253180891</v>
      </c>
      <c r="V6" s="41">
        <v>1038.9278644829026</v>
      </c>
      <c r="W6" s="42">
        <v>1319.5936933295134</v>
      </c>
      <c r="X6" s="41">
        <v>1058.2731819145156</v>
      </c>
      <c r="Y6" s="42">
        <v>1378.6542707722965</v>
      </c>
      <c r="Z6" s="41">
        <v>1085.7183223906779</v>
      </c>
      <c r="AA6" s="42">
        <v>1449.8254082060919</v>
      </c>
      <c r="AB6" s="41">
        <v>1124.885879500797</v>
      </c>
      <c r="AC6" s="42">
        <v>1539.7865801796547</v>
      </c>
      <c r="AD6" s="41">
        <v>1181.3451261283526</v>
      </c>
      <c r="AE6" s="42">
        <v>1661.1732482719121</v>
      </c>
      <c r="AF6" s="41">
        <v>1264.2363960108009</v>
      </c>
      <c r="AG6" s="42">
        <v>1839.2539432954711</v>
      </c>
      <c r="AH6" s="41">
        <v>1390.7922486063112</v>
      </c>
      <c r="AI6" s="42">
        <v>2130.367648070116</v>
      </c>
      <c r="AJ6" s="41">
        <v>1600.7138493895702</v>
      </c>
      <c r="AK6" s="42">
        <v>2686.4435825295714</v>
      </c>
      <c r="AL6" s="41">
        <v>2004.7694805350968</v>
      </c>
      <c r="AM6" s="42">
        <v>4039.4899940776831</v>
      </c>
      <c r="AN6" s="41">
        <v>3022.1957509464455</v>
      </c>
      <c r="AO6" s="42">
        <v>9130.2440255305628</v>
      </c>
      <c r="AP6" s="41"/>
      <c r="AQ6" s="42"/>
      <c r="AR6" s="41"/>
      <c r="AS6" s="42"/>
      <c r="AT6" s="41"/>
      <c r="AU6" s="42"/>
      <c r="AV6" s="41"/>
      <c r="AW6" s="42"/>
    </row>
    <row r="7" spans="1:49" x14ac:dyDescent="0.2">
      <c r="A7" t="s">
        <v>13</v>
      </c>
      <c r="B7" s="33">
        <v>1015.9116825427475</v>
      </c>
      <c r="C7" s="34">
        <v>1015.9116825427475</v>
      </c>
      <c r="D7" s="33">
        <v>1015.0831586748345</v>
      </c>
      <c r="E7" s="34">
        <v>1015.0831586748345</v>
      </c>
      <c r="F7" s="33">
        <v>1014.6749860963512</v>
      </c>
      <c r="G7" s="34">
        <v>1014.6749860963512</v>
      </c>
      <c r="H7" s="33">
        <v>1014.795714653131</v>
      </c>
      <c r="I7" s="34">
        <v>1014.795714653131</v>
      </c>
      <c r="J7" s="33">
        <v>1015.5898862553194</v>
      </c>
      <c r="K7" s="34">
        <v>1015.5898862553194</v>
      </c>
      <c r="L7" s="33">
        <v>1017.2523377330562</v>
      </c>
      <c r="M7" s="34">
        <v>1017.2523377330562</v>
      </c>
      <c r="N7" s="33">
        <v>1020.0487623191729</v>
      </c>
      <c r="O7" s="34">
        <v>1020.0487623191729</v>
      </c>
      <c r="P7" s="33">
        <v>1024.3461446740591</v>
      </c>
      <c r="Q7" s="34">
        <v>1024.3461446740591</v>
      </c>
      <c r="R7" s="33">
        <v>1030.6578873588944</v>
      </c>
      <c r="S7" s="34">
        <v>1030.6578873588944</v>
      </c>
      <c r="T7" s="33">
        <v>1039.7109148348986</v>
      </c>
      <c r="U7" s="34">
        <v>1039.7109148348986</v>
      </c>
      <c r="V7" s="33">
        <v>1052.547587272004</v>
      </c>
      <c r="W7" s="34">
        <v>1052.547587272004</v>
      </c>
      <c r="X7" s="33">
        <v>1070.67883410493</v>
      </c>
      <c r="Y7" s="34">
        <v>1070.67883410493</v>
      </c>
      <c r="Z7" s="33">
        <v>1096.3165739357687</v>
      </c>
      <c r="AA7" s="34">
        <v>1096.3165739357687</v>
      </c>
      <c r="AB7" s="33">
        <v>1132.7330953352584</v>
      </c>
      <c r="AC7" s="34">
        <v>1132.7330953352584</v>
      </c>
      <c r="AD7" s="33">
        <v>1184.8746356114093</v>
      </c>
      <c r="AE7" s="34">
        <v>1184.8746356114093</v>
      </c>
      <c r="AF7" s="33">
        <v>1260.6828005369973</v>
      </c>
      <c r="AG7" s="34">
        <v>1260.6828005369973</v>
      </c>
      <c r="AH7" s="33">
        <v>1374.748426044496</v>
      </c>
      <c r="AI7" s="34">
        <v>1374.748426044496</v>
      </c>
      <c r="AJ7" s="33">
        <v>1559.6137677511767</v>
      </c>
      <c r="AK7" s="34">
        <v>1559.6137677511767</v>
      </c>
      <c r="AL7" s="33">
        <v>1900.9523241177301</v>
      </c>
      <c r="AM7" s="34">
        <v>1900.9523241177301</v>
      </c>
      <c r="AN7" s="33">
        <v>2684.548825251054</v>
      </c>
      <c r="AO7" s="34">
        <v>2684.548825251054</v>
      </c>
      <c r="AP7" s="33"/>
      <c r="AQ7" s="34"/>
      <c r="AR7" s="33"/>
      <c r="AS7" s="34"/>
      <c r="AT7" s="33"/>
      <c r="AU7" s="34"/>
      <c r="AV7" s="33"/>
      <c r="AW7" s="34"/>
    </row>
    <row r="8" spans="1:49" x14ac:dyDescent="0.2">
      <c r="B8" s="35">
        <v>1005.7716594496609</v>
      </c>
      <c r="C8" s="36">
        <v>1005.7716594496609</v>
      </c>
      <c r="D8" s="35">
        <v>1059.3870768267725</v>
      </c>
      <c r="E8" s="36">
        <v>1059.3870768267725</v>
      </c>
      <c r="F8" s="35">
        <v>1117.9648897806355</v>
      </c>
      <c r="G8" s="36">
        <v>1117.9648897806355</v>
      </c>
      <c r="H8" s="35">
        <v>1182.0539153598227</v>
      </c>
      <c r="I8" s="36">
        <v>1182.0539153598227</v>
      </c>
      <c r="J8" s="35">
        <v>1252.2536736759441</v>
      </c>
      <c r="K8" s="36">
        <v>1252.2536736759441</v>
      </c>
      <c r="L8" s="35">
        <v>1329.2146036782958</v>
      </c>
      <c r="M8" s="36">
        <v>1329.2146036782958</v>
      </c>
      <c r="N8" s="35">
        <v>1413.6428566052816</v>
      </c>
      <c r="O8" s="36">
        <v>1413.6428566052816</v>
      </c>
      <c r="P8" s="35">
        <v>1506.3178107383001</v>
      </c>
      <c r="Q8" s="36">
        <v>1506.3178107383001</v>
      </c>
      <c r="R8" s="35">
        <v>1608.1478459852551</v>
      </c>
      <c r="S8" s="36">
        <v>1608.1478459852551</v>
      </c>
      <c r="T8" s="35">
        <v>1720.3198416796167</v>
      </c>
      <c r="U8" s="36">
        <v>1720.3198416796167</v>
      </c>
      <c r="V8" s="35">
        <v>1844.6566205447823</v>
      </c>
      <c r="W8" s="36">
        <v>1844.6566205447823</v>
      </c>
      <c r="X8" s="35">
        <v>1984.4310277691684</v>
      </c>
      <c r="Y8" s="36">
        <v>1984.4310277691684</v>
      </c>
      <c r="Z8" s="35">
        <v>2146.1303345107922</v>
      </c>
      <c r="AA8" s="36">
        <v>2146.1303345107922</v>
      </c>
      <c r="AB8" s="35">
        <v>2343.19379568259</v>
      </c>
      <c r="AC8" s="36">
        <v>2343.19379568259</v>
      </c>
      <c r="AD8" s="35">
        <v>2603.9911268438086</v>
      </c>
      <c r="AE8" s="36">
        <v>2603.9911268438086</v>
      </c>
      <c r="AF8" s="35">
        <v>2990.3053210751418</v>
      </c>
      <c r="AG8" s="36">
        <v>2990.3053210751418</v>
      </c>
      <c r="AH8" s="35">
        <v>3649.1767669218266</v>
      </c>
      <c r="AI8" s="36">
        <v>3649.1767669218266</v>
      </c>
      <c r="AJ8" s="35">
        <v>5001.4598023996932</v>
      </c>
      <c r="AK8" s="36">
        <v>5001.4598023996932</v>
      </c>
      <c r="AL8" s="35">
        <v>8635.9023846695727</v>
      </c>
      <c r="AM8" s="36">
        <v>8635.9023846695727</v>
      </c>
      <c r="AN8" s="35">
        <v>24243.166245664983</v>
      </c>
      <c r="AO8" s="36">
        <v>24243.166245664983</v>
      </c>
      <c r="AP8" s="35"/>
      <c r="AQ8" s="36"/>
      <c r="AR8" s="35"/>
      <c r="AS8" s="36"/>
      <c r="AT8" s="35"/>
      <c r="AU8" s="36"/>
      <c r="AV8" s="35"/>
      <c r="AW8" s="36"/>
    </row>
    <row r="9" spans="1:49" x14ac:dyDescent="0.2">
      <c r="A9" t="s">
        <v>14</v>
      </c>
      <c r="B9" s="41">
        <v>1015.9116825427475</v>
      </c>
      <c r="C9" s="42">
        <v>1005.7716594496609</v>
      </c>
      <c r="D9" s="41">
        <v>1015.0831586748345</v>
      </c>
      <c r="E9" s="42">
        <v>1059.3870768267725</v>
      </c>
      <c r="F9" s="41">
        <v>1014.6749860963512</v>
      </c>
      <c r="G9" s="42">
        <v>1117.9648897806355</v>
      </c>
      <c r="H9" s="41">
        <v>1014.795714653131</v>
      </c>
      <c r="I9" s="42">
        <v>1182.0539153598227</v>
      </c>
      <c r="J9" s="41">
        <v>1015.5898862553194</v>
      </c>
      <c r="K9" s="42">
        <v>1252.2536736759441</v>
      </c>
      <c r="L9" s="41">
        <v>1017.2523377330562</v>
      </c>
      <c r="M9" s="42">
        <v>1329.2146036782958</v>
      </c>
      <c r="N9" s="41">
        <v>1020.0487623191729</v>
      </c>
      <c r="O9" s="42">
        <v>1413.6428566052816</v>
      </c>
      <c r="P9" s="41">
        <v>1024.3461446740591</v>
      </c>
      <c r="Q9" s="42">
        <v>1506.3178107383001</v>
      </c>
      <c r="R9" s="41">
        <v>1030.6578873588944</v>
      </c>
      <c r="S9" s="42">
        <v>1608.1478459852551</v>
      </c>
      <c r="T9" s="41">
        <v>1039.7109148348986</v>
      </c>
      <c r="U9" s="42">
        <v>1720.3198416796167</v>
      </c>
      <c r="V9" s="41">
        <v>1052.547587272004</v>
      </c>
      <c r="W9" s="42">
        <v>1844.6566205447823</v>
      </c>
      <c r="X9" s="41">
        <v>1070.67883410493</v>
      </c>
      <c r="Y9" s="42">
        <v>1984.4310277691684</v>
      </c>
      <c r="Z9" s="41">
        <v>1096.3165739357687</v>
      </c>
      <c r="AA9" s="42">
        <v>2146.1303345107922</v>
      </c>
      <c r="AB9" s="41">
        <v>1132.7330953352584</v>
      </c>
      <c r="AC9" s="42">
        <v>2343.19379568259</v>
      </c>
      <c r="AD9" s="41">
        <v>1184.8746356114093</v>
      </c>
      <c r="AE9" s="42">
        <v>2603.9911268438086</v>
      </c>
      <c r="AF9" s="41">
        <v>1260.6828005369973</v>
      </c>
      <c r="AG9" s="42">
        <v>2990.3053210751418</v>
      </c>
      <c r="AH9" s="41">
        <v>1374.748426044496</v>
      </c>
      <c r="AI9" s="42">
        <v>3649.1767669218266</v>
      </c>
      <c r="AJ9" s="41">
        <v>1559.6137677511767</v>
      </c>
      <c r="AK9" s="42">
        <v>5001.4598023996932</v>
      </c>
      <c r="AL9" s="41">
        <v>1900.9523241177301</v>
      </c>
      <c r="AM9" s="42">
        <v>8635.9023846695727</v>
      </c>
      <c r="AN9" s="41">
        <v>2684.548825251054</v>
      </c>
      <c r="AO9" s="42">
        <v>24243.166245664983</v>
      </c>
      <c r="AP9" s="41"/>
      <c r="AQ9" s="42"/>
      <c r="AR9" s="41"/>
      <c r="AS9" s="42"/>
      <c r="AT9" s="41"/>
      <c r="AU9" s="42"/>
      <c r="AV9" s="41"/>
      <c r="AW9" s="42"/>
    </row>
    <row r="10" spans="1:49" x14ac:dyDescent="0.2">
      <c r="A10" t="s">
        <v>15</v>
      </c>
      <c r="B10" s="41">
        <v>1015.9116825427475</v>
      </c>
      <c r="C10" s="42">
        <v>1005.7716594496609</v>
      </c>
      <c r="D10" s="41">
        <v>1015.0831586748345</v>
      </c>
      <c r="E10" s="42">
        <v>1059.3870768267725</v>
      </c>
      <c r="F10" s="41">
        <v>1014.6749860963512</v>
      </c>
      <c r="G10" s="42">
        <v>1117.9648897806355</v>
      </c>
      <c r="H10" s="41">
        <v>1014.795714653131</v>
      </c>
      <c r="I10" s="42">
        <v>1182.0539153598227</v>
      </c>
      <c r="J10" s="41">
        <v>1015.5898862553194</v>
      </c>
      <c r="K10" s="42">
        <v>1252.2536736759441</v>
      </c>
      <c r="L10" s="41">
        <v>1017.2523377330562</v>
      </c>
      <c r="M10" s="42">
        <v>1329.2146036782958</v>
      </c>
      <c r="N10" s="41">
        <v>1020.0487623191729</v>
      </c>
      <c r="O10" s="42">
        <v>1413.6428566052816</v>
      </c>
      <c r="P10" s="41">
        <v>1024.3461446740591</v>
      </c>
      <c r="Q10" s="42">
        <v>1506.3178107383001</v>
      </c>
      <c r="R10" s="41">
        <v>1030.6578873588944</v>
      </c>
      <c r="S10" s="42">
        <v>1608.1478459852551</v>
      </c>
      <c r="T10" s="41">
        <v>1039.7109148348986</v>
      </c>
      <c r="U10" s="42">
        <v>1720.3198416796167</v>
      </c>
      <c r="V10" s="41">
        <v>1052.547587272004</v>
      </c>
      <c r="W10" s="42">
        <v>1844.6566205447823</v>
      </c>
      <c r="X10" s="41">
        <v>1070.67883410493</v>
      </c>
      <c r="Y10" s="42">
        <v>1984.4310277691684</v>
      </c>
      <c r="Z10" s="41">
        <v>1096.3165739357687</v>
      </c>
      <c r="AA10" s="42">
        <v>2146.1303345107922</v>
      </c>
      <c r="AB10" s="41">
        <v>1132.7330953352584</v>
      </c>
      <c r="AC10" s="42">
        <v>2343.19379568259</v>
      </c>
      <c r="AD10" s="41">
        <v>1184.8746356114093</v>
      </c>
      <c r="AE10" s="42">
        <v>2603.9911268438086</v>
      </c>
      <c r="AF10" s="41">
        <v>1260.6828005369973</v>
      </c>
      <c r="AG10" s="42">
        <v>2990.3053210751418</v>
      </c>
      <c r="AH10" s="41">
        <v>1374.748426044496</v>
      </c>
      <c r="AI10" s="42">
        <v>3649.1767669218266</v>
      </c>
      <c r="AJ10" s="41">
        <v>1559.6137677511767</v>
      </c>
      <c r="AK10" s="42">
        <v>5001.4598023996932</v>
      </c>
      <c r="AL10" s="41">
        <v>1900.9523241177301</v>
      </c>
      <c r="AM10" s="42">
        <v>8635.9023846695727</v>
      </c>
      <c r="AN10" s="41">
        <v>2684.548825251054</v>
      </c>
      <c r="AO10" s="42">
        <v>24243.166245664983</v>
      </c>
      <c r="AP10" s="41"/>
      <c r="AQ10" s="42"/>
      <c r="AR10" s="41"/>
      <c r="AS10" s="42"/>
      <c r="AT10" s="41"/>
      <c r="AU10" s="42"/>
      <c r="AV10" s="41"/>
      <c r="AW10" s="42"/>
    </row>
    <row r="11" spans="1:49" x14ac:dyDescent="0.2">
      <c r="A11" t="s">
        <v>29</v>
      </c>
      <c r="B11" s="41">
        <v>1015.9116825427475</v>
      </c>
      <c r="C11" s="42">
        <v>1005.7716594496609</v>
      </c>
      <c r="D11" s="41">
        <v>1015.0831586748345</v>
      </c>
      <c r="E11" s="42">
        <v>1059.3870768267725</v>
      </c>
      <c r="F11" s="41">
        <v>1014.6749860963512</v>
      </c>
      <c r="G11" s="42">
        <v>1117.9648897806355</v>
      </c>
      <c r="H11" s="41">
        <v>1014.795714653131</v>
      </c>
      <c r="I11" s="42">
        <v>1182.0539153598227</v>
      </c>
      <c r="J11" s="41">
        <v>1015.5898862553194</v>
      </c>
      <c r="K11" s="42">
        <v>1252.2536736759441</v>
      </c>
      <c r="L11" s="41">
        <v>1017.2523377330562</v>
      </c>
      <c r="M11" s="42">
        <v>1329.2146036782958</v>
      </c>
      <c r="N11" s="41">
        <v>1020.0487623191729</v>
      </c>
      <c r="O11" s="42">
        <v>1413.6428566052816</v>
      </c>
      <c r="P11" s="41">
        <v>1024.3461446740591</v>
      </c>
      <c r="Q11" s="42">
        <v>1506.3178107383001</v>
      </c>
      <c r="R11" s="41">
        <v>1030.6578873588944</v>
      </c>
      <c r="S11" s="42">
        <v>1608.1478459852551</v>
      </c>
      <c r="T11" s="41">
        <v>1039.7109148348986</v>
      </c>
      <c r="U11" s="42">
        <v>1720.3198416796167</v>
      </c>
      <c r="V11" s="41">
        <v>1052.547587272004</v>
      </c>
      <c r="W11" s="42">
        <v>1844.6566205447823</v>
      </c>
      <c r="X11" s="41">
        <v>1070.67883410493</v>
      </c>
      <c r="Y11" s="42">
        <v>1984.4310277691684</v>
      </c>
      <c r="Z11" s="41">
        <v>1096.3165739357687</v>
      </c>
      <c r="AA11" s="42">
        <v>2146.1303345107922</v>
      </c>
      <c r="AB11" s="41">
        <v>1132.7330953352584</v>
      </c>
      <c r="AC11" s="42">
        <v>2343.19379568259</v>
      </c>
      <c r="AD11" s="41">
        <v>1184.8746356114093</v>
      </c>
      <c r="AE11" s="42">
        <v>2603.9911268438086</v>
      </c>
      <c r="AF11" s="41">
        <v>1260.6828005369973</v>
      </c>
      <c r="AG11" s="42">
        <v>2990.3053210751418</v>
      </c>
      <c r="AH11" s="41">
        <v>1374.748426044496</v>
      </c>
      <c r="AI11" s="42">
        <v>3649.1767669218266</v>
      </c>
      <c r="AJ11" s="41">
        <v>1559.6137677511767</v>
      </c>
      <c r="AK11" s="42">
        <v>5001.4598023996932</v>
      </c>
      <c r="AL11" s="41">
        <v>1900.9523241177301</v>
      </c>
      <c r="AM11" s="42">
        <v>8635.9023846695727</v>
      </c>
      <c r="AN11" s="41">
        <v>2684.548825251054</v>
      </c>
      <c r="AO11" s="42">
        <v>24243.166245664983</v>
      </c>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c r="AQ12" s="42"/>
      <c r="AR12" s="41"/>
      <c r="AS12" s="42"/>
      <c r="AT12" s="41"/>
      <c r="AU12" s="42"/>
      <c r="AV12" s="41"/>
      <c r="AW12" s="42"/>
    </row>
    <row r="13" spans="1:49" x14ac:dyDescent="0.2">
      <c r="A13" t="s">
        <v>17</v>
      </c>
      <c r="B13" s="97">
        <v>1000</v>
      </c>
      <c r="C13" s="98">
        <v>1000</v>
      </c>
      <c r="D13" s="97">
        <v>994.96789859959904</v>
      </c>
      <c r="E13" s="98">
        <v>994.96789859959904</v>
      </c>
      <c r="F13" s="97">
        <v>990.04350242967371</v>
      </c>
      <c r="G13" s="98">
        <v>990.04350242967371</v>
      </c>
      <c r="H13" s="97">
        <v>985.30089833157547</v>
      </c>
      <c r="I13" s="98">
        <v>985.30089833157547</v>
      </c>
      <c r="J13" s="97">
        <v>980.84565220842251</v>
      </c>
      <c r="K13" s="98">
        <v>980.84565220842251</v>
      </c>
      <c r="L13" s="97">
        <v>976.82839747199171</v>
      </c>
      <c r="M13" s="98">
        <v>976.82839747199171</v>
      </c>
      <c r="N13" s="97">
        <v>973.46447668483631</v>
      </c>
      <c r="O13" s="98">
        <v>973.46447668483631</v>
      </c>
      <c r="P13" s="97">
        <v>971.0632673480668</v>
      </c>
      <c r="Q13" s="98">
        <v>971.0632673480668</v>
      </c>
      <c r="R13" s="97">
        <v>970.07192724361494</v>
      </c>
      <c r="S13" s="98">
        <v>970.07192724361494</v>
      </c>
      <c r="T13" s="97">
        <v>971.14091358030316</v>
      </c>
      <c r="U13" s="98">
        <v>971.14091358030316</v>
      </c>
      <c r="V13" s="97">
        <v>975.22487116206071</v>
      </c>
      <c r="W13" s="98">
        <v>975.22487116206071</v>
      </c>
      <c r="X13" s="97">
        <v>983.73714003223517</v>
      </c>
      <c r="Y13" s="98">
        <v>983.73714003223517</v>
      </c>
      <c r="Z13" s="97">
        <v>998.79159268497756</v>
      </c>
      <c r="AA13" s="98">
        <v>998.79159268497756</v>
      </c>
      <c r="AB13" s="97">
        <v>1023.5916378045769</v>
      </c>
      <c r="AC13" s="98">
        <v>1023.5916378045769</v>
      </c>
      <c r="AD13" s="97">
        <v>1063.1186250046439</v>
      </c>
      <c r="AE13" s="98">
        <v>1063.1186250046439</v>
      </c>
      <c r="AF13" s="97">
        <v>1125.6335613138872</v>
      </c>
      <c r="AG13" s="98">
        <v>1125.6335613138872</v>
      </c>
      <c r="AH13" s="97">
        <v>1226.8724445721434</v>
      </c>
      <c r="AI13" s="98">
        <v>1226.8724445721434</v>
      </c>
      <c r="AJ13" s="97">
        <v>1403.7504958004672</v>
      </c>
      <c r="AK13" s="98">
        <v>1403.7504958004672</v>
      </c>
      <c r="AL13" s="97">
        <v>1763.6972552222981</v>
      </c>
      <c r="AM13" s="98">
        <v>1763.6972552222981</v>
      </c>
      <c r="AN13" s="97">
        <v>2752.7035955669421</v>
      </c>
      <c r="AO13" s="98">
        <v>2752.7035955669421</v>
      </c>
      <c r="AP13" s="97"/>
      <c r="AQ13" s="98"/>
      <c r="AR13" s="97"/>
      <c r="AS13" s="98"/>
      <c r="AT13" s="97"/>
      <c r="AU13" s="98"/>
      <c r="AV13" s="97"/>
      <c r="AW13" s="98"/>
    </row>
    <row r="14" spans="1:49" x14ac:dyDescent="0.2">
      <c r="A14" t="s">
        <v>36</v>
      </c>
      <c r="B14" s="41">
        <v>1457.0034251455234</v>
      </c>
      <c r="C14" s="42">
        <v>1457.0034251455236</v>
      </c>
      <c r="D14" s="41">
        <v>1449.6716361694596</v>
      </c>
      <c r="E14" s="42">
        <v>1449.6716361694598</v>
      </c>
      <c r="F14" s="41">
        <v>1442.4967740831048</v>
      </c>
      <c r="G14" s="42">
        <v>1442.496774083105</v>
      </c>
      <c r="H14" s="41">
        <v>1435.5867836680663</v>
      </c>
      <c r="I14" s="42">
        <v>1435.5867836680666</v>
      </c>
      <c r="J14" s="41">
        <v>1429.0954748067663</v>
      </c>
      <c r="K14" s="42">
        <v>1429.0954748067666</v>
      </c>
      <c r="L14" s="41">
        <v>1423.2423208961045</v>
      </c>
      <c r="M14" s="42">
        <v>1423.2423208961047</v>
      </c>
      <c r="N14" s="41">
        <v>1418.3410767873008</v>
      </c>
      <c r="O14" s="42">
        <v>1418.3410767873011</v>
      </c>
      <c r="P14" s="41">
        <v>1414.8425065591364</v>
      </c>
      <c r="Q14" s="42">
        <v>1414.8425065591366</v>
      </c>
      <c r="R14" s="41">
        <v>1413.3981206314659</v>
      </c>
      <c r="S14" s="42">
        <v>1413.3981206314661</v>
      </c>
      <c r="T14" s="41">
        <v>1414.9556373854543</v>
      </c>
      <c r="U14" s="42">
        <v>1414.9556373854546</v>
      </c>
      <c r="V14" s="41">
        <v>1420.9059775702242</v>
      </c>
      <c r="W14" s="42">
        <v>1420.9059775702244</v>
      </c>
      <c r="X14" s="41">
        <v>1433.3083824698278</v>
      </c>
      <c r="Y14" s="42">
        <v>1433.3083824698281</v>
      </c>
      <c r="Z14" s="41">
        <v>1455.2427715485646</v>
      </c>
      <c r="AA14" s="42">
        <v>1455.2427715485649</v>
      </c>
      <c r="AB14" s="41">
        <v>1491.3765222315844</v>
      </c>
      <c r="AC14" s="42">
        <v>1491.3765222315847</v>
      </c>
      <c r="AD14" s="41">
        <v>1548.9674779677655</v>
      </c>
      <c r="AE14" s="42">
        <v>1548.9674779677657</v>
      </c>
      <c r="AF14" s="41">
        <v>1640.051954293087</v>
      </c>
      <c r="AG14" s="42">
        <v>1640.0519542930872</v>
      </c>
      <c r="AH14" s="41">
        <v>1787.5573539582742</v>
      </c>
      <c r="AI14" s="42">
        <v>1787.5573539582745</v>
      </c>
      <c r="AJ14" s="41">
        <v>2045.2692804310072</v>
      </c>
      <c r="AK14" s="42">
        <v>2045.2692804310075</v>
      </c>
      <c r="AL14" s="41">
        <v>2569.7129417786464</v>
      </c>
      <c r="AM14" s="42">
        <v>2569.7129417786468</v>
      </c>
      <c r="AN14" s="41">
        <v>4010.6985671514321</v>
      </c>
      <c r="AO14" s="42">
        <v>4010.6985671514326</v>
      </c>
      <c r="AP14" s="41"/>
      <c r="AQ14" s="42"/>
      <c r="AR14" s="41"/>
      <c r="AS14" s="42"/>
      <c r="AT14" s="41"/>
      <c r="AU14" s="42"/>
      <c r="AV14" s="41"/>
      <c r="AW14" s="42"/>
    </row>
    <row r="15" spans="1:49" x14ac:dyDescent="0.2">
      <c r="A15" t="s">
        <v>18</v>
      </c>
      <c r="B15" s="154">
        <v>1000</v>
      </c>
      <c r="C15" s="155">
        <v>1000</v>
      </c>
      <c r="D15" s="154">
        <v>999.18445285928874</v>
      </c>
      <c r="E15" s="155">
        <v>999.18445285928874</v>
      </c>
      <c r="F15" s="154">
        <v>998.78267327008098</v>
      </c>
      <c r="G15" s="155">
        <v>998.78267327008098</v>
      </c>
      <c r="H15" s="154">
        <v>998.90151091990276</v>
      </c>
      <c r="I15" s="155">
        <v>998.90151091990276</v>
      </c>
      <c r="J15" s="154">
        <v>999.68324383609547</v>
      </c>
      <c r="K15" s="155">
        <v>999.68324383609547</v>
      </c>
      <c r="L15" s="154">
        <v>1001.3196572235031</v>
      </c>
      <c r="M15" s="155">
        <v>1001.3196572235031</v>
      </c>
      <c r="N15" s="154">
        <v>1004.0722829036384</v>
      </c>
      <c r="O15" s="155">
        <v>1004.0722829036384</v>
      </c>
      <c r="P15" s="154">
        <v>1008.3023576519967</v>
      </c>
      <c r="Q15" s="155">
        <v>1008.3023576519967</v>
      </c>
      <c r="R15" s="154">
        <v>1014.5152428794188</v>
      </c>
      <c r="S15" s="155">
        <v>1014.5152428794188</v>
      </c>
      <c r="T15" s="154">
        <v>1023.4264776172114</v>
      </c>
      <c r="U15" s="155">
        <v>1023.4264776172114</v>
      </c>
      <c r="V15" s="154">
        <v>1036.06209610422</v>
      </c>
      <c r="W15" s="155">
        <v>1036.06209610422</v>
      </c>
      <c r="X15" s="154">
        <v>1053.9093628937358</v>
      </c>
      <c r="Y15" s="155">
        <v>1053.9093628937358</v>
      </c>
      <c r="Z15" s="154">
        <v>1079.1455524871749</v>
      </c>
      <c r="AA15" s="155">
        <v>1079.1455524871749</v>
      </c>
      <c r="AB15" s="154">
        <v>1114.9917013456486</v>
      </c>
      <c r="AC15" s="155">
        <v>1114.9917013456486</v>
      </c>
      <c r="AD15" s="154">
        <v>1166.3165765017691</v>
      </c>
      <c r="AE15" s="155">
        <v>1166.3165765017691</v>
      </c>
      <c r="AF15" s="154">
        <v>1240.9373985951288</v>
      </c>
      <c r="AG15" s="155">
        <v>1240.9373985951288</v>
      </c>
      <c r="AH15" s="154">
        <v>1353.2164750813854</v>
      </c>
      <c r="AI15" s="155">
        <v>1353.2164750813854</v>
      </c>
      <c r="AJ15" s="154">
        <v>1535.1863695942402</v>
      </c>
      <c r="AK15" s="155">
        <v>1535.1863695942402</v>
      </c>
      <c r="AL15" s="154">
        <v>1871.1787223076274</v>
      </c>
      <c r="AM15" s="155">
        <v>1871.1787223076274</v>
      </c>
      <c r="AN15" s="154">
        <v>2642.5021696097033</v>
      </c>
      <c r="AO15" s="155">
        <v>2642.5021696097033</v>
      </c>
      <c r="AP15" s="154"/>
      <c r="AQ15" s="155"/>
      <c r="AR15" s="154"/>
      <c r="AS15" s="155"/>
      <c r="AT15" s="154"/>
      <c r="AU15" s="155"/>
      <c r="AV15" s="154"/>
      <c r="AW15" s="155"/>
    </row>
    <row r="16" spans="1:49" s="29" customFormat="1" x14ac:dyDescent="0.2">
      <c r="A16" t="s">
        <v>61</v>
      </c>
      <c r="B16" s="41">
        <v>1000</v>
      </c>
      <c r="C16" s="42">
        <v>1000</v>
      </c>
      <c r="D16" s="41">
        <v>996.9360322174515</v>
      </c>
      <c r="E16" s="42">
        <v>997.98080240245611</v>
      </c>
      <c r="F16" s="41">
        <v>994.1218844960016</v>
      </c>
      <c r="G16" s="42">
        <v>996.28769981061896</v>
      </c>
      <c r="H16" s="41">
        <v>991.64676060513909</v>
      </c>
      <c r="I16" s="42">
        <v>995.01811794631294</v>
      </c>
      <c r="J16" s="41">
        <v>989.63314902997035</v>
      </c>
      <c r="K16" s="42">
        <v>994.30376823879283</v>
      </c>
      <c r="L16" s="41">
        <v>988.25063363638219</v>
      </c>
      <c r="M16" s="42">
        <v>994.32458400370729</v>
      </c>
      <c r="N16" s="41">
        <v>987.73580756006652</v>
      </c>
      <c r="O16" s="42">
        <v>995.3287865351632</v>
      </c>
      <c r="P16" s="41">
        <v>988.42188873025498</v>
      </c>
      <c r="Q16" s="42">
        <v>997.6626607125221</v>
      </c>
      <c r="R16" s="41">
        <v>990.78277808602786</v>
      </c>
      <c r="S16" s="42">
        <v>1001.8147815156561</v>
      </c>
      <c r="T16" s="41">
        <v>995.49883431095316</v>
      </c>
      <c r="U16" s="42">
        <v>1008.481917326471</v>
      </c>
      <c r="V16" s="41">
        <v>1003.5575211731312</v>
      </c>
      <c r="W16" s="42">
        <v>1018.6695208439629</v>
      </c>
      <c r="X16" s="41">
        <v>1016.4062191511146</v>
      </c>
      <c r="Y16" s="42">
        <v>1033.8435674358391</v>
      </c>
      <c r="Z16" s="41">
        <v>1036.1881163210451</v>
      </c>
      <c r="AA16" s="42">
        <v>1056.1631222494852</v>
      </c>
      <c r="AB16" s="41">
        <v>1066.1150743591766</v>
      </c>
      <c r="AC16" s="42">
        <v>1088.8442829319897</v>
      </c>
      <c r="AD16" s="41">
        <v>1111.1172578164799</v>
      </c>
      <c r="AE16" s="42">
        <v>1136.7885079661346</v>
      </c>
      <c r="AF16" s="41">
        <v>1179.2522863016361</v>
      </c>
      <c r="AG16" s="42">
        <v>1207.9412206310019</v>
      </c>
      <c r="AH16" s="41">
        <v>1285.623924707487</v>
      </c>
      <c r="AI16" s="42">
        <v>1317.0604834388819</v>
      </c>
      <c r="AJ16" s="41">
        <v>1464.8906404904378</v>
      </c>
      <c r="AK16" s="42">
        <v>1497.5816926287437</v>
      </c>
      <c r="AL16" s="41">
        <v>1813.7554334974916</v>
      </c>
      <c r="AM16" s="42">
        <v>1840.4522697796256</v>
      </c>
      <c r="AN16" s="41">
        <v>2701.1728725180801</v>
      </c>
      <c r="AO16" s="42">
        <v>2673.9219980365979</v>
      </c>
      <c r="AP16" s="41"/>
      <c r="AQ16" s="42"/>
      <c r="AR16" s="41"/>
      <c r="AS16" s="42"/>
      <c r="AT16" s="41"/>
      <c r="AU16" s="42"/>
      <c r="AV16" s="41"/>
      <c r="AW16" s="42"/>
    </row>
    <row r="17" spans="1:49" x14ac:dyDescent="0.2">
      <c r="A17" t="s">
        <v>62</v>
      </c>
      <c r="B17" s="35">
        <v>1000.0000000000002</v>
      </c>
      <c r="C17" s="36">
        <v>999.99999999999977</v>
      </c>
      <c r="D17" s="35">
        <v>999.25863899507294</v>
      </c>
      <c r="E17" s="36">
        <v>1027.3295999339969</v>
      </c>
      <c r="F17" s="35">
        <v>998.89358805298184</v>
      </c>
      <c r="G17" s="36">
        <v>1057.2307157684293</v>
      </c>
      <c r="H17" s="35">
        <v>999.00154956578785</v>
      </c>
      <c r="I17" s="36">
        <v>1090.0052750432262</v>
      </c>
      <c r="J17" s="35">
        <v>999.71199904261027</v>
      </c>
      <c r="K17" s="36">
        <v>1125.9946715264027</v>
      </c>
      <c r="L17" s="35">
        <v>1001.2006539219618</v>
      </c>
      <c r="M17" s="36">
        <v>1165.5871503591027</v>
      </c>
      <c r="N17" s="35">
        <v>1003.709179339744</v>
      </c>
      <c r="O17" s="36">
        <v>1209.2310789658575</v>
      </c>
      <c r="P17" s="35">
        <v>1007.574940194772</v>
      </c>
      <c r="Q17" s="36">
        <v>1257.4601400227068</v>
      </c>
      <c r="R17" s="35">
        <v>1013.2762749792656</v>
      </c>
      <c r="S17" s="36">
        <v>1310.9457634982339</v>
      </c>
      <c r="T17" s="35">
        <v>1021.5020559680795</v>
      </c>
      <c r="U17" s="36">
        <v>1370.6079529683122</v>
      </c>
      <c r="V17" s="35">
        <v>1033.2615636302648</v>
      </c>
      <c r="W17" s="36">
        <v>1437.8469553940283</v>
      </c>
      <c r="X17" s="35">
        <v>1050.0582746786451</v>
      </c>
      <c r="Y17" s="36">
        <v>1515.0252445690353</v>
      </c>
      <c r="Z17" s="35">
        <v>1074.170522440897</v>
      </c>
      <c r="AA17" s="36">
        <v>1606.4532413781735</v>
      </c>
      <c r="AB17" s="35">
        <v>1109.1174334140214</v>
      </c>
      <c r="AC17" s="36">
        <v>1720.3965040570536</v>
      </c>
      <c r="AD17" s="35">
        <v>1160.5017707209611</v>
      </c>
      <c r="AE17" s="36">
        <v>1873.2568579042479</v>
      </c>
      <c r="AF17" s="35">
        <v>1237.847506052738</v>
      </c>
      <c r="AG17" s="36">
        <v>2099.1432175199998</v>
      </c>
      <c r="AH17" s="35">
        <v>1359.6531194499157</v>
      </c>
      <c r="AI17" s="36">
        <v>2476.4880036177492</v>
      </c>
      <c r="AJ17" s="35">
        <v>1569.7546558593694</v>
      </c>
      <c r="AK17" s="36">
        <v>3222.9452820966799</v>
      </c>
      <c r="AL17" s="35">
        <v>1996.2040095083808</v>
      </c>
      <c r="AM17" s="36">
        <v>5129.5831166934804</v>
      </c>
      <c r="AN17" s="35">
        <v>3168.0026937019702</v>
      </c>
      <c r="AO17" s="36">
        <v>12799.996276558622</v>
      </c>
      <c r="AP17" s="35"/>
      <c r="AQ17" s="36"/>
      <c r="AR17" s="35"/>
      <c r="AS17" s="36"/>
      <c r="AT17" s="35"/>
      <c r="AU17" s="36"/>
      <c r="AV17" s="35"/>
      <c r="AW17" s="36"/>
    </row>
    <row r="18" spans="1:49" x14ac:dyDescent="0.2">
      <c r="A18" t="s">
        <v>19</v>
      </c>
      <c r="B18" s="33">
        <v>27857.010133999996</v>
      </c>
      <c r="C18" s="34">
        <v>1236.7674480000003</v>
      </c>
      <c r="D18" s="33">
        <v>27590.336256014583</v>
      </c>
      <c r="E18" s="34">
        <v>1154.543051008804</v>
      </c>
      <c r="F18" s="33">
        <v>27284.196669145294</v>
      </c>
      <c r="G18" s="34">
        <v>1072.7289960960252</v>
      </c>
      <c r="H18" s="33">
        <v>26931.215967738695</v>
      </c>
      <c r="I18" s="34">
        <v>991.42670257914961</v>
      </c>
      <c r="J18" s="33">
        <v>26522.474416578982</v>
      </c>
      <c r="K18" s="34">
        <v>910.75900674470518</v>
      </c>
      <c r="L18" s="33">
        <v>26047.245083429127</v>
      </c>
      <c r="M18" s="34">
        <v>830.8738893404369</v>
      </c>
      <c r="N18" s="33">
        <v>25492.782973499227</v>
      </c>
      <c r="O18" s="34">
        <v>751.94768967489711</v>
      </c>
      <c r="P18" s="33">
        <v>24844.248082139569</v>
      </c>
      <c r="Q18" s="34">
        <v>674.18532331157178</v>
      </c>
      <c r="R18" s="33">
        <v>24084.951641156727</v>
      </c>
      <c r="S18" s="34">
        <v>597.81538290111325</v>
      </c>
      <c r="T18" s="33">
        <v>23197.211015269757</v>
      </c>
      <c r="U18" s="34">
        <v>523.07889465047401</v>
      </c>
      <c r="V18" s="33">
        <v>22164.224453281851</v>
      </c>
      <c r="W18" s="34">
        <v>450.20316967842479</v>
      </c>
      <c r="X18" s="33">
        <v>20973.439855050721</v>
      </c>
      <c r="Y18" s="34">
        <v>379.37001925438614</v>
      </c>
      <c r="Z18" s="33">
        <v>19621.63358274143</v>
      </c>
      <c r="AA18" s="34">
        <v>310.68695865151312</v>
      </c>
      <c r="AB18" s="33">
        <v>18120.821353168136</v>
      </c>
      <c r="AC18" s="34">
        <v>244.21943671426618</v>
      </c>
      <c r="AD18" s="33">
        <v>16501.553830543089</v>
      </c>
      <c r="AE18" s="34">
        <v>180.20364469991247</v>
      </c>
      <c r="AF18" s="33">
        <v>14806.593465970616</v>
      </c>
      <c r="AG18" s="34">
        <v>119.64755334478217</v>
      </c>
      <c r="AH18" s="33">
        <v>13067.524009967199</v>
      </c>
      <c r="AI18" s="34">
        <v>65.527564487096043</v>
      </c>
      <c r="AJ18" s="33">
        <v>11262.803519741878</v>
      </c>
      <c r="AK18" s="34">
        <v>24.293106798796906</v>
      </c>
      <c r="AL18" s="33">
        <v>9255.8463337240792</v>
      </c>
      <c r="AM18" s="34">
        <v>3.8047961703345332</v>
      </c>
      <c r="AN18" s="33">
        <v>6624.4126491461866</v>
      </c>
      <c r="AO18" s="34">
        <v>7.8730150404701632E-2</v>
      </c>
      <c r="AP18" s="33"/>
      <c r="AQ18" s="34"/>
      <c r="AR18" s="33"/>
      <c r="AS18" s="34"/>
      <c r="AT18" s="33"/>
      <c r="AU18" s="34"/>
      <c r="AV18" s="33"/>
      <c r="AW18" s="34"/>
    </row>
    <row r="19" spans="1:49" x14ac:dyDescent="0.2">
      <c r="A19" t="s">
        <v>3</v>
      </c>
      <c r="B19" s="41">
        <v>1886.3937399999918</v>
      </c>
      <c r="C19" s="42">
        <v>262.78711299999759</v>
      </c>
      <c r="D19" s="41">
        <v>1864.6803534616326</v>
      </c>
      <c r="E19" s="42">
        <v>265.72831377117097</v>
      </c>
      <c r="F19" s="41">
        <v>1842.2106602184099</v>
      </c>
      <c r="G19" s="42">
        <v>268.99823144242572</v>
      </c>
      <c r="H19" s="41">
        <v>1818.8970475314354</v>
      </c>
      <c r="I19" s="42">
        <v>272.5696641396778</v>
      </c>
      <c r="J19" s="41">
        <v>1794.6578964798778</v>
      </c>
      <c r="K19" s="42">
        <v>276.39567578092425</v>
      </c>
      <c r="L19" s="41">
        <v>1769.4323986412335</v>
      </c>
      <c r="M19" s="42">
        <v>280.40354875959002</v>
      </c>
      <c r="N19" s="41">
        <v>1743.2072597352039</v>
      </c>
      <c r="O19" s="42">
        <v>284.48893590838003</v>
      </c>
      <c r="P19" s="41">
        <v>1716.0644466882291</v>
      </c>
      <c r="Q19" s="42">
        <v>288.51168362746108</v>
      </c>
      <c r="R19" s="41">
        <v>1688.2645613233649</v>
      </c>
      <c r="S19" s="42">
        <v>292.29725738320178</v>
      </c>
      <c r="T19" s="41">
        <v>1660.3876813547288</v>
      </c>
      <c r="U19" s="42">
        <v>295.64977801913727</v>
      </c>
      <c r="V19" s="41">
        <v>1633.5722055924534</v>
      </c>
      <c r="W19" s="42">
        <v>298.38482010991476</v>
      </c>
      <c r="X19" s="41">
        <v>1609.9014249603429</v>
      </c>
      <c r="Y19" s="42">
        <v>300.38971176114427</v>
      </c>
      <c r="Z19" s="41">
        <v>1593.0175906820166</v>
      </c>
      <c r="AA19" s="42">
        <v>301.70524059521625</v>
      </c>
      <c r="AB19" s="41">
        <v>1589.0691181534594</v>
      </c>
      <c r="AC19" s="42">
        <v>302.57781600593597</v>
      </c>
      <c r="AD19" s="41">
        <v>1608.22047767711</v>
      </c>
      <c r="AE19" s="42">
        <v>303.31651865205038</v>
      </c>
      <c r="AF19" s="41">
        <v>1667.585975207634</v>
      </c>
      <c r="AG19" s="42">
        <v>303.56009948553293</v>
      </c>
      <c r="AH19" s="41">
        <v>1799.1577891214642</v>
      </c>
      <c r="AI19" s="42">
        <v>300.13748731124718</v>
      </c>
      <c r="AJ19" s="41">
        <v>2076.0561287100927</v>
      </c>
      <c r="AK19" s="42">
        <v>282.13522644530326</v>
      </c>
      <c r="AL19" s="41">
        <v>2703.3098164338926</v>
      </c>
      <c r="AM19" s="42">
        <v>226.32666307802521</v>
      </c>
      <c r="AN19" s="41">
        <v>4430.0228589496264</v>
      </c>
      <c r="AO19" s="42">
        <v>122.31714221797816</v>
      </c>
      <c r="AP19" s="41"/>
      <c r="AQ19" s="42"/>
      <c r="AR19" s="41"/>
      <c r="AS19" s="42"/>
      <c r="AT19" s="41"/>
      <c r="AU19" s="42"/>
      <c r="AV19" s="41"/>
      <c r="AW19" s="42"/>
    </row>
    <row r="20" spans="1:49" x14ac:dyDescent="0.2">
      <c r="A20" t="s">
        <v>127</v>
      </c>
      <c r="B20" s="82">
        <v>26548.356269999993</v>
      </c>
      <c r="C20" s="83">
        <v>1408.5418709999938</v>
      </c>
      <c r="D20" s="82">
        <v>26285.627547487977</v>
      </c>
      <c r="E20" s="83">
        <v>1338.1147774499941</v>
      </c>
      <c r="F20" s="82">
        <v>25989.778745388423</v>
      </c>
      <c r="G20" s="83">
        <v>1267.6876838999945</v>
      </c>
      <c r="H20" s="82">
        <v>25654.766632589439</v>
      </c>
      <c r="I20" s="83">
        <v>1197.2605903499943</v>
      </c>
      <c r="J20" s="82">
        <v>25273.31085980346</v>
      </c>
      <c r="K20" s="83">
        <v>1126.8334967999951</v>
      </c>
      <c r="L20" s="82">
        <v>24836.693695228187</v>
      </c>
      <c r="M20" s="83">
        <v>1056.4064032499953</v>
      </c>
      <c r="N20" s="82">
        <v>24334.608219947168</v>
      </c>
      <c r="O20" s="83">
        <v>985.97930969999561</v>
      </c>
      <c r="P20" s="82">
        <v>23755.124939128145</v>
      </c>
      <c r="Q20" s="83">
        <v>915.55221614999596</v>
      </c>
      <c r="R20" s="82">
        <v>23084.934166179861</v>
      </c>
      <c r="S20" s="83">
        <v>845.12512259999642</v>
      </c>
      <c r="T20" s="82">
        <v>22310.098906257073</v>
      </c>
      <c r="U20" s="83">
        <v>774.69802904999653</v>
      </c>
      <c r="V20" s="82">
        <v>21417.661725736591</v>
      </c>
      <c r="W20" s="83">
        <v>704.27093549999688</v>
      </c>
      <c r="X20" s="82">
        <v>20398.491391182924</v>
      </c>
      <c r="Y20" s="83">
        <v>633.84384194999723</v>
      </c>
      <c r="Z20" s="82">
        <v>19251.554859625481</v>
      </c>
      <c r="AA20" s="83">
        <v>563.41674839999746</v>
      </c>
      <c r="AB20" s="82">
        <v>17988.908276952941</v>
      </c>
      <c r="AC20" s="83">
        <v>492.98965484999781</v>
      </c>
      <c r="AD20" s="82">
        <v>16638.64597901412</v>
      </c>
      <c r="AE20" s="83">
        <v>422.56256129999809</v>
      </c>
      <c r="AF20" s="82">
        <v>15240.309175789715</v>
      </c>
      <c r="AG20" s="83">
        <v>352.13546774999827</v>
      </c>
      <c r="AH20" s="82">
        <v>13827.382943354172</v>
      </c>
      <c r="AI20" s="83">
        <v>281.70837419999856</v>
      </c>
      <c r="AJ20" s="82">
        <v>12397.158950372452</v>
      </c>
      <c r="AK20" s="83">
        <v>211.28128064999879</v>
      </c>
      <c r="AL20" s="82">
        <v>10866.021782786285</v>
      </c>
      <c r="AM20" s="83">
        <v>140.85418709999905</v>
      </c>
      <c r="AN20" s="82">
        <v>8928.5421385183763</v>
      </c>
      <c r="AO20" s="83">
        <v>70.427093549999285</v>
      </c>
      <c r="AP20" s="82"/>
      <c r="AQ20" s="83"/>
      <c r="AR20" s="82"/>
      <c r="AS20" s="83"/>
      <c r="AT20" s="82"/>
      <c r="AU20" s="83"/>
      <c r="AV20" s="82"/>
      <c r="AW20" s="83"/>
    </row>
    <row r="21" spans="1:49" x14ac:dyDescent="0.2">
      <c r="A21" t="s">
        <v>76</v>
      </c>
      <c r="B21" s="82">
        <v>24661.962529999968</v>
      </c>
      <c r="C21" s="83">
        <v>1145.7547579999991</v>
      </c>
      <c r="D21" s="82">
        <v>24420.948531302907</v>
      </c>
      <c r="E21" s="83">
        <v>1072.5418878620594</v>
      </c>
      <c r="F21" s="82">
        <v>24147.571031094594</v>
      </c>
      <c r="G21" s="83">
        <v>999.34216596653675</v>
      </c>
      <c r="H21" s="82">
        <v>23835.871952962931</v>
      </c>
      <c r="I21" s="83">
        <v>926.23239628706835</v>
      </c>
      <c r="J21" s="82">
        <v>23478.65315728568</v>
      </c>
      <c r="K21" s="83">
        <v>853.31246915671159</v>
      </c>
      <c r="L21" s="82">
        <v>23067.264605009281</v>
      </c>
      <c r="M21" s="83">
        <v>780.70991248258463</v>
      </c>
      <c r="N21" s="82">
        <v>22591.431827968576</v>
      </c>
      <c r="O21" s="83">
        <v>708.58359022540674</v>
      </c>
      <c r="P21" s="82">
        <v>22039.185738740944</v>
      </c>
      <c r="Q21" s="83">
        <v>637.12536719610819</v>
      </c>
      <c r="R21" s="82">
        <v>21397.041638358845</v>
      </c>
      <c r="S21" s="83">
        <v>566.55693496125798</v>
      </c>
      <c r="T21" s="82">
        <v>20650.64775169536</v>
      </c>
      <c r="U21" s="83">
        <v>497.11840824736294</v>
      </c>
      <c r="V21" s="82">
        <v>19786.220006232168</v>
      </c>
      <c r="W21" s="83">
        <v>429.04555391132959</v>
      </c>
      <c r="X21" s="82">
        <v>18793.124484589749</v>
      </c>
      <c r="Y21" s="83">
        <v>362.53603263494654</v>
      </c>
      <c r="Z21" s="82">
        <v>17667.761359535114</v>
      </c>
      <c r="AA21" s="83">
        <v>297.71974174203388</v>
      </c>
      <c r="AB21" s="82">
        <v>16418.033759423553</v>
      </c>
      <c r="AC21" s="83">
        <v>234.683506435624</v>
      </c>
      <c r="AD21" s="82">
        <v>15065.629643997139</v>
      </c>
      <c r="AE21" s="83">
        <v>173.66966002125784</v>
      </c>
      <c r="AF21" s="82">
        <v>13640.39487568551</v>
      </c>
      <c r="AG21" s="83">
        <v>115.65529184877406</v>
      </c>
      <c r="AH21" s="82">
        <v>12160.180384383995</v>
      </c>
      <c r="AI21" s="83">
        <v>63.531573988918723</v>
      </c>
      <c r="AJ21" s="82">
        <v>10592.707328378963</v>
      </c>
      <c r="AK21" s="83">
        <v>23.617505321597466</v>
      </c>
      <c r="AL21" s="82">
        <v>8793.5092341520831</v>
      </c>
      <c r="AM21" s="83">
        <v>3.7061003894876623</v>
      </c>
      <c r="AN21" s="82">
        <v>6340.9754671075898</v>
      </c>
      <c r="AO21" s="83">
        <v>7.6744169538497206E-2</v>
      </c>
      <c r="AP21" s="82"/>
      <c r="AQ21" s="83"/>
      <c r="AR21" s="82"/>
      <c r="AS21" s="83"/>
      <c r="AT21" s="82"/>
      <c r="AU21" s="83"/>
      <c r="AV21" s="82"/>
      <c r="AW21" s="83"/>
    </row>
    <row r="22" spans="1:49" x14ac:dyDescent="0.2">
      <c r="A22" t="s">
        <v>28</v>
      </c>
      <c r="B22" s="41">
        <v>6533.6044688320644</v>
      </c>
      <c r="C22" s="42">
        <v>379.90788307663382</v>
      </c>
      <c r="D22" s="41">
        <v>6448.4402074909303</v>
      </c>
      <c r="E22" s="42">
        <v>363.08247012632933</v>
      </c>
      <c r="F22" s="41">
        <v>6353.8644803132356</v>
      </c>
      <c r="G22" s="42">
        <v>346.117990014763</v>
      </c>
      <c r="H22" s="41">
        <v>6248.2562993630008</v>
      </c>
      <c r="I22" s="42">
        <v>329.00993771920326</v>
      </c>
      <c r="J22" s="41">
        <v>6129.6777640259597</v>
      </c>
      <c r="K22" s="42">
        <v>311.75361651778439</v>
      </c>
      <c r="L22" s="41">
        <v>5995.8265813252819</v>
      </c>
      <c r="M22" s="42">
        <v>294.34422418186051</v>
      </c>
      <c r="N22" s="41">
        <v>5844.0025769334825</v>
      </c>
      <c r="O22" s="42">
        <v>276.77694595904535</v>
      </c>
      <c r="P22" s="41">
        <v>5671.1072942616338</v>
      </c>
      <c r="Q22" s="42">
        <v>259.0473801678728</v>
      </c>
      <c r="R22" s="41">
        <v>5473.7174347873224</v>
      </c>
      <c r="S22" s="42">
        <v>241.15227220783959</v>
      </c>
      <c r="T22" s="41">
        <v>5248.2892339964374</v>
      </c>
      <c r="U22" s="42">
        <v>223.09035862734507</v>
      </c>
      <c r="V22" s="41">
        <v>4991.5855760548657</v>
      </c>
      <c r="W22" s="42">
        <v>204.86391591937542</v>
      </c>
      <c r="X22" s="41">
        <v>4701.4116308090379</v>
      </c>
      <c r="Y22" s="42">
        <v>186.47920034969411</v>
      </c>
      <c r="Z22" s="41">
        <v>4377.7022388876167</v>
      </c>
      <c r="AA22" s="42">
        <v>167.94416251400398</v>
      </c>
      <c r="AB22" s="41">
        <v>4023.7566441768363</v>
      </c>
      <c r="AC22" s="42">
        <v>149.25692594751951</v>
      </c>
      <c r="AD22" s="41">
        <v>3646.8804174517754</v>
      </c>
      <c r="AE22" s="42">
        <v>130.37356977369498</v>
      </c>
      <c r="AF22" s="41">
        <v>3256.9718174373302</v>
      </c>
      <c r="AG22" s="42">
        <v>111.138631219291</v>
      </c>
      <c r="AH22" s="41">
        <v>2861.5849230627164</v>
      </c>
      <c r="AI22" s="42">
        <v>91.16998511011127</v>
      </c>
      <c r="AJ22" s="41">
        <v>2457.3817075846969</v>
      </c>
      <c r="AK22" s="42">
        <v>69.764093288426878</v>
      </c>
      <c r="AL22" s="41">
        <v>2017.7505075578008</v>
      </c>
      <c r="AM22" s="42">
        <v>46.319105517950263</v>
      </c>
      <c r="AN22" s="41">
        <v>1458.1875575609292</v>
      </c>
      <c r="AO22" s="42">
        <v>22.013715627073793</v>
      </c>
      <c r="AP22" s="41"/>
      <c r="AQ22" s="42"/>
      <c r="AR22" s="41"/>
      <c r="AS22" s="42"/>
      <c r="AT22" s="41"/>
      <c r="AU22" s="42"/>
      <c r="AV22" s="41"/>
      <c r="AW22" s="42"/>
    </row>
    <row r="23" spans="1:49" x14ac:dyDescent="0.2">
      <c r="A23" t="s">
        <v>7</v>
      </c>
      <c r="B23" s="116">
        <v>3278.5018080150408</v>
      </c>
      <c r="C23" s="8">
        <v>0</v>
      </c>
      <c r="D23" s="116">
        <v>3250.13319031728</v>
      </c>
      <c r="E23" s="8">
        <v>0</v>
      </c>
      <c r="F23" s="116">
        <v>3216.9401257870841</v>
      </c>
      <c r="G23" s="8">
        <v>0</v>
      </c>
      <c r="H23" s="116">
        <v>3178.0145349830764</v>
      </c>
      <c r="I23" s="8">
        <v>0</v>
      </c>
      <c r="J23" s="116">
        <v>3132.2590463313509</v>
      </c>
      <c r="K23" s="8">
        <v>0</v>
      </c>
      <c r="L23" s="116">
        <v>3078.3558757413853</v>
      </c>
      <c r="M23" s="8">
        <v>0</v>
      </c>
      <c r="N23" s="116">
        <v>3014.7432449746798</v>
      </c>
      <c r="O23" s="8">
        <v>0</v>
      </c>
      <c r="P23" s="116">
        <v>2939.6099906912373</v>
      </c>
      <c r="Q23" s="8">
        <v>0</v>
      </c>
      <c r="R23" s="116">
        <v>2850.9329127184697</v>
      </c>
      <c r="S23" s="8">
        <v>0</v>
      </c>
      <c r="T23" s="116">
        <v>2746.5943392663103</v>
      </c>
      <c r="U23" s="8">
        <v>0</v>
      </c>
      <c r="V23" s="116">
        <v>2624.6328004623706</v>
      </c>
      <c r="W23" s="8">
        <v>0</v>
      </c>
      <c r="X23" s="116">
        <v>2483.6906356917498</v>
      </c>
      <c r="Y23" s="8">
        <v>0</v>
      </c>
      <c r="Z23" s="116">
        <v>2323.6904590938075</v>
      </c>
      <c r="AA23" s="8">
        <v>0</v>
      </c>
      <c r="AB23" s="116">
        <v>2146.6406620786465</v>
      </c>
      <c r="AC23" s="8">
        <v>0</v>
      </c>
      <c r="AD23" s="116">
        <v>1957.1611668234223</v>
      </c>
      <c r="AE23" s="8">
        <v>0</v>
      </c>
      <c r="AF23" s="116">
        <v>1761.9232266573167</v>
      </c>
      <c r="AG23" s="8">
        <v>0</v>
      </c>
      <c r="AH23" s="116">
        <v>1567.2830211220812</v>
      </c>
      <c r="AI23" s="8">
        <v>0</v>
      </c>
      <c r="AJ23" s="116">
        <v>1375.3514455224752</v>
      </c>
      <c r="AK23" s="8">
        <v>0</v>
      </c>
      <c r="AL23" s="116">
        <v>1177.7709056374472</v>
      </c>
      <c r="AM23" s="8">
        <v>0</v>
      </c>
      <c r="AN23" s="116">
        <v>932.01939759251457</v>
      </c>
      <c r="AO23" s="8">
        <v>0</v>
      </c>
      <c r="AP23" s="116"/>
      <c r="AQ23" s="8"/>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c r="AQ24" s="8"/>
      <c r="AR24" s="97"/>
      <c r="AS24" s="8"/>
      <c r="AT24" s="97"/>
      <c r="AU24" s="8"/>
      <c r="AV24" s="97"/>
      <c r="AW24" s="8"/>
    </row>
    <row r="25" spans="1:49" x14ac:dyDescent="0.2">
      <c r="A25" t="s">
        <v>0</v>
      </c>
      <c r="B25" s="41">
        <v>3195.0476040000012</v>
      </c>
      <c r="C25" s="42">
        <v>91.012690000004397</v>
      </c>
      <c r="D25" s="41">
        <v>3169.3855556144167</v>
      </c>
      <c r="E25" s="42">
        <v>81.972647870950937</v>
      </c>
      <c r="F25" s="41">
        <v>3136.6208584209285</v>
      </c>
      <c r="G25" s="42">
        <v>73.276222349148597</v>
      </c>
      <c r="H25" s="41">
        <v>3095.3401600699699</v>
      </c>
      <c r="I25" s="42">
        <v>64.954260930062105</v>
      </c>
      <c r="J25" s="41">
        <v>3043.8209304796233</v>
      </c>
      <c r="K25" s="42">
        <v>57.037828057477931</v>
      </c>
      <c r="L25" s="41">
        <v>2979.975090027448</v>
      </c>
      <c r="M25" s="42">
        <v>49.557479660151159</v>
      </c>
      <c r="N25" s="41">
        <v>2901.3017681894335</v>
      </c>
      <c r="O25" s="42">
        <v>42.542239864982989</v>
      </c>
      <c r="P25" s="41">
        <v>2804.8646493702568</v>
      </c>
      <c r="Q25" s="42">
        <v>36.018209604832784</v>
      </c>
      <c r="R25" s="41">
        <v>2687.3323178992023</v>
      </c>
      <c r="S25" s="42">
        <v>30.006776551915742</v>
      </c>
      <c r="T25" s="41">
        <v>2545.1434659257493</v>
      </c>
      <c r="U25" s="42">
        <v>24.522656568620405</v>
      </c>
      <c r="V25" s="41">
        <v>2374.8804084900048</v>
      </c>
      <c r="W25" s="42">
        <v>19.571909811188704</v>
      </c>
      <c r="X25" s="41">
        <v>2173.9678111376907</v>
      </c>
      <c r="Y25" s="42">
        <v>15.151326923408439</v>
      </c>
      <c r="Z25" s="41">
        <v>1941.7659951137512</v>
      </c>
      <c r="AA25" s="42">
        <v>11.250878258894423</v>
      </c>
      <c r="AB25" s="41">
        <v>1680.9465881616766</v>
      </c>
      <c r="AC25" s="42">
        <v>7.862702035135805</v>
      </c>
      <c r="AD25" s="41">
        <v>1398.5673973122284</v>
      </c>
      <c r="AE25" s="42">
        <v>4.9992441102134215</v>
      </c>
      <c r="AF25" s="41">
        <v>1105.6560993882752</v>
      </c>
      <c r="AG25" s="42">
        <v>2.7157654309872039</v>
      </c>
      <c r="AH25" s="41">
        <v>814.45143746506915</v>
      </c>
      <c r="AI25" s="42">
        <v>1.1119640603451433</v>
      </c>
      <c r="AJ25" s="41">
        <v>535.58606432347892</v>
      </c>
      <c r="AK25" s="42">
        <v>0.25994928243405835</v>
      </c>
      <c r="AL25" s="41">
        <v>283.45429314773713</v>
      </c>
      <c r="AM25" s="42">
        <v>1.8041574524084125E-2</v>
      </c>
      <c r="AN25" s="41">
        <v>89.941596310979662</v>
      </c>
      <c r="AO25" s="42">
        <v>7.3129215997943907E-5</v>
      </c>
      <c r="AP25" s="41"/>
      <c r="AQ25" s="42"/>
      <c r="AR25" s="41"/>
      <c r="AS25" s="42"/>
      <c r="AT25" s="41"/>
      <c r="AU25" s="42"/>
      <c r="AV25" s="41"/>
      <c r="AW25" s="42"/>
    </row>
    <row r="26" spans="1:49" x14ac:dyDescent="0.2">
      <c r="A26" t="s">
        <v>27</v>
      </c>
      <c r="B26" s="33">
        <v>5036.2953101960647</v>
      </c>
      <c r="C26" s="34">
        <v>74.905331803938267</v>
      </c>
      <c r="D26" s="33">
        <v>4995.2456017744698</v>
      </c>
      <c r="E26" s="34">
        <v>70.22696666490026</v>
      </c>
      <c r="F26" s="33">
        <v>4947.4246602710073</v>
      </c>
      <c r="G26" s="34">
        <v>65.548985942166155</v>
      </c>
      <c r="H26" s="33">
        <v>4891.4855886927689</v>
      </c>
      <c r="I26" s="34">
        <v>60.874591544338088</v>
      </c>
      <c r="J26" s="33">
        <v>4825.7840173558079</v>
      </c>
      <c r="K26" s="34">
        <v>56.208003866868125</v>
      </c>
      <c r="L26" s="33">
        <v>4748.3227089011143</v>
      </c>
      <c r="M26" s="34">
        <v>51.554728648874246</v>
      </c>
      <c r="N26" s="33">
        <v>4656.7033299694203</v>
      </c>
      <c r="O26" s="34">
        <v>46.921831883079165</v>
      </c>
      <c r="P26" s="33">
        <v>4548.099853220152</v>
      </c>
      <c r="Q26" s="34">
        <v>42.318111717455729</v>
      </c>
      <c r="R26" s="33">
        <v>4419.2886927028439</v>
      </c>
      <c r="S26" s="34">
        <v>37.754047933346946</v>
      </c>
      <c r="T26" s="33">
        <v>4266.7895731660274</v>
      </c>
      <c r="U26" s="34">
        <v>33.241440347712896</v>
      </c>
      <c r="V26" s="33">
        <v>4087.195666875964</v>
      </c>
      <c r="W26" s="34">
        <v>28.792303051610709</v>
      </c>
      <c r="X26" s="33">
        <v>3877.7877572957323</v>
      </c>
      <c r="Y26" s="34">
        <v>24.417420703451086</v>
      </c>
      <c r="Z26" s="33">
        <v>3637.4819054726913</v>
      </c>
      <c r="AA26" s="34">
        <v>20.125131040619085</v>
      </c>
      <c r="AB26" s="33">
        <v>3367.9605652357463</v>
      </c>
      <c r="AC26" s="34">
        <v>15.923643335059735</v>
      </c>
      <c r="AD26" s="33">
        <v>3074.352332087276</v>
      </c>
      <c r="AE26" s="34">
        <v>11.834059647089171</v>
      </c>
      <c r="AF26" s="33">
        <v>2764.1319452019829</v>
      </c>
      <c r="AG26" s="34">
        <v>7.9269476790966129</v>
      </c>
      <c r="AH26" s="33">
        <v>2442.7521538655956</v>
      </c>
      <c r="AI26" s="34">
        <v>4.3971865743543184</v>
      </c>
      <c r="AJ26" s="33">
        <v>2105.5111819015669</v>
      </c>
      <c r="AK26" s="34">
        <v>1.6660531688483187</v>
      </c>
      <c r="AL26" s="33">
        <v>1725.0522390027595</v>
      </c>
      <c r="AM26" s="34">
        <v>0.27233700822482149</v>
      </c>
      <c r="AN26" s="33">
        <v>1217.6292454267063</v>
      </c>
      <c r="AO26" s="34">
        <v>6.1974496233841289E-3</v>
      </c>
      <c r="AP26" s="33"/>
      <c r="AQ26" s="34"/>
      <c r="AR26" s="33"/>
      <c r="AS26" s="34"/>
      <c r="AT26" s="33"/>
      <c r="AU26" s="34"/>
      <c r="AV26" s="33"/>
      <c r="AW26" s="34"/>
    </row>
    <row r="27" spans="1:49" x14ac:dyDescent="0.2">
      <c r="A27" t="s">
        <v>2</v>
      </c>
      <c r="B27" s="35">
        <v>6425.1981590000305</v>
      </c>
      <c r="C27" s="36">
        <v>273.22915400000028</v>
      </c>
      <c r="D27" s="35">
        <v>6368.786571691584</v>
      </c>
      <c r="E27" s="36">
        <v>256.0828376819199</v>
      </c>
      <c r="F27" s="35">
        <v>6303.5038171926453</v>
      </c>
      <c r="G27" s="36">
        <v>238.94284045776897</v>
      </c>
      <c r="H27" s="35">
        <v>6227.6335389709648</v>
      </c>
      <c r="I27" s="36">
        <v>221.82159270293224</v>
      </c>
      <c r="J27" s="35">
        <v>6139.089409201787</v>
      </c>
      <c r="K27" s="36">
        <v>204.73534747038653</v>
      </c>
      <c r="L27" s="35">
        <v>6035.3491152301367</v>
      </c>
      <c r="M27" s="36">
        <v>187.7051549631108</v>
      </c>
      <c r="N27" s="35">
        <v>5913.3989502470949</v>
      </c>
      <c r="O27" s="36">
        <v>170.75792413791135</v>
      </c>
      <c r="P27" s="35">
        <v>5769.7080895734962</v>
      </c>
      <c r="Q27" s="36">
        <v>153.92701296259077</v>
      </c>
      <c r="R27" s="35">
        <v>5600.277106698245</v>
      </c>
      <c r="S27" s="36">
        <v>137.25200146789311</v>
      </c>
      <c r="T27" s="35">
        <v>5400.8287135287719</v>
      </c>
      <c r="U27" s="36">
        <v>120.77751173738324</v>
      </c>
      <c r="V27" s="35">
        <v>5167.2397859067187</v>
      </c>
      <c r="W27" s="36">
        <v>104.54893808296529</v>
      </c>
      <c r="X27" s="35">
        <v>4896.330727628485</v>
      </c>
      <c r="Y27" s="36">
        <v>88.607352003272041</v>
      </c>
      <c r="Z27" s="35">
        <v>4587.0704343917778</v>
      </c>
      <c r="AA27" s="36">
        <v>72.984831526941704</v>
      </c>
      <c r="AB27" s="35">
        <v>4241.9993755680198</v>
      </c>
      <c r="AC27" s="36">
        <v>57.71263239988339</v>
      </c>
      <c r="AD27" s="35">
        <v>3868.0650435555049</v>
      </c>
      <c r="AE27" s="36">
        <v>42.86772615837414</v>
      </c>
      <c r="AF27" s="35">
        <v>3475.2110386758322</v>
      </c>
      <c r="AG27" s="36">
        <v>28.704090977936261</v>
      </c>
      <c r="AH27" s="35">
        <v>3070.9275024256499</v>
      </c>
      <c r="AI27" s="36">
        <v>15.921962746353479</v>
      </c>
      <c r="AJ27" s="35">
        <v>2650.3437962219291</v>
      </c>
      <c r="AK27" s="36">
        <v>6.0365358047141253</v>
      </c>
      <c r="AL27" s="35">
        <v>2181.3427214855324</v>
      </c>
      <c r="AM27" s="36">
        <v>0.98899510771241372</v>
      </c>
      <c r="AN27" s="35">
        <v>1562.9749724682426</v>
      </c>
      <c r="AO27" s="36">
        <v>2.2675565218964952E-2</v>
      </c>
      <c r="AP27" s="35"/>
      <c r="AQ27" s="36"/>
      <c r="AR27" s="35"/>
      <c r="AS27" s="36"/>
      <c r="AT27" s="35"/>
      <c r="AU27" s="36"/>
      <c r="AV27" s="35"/>
      <c r="AW27" s="36"/>
    </row>
    <row r="28" spans="1:49" x14ac:dyDescent="0.2">
      <c r="A28" t="s">
        <v>35</v>
      </c>
      <c r="B28" s="41">
        <v>13763.097676000029</v>
      </c>
      <c r="C28" s="42">
        <v>382.36647899999997</v>
      </c>
      <c r="D28" s="41">
        <v>13646.87196667104</v>
      </c>
      <c r="E28" s="42">
        <v>358.40371965412413</v>
      </c>
      <c r="F28" s="41">
        <v>13511.899009046168</v>
      </c>
      <c r="G28" s="42">
        <v>334.44774012646258</v>
      </c>
      <c r="H28" s="41">
        <v>13354.497933454268</v>
      </c>
      <c r="I28" s="42">
        <v>310.51563546009879</v>
      </c>
      <c r="J28" s="41">
        <v>13170.184253827931</v>
      </c>
      <c r="K28" s="42">
        <v>286.62981008940812</v>
      </c>
      <c r="L28" s="41">
        <v>12953.523230110854</v>
      </c>
      <c r="M28" s="42">
        <v>262.81934218192907</v>
      </c>
      <c r="N28" s="41">
        <v>12698.004368312195</v>
      </c>
      <c r="O28" s="42">
        <v>239.12144759783135</v>
      </c>
      <c r="P28" s="41">
        <v>12395.977270222686</v>
      </c>
      <c r="Q28" s="42">
        <v>215.58232236354752</v>
      </c>
      <c r="R28" s="41">
        <v>12038.74460257765</v>
      </c>
      <c r="S28" s="42">
        <v>192.2568438346415</v>
      </c>
      <c r="T28" s="41">
        <v>11616.958923542788</v>
      </c>
      <c r="U28" s="42">
        <v>169.20686816098265</v>
      </c>
      <c r="V28" s="41">
        <v>11121.536935083541</v>
      </c>
      <c r="W28" s="42">
        <v>146.49534946921753</v>
      </c>
      <c r="X28" s="41">
        <v>10545.345250411796</v>
      </c>
      <c r="Y28" s="42">
        <v>124.17914635607046</v>
      </c>
      <c r="Z28" s="41">
        <v>9885.7878665318294</v>
      </c>
      <c r="AA28" s="42">
        <v>102.30257574647707</v>
      </c>
      <c r="AB28" s="41">
        <v>9147.878733038342</v>
      </c>
      <c r="AC28" s="42">
        <v>80.908955842743111</v>
      </c>
      <c r="AD28" s="41">
        <v>8346.0679710235836</v>
      </c>
      <c r="AE28" s="42">
        <v>60.106090677694439</v>
      </c>
      <c r="AF28" s="41">
        <v>7501.2272160164548</v>
      </c>
      <c r="AG28" s="42">
        <v>40.250788026343223</v>
      </c>
      <c r="AH28" s="41">
        <v>6628.8353093157148</v>
      </c>
      <c r="AI28" s="42">
        <v>22.327057771054651</v>
      </c>
      <c r="AJ28" s="41">
        <v>5717.2247396090879</v>
      </c>
      <c r="AK28" s="42">
        <v>8.4634680800523157</v>
      </c>
      <c r="AL28" s="41">
        <v>4694.442808033632</v>
      </c>
      <c r="AM28" s="42">
        <v>1.3857542401161753</v>
      </c>
      <c r="AN28" s="41">
        <v>3336.9610355018422</v>
      </c>
      <c r="AO28" s="42">
        <v>3.1704863745089754E-2</v>
      </c>
      <c r="AP28" s="41"/>
      <c r="AQ28" s="42"/>
      <c r="AR28" s="41"/>
      <c r="AS28" s="42"/>
      <c r="AT28" s="41"/>
      <c r="AU28" s="42"/>
      <c r="AV28" s="41"/>
      <c r="AW28" s="42"/>
    </row>
    <row r="29" spans="1:49" x14ac:dyDescent="0.2">
      <c r="A29" t="s">
        <v>53</v>
      </c>
      <c r="B29" s="35">
        <v>14362.768558000025</v>
      </c>
      <c r="C29" s="36">
        <v>817.26650999999993</v>
      </c>
      <c r="D29" s="35">
        <v>14224.918210666447</v>
      </c>
      <c r="E29" s="36">
        <v>760.51799672863751</v>
      </c>
      <c r="F29" s="35">
        <v>14066.905351096342</v>
      </c>
      <c r="G29" s="36">
        <v>704.3133261963045</v>
      </c>
      <c r="H29" s="35">
        <v>13884.970241461504</v>
      </c>
      <c r="I29" s="36">
        <v>648.73594412480838</v>
      </c>
      <c r="J29" s="35">
        <v>13674.563925435692</v>
      </c>
      <c r="K29" s="36">
        <v>593.88305547506991</v>
      </c>
      <c r="L29" s="35">
        <v>13430.211962237348</v>
      </c>
      <c r="M29" s="36">
        <v>539.86736025761138</v>
      </c>
      <c r="N29" s="35">
        <v>13145.402655837917</v>
      </c>
      <c r="O29" s="36">
        <v>486.81812358008614</v>
      </c>
      <c r="P29" s="35">
        <v>12812.540167563471</v>
      </c>
      <c r="Q29" s="36">
        <v>434.87997455409942</v>
      </c>
      <c r="R29" s="35">
        <v>12423.056455782933</v>
      </c>
      <c r="S29" s="36">
        <v>384.20797658055432</v>
      </c>
      <c r="T29" s="35">
        <v>11967.823602340151</v>
      </c>
      <c r="U29" s="36">
        <v>334.95818532829037</v>
      </c>
      <c r="V29" s="35">
        <v>11438.070699649745</v>
      </c>
      <c r="W29" s="36">
        <v>287.2684237672633</v>
      </c>
      <c r="X29" s="35">
        <v>10827.039700371666</v>
      </c>
      <c r="Y29" s="36">
        <v>241.23554580073233</v>
      </c>
      <c r="Z29" s="35">
        <v>10132.484444644475</v>
      </c>
      <c r="AA29" s="36">
        <v>196.89567963227489</v>
      </c>
      <c r="AB29" s="35">
        <v>9359.564581379087</v>
      </c>
      <c r="AC29" s="36">
        <v>154.24631354707665</v>
      </c>
      <c r="AD29" s="35">
        <v>8522.3806977158256</v>
      </c>
      <c r="AE29" s="36">
        <v>113.38953098017529</v>
      </c>
      <c r="AF29" s="35">
        <v>7640.5404867472625</v>
      </c>
      <c r="AG29" s="36">
        <v>74.930600161292801</v>
      </c>
      <c r="AH29" s="35">
        <v>6726.7007966943293</v>
      </c>
      <c r="AI29" s="36">
        <v>40.752828766956704</v>
      </c>
      <c r="AJ29" s="35">
        <v>5763.601513834813</v>
      </c>
      <c r="AK29" s="36">
        <v>14.935392798286546</v>
      </c>
      <c r="AL29" s="35">
        <v>4669.7424021283005</v>
      </c>
      <c r="AM29" s="36">
        <v>2.2923489532454315</v>
      </c>
      <c r="AN29" s="35">
        <v>3215.5593105302141</v>
      </c>
      <c r="AO29" s="36">
        <v>4.5813608965396269E-2</v>
      </c>
      <c r="AP29" s="35"/>
      <c r="AQ29" s="36"/>
      <c r="AR29" s="35"/>
      <c r="AS29" s="36"/>
      <c r="AT29" s="35"/>
      <c r="AU29" s="36"/>
      <c r="AV29" s="35"/>
      <c r="AW29" s="36"/>
    </row>
    <row r="30" spans="1:49" x14ac:dyDescent="0.2">
      <c r="A30" t="s">
        <v>48</v>
      </c>
      <c r="B30" s="119">
        <v>2924829.9599999995</v>
      </c>
      <c r="D30" s="119">
        <v>2935600.0473247883</v>
      </c>
      <c r="F30" s="119">
        <v>2942639.1534448275</v>
      </c>
      <c r="H30" s="119">
        <v>2945216.4432834173</v>
      </c>
      <c r="J30" s="119">
        <v>2942449.0924019455</v>
      </c>
      <c r="L30" s="119">
        <v>2933283.1575619886</v>
      </c>
      <c r="N30" s="119">
        <v>2916487.182505501</v>
      </c>
      <c r="P30" s="119">
        <v>2890672.2384210364</v>
      </c>
      <c r="R30" s="119">
        <v>2854368.6311909817</v>
      </c>
      <c r="T30" s="119">
        <v>2806205.1399364988</v>
      </c>
      <c r="V30" s="119">
        <v>2745263.7687698957</v>
      </c>
      <c r="X30" s="119">
        <v>2671704.3290143008</v>
      </c>
      <c r="Z30" s="119">
        <v>2587756.3791789412</v>
      </c>
      <c r="AB30" s="119">
        <v>2499105.4054045761</v>
      </c>
      <c r="AD30" s="119">
        <v>2416555.158894856</v>
      </c>
      <c r="AF30" s="119">
        <v>2357964.2094198354</v>
      </c>
      <c r="AH30" s="119">
        <v>2352251.8631044175</v>
      </c>
      <c r="AJ30" s="119">
        <v>2453295.8981354618</v>
      </c>
      <c r="AL30" s="119">
        <v>2778068.9000586644</v>
      </c>
      <c r="AN30" s="119">
        <v>3586747.5951348599</v>
      </c>
      <c r="AP30" s="119"/>
      <c r="AR30" s="119"/>
      <c r="AT30" s="119"/>
      <c r="AV30" s="119"/>
    </row>
    <row r="31" spans="1:49" x14ac:dyDescent="0.2">
      <c r="A31" t="s">
        <v>47</v>
      </c>
      <c r="B31" s="80">
        <v>1</v>
      </c>
      <c r="D31" s="80">
        <v>0.98522109333148</v>
      </c>
      <c r="F31" s="80">
        <v>0.96897308790149594</v>
      </c>
      <c r="H31" s="80">
        <v>0.95101999501765266</v>
      </c>
      <c r="J31" s="80">
        <v>0.93108218857876779</v>
      </c>
      <c r="L31" s="80">
        <v>0.90883046401877132</v>
      </c>
      <c r="N31" s="80">
        <v>0.88388229847568356</v>
      </c>
      <c r="P31" s="80">
        <v>0.85580303623885168</v>
      </c>
      <c r="R31" s="80">
        <v>0.82411762748303097</v>
      </c>
      <c r="T31" s="80">
        <v>0.78834060059910838</v>
      </c>
      <c r="V31" s="80">
        <v>0.74803670807352585</v>
      </c>
      <c r="X31" s="80">
        <v>0.70292291514587979</v>
      </c>
      <c r="Z31" s="80">
        <v>0.65301610403959931</v>
      </c>
      <c r="AB31" s="80">
        <v>0.59879494178760884</v>
      </c>
      <c r="AD31" s="80">
        <v>0.54126832669786673</v>
      </c>
      <c r="AF31" s="80">
        <v>0.48173913906388871</v>
      </c>
      <c r="AH31" s="80">
        <v>0.42104341549503627</v>
      </c>
      <c r="AJ31" s="80">
        <v>0.35822165341251033</v>
      </c>
      <c r="AL31" s="80">
        <v>0.28863553727136204</v>
      </c>
      <c r="AN31" s="80">
        <v>0.19946388064469767</v>
      </c>
      <c r="AP31" s="80"/>
      <c r="AR31" s="80"/>
      <c r="AT31" s="80"/>
      <c r="AV31" s="80"/>
    </row>
    <row r="32" spans="1:49" x14ac:dyDescent="0.2">
      <c r="A32" t="s">
        <v>64</v>
      </c>
      <c r="B32" s="86">
        <v>14734457.915000005</v>
      </c>
      <c r="D32" s="86">
        <v>14595049.146250531</v>
      </c>
      <c r="F32" s="86">
        <v>14440183.517770577</v>
      </c>
      <c r="H32" s="86">
        <v>14267151.87463822</v>
      </c>
      <c r="J32" s="86">
        <v>14072745.059867693</v>
      </c>
      <c r="L32" s="86">
        <v>13853206.325699324</v>
      </c>
      <c r="N32" s="86">
        <v>13604232.469517346</v>
      </c>
      <c r="P32" s="86">
        <v>13321073.745132083</v>
      </c>
      <c r="R32" s="86">
        <v>12998831.360545626</v>
      </c>
      <c r="T32" s="86">
        <v>12633099.142989788</v>
      </c>
      <c r="V32" s="86">
        <v>12221178.085802736</v>
      </c>
      <c r="X32" s="86">
        <v>11764121.407054519</v>
      </c>
      <c r="Z32" s="86">
        <v>11269821.441637609</v>
      </c>
      <c r="AB32" s="86">
        <v>10756964.163208757</v>
      </c>
      <c r="AD32" s="86">
        <v>10258923.07655081</v>
      </c>
      <c r="AF32" s="86">
        <v>9826426.0264562983</v>
      </c>
      <c r="AH32" s="86">
        <v>9531767.5012754351</v>
      </c>
      <c r="AJ32" s="86">
        <v>9489285.8478497006</v>
      </c>
      <c r="AL32" s="86">
        <v>9904551.791364627</v>
      </c>
      <c r="AN32" s="86">
        <v>11068761.732759273</v>
      </c>
      <c r="AP32" s="86"/>
      <c r="AR32" s="86"/>
      <c r="AT32" s="86"/>
      <c r="AV32" s="86"/>
    </row>
    <row r="33" spans="1:49 16319:16321" x14ac:dyDescent="0.2">
      <c r="A33" t="s">
        <v>54</v>
      </c>
      <c r="B33" s="117">
        <v>7019665.6909999885</v>
      </c>
      <c r="D33" s="117">
        <v>6930347.9310198734</v>
      </c>
      <c r="F33" s="117">
        <v>6834055.1137778778</v>
      </c>
      <c r="H33" s="117">
        <v>6729611.2017212762</v>
      </c>
      <c r="J33" s="117">
        <v>6615633.354715039</v>
      </c>
      <c r="L33" s="117">
        <v>6490515.2477860274</v>
      </c>
      <c r="N33" s="117">
        <v>6352431.3481190829</v>
      </c>
      <c r="P33" s="117">
        <v>6199384.5754817994</v>
      </c>
      <c r="R33" s="117">
        <v>6029338.5544429366</v>
      </c>
      <c r="T33" s="117">
        <v>5840490.3712306255</v>
      </c>
      <c r="V33" s="117">
        <v>5631784.9335496891</v>
      </c>
      <c r="X33" s="117">
        <v>5403757.0347294919</v>
      </c>
      <c r="Z33" s="117">
        <v>5159777.5819235286</v>
      </c>
      <c r="AB33" s="117">
        <v>4907580.2212771242</v>
      </c>
      <c r="AD33" s="117">
        <v>4660587.7246122099</v>
      </c>
      <c r="AF33" s="117">
        <v>4438346.7923890213</v>
      </c>
      <c r="AH33" s="117">
        <v>4266654.760477555</v>
      </c>
      <c r="AJ33" s="117">
        <v>4181488.6520019174</v>
      </c>
      <c r="AL33" s="117">
        <v>4235654.7906299587</v>
      </c>
      <c r="AN33" s="117">
        <v>4448257.8622778393</v>
      </c>
      <c r="AP33" s="117"/>
      <c r="AR33" s="117"/>
      <c r="AT33" s="117"/>
      <c r="AV33" s="117"/>
    </row>
    <row r="34" spans="1:49 16319:16321" x14ac:dyDescent="0.2">
      <c r="A34" t="s">
        <v>75</v>
      </c>
      <c r="B34" s="117">
        <v>1136879.4410000162</v>
      </c>
      <c r="D34" s="117">
        <v>1120949.5362525638</v>
      </c>
      <c r="F34" s="117">
        <v>1098688.1891092414</v>
      </c>
      <c r="H34" s="117">
        <v>1068827.7093289187</v>
      </c>
      <c r="J34" s="117">
        <v>1029805.1862762992</v>
      </c>
      <c r="L34" s="117">
        <v>979696.62228677538</v>
      </c>
      <c r="N34" s="117">
        <v>916147.81241083238</v>
      </c>
      <c r="P34" s="117">
        <v>836306.72865939955</v>
      </c>
      <c r="R34" s="117">
        <v>736777.27574455144</v>
      </c>
      <c r="T34" s="117">
        <v>613628.66312050377</v>
      </c>
      <c r="V34" s="117">
        <v>462495.29259882541</v>
      </c>
      <c r="X34" s="117">
        <v>278828.00133961189</v>
      </c>
      <c r="Z34" s="117">
        <v>58294.042095412617</v>
      </c>
      <c r="AB34" s="117">
        <v>-202837.64396258286</v>
      </c>
      <c r="AD34" s="117">
        <v>-507970.35490671871</v>
      </c>
      <c r="AF34" s="117">
        <v>-862774.20987390471</v>
      </c>
      <c r="AH34" s="117">
        <v>-1283731.8749072973</v>
      </c>
      <c r="AJ34" s="117">
        <v>-1822345.3415494829</v>
      </c>
      <c r="AL34" s="117">
        <v>-2646164.1447896566</v>
      </c>
      <c r="AN34" s="117">
        <v>-4462398.3317274097</v>
      </c>
      <c r="AP34" s="117"/>
      <c r="AR34" s="117"/>
      <c r="AT34" s="117"/>
      <c r="AV34" s="117"/>
    </row>
    <row r="35" spans="1:49 16319:16321" x14ac:dyDescent="0.2">
      <c r="A35" t="s">
        <v>78</v>
      </c>
      <c r="B35" s="233">
        <v>1</v>
      </c>
      <c r="D35" s="233">
        <v>1.0020863555309274</v>
      </c>
      <c r="F35" s="233">
        <v>1.0047369186892414</v>
      </c>
      <c r="H35" s="233">
        <v>1.0080709055229302</v>
      </c>
      <c r="J35" s="233">
        <v>1.0122430678438805</v>
      </c>
      <c r="L35" s="233">
        <v>1.0174573815727568</v>
      </c>
      <c r="N35" s="233">
        <v>1.023986996901048</v>
      </c>
      <c r="P35" s="233">
        <v>1.0322042404972547</v>
      </c>
      <c r="R35" s="233">
        <v>1.0426263251855969</v>
      </c>
      <c r="T35" s="233">
        <v>1.0559858882563227</v>
      </c>
      <c r="V35" s="233">
        <v>1.07334290073153</v>
      </c>
      <c r="X35" s="233">
        <v>1.0962628869508773</v>
      </c>
      <c r="Z35" s="233">
        <v>1.1271062562986918</v>
      </c>
      <c r="AB35" s="233">
        <v>1.1695110631132937</v>
      </c>
      <c r="AD35" s="233">
        <v>1.2292702620687395</v>
      </c>
      <c r="AF35" s="233">
        <v>1.3162502637814093</v>
      </c>
      <c r="AH35" s="233">
        <v>1.4496626334912039</v>
      </c>
      <c r="AJ35" s="233">
        <v>1.6750855579825568</v>
      </c>
      <c r="AL35" s="233">
        <v>2.1258033268562797</v>
      </c>
      <c r="AN35" s="233">
        <v>3.3577018001307124</v>
      </c>
      <c r="AP35" s="233"/>
      <c r="AR35" s="233"/>
      <c r="AT35" s="233"/>
      <c r="AV35" s="233"/>
    </row>
    <row r="36" spans="1:49 16319:16321" x14ac:dyDescent="0.2">
      <c r="A36" t="s">
        <v>21</v>
      </c>
      <c r="B36" s="37">
        <v>0.47195767671988198</v>
      </c>
      <c r="C36" s="38">
        <v>0.31738834428178964</v>
      </c>
      <c r="D36" s="37">
        <v>0.4719703861542538</v>
      </c>
      <c r="E36" s="38">
        <v>0.319475183032286</v>
      </c>
      <c r="F36" s="37">
        <v>0.4719766859109924</v>
      </c>
      <c r="G36" s="38">
        <v>0.32168867598624862</v>
      </c>
      <c r="H36" s="37">
        <v>0.47197481990456985</v>
      </c>
      <c r="I36" s="38">
        <v>0.32403337323720593</v>
      </c>
      <c r="J36" s="37">
        <v>0.47196260060696771</v>
      </c>
      <c r="K36" s="38">
        <v>0.32651162578596438</v>
      </c>
      <c r="L36" s="37">
        <v>0.4719373317959808</v>
      </c>
      <c r="M36" s="38">
        <v>0.32912242953208837</v>
      </c>
      <c r="N36" s="37">
        <v>0.47189576664682503</v>
      </c>
      <c r="O36" s="38">
        <v>0.33186002260063324</v>
      </c>
      <c r="P36" s="37">
        <v>0.47183415957791852</v>
      </c>
      <c r="Q36" s="38">
        <v>0.33471227401173276</v>
      </c>
      <c r="R36" s="37">
        <v>0.47174855974154223</v>
      </c>
      <c r="S36" s="38">
        <v>0.33765933416521265</v>
      </c>
      <c r="T36" s="37">
        <v>0.47163564250695206</v>
      </c>
      <c r="U36" s="38">
        <v>0.34067363488031743</v>
      </c>
      <c r="V36" s="37">
        <v>0.47149465491872355</v>
      </c>
      <c r="W36" s="38">
        <v>0.34372337458052987</v>
      </c>
      <c r="X36" s="37">
        <v>0.47133159815995002</v>
      </c>
      <c r="Y36" s="38">
        <v>0.34678429709319458</v>
      </c>
      <c r="Z36" s="37">
        <v>0.47116760422903248</v>
      </c>
      <c r="AA36" s="38">
        <v>0.34986806446329144</v>
      </c>
      <c r="AB36" s="37">
        <v>0.47105464275703746</v>
      </c>
      <c r="AC36" s="38">
        <v>0.35308137224609787</v>
      </c>
      <c r="AD36" s="37">
        <v>0.47110318010044683</v>
      </c>
      <c r="AE36" s="38">
        <v>0.35673688390980929</v>
      </c>
      <c r="AF36" s="37">
        <v>0.47153117845479997</v>
      </c>
      <c r="AG36" s="38">
        <v>0.36155383694830812</v>
      </c>
      <c r="AH36" s="37">
        <v>0.47277095905300093</v>
      </c>
      <c r="AI36" s="38">
        <v>0.36907377198701075</v>
      </c>
      <c r="AJ36" s="37">
        <v>0.4757910903283481</v>
      </c>
      <c r="AK36" s="38">
        <v>0.38280803581239098</v>
      </c>
      <c r="AL36" s="37">
        <v>0.48321336757356176</v>
      </c>
      <c r="AM36" s="38">
        <v>0.41186323884070969</v>
      </c>
      <c r="AN36" s="37">
        <v>0.5044843218151871</v>
      </c>
      <c r="AO36" s="38">
        <v>0.48549729252765306</v>
      </c>
      <c r="AP36" s="37"/>
      <c r="AQ36" s="38"/>
      <c r="AR36" s="37"/>
      <c r="AS36" s="38"/>
      <c r="AT36" s="37"/>
      <c r="AU36" s="38"/>
      <c r="AV36" s="37"/>
      <c r="AW36" s="38"/>
    </row>
    <row r="37" spans="1:49 16319:16321" x14ac:dyDescent="0.2">
      <c r="B37" s="39">
        <v>2.1403217525954466E-2</v>
      </c>
      <c r="C37" s="40">
        <v>0.3496246130199252</v>
      </c>
      <c r="D37" s="39">
        <v>2.0846325138897483E-2</v>
      </c>
      <c r="E37" s="40">
        <v>0.34634931812687825</v>
      </c>
      <c r="F37" s="39">
        <v>2.0288877809891578E-2</v>
      </c>
      <c r="G37" s="40">
        <v>0.34305399259439023</v>
      </c>
      <c r="H37" s="39">
        <v>1.9732337313322829E-2</v>
      </c>
      <c r="I37" s="40">
        <v>0.33974757720270832</v>
      </c>
      <c r="J37" s="39">
        <v>1.9178553307289899E-2</v>
      </c>
      <c r="K37" s="40">
        <v>0.33644157325033519</v>
      </c>
      <c r="L37" s="39">
        <v>1.862984248703398E-2</v>
      </c>
      <c r="M37" s="40">
        <v>0.33315057122732361</v>
      </c>
      <c r="N37" s="39">
        <v>1.8089053509765113E-2</v>
      </c>
      <c r="O37" s="40">
        <v>0.32989269481685102</v>
      </c>
      <c r="P37" s="39">
        <v>1.7559609677287272E-2</v>
      </c>
      <c r="Q37" s="40">
        <v>0.32668990167414347</v>
      </c>
      <c r="R37" s="39">
        <v>1.7045460270772608E-2</v>
      </c>
      <c r="S37" s="40">
        <v>0.32356770546783176</v>
      </c>
      <c r="T37" s="39">
        <v>1.6550820621188313E-2</v>
      </c>
      <c r="U37" s="40">
        <v>0.32055355704187799</v>
      </c>
      <c r="V37" s="39">
        <v>1.6079506256893493E-2</v>
      </c>
      <c r="W37" s="40">
        <v>0.31767264227761349</v>
      </c>
      <c r="X37" s="39">
        <v>1.5633415221474978E-2</v>
      </c>
      <c r="Y37" s="40">
        <v>0.3149382790374326</v>
      </c>
      <c r="Z37" s="39">
        <v>1.5209483114469459E-2</v>
      </c>
      <c r="AA37" s="40">
        <v>0.31233262586933841</v>
      </c>
      <c r="AB37" s="39">
        <v>1.4794065259783096E-2</v>
      </c>
      <c r="AC37" s="40">
        <v>0.30977106163345541</v>
      </c>
      <c r="AD37" s="39">
        <v>1.4353715891276538E-2</v>
      </c>
      <c r="AE37" s="40">
        <v>0.30704359094129002</v>
      </c>
      <c r="AF37" s="39">
        <v>1.382196654038487E-2</v>
      </c>
      <c r="AG37" s="40">
        <v>0.30373036597269426</v>
      </c>
      <c r="AH37" s="39">
        <v>1.3081288302005754E-2</v>
      </c>
      <c r="AI37" s="40">
        <v>0.29908542907728369</v>
      </c>
      <c r="AJ37" s="39">
        <v>1.1935484130088039E-2</v>
      </c>
      <c r="AK37" s="40">
        <v>0.29185948873196127</v>
      </c>
      <c r="AL37" s="39">
        <v>1.0098351653312694E-2</v>
      </c>
      <c r="AM37" s="40">
        <v>0.28024902488193204</v>
      </c>
      <c r="AN37" s="39">
        <v>7.3052040328699733E-3</v>
      </c>
      <c r="AO37" s="40">
        <v>0.26282080422475679</v>
      </c>
      <c r="AP37" s="39"/>
      <c r="AQ37" s="40"/>
      <c r="AR37" s="39"/>
      <c r="AS37" s="40"/>
      <c r="AT37" s="39"/>
      <c r="AU37" s="40"/>
      <c r="AV37" s="39"/>
      <c r="AW37" s="40"/>
    </row>
    <row r="38" spans="1:49 16319:16321" x14ac:dyDescent="0.2">
      <c r="A38" t="s">
        <v>22</v>
      </c>
      <c r="B38" s="37">
        <v>0.18079094942242827</v>
      </c>
      <c r="C38" s="38">
        <v>6.0565413429233668E-2</v>
      </c>
      <c r="D38" s="37">
        <v>0.18105055173749562</v>
      </c>
      <c r="E38" s="38">
        <v>6.0826633189241502E-2</v>
      </c>
      <c r="F38" s="37">
        <v>0.18132931382458001</v>
      </c>
      <c r="G38" s="38">
        <v>6.1104888728390955E-2</v>
      </c>
      <c r="H38" s="37">
        <v>0.18162884269883514</v>
      </c>
      <c r="I38" s="38">
        <v>6.1401000584284972E-2</v>
      </c>
      <c r="J38" s="37">
        <v>0.18195074643334372</v>
      </c>
      <c r="K38" s="38">
        <v>6.1715561911125615E-2</v>
      </c>
      <c r="L38" s="37">
        <v>0.18229654206010168</v>
      </c>
      <c r="M38" s="38">
        <v>6.2048801039829696E-2</v>
      </c>
      <c r="N38" s="37">
        <v>0.18266751553999619</v>
      </c>
      <c r="O38" s="38">
        <v>6.2400393707394343E-2</v>
      </c>
      <c r="P38" s="37">
        <v>0.18306450000753949</v>
      </c>
      <c r="Q38" s="38">
        <v>6.2769256841117255E-2</v>
      </c>
      <c r="R38" s="37">
        <v>0.18348754685274504</v>
      </c>
      <c r="S38" s="38">
        <v>6.3153356392623941E-2</v>
      </c>
      <c r="T38" s="37">
        <v>0.18393545544580242</v>
      </c>
      <c r="U38" s="38">
        <v>6.3549572899371368E-2</v>
      </c>
      <c r="V38" s="37">
        <v>0.18440508376419973</v>
      </c>
      <c r="W38" s="38">
        <v>6.3954021185983062E-2</v>
      </c>
      <c r="X38" s="37">
        <v>0.18489040348628852</v>
      </c>
      <c r="Y38" s="38">
        <v>6.4363074212983637E-2</v>
      </c>
      <c r="Z38" s="37">
        <v>0.18538119622578753</v>
      </c>
      <c r="AA38" s="38">
        <v>6.4776233698282629E-2</v>
      </c>
      <c r="AB38" s="37">
        <v>0.18586136354392746</v>
      </c>
      <c r="AC38" s="38">
        <v>6.5202194998468563E-2</v>
      </c>
      <c r="AD38" s="37">
        <v>0.18630683895942513</v>
      </c>
      <c r="AE38" s="38">
        <v>6.567047890066853E-2</v>
      </c>
      <c r="AF38" s="37">
        <v>0.18668250408540449</v>
      </c>
      <c r="AG38" s="38">
        <v>6.6252484547293142E-2</v>
      </c>
      <c r="AH38" s="37">
        <v>0.18693305265805493</v>
      </c>
      <c r="AI38" s="38">
        <v>6.7104379794555469E-2</v>
      </c>
      <c r="AJ38" s="37">
        <v>0.18694379052346474</v>
      </c>
      <c r="AK38" s="38">
        <v>6.8581313318510112E-2</v>
      </c>
      <c r="AL38" s="37">
        <v>0.18637433864015834</v>
      </c>
      <c r="AM38" s="38">
        <v>7.1577292457397662E-2</v>
      </c>
      <c r="AN38" s="37">
        <v>0.18380938958922574</v>
      </c>
      <c r="AO38" s="38">
        <v>7.8717614427598351E-2</v>
      </c>
      <c r="AP38" s="37"/>
      <c r="AQ38" s="38"/>
      <c r="AR38" s="37"/>
      <c r="AS38" s="38"/>
      <c r="AT38" s="37"/>
      <c r="AU38" s="38"/>
      <c r="AV38" s="37"/>
      <c r="AW38" s="38"/>
    </row>
    <row r="39" spans="1:49 16319:16321" x14ac:dyDescent="0.2">
      <c r="A39" t="s">
        <v>23</v>
      </c>
      <c r="B39" s="39">
        <v>0.23064923795098732</v>
      </c>
      <c r="C39" s="40">
        <v>0.22092201281804777</v>
      </c>
      <c r="D39" s="39">
        <v>0.23083395985444774</v>
      </c>
      <c r="E39" s="40">
        <v>0.22180449439123351</v>
      </c>
      <c r="F39" s="39">
        <v>0.23103131434032831</v>
      </c>
      <c r="G39" s="40">
        <v>0.22274296800715923</v>
      </c>
      <c r="H39" s="39">
        <v>0.23124219665503182</v>
      </c>
      <c r="I39" s="40">
        <v>0.22373978038504902</v>
      </c>
      <c r="J39" s="39">
        <v>0.2314674457887041</v>
      </c>
      <c r="K39" s="40">
        <v>0.22479640163226614</v>
      </c>
      <c r="L39" s="39">
        <v>0.23170777162417597</v>
      </c>
      <c r="M39" s="40">
        <v>0.22591293019463474</v>
      </c>
      <c r="N39" s="39">
        <v>0.23196364855081969</v>
      </c>
      <c r="O39" s="40">
        <v>0.22708750420090812</v>
      </c>
      <c r="P39" s="39">
        <v>0.23223516648593268</v>
      </c>
      <c r="Q39" s="40">
        <v>0.22831557976745523</v>
      </c>
      <c r="R39" s="39">
        <v>0.23252183314034175</v>
      </c>
      <c r="S39" s="40">
        <v>0.22958927687980965</v>
      </c>
      <c r="T39" s="39">
        <v>0.23282232980394202</v>
      </c>
      <c r="U39" s="40">
        <v>0.23089731390919116</v>
      </c>
      <c r="V39" s="39">
        <v>0.23313424734523508</v>
      </c>
      <c r="W39" s="40">
        <v>0.23222612616797758</v>
      </c>
      <c r="X39" s="39">
        <v>0.23345387125180492</v>
      </c>
      <c r="Y39" s="40">
        <v>0.23356445556088207</v>
      </c>
      <c r="Z39" s="39">
        <v>0.2337761743969381</v>
      </c>
      <c r="AA39" s="40">
        <v>0.2349143711848114</v>
      </c>
      <c r="AB39" s="39">
        <v>0.23409531460484123</v>
      </c>
      <c r="AC39" s="40">
        <v>0.23631465691818165</v>
      </c>
      <c r="AD39" s="39">
        <v>0.2344061100716478</v>
      </c>
      <c r="AE39" s="40">
        <v>0.23788490088399949</v>
      </c>
      <c r="AF39" s="39">
        <v>0.23470699365541214</v>
      </c>
      <c r="AG39" s="40">
        <v>0.23990537353673388</v>
      </c>
      <c r="AH39" s="39">
        <v>0.23500454256547093</v>
      </c>
      <c r="AI39" s="40">
        <v>0.24298114649887373</v>
      </c>
      <c r="AJ39" s="39">
        <v>0.23531830166230849</v>
      </c>
      <c r="AK39" s="40">
        <v>0.24848759998919032</v>
      </c>
      <c r="AL39" s="39">
        <v>0.23567188162337085</v>
      </c>
      <c r="AM39" s="40">
        <v>0.2599337949884073</v>
      </c>
      <c r="AN39" s="39">
        <v>0.23594166837865888</v>
      </c>
      <c r="AO39" s="40">
        <v>0.28801628222992454</v>
      </c>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0.11598040313285855</v>
      </c>
      <c r="E42" s="135"/>
      <c r="F42" s="177">
        <f>10.8%+(1-10.8%)*(1-SUM(F26:G26)/SUM($B$26:$C$26))</f>
        <v>0.12514244585154216</v>
      </c>
      <c r="G42" s="135"/>
      <c r="H42" s="177">
        <f>10.8%+(1-10.8%)*(1-SUM(H26:I26)/SUM($B$26:$C$26))</f>
        <v>0.13572062805131099</v>
      </c>
      <c r="I42" s="135"/>
      <c r="J42" s="177">
        <f>10.8%+(1-10.8%)*(1-SUM(J26:K26)/SUM($B$26:$C$26))</f>
        <v>0.14800118642444318</v>
      </c>
      <c r="K42" s="135"/>
      <c r="L42" s="177">
        <f>10.8%+(1-10.8%)*(1-SUM(L26:M26)/SUM($B$26:$C$26))</f>
        <v>0.16233171534834315</v>
      </c>
      <c r="M42" s="135"/>
      <c r="N42" s="177">
        <f>10.8%+(1-10.8%)*(1-SUM(N26:O26)/SUM($B$26:$C$26))</f>
        <v>0.17912953565237349</v>
      </c>
      <c r="O42" s="135"/>
      <c r="P42" s="177">
        <f>10.8%+(1-10.8%)*(1-SUM(P26:Q26)/SUM($B$26:$C$26))</f>
        <v>0.19888630646240579</v>
      </c>
      <c r="Q42" s="135"/>
      <c r="R42" s="177">
        <f>10.8%+(1-10.8%)*(1-SUM(R26:S26)/SUM($B$26:$C$26))</f>
        <v>0.22216277483252839</v>
      </c>
      <c r="S42" s="135"/>
      <c r="T42" s="177">
        <f>10.8%+(1-10.8%)*(1-SUM(T26:U26)/SUM($B$26:$C$26))</f>
        <v>0.24956425452447462</v>
      </c>
      <c r="U42" s="135"/>
      <c r="V42" s="177">
        <f>10.8%+(1-10.8%)*(1-SUM(V26:W26)/SUM($B$26:$C$26))</f>
        <v>0.28168320394114676</v>
      </c>
      <c r="W42" s="135"/>
      <c r="X42" s="177">
        <f>10.8%+(1-10.8%)*(1-SUM(X26:Y26)/SUM($B$26:$C$26))</f>
        <v>0.31899229504454479</v>
      </c>
      <c r="Y42" s="162"/>
      <c r="Z42" s="177">
        <f>10.8%+(1-10.8%)*(1-SUM(Z26:AA26)/SUM($B$26:$C$26))</f>
        <v>0.36167924034122256</v>
      </c>
      <c r="AA42" s="135"/>
      <c r="AB42" s="177">
        <f>10.8%+(1-10.8%)*(1-SUM(AB26:AC26)/SUM($B$26:$C$26))</f>
        <v>0.40944898753494152</v>
      </c>
      <c r="AC42" s="135"/>
      <c r="AD42" s="177">
        <f>10.8%+(1-10.8%)*(1-SUM(AD26:AE26)/SUM($B$26:$C$26))</f>
        <v>0.46140281819383688</v>
      </c>
      <c r="AE42" s="135"/>
      <c r="AF42" s="177">
        <f>10.8%+(1-10.8%)*(1-SUM(AF26:AG26)/SUM($B$26:$C$26))</f>
        <v>0.51622393530566446</v>
      </c>
      <c r="AG42" s="135"/>
      <c r="AH42" s="177">
        <f>10.8%+(1-10.8%)*(1-SUM(AH26:AI26)/SUM($B$26:$C$26))</f>
        <v>0.5729267221999943</v>
      </c>
      <c r="AI42" s="135"/>
      <c r="AJ42" s="177">
        <f>10.8%+(1-10.8%)*(1-SUM(AJ26:AK26)/SUM($B$26:$C$26))</f>
        <v>0.63225820598047866</v>
      </c>
      <c r="AK42" s="135"/>
      <c r="AL42" s="177">
        <f>10.8%+(1-10.8%)*(1-SUM(AL26:AM26)/SUM($B$26:$C$26))</f>
        <v>0.69889862879661979</v>
      </c>
      <c r="AM42" s="135"/>
      <c r="AN42" s="177">
        <f>10.8%+(1-10.8%)*(1-SUM(AN26:AO26)/SUM($B$26:$C$26))</f>
        <v>0.78749986722871335</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0.5677340714788619</v>
      </c>
      <c r="E43" s="135"/>
      <c r="F43" s="162">
        <f t="array" ref="F43">SUM(F15:G15*F27:G27)/SUM(F15:G15*F27:G27,F13:G13*F26:G26)</f>
        <v>0.56833721743124732</v>
      </c>
      <c r="G43" s="135"/>
      <c r="H43" s="162">
        <f t="array" ref="H43">SUM(H15:I15*H27:I27)/SUM(H15:I15*H27:I27,H13:I13*H26:I26)</f>
        <v>0.56901671333496151</v>
      </c>
      <c r="I43" s="135"/>
      <c r="J43" s="162">
        <f t="array" ref="J43">SUM(J15:K15*J27:K27)/SUM(J15:K15*J27:K27,J13:K13*J26:K26)</f>
        <v>0.56977957588180417</v>
      </c>
      <c r="K43" s="135"/>
      <c r="L43" s="162">
        <f t="array" ref="L43">SUM(L15:M15*L27:M27)/SUM(L15:M15*L27:M27,L13:M13*L26:M26)</f>
        <v>0.57063282229923273</v>
      </c>
      <c r="M43" s="135"/>
      <c r="N43" s="162">
        <f t="array" ref="N43">SUM(N15:O15*N27:O27)/SUM(N15:O15*N27:O27,N13:O13*N26:O26)</f>
        <v>0.57158297818259374</v>
      </c>
      <c r="O43" s="135"/>
      <c r="P43" s="162">
        <f t="array" ref="P43">SUM(P15:Q15*P27:Q27)/SUM(P15:Q15*P27:Q27,P13:Q13*P26:Q26)</f>
        <v>0.57263521788560601</v>
      </c>
      <c r="Q43" s="135"/>
      <c r="R43" s="162">
        <f t="array" ref="R43">SUM(R15:S15*R27:S27)/SUM(R15:S15*R27:S27,R13:S13*R26:S26)</f>
        <v>0.57379191625317894</v>
      </c>
      <c r="S43" s="135"/>
      <c r="T43" s="162">
        <f t="array" ref="T43">SUM(T15:U15*T27:U27)/SUM(T15:U15*T27:U27,T13:U13*T26:U26)</f>
        <v>0.57505026280431082</v>
      </c>
      <c r="U43" s="135"/>
      <c r="V43" s="162">
        <f t="array" ref="V43">SUM(V15:W15*V27:W27)/SUM(V15:W15*V27:W27,V13:W13*V26:W26)</f>
        <v>0.57639825509450482</v>
      </c>
      <c r="W43" s="135"/>
      <c r="X43" s="162">
        <f t="array" ref="X43">SUM(X15:Y15*X27:Y27)/SUM(X15:Y15*X27:Y27,X13:Y13*X26:Y26)</f>
        <v>0.57780817476436619</v>
      </c>
      <c r="Y43" s="135"/>
      <c r="Z43" s="162">
        <f t="array" ref="Z43">SUM(Z15:AA15*Z27:AA27)/SUM(Z15:AA15*Z27:AA27,Z13:AA13*Z26:AA26)</f>
        <v>0.57922601050217015</v>
      </c>
      <c r="AA43" s="135"/>
      <c r="AB43" s="162">
        <f t="array" ref="AB43">SUM(AB15:AC15*AB27:AC27)/SUM(AB15:AC15*AB27:AC27,AB13:AC13*AB26:AC26)</f>
        <v>0.58055524212180043</v>
      </c>
      <c r="AC43" s="135"/>
      <c r="AD43" s="162">
        <f t="array" ref="AD43">SUM(AD15:AE15*AD27:AE27)/SUM(AD15:AE15*AD27:AE27,AD13:AE13*AD26:AE26)</f>
        <v>0.58163372934159785</v>
      </c>
      <c r="AE43" s="135"/>
      <c r="AF43" s="162">
        <f t="array" ref="AF43">SUM(AF15:AG15*AF27:AG27)/SUM(AF15:AG15*AF27:AG27,AF13:AG13*AF26:AG26)</f>
        <v>0.58220011207405564</v>
      </c>
      <c r="AG43" s="135"/>
      <c r="AH43" s="162">
        <f t="array" ref="AH43">SUM(AH15:AI15*AH27:AI27)/SUM(AH15:AI15*AH27:AI27,AH13:AI13*AH26:AI26)</f>
        <v>0.58181857361772349</v>
      </c>
      <c r="AI43" s="135"/>
      <c r="AJ43" s="162">
        <f t="array" ref="AJ43">SUM(AJ15:AK15*AJ27:AK27)/SUM(AJ15:AK15*AJ27:AK27,AJ13:AK13*AJ26:AK26)</f>
        <v>0.57959702863593365</v>
      </c>
      <c r="AK43" s="135"/>
      <c r="AL43" s="162">
        <f t="array" ref="AL43">SUM(AL15:AM15*AL27:AM27)/SUM(AL15:AM15*AL27:AM27,AL13:AM13*AL26:AM26)</f>
        <v>0.57300813527310934</v>
      </c>
      <c r="AM43" s="135"/>
      <c r="AN43" s="162">
        <f t="array" ref="AN43">SUM(AN15:AO15*AN27:AO27)/SUM(AN15:AO15*AN27:AO27,AN13:AO13*AN26:AO26)</f>
        <v>0.55202043193179628</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0.29911141144810632</v>
      </c>
      <c r="F44" s="193">
        <f>(SUM(F11:G11*F24:G24)+F34)/F32</f>
        <v>0.30068729536875405</v>
      </c>
      <c r="H44" s="193">
        <f>(SUM(H11:I11*H24:I24)+H34)/H32</f>
        <v>0.3022681176736341</v>
      </c>
      <c r="J44" s="193">
        <f>(SUM(J11:K11*J24:K24)+J34)/J32</f>
        <v>0.30385124425802712</v>
      </c>
      <c r="L44" s="193">
        <f>(SUM(L11:M11*L24:M24)+L34)/L32</f>
        <v>0.30543299994685424</v>
      </c>
      <c r="N44" s="193">
        <f>(SUM(N11:O11*N24:O24)+N34)/N32</f>
        <v>0.30700857361929024</v>
      </c>
      <c r="P44" s="193">
        <f>(SUM(P11:Q11*P24:Q24)+P34)/P32</f>
        <v>0.30857204813106526</v>
      </c>
      <c r="R44" s="193">
        <f>(SUM(R11:S11*R24:S24)+R34)/R32</f>
        <v>0.31011682523352041</v>
      </c>
      <c r="T44" s="193">
        <f>(SUM(T11:U11*T24:U24)+T34)/T32</f>
        <v>0.31163728029355936</v>
      </c>
      <c r="V44" s="193">
        <f>(SUM(V11:W11*V24:W24)+V34)/V32</f>
        <v>0.31313202408015256</v>
      </c>
      <c r="X44" s="193">
        <f>(SUM(X11:Y11*X24:Y24)+X34)/X32</f>
        <v>0.31461162718074454</v>
      </c>
      <c r="Z44" s="193">
        <f>(SUM(Z11:AA11*Z24:AA24)+Z34)/Z32</f>
        <v>0.31611357066855661</v>
      </c>
      <c r="AB44" s="193">
        <f>(SUM(AB11:AC11*AB24:AC24)+AB34)/AB32</f>
        <v>0.31773025998287224</v>
      </c>
      <c r="AD44" s="193">
        <f>(SUM(AD11:AE11*AD24:AE24)+AD34)/AD32</f>
        <v>0.31965779478955386</v>
      </c>
      <c r="AF44" s="193">
        <f>(SUM(AF11:AG11*AF24:AG24)+AF34)/AF32</f>
        <v>0.3222792211356838</v>
      </c>
      <c r="AH44" s="193">
        <f>(SUM(AH11:AI11*AH24:AI24)+AH34)/AH32</f>
        <v>0.32632907526624255</v>
      </c>
      <c r="AJ44" s="193">
        <f>(SUM(AJ11:AK11*AJ24:AK24)+AJ34)/AJ32</f>
        <v>0.33330012359477434</v>
      </c>
      <c r="AL44" s="193">
        <f>(SUM(AL11:AM11*AL24:AM24)+AL34)/AL32</f>
        <v>0.34630649954048454</v>
      </c>
      <c r="AN44" s="193">
        <f>(SUM(AN11:AO11*AN24:AO24)+AN34)/AN32</f>
        <v>0.37207886401368828</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0.2223080019480749</v>
      </c>
      <c r="F45" s="193">
        <f>SUM(F11:G11*F24:G24)/F32</f>
        <v>0.22460182264902312</v>
      </c>
      <c r="H45" s="193">
        <f>SUM(H11:I11*H24:I24)/H32</f>
        <v>0.22735283544208348</v>
      </c>
      <c r="J45" s="193">
        <f>SUM(J11:K11*J24:K24)/J32</f>
        <v>0.23067396563219081</v>
      </c>
      <c r="L45" s="193">
        <f>SUM(L11:M11*L24:M24)/L32</f>
        <v>0.23471315363450104</v>
      </c>
      <c r="N45" s="193">
        <f>SUM(N11:O11*N24:O24)/N32</f>
        <v>0.23966572171907305</v>
      </c>
      <c r="P45" s="193">
        <f>SUM(P11:Q11*P24:Q24)/P32</f>
        <v>0.24579131853972802</v>
      </c>
      <c r="R45" s="193">
        <f>SUM(R11:S11*R24:S24)/R32</f>
        <v>0.25343655488392297</v>
      </c>
      <c r="T45" s="193">
        <f>SUM(T11:U11*T24:U24)/T32</f>
        <v>0.26306419017726662</v>
      </c>
      <c r="V45" s="193">
        <f>SUM(V11:W11*V24:W24)/V32</f>
        <v>0.2752882671729438</v>
      </c>
      <c r="X45" s="193">
        <f>SUM(X11:Y11*X24:Y24)/X32</f>
        <v>0.29091006956400584</v>
      </c>
      <c r="Z45" s="193">
        <f>SUM(Z11:AA11*Z24:AA24)/Z32</f>
        <v>0.3109409916354906</v>
      </c>
      <c r="AB45" s="193">
        <f>SUM(AB11:AC11*AB24:AC24)/AB32</f>
        <v>0.33658666229908835</v>
      </c>
      <c r="AD45" s="193">
        <f>SUM(AD11:AE11*AD24:AE24)/AD32</f>
        <v>0.36917277322503944</v>
      </c>
      <c r="AF45" s="193">
        <f>SUM(AF11:AG11*AF24:AG24)/AF32</f>
        <v>0.41008064634877794</v>
      </c>
      <c r="AH45" s="193">
        <f>SUM(AH11:AI11*AH24:AI24)/AH32</f>
        <v>0.46100838576511088</v>
      </c>
      <c r="AJ45" s="193">
        <f>SUM(AJ11:AK11*AJ24:AK24)/AJ32</f>
        <v>0.52534253550740861</v>
      </c>
      <c r="AL45" s="193">
        <f>SUM(AL11:AM11*AL24:AM24)/AL32</f>
        <v>0.61347297012189328</v>
      </c>
      <c r="AN45" s="193">
        <f>SUM(AN11:AO11*AN24:AO24)/AN32</f>
        <v>0.7752313068493154</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7.6803409500031436E-2</v>
      </c>
      <c r="F46" s="193">
        <f>F34/F32</f>
        <v>7.6085472719730929E-2</v>
      </c>
      <c r="H46" s="193">
        <f>H34/H32</f>
        <v>7.4915282231550612E-2</v>
      </c>
      <c r="J46" s="193">
        <f>J34/J32</f>
        <v>7.317727862583627E-2</v>
      </c>
      <c r="L46" s="193">
        <f>L34/L32</f>
        <v>7.0719846312353202E-2</v>
      </c>
      <c r="N46" s="193">
        <f>N34/N32</f>
        <v>6.7342851900217174E-2</v>
      </c>
      <c r="P46" s="193">
        <f>P34/P32</f>
        <v>6.278072959133725E-2</v>
      </c>
      <c r="R46" s="193">
        <f>R34/R32</f>
        <v>5.6680270349597425E-2</v>
      </c>
      <c r="T46" s="193">
        <f>T34/T32</f>
        <v>4.8573090116292759E-2</v>
      </c>
      <c r="V46" s="193">
        <f>V34/V32</f>
        <v>3.7843756907208745E-2</v>
      </c>
      <c r="X46" s="193">
        <f>X34/X32</f>
        <v>2.3701557616738703E-2</v>
      </c>
      <c r="Z46" s="193">
        <f>Z34/Z32</f>
        <v>5.1725790330660248E-3</v>
      </c>
      <c r="AB46" s="193">
        <f>AB34/AB32</f>
        <v>-1.8856402316216072E-2</v>
      </c>
      <c r="AD46" s="193">
        <f>AD34/AD32</f>
        <v>-4.9514978435485579E-2</v>
      </c>
      <c r="AF46" s="193">
        <f>AF34/AF32</f>
        <v>-8.7801425213094156E-2</v>
      </c>
      <c r="AH46" s="193">
        <f>AH34/AH32</f>
        <v>-0.13467931049886839</v>
      </c>
      <c r="AJ46" s="193">
        <f>AJ34/AJ32</f>
        <v>-0.19204241191263424</v>
      </c>
      <c r="AL46" s="193">
        <f>AL34/AL32</f>
        <v>-0.26716647058140874</v>
      </c>
      <c r="AN46" s="193">
        <f>AN34/AN32</f>
        <v>-0.40315244283562712</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0.99289636377939017</v>
      </c>
      <c r="E49" s="191"/>
      <c r="F49" s="191">
        <f>F13/F35/$B$13*$B$35</f>
        <v>0.98537585711617282</v>
      </c>
      <c r="G49" s="191"/>
      <c r="H49" s="191">
        <f>H13/H35/$B$13*$B$35</f>
        <v>0.97741229603334012</v>
      </c>
      <c r="I49" s="191"/>
      <c r="J49" s="191">
        <f>J13/J35/$B$13*$B$35</f>
        <v>0.96898233573252746</v>
      </c>
      <c r="K49" s="191"/>
      <c r="L49" s="191">
        <f>L13/L35/$B$13*$B$35</f>
        <v>0.96006812193159197</v>
      </c>
      <c r="M49" s="191"/>
      <c r="N49" s="191">
        <f>N13/N35/$B$13*$B$35</f>
        <v>0.95066097482769707</v>
      </c>
      <c r="O49" s="191"/>
      <c r="P49" s="191">
        <f>P13/P35/$B$13*$B$35</f>
        <v>0.94076659371237059</v>
      </c>
      <c r="Q49" s="191"/>
      <c r="R49" s="191">
        <f>R13/R35/$B$13*$B$35</f>
        <v>0.93041188756761273</v>
      </c>
      <c r="S49" s="191"/>
      <c r="T49" s="191">
        <f>T13/T35/$B$13*$B$35</f>
        <v>0.91965330633715359</v>
      </c>
      <c r="U49" s="191"/>
      <c r="V49" s="191">
        <f>V13/V35/$B$13*$B$35</f>
        <v>0.90858650157130805</v>
      </c>
      <c r="W49" s="191"/>
      <c r="X49" s="191">
        <f>X13/X35/$B$13*$B$35</f>
        <v>0.89735514331638211</v>
      </c>
      <c r="Y49" s="191"/>
      <c r="Z49" s="191">
        <f>Z13/Z35/$B$13*$B$35</f>
        <v>0.88615566376582167</v>
      </c>
      <c r="AA49" s="191"/>
      <c r="AB49" s="191">
        <f>AB13/AB35/$B$13*$B$35</f>
        <v>0.87523040190806545</v>
      </c>
      <c r="AC49" s="191"/>
      <c r="AD49" s="191">
        <f>AD13/AD35/$B$13*$B$35</f>
        <v>0.86483717845376096</v>
      </c>
      <c r="AE49" s="191"/>
      <c r="AF49" s="191">
        <f>AF13/AF35/$B$13*$B$35</f>
        <v>0.85518202144939659</v>
      </c>
      <c r="AG49" s="191"/>
      <c r="AH49" s="191">
        <f>AH13/AH35/$B$13*$B$35</f>
        <v>0.84631583668365806</v>
      </c>
      <c r="AI49" s="191"/>
      <c r="AJ49" s="191">
        <f>AJ13/AJ35/$B$13*$B$35</f>
        <v>0.83801719208368031</v>
      </c>
      <c r="AK49" s="191"/>
      <c r="AL49" s="191">
        <f>AL13/AL35/$B$13*$B$35</f>
        <v>0.82966153686028987</v>
      </c>
      <c r="AM49" s="191"/>
      <c r="AN49" s="191">
        <f>AN13/AN35/$B$13*$B$35</f>
        <v>0.81981776805188056</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-363555.41761639342</v>
      </c>
      <c r="F51" s="29">
        <f>F30-F10*F23</f>
        <v>-321509.5239609764</v>
      </c>
      <c r="H51" s="29">
        <f>H30-H10*H23</f>
        <v>-279819.08792277146</v>
      </c>
      <c r="J51" s="29">
        <f>J30-J10*J23</f>
        <v>-238641.51618390623</v>
      </c>
      <c r="L51" s="29">
        <f>L30-L10*L23</f>
        <v>-198181.55341022508</v>
      </c>
      <c r="N51" s="29">
        <f>N30-N10*N23</f>
        <v>-158697.93324100785</v>
      </c>
      <c r="P51" s="29">
        <f>P30-P10*P23</f>
        <v>-120505.92238887958</v>
      </c>
      <c r="R51" s="29">
        <f>R30-R10*R23</f>
        <v>-83967.861633375753</v>
      </c>
      <c r="T51" s="29">
        <f>T30-T10*T23</f>
        <v>-49458.973222430795</v>
      </c>
      <c r="V51" s="29">
        <f>V30-V10*V23</f>
        <v>-17287.152831735555</v>
      </c>
      <c r="X51" s="29">
        <f>X30-X10*X23</f>
        <v>12469.334914525505</v>
      </c>
      <c r="Z51" s="29">
        <f>Z30-Z10*Z23</f>
        <v>40256.016177984886</v>
      </c>
      <c r="AB51" s="29">
        <f>AB30-AB10*AB23</f>
        <v>67534.483675702475</v>
      </c>
      <c r="AD51" s="29">
        <f>AD30-AD10*AD23</f>
        <v>97564.534522152971</v>
      </c>
      <c r="AF51" s="29">
        <f>AF30-AF10*AF23</f>
        <v>136737.90170630673</v>
      </c>
      <c r="AH51" s="29">
        <f>AH30-AH10*AH23</f>
        <v>197631.9966505738</v>
      </c>
      <c r="AJ51" s="29">
        <f>AJ30-AJ10*AJ23</f>
        <v>308278.84820212703</v>
      </c>
      <c r="AL51" s="29">
        <f>AL30-AL10*AL23</f>
        <v>539182.55970891519</v>
      </c>
      <c r="AN51" s="29">
        <f>AN30-AN10*AN23</f>
        <v>1084696.0162166799</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2020694.1716130532</v>
      </c>
      <c r="F52" s="29">
        <f t="array" ref="F52">Calibration!sL*SUM(F13:G13*F26:G26)</f>
        <v>1989854.1783337286</v>
      </c>
      <c r="H52" s="29">
        <f t="array" ref="H52">Calibration!sL*SUM(H13:I13*H26:I26)</f>
        <v>1956377.4742481536</v>
      </c>
      <c r="J52" s="29">
        <f t="array" ref="J52">Calibration!sL*SUM(J13:K13*J26:K26)</f>
        <v>1919858.7992429552</v>
      </c>
      <c r="L52" s="29">
        <f t="array" ref="L52">Calibration!sL*SUM(L13:M13*L26:M26)</f>
        <v>1879836.0614840128</v>
      </c>
      <c r="N52" s="29">
        <f t="array" ref="N52">Calibration!sL*SUM(N13:O13*N26:O26)</f>
        <v>1835795.7705392593</v>
      </c>
      <c r="P52" s="29">
        <f t="array" ref="P52">Calibration!sL*SUM(P13:Q13*P26:Q26)</f>
        <v>1787192.3994161228</v>
      </c>
      <c r="R52" s="29">
        <f t="array" ref="R52">Calibration!sL*SUM(R13:S13*R26:S26)</f>
        <v>1733493.7793746479</v>
      </c>
      <c r="T52" s="29">
        <f t="array" ref="T52">Calibration!sL*SUM(T13:U13*T26:U26)</f>
        <v>1674269.5969376648</v>
      </c>
      <c r="V52" s="29">
        <f t="array" ref="V52">Calibration!sL*SUM(V13:W13*V26:W26)</f>
        <v>1609349.6774500036</v>
      </c>
      <c r="X52" s="29">
        <f t="array" ref="X52">Calibration!sL*SUM(X13:Y13*X26:Y26)</f>
        <v>1539078.321139385</v>
      </c>
      <c r="Z52" s="29">
        <f t="array" ref="Z52">Calibration!sL*SUM(Z13:AA13*Z26:AA26)</f>
        <v>1464682.4378792699</v>
      </c>
      <c r="AB52" s="29">
        <f t="array" ref="AB52">Calibration!sL*SUM(AB13:AC13*AB26:AC26)</f>
        <v>1388717.0736254742</v>
      </c>
      <c r="AD52" s="29">
        <f t="array" ref="AD52">Calibration!sL*SUM(AD13:AE13*AD26:AE26)</f>
        <v>1315453.2875048218</v>
      </c>
      <c r="AF52" s="29">
        <f t="array" ref="AF52">Calibration!sL*SUM(AF13:AG13*AF26:AG26)</f>
        <v>1251039.5455108816</v>
      </c>
      <c r="AH52" s="29">
        <f t="array" ref="AH52">Calibration!sL*SUM(AH13:AI13*AH26:AI26)</f>
        <v>1203736.5232222762</v>
      </c>
      <c r="AJ52" s="29">
        <f t="array" ref="AJ52">Calibration!sL*SUM(AJ13:AK13*AJ26:AK26)</f>
        <v>1185939.5165653066</v>
      </c>
      <c r="AL52" s="29">
        <f t="array" ref="AL52">Calibration!sL*SUM(AL13:AM13*AL26:AM26)</f>
        <v>1220018.4532506946</v>
      </c>
      <c r="AN52" s="29">
        <f t="array" ref="AN52">Calibration!sL*SUM(AN13:AO13*AN26:AO26)</f>
        <v>1343842.2255617599</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2708407.0106725241</v>
      </c>
      <c r="F53" s="29">
        <f t="array" ref="F53">Calibration!sK*SUM(F15:G15*F27:G27)</f>
        <v>2673635.0729512912</v>
      </c>
      <c r="H53" s="29">
        <f t="array" ref="H53">Calibration!sK*SUM(H15:I15*H27:I27)</f>
        <v>2635946.7668902813</v>
      </c>
      <c r="J53" s="29">
        <f t="array" ref="J53">Calibration!sK*SUM(J15:K15*J27:K27)</f>
        <v>2594803.8270481788</v>
      </c>
      <c r="L53" s="29">
        <f t="array" ref="L53">Calibration!sK*SUM(L15:M15*L27:M27)</f>
        <v>2549571.9359109546</v>
      </c>
      <c r="N53" s="29">
        <f t="array" ref="N53">Calibration!sK*SUM(N15:O15*N27:O27)</f>
        <v>2499518.3055369328</v>
      </c>
      <c r="P53" s="29">
        <f t="array" ref="P53">Calibration!sK*SUM(P15:Q15*P27:Q27)</f>
        <v>2443824.5332218534</v>
      </c>
      <c r="R53" s="29">
        <f t="array" ref="R53">Calibration!sK*SUM(R15:S15*R27:S27)</f>
        <v>2381630.6901473929</v>
      </c>
      <c r="T53" s="29">
        <f t="array" ref="T53">Calibration!sK*SUM(T15:U15*T27:U27)</f>
        <v>2312134.1053560143</v>
      </c>
      <c r="V53" s="29">
        <f t="array" ref="V53">Calibration!sK*SUM(V15:W15*V27:W27)</f>
        <v>2234779.7218683888</v>
      </c>
      <c r="X53" s="29">
        <f t="array" ref="X53">Calibration!sK*SUM(X15:Y15*X27:Y27)</f>
        <v>2149581.7709428314</v>
      </c>
      <c r="Z53" s="29">
        <f t="array" ref="Z53">Calibration!sK*SUM(Z15:AA15*Z27:AA27)</f>
        <v>2057605.1206767724</v>
      </c>
      <c r="AB53" s="29">
        <f t="array" ref="AB53">Calibration!sK*SUM(AB15:AC15*AB27:AC27)</f>
        <v>1961561.5609883424</v>
      </c>
      <c r="AD53" s="29">
        <f t="array" ref="AD53">Calibration!sK*SUM(AD15:AE15*AD27:AE27)</f>
        <v>1866326.9962108787</v>
      </c>
      <c r="AF53" s="29">
        <f t="array" ref="AF53">Calibration!sK*SUM(AF15:AG15*AF27:AG27)</f>
        <v>1779075.5501270415</v>
      </c>
      <c r="AH53" s="29">
        <f t="array" ref="AH53">Calibration!sK*SUM(AH15:AI15*AH27:AI27)</f>
        <v>1709124.3717868107</v>
      </c>
      <c r="AJ53" s="29">
        <f t="array" ref="AJ53">Calibration!sK*SUM(AJ15:AK15*AJ27:AK27)</f>
        <v>1668561.8184880158</v>
      </c>
      <c r="AL53" s="29">
        <f t="array" ref="AL53">Calibration!sK*SUM(AL15:AM15*AL27:AM27)</f>
        <v>1670809.6480740802</v>
      </c>
      <c r="AN53" s="29">
        <f t="array" ref="AN53">Calibration!sK*SUM(AN15:AO15*AN27:AO27)</f>
        <v>1689914.0498767868</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0.20113670176156578</v>
      </c>
      <c r="F55" s="193">
        <f>F30/F32</f>
        <v>0.20378128503862269</v>
      </c>
      <c r="H55" s="193">
        <f>H30/H32</f>
        <v>0.20643338412335369</v>
      </c>
      <c r="J55" s="193">
        <f>J30/J32</f>
        <v>0.20908849551983635</v>
      </c>
      <c r="L55" s="193">
        <f>L30/L32</f>
        <v>0.21174037898507322</v>
      </c>
      <c r="N55" s="193">
        <f>N30/N32</f>
        <v>0.21438086926553179</v>
      </c>
      <c r="P55" s="193">
        <f>P30/P32</f>
        <v>0.2169999426268002</v>
      </c>
      <c r="R55" s="193">
        <f>R30/R32</f>
        <v>0.21958655759275653</v>
      </c>
      <c r="T55" s="193">
        <f>T30/T32</f>
        <v>0.2221311736869955</v>
      </c>
      <c r="V55" s="193">
        <f>V30/V32</f>
        <v>0.22463168030904082</v>
      </c>
      <c r="X55" s="193">
        <f>X30/X32</f>
        <v>0.22710615069070744</v>
      </c>
      <c r="Z55" s="193">
        <f>Z30/Z32</f>
        <v>0.22961822355216627</v>
      </c>
      <c r="AB55" s="193">
        <f>AB30/AB32</f>
        <v>0.23232441490807232</v>
      </c>
      <c r="AD55" s="193">
        <f>AD30/AD32</f>
        <v>0.23555641667871194</v>
      </c>
      <c r="AF55" s="193">
        <f>AF30/AF32</f>
        <v>0.23996152854266053</v>
      </c>
      <c r="AH55" s="193">
        <f>AH30/AH32</f>
        <v>0.24678023910986763</v>
      </c>
      <c r="AJ55" s="193">
        <f>AJ30/AJ32</f>
        <v>0.25853324870505251</v>
      </c>
      <c r="AL55" s="193">
        <f>AL30/AL32</f>
        <v>0.28048406011473925</v>
      </c>
      <c r="AN55" s="193">
        <f>AN30/AN32</f>
        <v>0.32404235286043498</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3.2636269271319393E-2</v>
      </c>
      <c r="F56" s="193">
        <f>(Model!$C$52*F5*F20+F2*G5*G20)/F32</f>
        <v>3.6088344560392817E-2</v>
      </c>
      <c r="H56" s="193">
        <f>(Model!$C$52*H5*H20+H2*I5*I20)/H32</f>
        <v>3.9575954418839626E-2</v>
      </c>
      <c r="J56" s="193">
        <f>(Model!$C$52*J5*J20+J2*K5*K20)/J32</f>
        <v>4.3095998490290957E-2</v>
      </c>
      <c r="L56" s="193">
        <f>(Model!$C$52*L5*L20+L2*M5*M20)/L32</f>
        <v>4.6643279844673514E-2</v>
      </c>
      <c r="N56" s="193">
        <f>(Model!$C$52*N5*N20+N2*O5*O20)/N32</f>
        <v>5.0210117032288115E-2</v>
      </c>
      <c r="P56" s="193">
        <f>(Model!$C$52*P5*P20+P2*Q5*Q20)/P32</f>
        <v>5.3786150653541809E-2</v>
      </c>
      <c r="R56" s="193">
        <f>(Model!$C$52*R5*R20+R2*S5*S20)/R32</f>
        <v>5.7358890280563436E-2</v>
      </c>
      <c r="T56" s="193">
        <f>(Model!$C$52*T5*T20+T2*U5*U20)/T32</f>
        <v>6.0915986602635301E-2</v>
      </c>
      <c r="V56" s="193">
        <f>(Model!$C$52*V5*V20+V2*W5*W20)/V32</f>
        <v>6.4451077614405577E-2</v>
      </c>
      <c r="X56" s="193">
        <f>(Model!$C$52*X5*X20+X2*Y5*Y20)/X32</f>
        <v>6.7977006573767443E-2</v>
      </c>
      <c r="Z56" s="193">
        <f>(Model!$C$52*Z5*Z20+Z2*AA5*AA20)/Z32</f>
        <v>7.1552844076489819E-2</v>
      </c>
      <c r="AB56" s="193">
        <f>(Model!$C$52*AB5*AB20+AB2*AC5*AC20)/AB32</f>
        <v>7.533522193380815E-2</v>
      </c>
      <c r="AD56" s="193">
        <f>(Model!$C$52*AD5*AD20+AD2*AE5*AE20)/AD32</f>
        <v>7.966900972040801E-2</v>
      </c>
      <c r="AF56" s="193">
        <f>(Model!$C$52*AF5*AF20+AF2*AG5*AG20)/AF32</f>
        <v>8.5243513042222926E-2</v>
      </c>
      <c r="AH56" s="193">
        <f>(Model!$C$52*AH5*AH20+AH2*AI5*AI20)/AH32</f>
        <v>9.3398322491215588E-2</v>
      </c>
      <c r="AJ56" s="193">
        <f>(Model!$C$52*AJ5*AJ20+AJ2*AK5*AK20)/AJ32</f>
        <v>0.10685344368649162</v>
      </c>
      <c r="AL56" s="193">
        <f>(Model!$C$52*AL5*AL20+AL2*AM5*AM20)/AL32</f>
        <v>0.13111408006371111</v>
      </c>
      <c r="AN56" s="193">
        <f>(Model!$C$52*AN5*AN20+AN2*AO5*AO20)/AN32</f>
        <v>0.17705442450534328</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0.15781305608132862</v>
      </c>
      <c r="F57" s="193">
        <f t="array" ref="F57">SUM(Model!tauL*F13:G13*F26:G26)/F32</f>
        <v>0.15707115662002044</v>
      </c>
      <c r="H57" s="193">
        <f t="array" ref="H57">SUM(Model!tauL*H13:I13*H26:I26)/H32</f>
        <v>0.15630154552621925</v>
      </c>
      <c r="J57" s="193">
        <f t="array" ref="J57">SUM(Model!tauL*J13:K13*J26:K26)/J32</f>
        <v>0.15550285663031607</v>
      </c>
      <c r="L57" s="193">
        <f t="array" ref="L57">SUM(Model!tauL*L13:M13*L26:M26)/L32</f>
        <v>0.15467409265944074</v>
      </c>
      <c r="N57" s="193">
        <f t="array" ref="N57">SUM(Model!tauL*N13:O13*N26:O26)/N32</f>
        <v>0.1538148348207096</v>
      </c>
      <c r="P57" s="193">
        <f t="array" ref="P57">SUM(Model!tauL*P13:Q13*P26:Q26)/P32</f>
        <v>0.15292552470744084</v>
      </c>
      <c r="R57" s="193">
        <f t="array" ref="R57">SUM(Model!tauL*R13:S13*R26:S26)/R32</f>
        <v>0.15200780263759478</v>
      </c>
      <c r="T57" s="193">
        <f t="array" ref="T57">SUM(Model!tauL*T13:U13*T26:U26)/T32</f>
        <v>0.15106483809043655</v>
      </c>
      <c r="V57" s="193">
        <f t="array" ref="V57">SUM(Model!tauL*V13:W13*V26:W26)/V32</f>
        <v>0.15010157445713387</v>
      </c>
      <c r="X57" s="193">
        <f t="array" ref="X57">SUM(Model!tauL*X13:Y13*X26:Y26)/X32</f>
        <v>0.1491245431271645</v>
      </c>
      <c r="Y57" s="193"/>
      <c r="Z57" s="193">
        <f t="array" ref="Z57">SUM(Model!tauL*Z13:AA13*Z26:AA26)/Z32</f>
        <v>0.14814068282111623</v>
      </c>
      <c r="AB57" s="193">
        <f t="array" ref="AB57">SUM(Model!tauL*AB13:AC13*AB26:AC26)/AB32</f>
        <v>0.14715396085771559</v>
      </c>
      <c r="AD57" s="193">
        <f t="array" ref="AD57">SUM(Model!tauL*AD13:AE13*AD26:AE26)/AD32</f>
        <v>0.14615765292965444</v>
      </c>
      <c r="AF57" s="193">
        <f t="array" ref="AF57">SUM(Model!tauL*AF13:AG13*AF26:AG26)/AF32</f>
        <v>0.14511869087298696</v>
      </c>
      <c r="AH57" s="193">
        <f t="array" ref="AH57">SUM(Model!tauL*AH13:AI13*AH26:AI26)/AH32</f>
        <v>0.14394808790870178</v>
      </c>
      <c r="AJ57" s="193">
        <f t="array" ref="AJ57">SUM(Model!tauL*AJ13:AK13*AJ26:AK26)/AJ32</f>
        <v>0.14245474322494298</v>
      </c>
      <c r="AL57" s="193">
        <f t="array" ref="AL57">SUM(Model!tauL*AL13:AM13*AL26:AM26)/AL32</f>
        <v>0.14040399827869798</v>
      </c>
      <c r="AN57" s="193">
        <f t="array" ref="AN57">SUM(Model!tauL*AN13:AO13*AN26:AO26)/AN32</f>
        <v>0.13838759035059897</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1.0687376408917745E-2</v>
      </c>
      <c r="F58" s="193">
        <f t="array" ref="F58">SUM(Model!tauY/(1+Model!tauY)*F3:G3*F18:G18)/F32</f>
        <v>1.0621783858209421E-2</v>
      </c>
      <c r="H58" s="193">
        <f t="array" ref="H58">SUM(Model!tauY/(1+Model!tauY)*H3:I3*H18:I18)/H32</f>
        <v>1.0555884178294809E-2</v>
      </c>
      <c r="J58" s="193">
        <f t="array" ref="J58">SUM(Model!tauY/(1+Model!tauY)*J3:K3*J18:K18)/J32</f>
        <v>1.0489640399229365E-2</v>
      </c>
      <c r="L58" s="193">
        <f t="array" ref="L58">SUM(Model!tauY/(1+Model!tauY)*L3:M3*L18:M18)/L32</f>
        <v>1.0423006480959023E-2</v>
      </c>
      <c r="N58" s="193">
        <f t="array" ref="N58">SUM(Model!tauY/(1+Model!tauY)*N3:O3*N18:O18)/N32</f>
        <v>1.0355917412534079E-2</v>
      </c>
      <c r="P58" s="193">
        <f t="array" ref="P58">SUM(Model!tauY/(1+Model!tauY)*P3:Q3*P18:Q18)/P32</f>
        <v>1.0288267265817563E-2</v>
      </c>
      <c r="R58" s="193">
        <f t="array" ref="R58">SUM(Model!tauY/(1+Model!tauY)*R3:S3*R18:S18)/R32</f>
        <v>1.0219864674598341E-2</v>
      </c>
      <c r="T58" s="193">
        <f t="array" ref="T58">SUM(Model!tauY/(1+Model!tauY)*T3:U3*T18:U18)/T32</f>
        <v>1.0150348993923657E-2</v>
      </c>
      <c r="V58" s="193">
        <f t="array" ref="V58">SUM(Model!tauY/(1+Model!tauY)*V3:W3*V18:W18)/V32</f>
        <v>1.0079028237501366E-2</v>
      </c>
      <c r="X58" s="193">
        <f t="array" ref="X58">SUM(Model!tauY/(1+Model!tauY)*X3:Y3*X18:Y18)/X32</f>
        <v>1.0004600989775514E-2</v>
      </c>
      <c r="Y58" s="193"/>
      <c r="Z58" s="193">
        <f t="array" ref="Z58">SUM(Model!tauY/(1+Model!tauY)*Z3:AA3*Z18:AA18)/Z32</f>
        <v>9.9246966545602257E-3</v>
      </c>
      <c r="AB58" s="193">
        <f t="array" ref="AB58">SUM(Model!tauY/(1+Model!tauY)*AB3:AC3*AB18:AC18)/AB32</f>
        <v>9.8352321165485913E-3</v>
      </c>
      <c r="AD58" s="193">
        <f t="array" ref="AD58">SUM(Model!tauY/(1+Model!tauY)*AD3:AE3*AD18:AE18)/AD32</f>
        <v>9.7297540286494979E-3</v>
      </c>
      <c r="AF58" s="193">
        <f t="array" ref="AF58">SUM(Model!tauY/(1+Model!tauY)*AF3:AG3*AF18:AG18)/AF32</f>
        <v>9.5993246274506672E-3</v>
      </c>
      <c r="AH58" s="193">
        <f t="array" ref="AH58">SUM(Model!tauY/(1+Model!tauY)*AH3:AI3*AH18:AI18)/AH32</f>
        <v>9.4338287099503138E-3</v>
      </c>
      <c r="AJ58" s="193">
        <f t="array" ref="AJ58">SUM(Model!tauY/(1+Model!tauY)*AJ3:AK3*AJ18:AK18)/AJ32</f>
        <v>9.2250617936179471E-3</v>
      </c>
      <c r="AL58" s="193">
        <f t="array" ref="AL58">SUM(Model!tauY/(1+Model!tauY)*AL3:AM3*AL18:AM18)/AL32</f>
        <v>8.9659817723301994E-3</v>
      </c>
      <c r="AN58" s="193">
        <f t="array" ref="AN58">SUM(Model!tauY/(1+Model!tauY)*AN3:AO3*AN18:AO18)/AN32</f>
        <v>8.6003380044927351E-3</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4.002761061319293E-3</v>
      </c>
      <c r="F59" s="193">
        <f>(F2*G5*G20)/F32</f>
        <v>7.4849896515744004E-3</v>
      </c>
      <c r="H59" s="193">
        <f>(H2*I5*I20)/H32</f>
        <v>1.0995471700935967E-2</v>
      </c>
      <c r="J59" s="193">
        <f>(J2*K5*K20)/J32</f>
        <v>1.4529182500478393E-2</v>
      </c>
      <c r="L59" s="193">
        <f>(L2*M5*M20)/L32</f>
        <v>1.807840495173229E-2</v>
      </c>
      <c r="N59" s="193">
        <f>(N2*O5*O20)/N32</f>
        <v>2.1632145567730021E-2</v>
      </c>
      <c r="P59" s="193">
        <f>(P2*Q5*Q20)/P32</f>
        <v>2.5175681820642445E-2</v>
      </c>
      <c r="R59" s="193">
        <f>(R2*S5*S20)/R32</f>
        <v>2.8690783529996211E-2</v>
      </c>
      <c r="T59" s="193">
        <f>(T2*U5*U20)/T32</f>
        <v>3.2157611413207547E-2</v>
      </c>
      <c r="V59" s="193">
        <f>(V2*W5*W20)/V32</f>
        <v>3.5560190767385043E-2</v>
      </c>
      <c r="X59" s="193">
        <f>(X2*Y5*Y20)/X32</f>
        <v>3.8899449287499499E-2</v>
      </c>
      <c r="Z59" s="193">
        <f>(Z2*AA5*AA20)/Z32</f>
        <v>4.2220625893148796E-2</v>
      </c>
      <c r="AB59" s="193">
        <f>(AB2*AC5*AC20)/AB32</f>
        <v>4.5666227564938183E-2</v>
      </c>
      <c r="AD59" s="193">
        <f>(AD2*AE5*AE20)/AD32</f>
        <v>4.9570238798856449E-2</v>
      </c>
      <c r="AF59" s="193">
        <f>(AF2*AG5*AG20)/AF32</f>
        <v>5.4619354311051041E-2</v>
      </c>
      <c r="AH59" s="193">
        <f>(AH2*AI5*AI20)/AH32</f>
        <v>6.2162716771225285E-2</v>
      </c>
      <c r="AJ59" s="193">
        <f>(AJ2*AK5*AK20)/AJ32</f>
        <v>7.4940574525299661E-2</v>
      </c>
      <c r="AL59" s="193">
        <f>(AL2*AM5*AM20)/AL32</f>
        <v>9.8450249066063422E-2</v>
      </c>
      <c r="AN59" s="193">
        <f>(AN2*AO5*AO20)/AN32</f>
        <v>0.14313777278390546</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2.8633508210000103E-2</v>
      </c>
      <c r="F60" s="193">
        <f>Model!$C$52*F5*F20/F32</f>
        <v>2.8603354908818421E-2</v>
      </c>
      <c r="H60" s="193">
        <f>Model!$C$52*H5*H20/H32</f>
        <v>2.8580482717903657E-2</v>
      </c>
      <c r="J60" s="193">
        <f>Model!$C$52*J5*J20/J32</f>
        <v>2.8566815989812568E-2</v>
      </c>
      <c r="L60" s="193">
        <f>Model!$C$52*L5*L20/L32</f>
        <v>2.8564874892941225E-2</v>
      </c>
      <c r="N60" s="193">
        <f>Model!$C$52*N5*N20/N32</f>
        <v>2.8577971464558101E-2</v>
      </c>
      <c r="P60" s="193">
        <f>Model!$C$52*P5*P20/P32</f>
        <v>2.8610468832899371E-2</v>
      </c>
      <c r="R60" s="193">
        <f>Model!$C$52*R5*R20/R32</f>
        <v>2.8668106750567232E-2</v>
      </c>
      <c r="T60" s="193">
        <f>Model!$C$52*T5*T20/T32</f>
        <v>2.8758375189427754E-2</v>
      </c>
      <c r="V60" s="193">
        <f>Model!$C$52*V5*V20/V32</f>
        <v>2.8890886847020535E-2</v>
      </c>
      <c r="X60" s="193">
        <f>Model!$C$52*X5*X20/X32</f>
        <v>2.9077557286267947E-2</v>
      </c>
      <c r="Z60" s="193">
        <f>Model!$C$52*Z5*Z20/Z32</f>
        <v>2.933221818334102E-2</v>
      </c>
      <c r="AB60" s="193">
        <f>Model!$C$52*AB5*AB20/AB32</f>
        <v>2.9668994368869959E-2</v>
      </c>
      <c r="AD60" s="193">
        <f>Model!$C$52*AD5*AD20/AD32</f>
        <v>3.0098770921551565E-2</v>
      </c>
      <c r="AF60" s="193">
        <f>Model!$C$52*AF5*AF20/AF32</f>
        <v>3.0624158731171879E-2</v>
      </c>
      <c r="AH60" s="193">
        <f>Model!$C$52*AH5*AH20/AH32</f>
        <v>3.12356057199903E-2</v>
      </c>
      <c r="AJ60" s="193">
        <f>Model!$C$52*AJ5*AJ20/AJ32</f>
        <v>3.1912869161191952E-2</v>
      </c>
      <c r="AL60" s="193">
        <f>Model!$C$52*AL5*AL20/AL32</f>
        <v>3.2663830997647685E-2</v>
      </c>
      <c r="AN60" s="193">
        <f>Model!$C$52*AN5*AN20/AN32</f>
        <v>3.3916651721437818E-2</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0.99578000413474854</v>
      </c>
      <c r="F62">
        <f>F13/F15</f>
        <v>0.99125017776710656</v>
      </c>
      <c r="H62">
        <f>H13/H15</f>
        <v>0.98638443085765048</v>
      </c>
      <c r="J62">
        <f>J13/J15</f>
        <v>0.98115643955840726</v>
      </c>
      <c r="L62">
        <f>L13/L15</f>
        <v>0.97554101772113244</v>
      </c>
      <c r="N62">
        <f>N13/N15</f>
        <v>0.969516331901635</v>
      </c>
      <c r="P62">
        <f>P13/P15</f>
        <v>0.96306753621934649</v>
      </c>
      <c r="R62">
        <f>R13/R15</f>
        <v>0.9561925599957829</v>
      </c>
      <c r="T62">
        <f>T13/T15</f>
        <v>0.94891126506845724</v>
      </c>
      <c r="V62">
        <f>V13/V15</f>
        <v>0.94128032946006013</v>
      </c>
      <c r="X62">
        <f>X13/X15</f>
        <v>0.93341721277736101</v>
      </c>
      <c r="Z62">
        <f>Z13/Z15</f>
        <v>0.92553927538597502</v>
      </c>
      <c r="AB62">
        <f>AB13/AB15</f>
        <v>0.91802623873275124</v>
      </c>
      <c r="AD62">
        <f>AD13/AD15</f>
        <v>0.91151806158268334</v>
      </c>
      <c r="AF62">
        <f>AF13/AF15</f>
        <v>0.90708327639107533</v>
      </c>
      <c r="AH62">
        <f>AH13/AH15</f>
        <v>0.90663428000191659</v>
      </c>
      <c r="AJ62">
        <f>AJ13/AJ15</f>
        <v>0.91438441846737317</v>
      </c>
      <c r="AL62">
        <f>AL13/AL15</f>
        <v>0.94255948627249353</v>
      </c>
      <c r="AN62">
        <f>AN13/AN15</f>
        <v>1.041703438212698</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0.99925812779727652</v>
      </c>
      <c r="E65" s="191"/>
      <c r="F65" s="191">
        <f t="array" ref="F65">SQRT((F9:G9*$B$22:$C$22+F10:G10*$B$23:$C$23+F11:G11*$B$24:$C$24+F4:G4*($B$25:$C$25-$B$19:$C$19))/($B$9:$C$9*$B$22:$C$22+$B$10:$C$10*$B$23:$C$23+$B$11:$C$11*$B$24:$C$24+$B$4:$C$4*($B$25:$C$25-$B$19:$C$19))*(F9:G9*F22:G22+F10:G10*F23:G23+F11:G11*F24:G24+F4:G4*(F25:G25-F19:G19))/($B$9:$C$9*F22:G22+$B$10:$C$10*F23:G23+$B$11:$C$11*F24:G24+$B$4:$C$4*(F25:G25-F19:G19)))</f>
        <v>0.99889274634787184</v>
      </c>
      <c r="G65" s="191"/>
      <c r="H65" s="191">
        <f t="array" ref="H65">SQRT((H9:I9*$B$22:$C$22+H10:I10*$B$23:$C$23+H11:I11*$B$24:$C$24+H4:I4*($B$25:$C$25-$B$19:$C$19))/($B$9:$C$9*$B$22:$C$22+$B$10:$C$10*$B$23:$C$23+$B$11:$C$11*$B$24:$C$24+$B$4:$C$4*($B$25:$C$25-$B$19:$C$19))*(H9:I9*H22:I22+H10:I10*H23:I23+H11:I11*H24:I24+H4:I4*(H25:I25-H19:I19))/($B$9:$C$9*H22:I22+$B$10:$C$10*H23:I23+$B$11:$C$11*H24:I24+$B$4:$C$4*(H25:I25-H19:I19)))</f>
        <v>0.99900072110547289</v>
      </c>
      <c r="I65" s="191"/>
      <c r="J65" s="191">
        <f t="array" ref="J65">SQRT((J9:K9*$B$22:$C$22+J10:K10*$B$23:$C$23+J11:K11*$B$24:$C$24+J4:K4*($B$25:$C$25-$B$19:$C$19))/($B$9:$C$9*$B$22:$C$22+$B$10:$C$10*$B$23:$C$23+$B$11:$C$11*$B$24:$C$24+$B$4:$C$4*($B$25:$C$25-$B$19:$C$19))*(J9:K9*J22:K22+J10:K10*J23:K23+J11:K11*J24:K24+J4:K4*(J25:K25-J19:K19))/($B$9:$C$9*J22:K22+$B$10:$C$10*J23:K23+$B$11:$C$11*J24:K24+$B$4:$C$4*(J25:K25-J19:K19)))</f>
        <v>0.99971174126882167</v>
      </c>
      <c r="K65" s="191"/>
      <c r="L65" s="191">
        <f t="array" ref="L65">SQRT((L9:M9*$B$22:$C$22+L10:M10*$B$23:$C$23+L11:M11*$B$24:$C$24+L4:M4*($B$25:$C$25-$B$19:$C$19))/($B$9:$C$9*$B$22:$C$22+$B$10:$C$10*$B$23:$C$23+$B$11:$C$11*$B$24:$C$24+$B$4:$C$4*($B$25:$C$25-$B$19:$C$19))*(L9:M9*L22:M22+L10:M10*L23:M23+L11:M11*L24:M24+L4:M4*(L25:M25-L19:M19))/($B$9:$C$9*L22:M22+$B$10:$C$10*L23:M23+$B$11:$C$11*L24:M24+$B$4:$C$4*(L25:M25-L19:M19)))</f>
        <v>1.0012018015504458</v>
      </c>
      <c r="M65" s="191"/>
      <c r="N65" s="191">
        <f t="array" ref="N65">SQRT((N9:O9*$B$22:$C$22+N10:O10*$B$23:$C$23+N11:O11*$B$24:$C$24+N4:O4*($B$25:$C$25-$B$19:$C$19))/($B$9:$C$9*$B$22:$C$22+$B$10:$C$10*$B$23:$C$23+$B$11:$C$11*$B$24:$C$24+$B$4:$C$4*($B$25:$C$25-$B$19:$C$19))*(N9:O9*N22:O22+N10:O10*N23:O23+N11:O11*N24:O24+N4:O4*(N25:O25-N19:O19))/($B$9:$C$9*N22:O22+$B$10:$C$10*N23:O23+$B$11:$C$11*N24:O24+$B$4:$C$4*(N25:O25-N19:O19)))</f>
        <v>1.0037129151248383</v>
      </c>
      <c r="O65" s="191"/>
      <c r="P65" s="191">
        <f t="array" ref="P65">SQRT((P9:Q9*$B$22:$C$22+P10:Q10*$B$23:$C$23+P11:Q11*$B$24:$C$24+P4:Q4*($B$25:$C$25-$B$19:$C$19))/($B$9:$C$9*$B$22:$C$22+$B$10:$C$10*$B$23:$C$23+$B$11:$C$11*$B$24:$C$24+$B$4:$C$4*($B$25:$C$25-$B$19:$C$19))*(P9:Q9*P22:Q22+P10:Q10*P23:Q23+P11:Q11*P24:Q24+P4:Q4*(P25:Q25-P19:Q19))/($B$9:$C$9*P22:Q22+$B$10:$C$10*P23:Q23+$B$11:$C$11*P24:Q24+$B$4:$C$4*(P25:Q25-P19:Q19)))</f>
        <v>1.0075828764323047</v>
      </c>
      <c r="Q65" s="191"/>
      <c r="R65" s="191">
        <f t="array" ref="R65">SQRT((R9:S9*$B$22:$C$22+R10:S10*$B$23:$C$23+R11:S11*$B$24:$C$24+R4:S4*($B$25:$C$25-$B$19:$C$19))/($B$9:$C$9*$B$22:$C$22+$B$10:$C$10*$B$23:$C$23+$B$11:$C$11*$B$24:$C$24+$B$4:$C$4*($B$25:$C$25-$B$19:$C$19))*(R9:S9*R22:S22+R10:S10*R23:S23+R11:S11*R24:S24+R4:S4*(R25:S25-R19:S19))/($B$9:$C$9*R22:S22+$B$10:$C$10*R23:S23+$B$11:$C$11*R24:S24+$B$4:$C$4*(R25:S25-R19:S19)))</f>
        <v>1.0132905332661795</v>
      </c>
      <c r="S65" s="191"/>
      <c r="T65" s="191">
        <f t="array" ref="T65">SQRT((T9:U9*$B$22:$C$22+T10:U10*$B$23:$C$23+T11:U11*$B$24:$C$24+T4:U4*($B$25:$C$25-$B$19:$C$19))/($B$9:$C$9*$B$22:$C$22+$B$10:$C$10*$B$23:$C$23+$B$11:$C$11*$B$24:$C$24+$B$4:$C$4*($B$25:$C$25-$B$19:$C$19))*(T9:U9*T22:U22+T10:U10*T23:U23+T11:U11*T24:U24+T4:U4*(T25:U25-T19:U19))/($B$9:$C$9*T22:U22+$B$10:$C$10*T23:U23+$B$11:$C$11*T24:U24+$B$4:$C$4*(T25:U25-T19:U19)))</f>
        <v>1.021525363956679</v>
      </c>
      <c r="U65" s="191"/>
      <c r="V65" s="191">
        <f t="array" ref="V65">SQRT((V9:W9*$B$22:$C$22+V10:W10*$B$23:$C$23+V11:W11*$B$24:$C$24+V4:W4*($B$25:$C$25-$B$19:$C$19))/($B$9:$C$9*$B$22:$C$22+$B$10:$C$10*$B$23:$C$23+$B$11:$C$11*$B$24:$C$24+$B$4:$C$4*($B$25:$C$25-$B$19:$C$19))*(V9:W9*V22:W22+V10:W10*V23:W23+V11:W11*V24:W24+V4:W4*(V25:W25-V19:W19))/($B$9:$C$9*V22:W22+$B$10:$C$10*V23:W23+$B$11:$C$11*V24:W24+$B$4:$C$4*(V25:W25-V19:W19)))</f>
        <v>1.0332974359308607</v>
      </c>
      <c r="W65" s="191"/>
      <c r="X65" s="191">
        <f t="array" ref="X65">SQRT((X9:Y9*$B$22:$C$22+X10:Y10*$B$23:$C$23+X11:Y11*$B$24:$C$24+X4:Y4*($B$25:$C$25-$B$19:$C$19))/($B$9:$C$9*$B$22:$C$22+$B$10:$C$10*$B$23:$C$23+$B$11:$C$11*$B$24:$C$24+$B$4:$C$4*($B$25:$C$25-$B$19:$C$19))*(X9:Y9*X22:Y22+X10:Y10*X23:Y23+X11:Y11*X24:Y24+X4:Y4*(X25:Y25-X19:Y19))/($B$9:$C$9*X22:Y22+$B$10:$C$10*X23:Y23+$B$11:$C$11*X24:Y24+$B$4:$C$4*(X25:Y25-X19:Y19)))</f>
        <v>1.0501117295802296</v>
      </c>
      <c r="Y65" s="191"/>
      <c r="Z65" s="191">
        <f t="array" ref="Z65">SQRT((Z9:AA9*$B$22:$C$22+Z10:AA10*$B$23:$C$23+Z11:AA11*$B$24:$C$24+Z4:AA4*($B$25:$C$25-$B$19:$C$19))/($B$9:$C$9*$B$22:$C$22+$B$10:$C$10*$B$23:$C$23+$B$11:$C$11*$B$24:$C$24+$B$4:$C$4*($B$25:$C$25-$B$19:$C$19))*(Z9:AA9*Z22:AA22+Z10:AA10*Z23:AA23+Z11:AA11*Z24:AA24+Z4:AA4*(Z25:AA25-Z19:AA19))/($B$9:$C$9*Z22:AA22+$B$10:$C$10*Z23:AA23+$B$11:$C$11*Z24:AA24+$B$4:$C$4*(Z25:AA25-Z19:AA19)))</f>
        <v>1.0742511297600263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1.1092517155324275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1.1607819392100704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1.2386252346923556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1.3623865616091997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1.5816642659385602</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2.0693300558162457</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4.4618201299484159</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0.9991844528592887</v>
      </c>
      <c r="E66" s="191"/>
      <c r="F66" s="191">
        <f t="array" ref="F66">SQRT((F9:G9*$B$22:$C$22)/($B$9:$C$9*$B$22:$C$22)*(F9:G9*F22:G22)/($B$9:$C$9*F22:G22))</f>
        <v>0.99878267327008108</v>
      </c>
      <c r="G66" s="191"/>
      <c r="H66" s="191">
        <f t="array" ref="H66">SQRT((H9:I9*$B$22:$C$22)/($B$9:$C$9*$B$22:$C$22)*(H9:I9*H22:I22)/($B$9:$C$9*H22:I22))</f>
        <v>0.99890151091990265</v>
      </c>
      <c r="I66" s="191"/>
      <c r="J66" s="191">
        <f t="array" ref="J66">SQRT((J9:K9*$B$22:$C$22)/($B$9:$C$9*$B$22:$C$22)*(J9:K9*J22:K22)/($B$9:$C$9*J22:K22))</f>
        <v>0.99968324383609541</v>
      </c>
      <c r="K66" s="191"/>
      <c r="L66" s="191">
        <f t="array" ref="L66">SQRT((L9:M9*$B$22:$C$22)/($B$9:$C$9*$B$22:$C$22)*(L9:M9*L22:M22)/($B$9:$C$9*L22:M22))</f>
        <v>1.001319657223503</v>
      </c>
      <c r="M66" s="191"/>
      <c r="N66" s="191">
        <f t="array" ref="N66">SQRT((N9:O9*$B$22:$C$22)/($B$9:$C$9*$B$22:$C$22)*(N9:O9*N22:O22)/($B$9:$C$9*N22:O22))</f>
        <v>1.0040722829036384</v>
      </c>
      <c r="O66" s="191"/>
      <c r="P66" s="191">
        <f t="array" ref="P66">SQRT((P9:Q9*$B$22:$C$22)/($B$9:$C$9*$B$22:$C$22)*(P9:Q9*P22:Q22)/($B$9:$C$9*P22:Q22))</f>
        <v>1.0083023576519967</v>
      </c>
      <c r="Q66" s="191"/>
      <c r="R66" s="191">
        <f t="array" ref="R66">SQRT((R9:S9*$B$22:$C$22)/($B$9:$C$9*$B$22:$C$22)*(R9:S9*R22:S22)/($B$9:$C$9*R22:S22))</f>
        <v>1.0145152428794186</v>
      </c>
      <c r="S66" s="191"/>
      <c r="T66" s="191">
        <f t="array" ref="T66">SQRT((T9:U9*$B$22:$C$22)/($B$9:$C$9*$B$22:$C$22)*(T9:U9*T22:U22)/($B$9:$C$9*T22:U22))</f>
        <v>1.0234264776172113</v>
      </c>
      <c r="U66" s="191"/>
      <c r="V66" s="191">
        <f t="array" ref="V66">SQRT((V9:W9*$B$22:$C$22)/($B$9:$C$9*$B$22:$C$22)*(V9:W9*V22:W22)/($B$9:$C$9*V22:W22))</f>
        <v>1.0360620961042202</v>
      </c>
      <c r="W66" s="191"/>
      <c r="X66" s="191">
        <f t="array" ref="X66">SQRT((X9:Y9*$B$22:$C$22)/($B$9:$C$9*$B$22:$C$22)*(X9:Y9*X22:Y22)/($B$9:$C$9*X22:Y22))</f>
        <v>1.0539093628937357</v>
      </c>
      <c r="Y66" s="191"/>
      <c r="Z66" s="191">
        <f t="array" ref="Z66">SQRT((Z9:AA9*$B$22:$C$22)/($B$9:$C$9*$B$22:$C$22)*(Z9:AA9*Z22:AA22)/($B$9:$C$9*Z22:AA22))</f>
        <v>1.0791455524871747</v>
      </c>
      <c r="AA66" s="191"/>
      <c r="AB66" s="191">
        <f t="array" ref="AB66">SQRT((AB9:AC9*$B$22:$C$22)/($B$9:$C$9*$B$22:$C$22)*(AB9:AC9*AB22:AC22)/($B$9:$C$9*AB22:AC22))</f>
        <v>1.1149917013456487</v>
      </c>
      <c r="AC66" s="191"/>
      <c r="AD66" s="191">
        <f t="array" ref="AD66">SQRT((AD9:AE9*$B$22:$C$22)/($B$9:$C$9*$B$22:$C$22)*(AD9:AE9*AD22:AE22)/($B$9:$C$9*AD22:AE22))</f>
        <v>1.1663165765017691</v>
      </c>
      <c r="AE66" s="191"/>
      <c r="AF66" s="191">
        <f t="array" ref="AF66">SQRT((AF9:AG9*$B$22:$C$22)/($B$9:$C$9*$B$22:$C$22)*(AF9:AG9*AF22:AG22)/($B$9:$C$9*AF22:AG22))</f>
        <v>1.2409373985951289</v>
      </c>
      <c r="AG66" s="191"/>
      <c r="AH66" s="191">
        <f t="array" ref="AH66">SQRT((AH9:AI9*$B$22:$C$22)/($B$9:$C$9*$B$22:$C$22)*(AH9:AI9*AH22:AI22)/($B$9:$C$9*AH22:AI22))</f>
        <v>1.3532164750813853</v>
      </c>
      <c r="AI66" s="191"/>
      <c r="AJ66" s="191">
        <f t="array" ref="AJ66">SQRT((AJ9:AK9*$B$22:$C$22)/($B$9:$C$9*$B$22:$C$22)*(AJ9:AK9*AJ22:AK22)/($B$9:$C$9*AJ22:AK22))</f>
        <v>1.53518636959424</v>
      </c>
      <c r="AK66" s="191"/>
      <c r="AL66" s="191">
        <f t="array" ref="AL66">SQRT((AL9:AM9*$B$22:$C$22)/($B$9:$C$9*$B$22:$C$22)*(AL9:AM9*AL22:AM22)/($B$9:$C$9*AL22:AM22))</f>
        <v>1.8711787223076273</v>
      </c>
      <c r="AM66" s="191"/>
      <c r="AN66" s="191">
        <f t="array" ref="AN66">SQRT((AN9:AO9*$B$22:$C$22)/($B$9:$C$9*$B$22:$C$22)*(AN9:AO9*AN22:AO22)/($B$9:$C$9*AN22:AO22))</f>
        <v>2.6425021696097031</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0.9991844528592887</v>
      </c>
      <c r="E68" s="191"/>
      <c r="F68" s="191">
        <f>F66/F67</f>
        <v>0.99878267327008108</v>
      </c>
      <c r="G68" s="191"/>
      <c r="H68" s="191">
        <f>H66/H67</f>
        <v>0.99890151091990265</v>
      </c>
      <c r="I68" s="191"/>
      <c r="J68" s="191">
        <f>J66/J67</f>
        <v>0.99968324383609541</v>
      </c>
      <c r="K68" s="191"/>
      <c r="L68" s="191">
        <f>L66/L67</f>
        <v>1.001319657223503</v>
      </c>
      <c r="M68" s="191"/>
      <c r="N68" s="191">
        <f>N66/N67</f>
        <v>1.0040722829036384</v>
      </c>
      <c r="O68" s="191"/>
      <c r="P68" s="191">
        <f>P66/P67</f>
        <v>1.0083023576519967</v>
      </c>
      <c r="Q68" s="191"/>
      <c r="R68" s="191">
        <f>R66/R67</f>
        <v>1.0145152428794186</v>
      </c>
      <c r="S68" s="191"/>
      <c r="T68" s="191">
        <f>T66/T67</f>
        <v>1.0234264776172113</v>
      </c>
      <c r="U68" s="191"/>
      <c r="V68" s="191">
        <f>V66/V67</f>
        <v>1.0360620961042202</v>
      </c>
      <c r="W68" s="191"/>
      <c r="X68" s="191">
        <f>X66/X67</f>
        <v>1.0539093628937357</v>
      </c>
      <c r="Y68" s="191"/>
      <c r="Z68" s="191">
        <f>Z66/Z67</f>
        <v>1.0791455524871747</v>
      </c>
      <c r="AA68" s="191"/>
      <c r="AB68" s="191">
        <f>AB66/AB67</f>
        <v>1.1149917013456487</v>
      </c>
      <c r="AC68" s="191"/>
      <c r="AD68" s="191">
        <f>AD66/AD67</f>
        <v>1.1663165765017691</v>
      </c>
      <c r="AE68" s="191"/>
      <c r="AF68" s="191">
        <f>AF66/AF67</f>
        <v>1.2409373985951289</v>
      </c>
      <c r="AG68" s="191"/>
      <c r="AH68" s="191">
        <f>AH66/AH67</f>
        <v>1.3532164750813853</v>
      </c>
      <c r="AI68" s="191"/>
      <c r="AJ68" s="191">
        <f>AJ66/AJ67</f>
        <v>1.53518636959424</v>
      </c>
      <c r="AK68" s="191"/>
      <c r="AL68" s="191">
        <f>AL66/AL67</f>
        <v>1.8711787223076273</v>
      </c>
      <c r="AM68" s="191"/>
      <c r="AN68" s="191">
        <f>AN66/AN67</f>
        <v>2.6425021696097031</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0.99127398717159476</v>
      </c>
      <c r="E69" s="191"/>
      <c r="F69" s="191">
        <f>F32/F65/($B$32)</f>
        <v>0.98111449165933939</v>
      </c>
      <c r="G69" s="191"/>
      <c r="H69" s="191">
        <f>H32/H65/($B$32)</f>
        <v>0.96925337067788253</v>
      </c>
      <c r="I69" s="191"/>
      <c r="J69" s="191">
        <f>J32/J65/($B$32)</f>
        <v>0.95536618329592427</v>
      </c>
      <c r="K69" s="191"/>
      <c r="L69" s="191">
        <f>L32/L65/($B$32)</f>
        <v>0.93906254205080231</v>
      </c>
      <c r="M69" s="191"/>
      <c r="N69" s="191">
        <f>N32/N65/($B$32)</f>
        <v>0.91987829059222503</v>
      </c>
      <c r="O69" s="191"/>
      <c r="P69" s="191">
        <f>P32/P65/($B$32)</f>
        <v>0.89727236405315303</v>
      </c>
      <c r="Q69" s="191"/>
      <c r="R69" s="191">
        <f>R32/R65/($B$32)</f>
        <v>0.87063507928524286</v>
      </c>
      <c r="S69" s="191"/>
      <c r="T69" s="191">
        <f>T32/T65/($B$32)</f>
        <v>0.83931809717831485</v>
      </c>
      <c r="U69" s="191"/>
      <c r="V69" s="191">
        <f>V32/V65/($B$32)</f>
        <v>0.80270054578421457</v>
      </c>
      <c r="W69" s="191"/>
      <c r="X69" s="191">
        <f>X32/X65/($B$32)</f>
        <v>0.76030846476935565</v>
      </c>
      <c r="Y69" s="191"/>
      <c r="Z69" s="191">
        <f>Z32/Z65/($B$32)</f>
        <v>0.71199517969638071</v>
      </c>
      <c r="AA69" s="191"/>
      <c r="AB69" s="191">
        <f>AB32/AB65/($B$32)</f>
        <v>0.65815085536453122</v>
      </c>
      <c r="AC69" s="191"/>
      <c r="AD69" s="191">
        <f>AD32/AD65/($B$32)</f>
        <v>0.59981451142247866</v>
      </c>
      <c r="AE69" s="191"/>
      <c r="AF69" s="191">
        <f>AF32/AF65/($B$32)</f>
        <v>0.5384203955525374</v>
      </c>
      <c r="AG69" s="191"/>
      <c r="AH69" s="191">
        <f>AH32/AH65/($B$32)</f>
        <v>0.47483084907458861</v>
      </c>
      <c r="AI69" s="191"/>
      <c r="AJ69" s="191">
        <f>AJ32/AJ65/($B$32)</f>
        <v>0.40717871144461654</v>
      </c>
      <c r="AK69" s="191"/>
      <c r="AL69" s="191">
        <f>AL32/AL65/($B$32)</f>
        <v>0.32484104501653482</v>
      </c>
      <c r="AM69" s="191"/>
      <c r="AN69" s="191">
        <f>AN32/AN65/($B$32)</f>
        <v>0.16836538884806104</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0.99042704594991937</v>
      </c>
      <c r="E70" s="138"/>
      <c r="F70" s="138">
        <f>F18/$B$18</f>
        <v>0.97943736739516163</v>
      </c>
      <c r="G70" s="138"/>
      <c r="H70" s="138">
        <f>H18/$B$18</f>
        <v>0.96676620492263987</v>
      </c>
      <c r="I70" s="138"/>
      <c r="J70" s="138">
        <f>J18/$B$18</f>
        <v>0.95209336138366873</v>
      </c>
      <c r="K70" s="138"/>
      <c r="L70" s="138">
        <f>L18/$B$18</f>
        <v>0.93503376558125251</v>
      </c>
      <c r="M70" s="138"/>
      <c r="N70" s="138">
        <f>N18/$B$18</f>
        <v>0.91512990270211425</v>
      </c>
      <c r="O70" s="138"/>
      <c r="P70" s="138">
        <f>P18/$B$18</f>
        <v>0.89184905209251819</v>
      </c>
      <c r="Q70" s="138"/>
      <c r="R70" s="138">
        <f>R18/$B$18</f>
        <v>0.86459212691173193</v>
      </c>
      <c r="S70" s="138"/>
      <c r="T70" s="138">
        <f>T18/$B$18</f>
        <v>0.83272436286897611</v>
      </c>
      <c r="U70" s="138"/>
      <c r="V70" s="138">
        <f>V18/$B$18</f>
        <v>0.79564261730407326</v>
      </c>
      <c r="W70" s="138"/>
      <c r="X70" s="138">
        <f>X18/$B$18</f>
        <v>0.75289629985998563</v>
      </c>
      <c r="Y70" s="138"/>
      <c r="Z70" s="138">
        <f>Z18/$B$18</f>
        <v>0.70436968965283397</v>
      </c>
      <c r="AA70" s="138"/>
      <c r="AB70" s="138">
        <f>AB18/$B$18</f>
        <v>0.65049412216177993</v>
      </c>
      <c r="AC70" s="138"/>
      <c r="AD70" s="138">
        <f>AD18/$B$18</f>
        <v>0.59236629312212641</v>
      </c>
      <c r="AE70" s="138"/>
      <c r="AF70" s="138">
        <f>AF18/$B$18</f>
        <v>0.53152127219492573</v>
      </c>
      <c r="AG70" s="138"/>
      <c r="AH70" s="138">
        <f>AH18/$B$18</f>
        <v>0.46909284044155347</v>
      </c>
      <c r="AI70" s="138"/>
      <c r="AJ70" s="138">
        <f>AJ18/$B$18</f>
        <v>0.40430769366721869</v>
      </c>
      <c r="AK70" s="138"/>
      <c r="AL70" s="138">
        <f>AL18/$B$18</f>
        <v>0.3322627334807603</v>
      </c>
      <c r="AM70" s="138"/>
      <c r="AN70" s="138">
        <f>AN18/$B$18</f>
        <v>0.23780056141276154</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0.93351668729302106</v>
      </c>
      <c r="E71" s="138"/>
      <c r="F71" s="138">
        <f>G18/$C$18</f>
        <v>0.86736516054877999</v>
      </c>
      <c r="G71" s="138"/>
      <c r="H71" s="138">
        <f>I18/$C$18</f>
        <v>0.80162742331422465</v>
      </c>
      <c r="I71" s="138"/>
      <c r="J71" s="138">
        <f>K18/$C$18</f>
        <v>0.73640279602888203</v>
      </c>
      <c r="K71" s="138"/>
      <c r="L71" s="138">
        <f>M18/$C$18</f>
        <v>0.67181092992385805</v>
      </c>
      <c r="M71" s="138"/>
      <c r="N71" s="138">
        <f>O18/$C$18</f>
        <v>0.60799440581241504</v>
      </c>
      <c r="O71" s="138"/>
      <c r="P71" s="138">
        <f>Q18/$C$18</f>
        <v>0.5451189101086138</v>
      </c>
      <c r="Q71" s="138"/>
      <c r="R71" s="138">
        <f>S18/$C$18</f>
        <v>0.48336927355894727</v>
      </c>
      <c r="S71" s="138"/>
      <c r="T71" s="138">
        <f>U18/$C$18</f>
        <v>0.42294038017927676</v>
      </c>
      <c r="U71" s="138"/>
      <c r="V71" s="138">
        <f>W18/$C$18</f>
        <v>0.36401602452138981</v>
      </c>
      <c r="W71" s="138"/>
      <c r="X71" s="138">
        <f>Y18/$C$18</f>
        <v>0.30674321180418557</v>
      </c>
      <c r="Y71" s="138"/>
      <c r="Z71" s="138">
        <f>AA18/$C$18</f>
        <v>0.25120887451713803</v>
      </c>
      <c r="AA71" s="138"/>
      <c r="AB71" s="138">
        <f>AC18/$C$18</f>
        <v>0.1974659319415287</v>
      </c>
      <c r="AC71" s="138"/>
      <c r="AD71" s="138">
        <f>AE18/$C$18</f>
        <v>0.14570535874898968</v>
      </c>
      <c r="AE71" s="138"/>
      <c r="AF71" s="138">
        <f>AG18/$C$18</f>
        <v>9.6742159197564959E-2</v>
      </c>
      <c r="AG71" s="138"/>
      <c r="AH71" s="138">
        <f>AI18/$C$18</f>
        <v>5.298293110241694E-2</v>
      </c>
      <c r="AI71" s="138"/>
      <c r="AJ71" s="138">
        <f>AK18/$C$18</f>
        <v>1.9642420924064378E-2</v>
      </c>
      <c r="AK71" s="138"/>
      <c r="AL71" s="138">
        <f>AM18/$C$18</f>
        <v>3.0764038756739111E-3</v>
      </c>
      <c r="AM71" s="138"/>
      <c r="AN71" s="138">
        <f>AO18/$C$18</f>
        <v>6.3658006630120829E-5</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1.011192332598035</v>
      </c>
      <c r="E72" s="138"/>
      <c r="F72" s="138">
        <f>G19/$C$19</f>
        <v>1.0236355518789393</v>
      </c>
      <c r="G72" s="138"/>
      <c r="H72" s="138">
        <f>I19/$C$19</f>
        <v>1.0372261448744646</v>
      </c>
      <c r="I72" s="138"/>
      <c r="J72" s="138">
        <f>K19/$C$19</f>
        <v>1.0517855028184993</v>
      </c>
      <c r="K72" s="138"/>
      <c r="L72" s="138">
        <f>M19/$C$19</f>
        <v>1.0670369089202354</v>
      </c>
      <c r="M72" s="138"/>
      <c r="N72" s="138">
        <f>O19/$C$19</f>
        <v>1.082583284471726</v>
      </c>
      <c r="O72" s="138"/>
      <c r="P72" s="138">
        <f>Q19/$C$19</f>
        <v>1.0978912943400834</v>
      </c>
      <c r="Q72" s="138"/>
      <c r="R72" s="138">
        <f>S19/$C$19</f>
        <v>1.1122967715057035</v>
      </c>
      <c r="S72" s="138"/>
      <c r="T72" s="138">
        <f>U19/$C$19</f>
        <v>1.1250543249399751</v>
      </c>
      <c r="U72" s="138"/>
      <c r="V72" s="138">
        <f>W19/$C$19</f>
        <v>1.1354621492033268</v>
      </c>
      <c r="W72" s="138"/>
      <c r="X72" s="138">
        <f>Y19/$C$19</f>
        <v>1.1430914869906388</v>
      </c>
      <c r="Y72" s="138"/>
      <c r="Z72" s="138">
        <f>AA19/$C$19</f>
        <v>1.1480975499556518</v>
      </c>
      <c r="AA72" s="138"/>
      <c r="AB72" s="138">
        <f>AC19/$C$19</f>
        <v>1.1514180149539477</v>
      </c>
      <c r="AC72" s="138"/>
      <c r="AD72" s="138">
        <f>AE19/$C$19</f>
        <v>1.1542290456688153</v>
      </c>
      <c r="AE72" s="138"/>
      <c r="AF72" s="138">
        <f>AG19/$C$19</f>
        <v>1.1551559588294411</v>
      </c>
      <c r="AG72" s="138"/>
      <c r="AH72" s="138">
        <f>AI19/$C$19</f>
        <v>1.1421316817436551</v>
      </c>
      <c r="AI72" s="138"/>
      <c r="AJ72" s="138">
        <f>AK19/$C$19</f>
        <v>1.0736265687629281</v>
      </c>
      <c r="AK72" s="138"/>
      <c r="AL72" s="138">
        <f>AM19/$C$19</f>
        <v>0.86125480239218311</v>
      </c>
      <c r="AM72" s="138"/>
      <c r="AN72" s="138">
        <f>AO19/$C$19</f>
        <v>0.46546096123815356</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0.47484238398746892</v>
      </c>
      <c r="E73" s="138"/>
      <c r="F73" s="193">
        <f t="array" ref="F73">SUM(F9:G9*F22:G22)/F32</f>
        <v>0.47326650006682136</v>
      </c>
      <c r="G73" s="138"/>
      <c r="H73" s="193">
        <f t="array" ref="H73">SUM(H9:I9*H22:I22)/H32</f>
        <v>0.47168567776194126</v>
      </c>
      <c r="I73" s="138"/>
      <c r="J73" s="193">
        <f t="array" ref="J73">SUM(J9:K9*J22:K22)/J32</f>
        <v>0.47010255117754829</v>
      </c>
      <c r="K73" s="138"/>
      <c r="L73" s="193">
        <f t="array" ref="L73">SUM(L9:M9*L22:M22)/L32</f>
        <v>0.46852079548872094</v>
      </c>
      <c r="M73" s="138"/>
      <c r="N73" s="193">
        <f t="array" ref="N73">SUM(N9:O9*N22:O22)/N32</f>
        <v>0.46694522181628512</v>
      </c>
      <c r="O73" s="138"/>
      <c r="P73" s="193">
        <f t="array" ref="P73">SUM(P9:Q9*P22:Q22)/P32</f>
        <v>0.46538174730451004</v>
      </c>
      <c r="Q73" s="138"/>
      <c r="R73" s="193">
        <f t="array" ref="R73">SUM(R9:S9*R22:S22)/R32</f>
        <v>0.46383697020205472</v>
      </c>
      <c r="S73" s="138"/>
      <c r="T73" s="193">
        <f t="array" ref="T73">SUM(T9:U9*T22:U22)/T32</f>
        <v>0.46231651514201605</v>
      </c>
      <c r="U73" s="138"/>
      <c r="V73" s="193">
        <f t="array" ref="V73">SUM(V9:W9*V22:W22)/V32</f>
        <v>0.46082177135542263</v>
      </c>
      <c r="W73" s="138"/>
      <c r="X73" s="193">
        <f t="array" ref="X73">SUM(X9:Y9*X22:Y22)/X32</f>
        <v>0.45934216825483087</v>
      </c>
      <c r="Y73" s="138"/>
      <c r="Z73" s="193">
        <f t="array" ref="Z73">SUM(Z9:AA9*Z22:AA22)/Z32</f>
        <v>0.45784022476701869</v>
      </c>
      <c r="AA73" s="138"/>
      <c r="AB73" s="193">
        <f t="array" ref="AB73">SUM(AB9:AC9*AB22:AC22)/AB32</f>
        <v>0.45622353545270278</v>
      </c>
      <c r="AC73" s="138"/>
      <c r="AD73" s="193">
        <f t="array" ref="AD73">SUM(AD9:AE9*AD22:AE22)/AD32</f>
        <v>0.45429600064602144</v>
      </c>
      <c r="AE73" s="138"/>
      <c r="AF73" s="193">
        <f t="array" ref="AF73">SUM(AF9:AG9*AF22:AG22)/AF32</f>
        <v>0.45167457429989133</v>
      </c>
      <c r="AG73" s="138"/>
      <c r="AH73" s="193">
        <f t="array" ref="AH73">SUM(AH9:AI9*AH22:AI22)/AH32</f>
        <v>0.44762472016933269</v>
      </c>
      <c r="AI73" s="138"/>
      <c r="AJ73" s="193">
        <f t="array" ref="AJ73">SUM(AJ9:AK9*AJ22:AK22)/AJ32</f>
        <v>0.44065367184080095</v>
      </c>
      <c r="AK73" s="138"/>
      <c r="AL73" s="193">
        <f t="array" ref="AL73">SUM(AL9:AM9*AL22:AM22)/AL32</f>
        <v>0.42764729589509065</v>
      </c>
      <c r="AM73" s="138"/>
      <c r="AN73" s="193">
        <f t="array" ref="AN73">SUM(AN9:AO9*AN22:AO22)/AN32</f>
        <v>0.40187493142188696</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0.22604620456442487</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0.22604620456442487</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0.22604620456442487</v>
      </c>
      <c r="AM74" s="138"/>
      <c r="AN74" s="193">
        <f t="array" ref="AN74">SUM(AN10:AO10*AN23:AO23)/AN32</f>
        <v>0.22604620456442484</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0.2223080019480749</v>
      </c>
      <c r="E75" s="138"/>
      <c r="F75" s="193">
        <f t="array" ref="F75">SUM(F11:G11*F24:G24)/F32</f>
        <v>0.22460182264902312</v>
      </c>
      <c r="G75" s="138"/>
      <c r="H75" s="193">
        <f t="array" ref="H75">SUM(H11:I11*H24:I24)/H32</f>
        <v>0.22735283544208348</v>
      </c>
      <c r="I75" s="138"/>
      <c r="J75" s="193">
        <f t="array" ref="J75">SUM(J11:K11*J24:K24)/J32</f>
        <v>0.23067396563219081</v>
      </c>
      <c r="K75" s="138"/>
      <c r="L75" s="193">
        <f t="array" ref="L75">SUM(L11:M11*L24:M24)/L32</f>
        <v>0.23471315363450104</v>
      </c>
      <c r="M75" s="138"/>
      <c r="N75" s="193">
        <f t="array" ref="N75">SUM(N11:O11*N24:O24)/N32</f>
        <v>0.23966572171907305</v>
      </c>
      <c r="O75" s="138"/>
      <c r="P75" s="193">
        <f t="array" ref="P75">SUM(P11:Q11*P24:Q24)/P32</f>
        <v>0.24579131853972802</v>
      </c>
      <c r="Q75" s="138"/>
      <c r="R75" s="193">
        <f t="array" ref="R75">SUM(R11:S11*R24:S24)/R32</f>
        <v>0.25343655488392297</v>
      </c>
      <c r="S75" s="138"/>
      <c r="T75" s="193">
        <f t="array" ref="T75">SUM(T11:U11*T24:U24)/T32</f>
        <v>0.26306419017726662</v>
      </c>
      <c r="U75" s="138"/>
      <c r="V75" s="193">
        <f t="array" ref="V75">SUM(V11:W11*V24:W24)/V32</f>
        <v>0.2752882671729438</v>
      </c>
      <c r="W75" s="138"/>
      <c r="X75" s="193">
        <f t="array" ref="X75">SUM(X11:Y11*X24:Y24)/X32</f>
        <v>0.29091006956400584</v>
      </c>
      <c r="Y75" s="138"/>
      <c r="Z75" s="193">
        <f t="array" ref="Z75">SUM(Z11:AA11*Z24:AA24)/Z32</f>
        <v>0.3109409916354906</v>
      </c>
      <c r="AA75" s="138"/>
      <c r="AB75" s="193">
        <f t="array" ref="AB75">SUM(AB11:AC11*AB24:AC24)/AB32</f>
        <v>0.33658666229908835</v>
      </c>
      <c r="AC75" s="138"/>
      <c r="AD75" s="193">
        <f t="array" ref="AD75">SUM(AD11:AE11*AD24:AE24)/AD32</f>
        <v>0.36917277322503944</v>
      </c>
      <c r="AE75" s="138"/>
      <c r="AF75" s="193">
        <f t="array" ref="AF75">SUM(AF11:AG11*AF24:AG24)/AF32</f>
        <v>0.41008064634877794</v>
      </c>
      <c r="AG75" s="138"/>
      <c r="AH75" s="193">
        <f t="array" ref="AH75">SUM(AH11:AI11*AH24:AI24)/AH32</f>
        <v>0.46100838576511088</v>
      </c>
      <c r="AI75" s="138"/>
      <c r="AJ75" s="193">
        <f t="array" ref="AJ75">SUM(AJ11:AK11*AJ24:AK24)/AJ32</f>
        <v>0.52534253550740861</v>
      </c>
      <c r="AK75" s="138"/>
      <c r="AL75" s="193">
        <f t="array" ref="AL75">SUM(AL11:AM11*AL24:AM24)/AL32</f>
        <v>0.61347297012189328</v>
      </c>
      <c r="AM75" s="138"/>
      <c r="AN75" s="193">
        <f t="array" ref="AN75">SUM(AN11:AO11*AN24:AO24)/AN32</f>
        <v>0.7752313068493154</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0.22277130901752676</v>
      </c>
      <c r="E76" s="138"/>
      <c r="F76" s="193">
        <f t="array" ref="F76">SUM(F12:G12*F25:G25)/F32</f>
        <v>0.22228921653383901</v>
      </c>
      <c r="G76" s="138"/>
      <c r="H76" s="193">
        <f t="array" ref="H76">SUM(H12:I12*H25:I25)/H32</f>
        <v>0.22150843060820571</v>
      </c>
      <c r="I76" s="138"/>
      <c r="J76" s="193">
        <f t="array" ref="J76">SUM(J12:K12*J25:K25)/J32</f>
        <v>0.22034498211582426</v>
      </c>
      <c r="K76" s="138"/>
      <c r="L76" s="193">
        <f t="array" ref="L76">SUM(L12:M12*L25:M25)/L32</f>
        <v>0.21868818658013203</v>
      </c>
      <c r="M76" s="138"/>
      <c r="N76" s="193">
        <f t="array" ref="N76">SUM(N12:O12*N25:O25)/N32</f>
        <v>0.21639177474000185</v>
      </c>
      <c r="O76" s="138"/>
      <c r="P76" s="193">
        <f t="array" ref="P76">SUM(P12:Q12*P25:Q25)/P32</f>
        <v>0.21326230252371606</v>
      </c>
      <c r="Q76" s="138"/>
      <c r="R76" s="193">
        <f t="array" ref="R76">SUM(R12:S12*R25:S25)/R32</f>
        <v>0.209044876349335</v>
      </c>
      <c r="S76" s="138"/>
      <c r="T76" s="193">
        <f t="array" ref="T76">SUM(T12:U12*T25:U25)/T32</f>
        <v>0.20340742152097324</v>
      </c>
      <c r="U76" s="138"/>
      <c r="V76" s="193">
        <f t="array" ref="V76">SUM(V12:W12*V25:W25)/V32</f>
        <v>0.19592647300367988</v>
      </c>
      <c r="W76" s="138"/>
      <c r="X76" s="193">
        <f t="array" ref="X76">SUM(X12:Y12*X25:Y25)/X32</f>
        <v>0.18608437148127047</v>
      </c>
      <c r="Y76" s="138"/>
      <c r="Z76" s="193">
        <f t="array" ref="Z76">SUM(Z12:AA12*Z25:AA25)/Z32</f>
        <v>0.1732961683099084</v>
      </c>
      <c r="AA76" s="138"/>
      <c r="AB76" s="193">
        <f t="array" ref="AB76">SUM(AB12:AC12*AB25:AC25)/AB32</f>
        <v>0.15699683150130045</v>
      </c>
      <c r="AC76" s="138"/>
      <c r="AD76" s="193">
        <f t="array" ref="AD76">SUM(AD12:AE12*AD25:AE25)/AD32</f>
        <v>0.13681422805777974</v>
      </c>
      <c r="AE76" s="138"/>
      <c r="AF76" s="193">
        <f t="array" ref="AF76">SUM(AF12:AG12*AF25:AG25)/AF32</f>
        <v>0.11279501436586645</v>
      </c>
      <c r="AG76" s="138"/>
      <c r="AH76" s="193">
        <f t="array" ref="AH76">SUM(AH12:AI12*AH25:AI25)/AH32</f>
        <v>8.5562662057827643E-2</v>
      </c>
      <c r="AI76" s="138"/>
      <c r="AJ76" s="193">
        <f t="array" ref="AJ76">SUM(AJ12:AK12*AJ25:AK25)/AJ32</f>
        <v>5.6468529054516499E-2</v>
      </c>
      <c r="AK76" s="138"/>
      <c r="AL76" s="193">
        <f t="array" ref="AL76">SUM(AL12:AM12*AL25:AM25)/AL32</f>
        <v>2.8620410160246641E-2</v>
      </c>
      <c r="AM76" s="138"/>
      <c r="AN76" s="193">
        <f t="array" ref="AN76">SUM(AN12:AO12*AN25:AO25)/AN32</f>
        <v>8.1257209805142821E-3</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0.14596789951749534</v>
      </c>
      <c r="E77" s="138"/>
      <c r="F77" s="193">
        <f t="array" ref="F77">SUM(F4:G4*F19:G19)/F32</f>
        <v>0.14620374381410808</v>
      </c>
      <c r="G77" s="138"/>
      <c r="H77" s="193">
        <f t="array" ref="H77">SUM(H4:I4*H19:I19)/H32</f>
        <v>0.14659314837665507</v>
      </c>
      <c r="I77" s="138"/>
      <c r="J77" s="193">
        <f t="array" ref="J77">SUM(J4:K4*J19:K19)/J32</f>
        <v>0.14716770348998801</v>
      </c>
      <c r="K77" s="138"/>
      <c r="L77" s="193">
        <f t="array" ref="L77">SUM(L4:M4*L19:M19)/L32</f>
        <v>0.14796834026777883</v>
      </c>
      <c r="M77" s="138"/>
      <c r="N77" s="193">
        <f t="array" ref="N77">SUM(N4:O4*N19:O19)/N32</f>
        <v>0.14904892283978466</v>
      </c>
      <c r="O77" s="138"/>
      <c r="P77" s="193">
        <f t="array" ref="P77">SUM(P4:Q4*P19:Q19)/P32</f>
        <v>0.15048157293237882</v>
      </c>
      <c r="Q77" s="138"/>
      <c r="R77" s="193">
        <f t="array" ref="R77">SUM(R4:S4*R19:S19)/R32</f>
        <v>0.15236460599973756</v>
      </c>
      <c r="S77" s="138"/>
      <c r="T77" s="193">
        <f t="array" ref="T77">SUM(T4:U4*T19:U19)/T32</f>
        <v>0.1548343314046805</v>
      </c>
      <c r="U77" s="138"/>
      <c r="V77" s="193">
        <f t="array" ref="V77">SUM(V4:W4*V19:W19)/V32</f>
        <v>0.15808271609647112</v>
      </c>
      <c r="W77" s="138"/>
      <c r="X77" s="193">
        <f t="array" ref="X77">SUM(X4:Y4*X19:Y19)/X32</f>
        <v>0.16238281386453174</v>
      </c>
      <c r="Y77" s="138"/>
      <c r="Z77" s="193">
        <f t="array" ref="Z77">SUM(Z4:AA4*Z19:AA19)/Z32</f>
        <v>0.16812358927684237</v>
      </c>
      <c r="AA77" s="138"/>
      <c r="AB77" s="193">
        <f t="array" ref="AB77">SUM(AB4:AC4*AB19:AC19)/AB32</f>
        <v>0.1758532338175165</v>
      </c>
      <c r="AC77" s="138"/>
      <c r="AD77" s="193">
        <f t="array" ref="AD77">SUM(AD4:AE4*AD19:AE19)/AD32</f>
        <v>0.18632920649326531</v>
      </c>
      <c r="AE77" s="138"/>
      <c r="AF77" s="193">
        <f t="array" ref="AF77">SUM(AF4:AG4*AF19:AG19)/AF32</f>
        <v>0.20059643957896062</v>
      </c>
      <c r="AG77" s="138"/>
      <c r="AH77" s="193">
        <f t="array" ref="AH77">SUM(AH4:AI4*AH19:AI19)/AH32</f>
        <v>0.22024197255669606</v>
      </c>
      <c r="AI77" s="138"/>
      <c r="AJ77" s="193">
        <f t="array" ref="AJ77">SUM(AJ4:AK4*AJ19:AK19)/AJ32</f>
        <v>0.24851094096715073</v>
      </c>
      <c r="AK77" s="138"/>
      <c r="AL77" s="193">
        <f t="array" ref="AL77">SUM(AL4:AM4*AL19:AM19)/AL32</f>
        <v>0.29578688074165532</v>
      </c>
      <c r="AM77" s="138"/>
      <c r="AN77" s="193">
        <f t="array" ref="AN77">SUM(AN4:AO4*AN19:AO19)/AN32</f>
        <v>0.41127816381614135</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0.34532138578846827</v>
      </c>
      <c r="E78" s="138"/>
      <c r="F78" s="193">
        <f t="array" ref="F78">SUM(F13:G13*F26:G26)/F32</f>
        <v>0.34369798556762315</v>
      </c>
      <c r="G78" s="138"/>
      <c r="H78" s="193">
        <f t="array" ref="H78">SUM(H13:I13*H26:I26)/H32</f>
        <v>0.3420139476557495</v>
      </c>
      <c r="I78" s="138"/>
      <c r="J78" s="193">
        <f t="array" ref="J78">SUM(J13:K13*J26:K26)/J32</f>
        <v>0.34026628264503572</v>
      </c>
      <c r="K78" s="138"/>
      <c r="L78" s="193">
        <f t="array" ref="L78">SUM(L13:M13*L26:M26)/L32</f>
        <v>0.33845280833549102</v>
      </c>
      <c r="M78" s="138"/>
      <c r="N78" s="193">
        <f t="array" ref="N78">SUM(N13:O13*N26:O26)/N32</f>
        <v>0.33657260833817693</v>
      </c>
      <c r="O78" s="138"/>
      <c r="P78" s="193">
        <f t="array" ref="P78">SUM(P13:Q13*P26:Q26)/P32</f>
        <v>0.33462664893319966</v>
      </c>
      <c r="Q78" s="138"/>
      <c r="R78" s="193">
        <f t="array" ref="R78">SUM(R13:S13*R26:S26)/R32</f>
        <v>0.3326185194108579</v>
      </c>
      <c r="S78" s="138"/>
      <c r="T78" s="193">
        <f t="array" ref="T78">SUM(T13:U13*T26:U26)/T32</f>
        <v>0.33055515512237804</v>
      </c>
      <c r="U78" s="138"/>
      <c r="V78" s="193">
        <f t="array" ref="V78">SUM(V13:W13*V26:W26)/V32</f>
        <v>0.32844737303519572</v>
      </c>
      <c r="W78" s="138"/>
      <c r="X78" s="193">
        <f t="array" ref="X78">SUM(X13:Y13*X26:Y26)/X32</f>
        <v>0.32630946492289165</v>
      </c>
      <c r="Y78" s="138"/>
      <c r="Z78" s="193">
        <f t="array" ref="Z78">SUM(Z13:AA13*Z26:AA26)/Z32</f>
        <v>0.32415661386770545</v>
      </c>
      <c r="AA78" s="138"/>
      <c r="AB78" s="193">
        <f t="array" ref="AB78">SUM(AB13:AC13*AB26:AC26)/AB32</f>
        <v>0.3219975010271694</v>
      </c>
      <c r="AC78" s="138"/>
      <c r="AD78" s="193">
        <f t="array" ref="AD78">SUM(AD13:AE13*AD26:AE26)/AD32</f>
        <v>0.31981741249119422</v>
      </c>
      <c r="AE78" s="138"/>
      <c r="AF78" s="193">
        <f t="array" ref="AF78">SUM(AF13:AG13*AF26:AG26)/AF32</f>
        <v>0.31754398958120916</v>
      </c>
      <c r="AG78" s="138"/>
      <c r="AH78" s="193">
        <f t="array" ref="AH78">SUM(AH13:AI13*AH26:AI26)/AH32</f>
        <v>0.31498251432768681</v>
      </c>
      <c r="AI78" s="138"/>
      <c r="AJ78" s="193">
        <f t="array" ref="AJ78">SUM(AJ13:AK13*AJ26:AK26)/AJ32</f>
        <v>0.31171482616258556</v>
      </c>
      <c r="AK78" s="138"/>
      <c r="AL78" s="193">
        <f t="array" ref="AL78">SUM(AL13:AM13*AL26:AM26)/AL32</f>
        <v>0.30722745291020354</v>
      </c>
      <c r="AM78" s="138"/>
      <c r="AN78" s="193">
        <f t="array" ref="AN78">SUM(AN13:AO13*AN26:AO26)/AN32</f>
        <v>0.30281521480179779</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0.45354191340764649</v>
      </c>
      <c r="F79" s="193">
        <f t="array" ref="F79">SUM(F15:G15*F27:G27)/F32</f>
        <v>0.45252072831438966</v>
      </c>
      <c r="H79" s="193">
        <f t="array" ref="H79">SUM(H15:I15*H27:I27)/H32</f>
        <v>0.4515526667303062</v>
      </c>
      <c r="J79" s="193">
        <f t="array" ref="J79">SUM(J15:K15*J27:K27)/J32</f>
        <v>0.45064522124849687</v>
      </c>
      <c r="L79" s="193">
        <f t="array" ref="L79">SUM(L15:M15*L27:M27)/L32</f>
        <v>0.44980681166593384</v>
      </c>
      <c r="N79" s="193">
        <f t="array" ref="N79">SUM(N15:O15*N27:O27)/N32</f>
        <v>0.44904652255066557</v>
      </c>
      <c r="P79" s="193">
        <f t="array" ref="P79">SUM(P15:Q15*P27:Q27)/P32</f>
        <v>0.44837340848292412</v>
      </c>
      <c r="R79" s="193">
        <f t="array" ref="R79">SUM(R15:S15*R27:S27)/R32</f>
        <v>0.44779492673213483</v>
      </c>
      <c r="T79" s="193">
        <f t="array" ref="T79">SUM(T15:U15*T27:U27)/T32</f>
        <v>0.4473136754451239</v>
      </c>
      <c r="V79" s="193">
        <f t="array" ref="V79">SUM(V15:W15*V27:W27)/V32</f>
        <v>0.44692094634807733</v>
      </c>
      <c r="X79" s="193">
        <f t="array" ref="X79">SUM(X15:Y15*X27:Y27)/X32</f>
        <v>0.44658438431441122</v>
      </c>
      <c r="Z79" s="193">
        <f t="array" ref="Z79">SUM(Z15:AA15*Z27:AA27)/Z32</f>
        <v>0.44622516342458418</v>
      </c>
      <c r="AB79" s="193">
        <f t="array" ref="AB79">SUM(AB15:AC15*AB27:AC27)/AB32</f>
        <v>0.44567808670939874</v>
      </c>
      <c r="AD79" s="193">
        <f t="array" ref="AD79">SUM(AD15:AE15*AD27:AE27)/AD32</f>
        <v>0.44462617419633416</v>
      </c>
      <c r="AF79" s="193">
        <f t="array" ref="AF79">SUM(AF15:AG15*AF27:AG27)/AF32</f>
        <v>0.44249448519572582</v>
      </c>
      <c r="AH79" s="193">
        <f t="array" ref="AH79">SUM(AH15:AI15*AH27:AI27)/AH32</f>
        <v>0.4382372473738973</v>
      </c>
      <c r="AJ79" s="193">
        <f t="array" ref="AJ79">SUM(AJ15:AK15*AJ27:AK27)/AJ32</f>
        <v>0.42975192691762154</v>
      </c>
      <c r="AL79" s="193">
        <f t="array" ref="AL79">SUM(AL15:AM15*AL27:AM27)/AL32</f>
        <v>0.41228848706375826</v>
      </c>
      <c r="AN79" s="193">
        <f t="array" ref="AN79">SUM(AN15:AO15*AN27:AO27)/AN32</f>
        <v>0.37314243234628591</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0.20113670176156578</v>
      </c>
      <c r="F80" s="236">
        <f>F55</f>
        <v>0.20378128503862269</v>
      </c>
      <c r="H80" s="236">
        <f>H55</f>
        <v>0.20643338412335369</v>
      </c>
      <c r="J80" s="236">
        <f>J55</f>
        <v>0.20908849551983635</v>
      </c>
      <c r="L80" s="236">
        <f>L55</f>
        <v>0.21174037898507322</v>
      </c>
      <c r="N80" s="236">
        <f>N55</f>
        <v>0.21438086926553179</v>
      </c>
      <c r="P80" s="236">
        <f>P55</f>
        <v>0.2169999426268002</v>
      </c>
      <c r="R80" s="236">
        <f>R55</f>
        <v>0.21958655759275653</v>
      </c>
      <c r="T80" s="236">
        <f>T55</f>
        <v>0.2221311736869955</v>
      </c>
      <c r="V80" s="236">
        <f>V55</f>
        <v>0.22463168030904082</v>
      </c>
      <c r="X80" s="236">
        <f>X55</f>
        <v>0.22710615069070744</v>
      </c>
      <c r="Z80" s="236">
        <f>Z55</f>
        <v>0.22961822355216627</v>
      </c>
      <c r="AB80" s="236">
        <f>AB55</f>
        <v>0.23232441490807232</v>
      </c>
      <c r="AD80" s="236">
        <f>AD55</f>
        <v>0.23555641667871194</v>
      </c>
      <c r="AF80" s="236">
        <f>AF55</f>
        <v>0.23996152854266053</v>
      </c>
      <c r="AH80" s="236">
        <f>AH55</f>
        <v>0.24678023910986763</v>
      </c>
      <c r="AJ80" s="236">
        <f>AJ55</f>
        <v>0.25853324870505251</v>
      </c>
      <c r="AL80" s="236">
        <f>AL55</f>
        <v>0.28048406011473925</v>
      </c>
      <c r="AN80" s="236">
        <f>AN55</f>
        <v>0.32404235286043498</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-2.4909502802859064E-2</v>
      </c>
      <c r="F81" s="236">
        <f>F51/F$32</f>
        <v>-2.2264919525802142E-2</v>
      </c>
      <c r="H81" s="236">
        <f>H51/H$32</f>
        <v>-1.9612820441071179E-2</v>
      </c>
      <c r="J81" s="236">
        <f>J51/J$32</f>
        <v>-1.695770904458848E-2</v>
      </c>
      <c r="L81" s="236">
        <f>L51/L$32</f>
        <v>-1.4305825579351622E-2</v>
      </c>
      <c r="N81" s="236">
        <f>N51/N$32</f>
        <v>-1.1665335298893064E-2</v>
      </c>
      <c r="P81" s="236">
        <f>P51/P$32</f>
        <v>-9.0462619376246636E-3</v>
      </c>
      <c r="R81" s="236">
        <f>R51/R$32</f>
        <v>-6.4596469716683208E-3</v>
      </c>
      <c r="T81" s="236">
        <f>T51/T$32</f>
        <v>-3.9150308774293114E-3</v>
      </c>
      <c r="V81" s="236">
        <f>V51/V$32</f>
        <v>-1.4145242553840148E-3</v>
      </c>
      <c r="X81" s="236">
        <f>X51/X$32</f>
        <v>1.0599461262825879E-3</v>
      </c>
      <c r="Z81" s="236">
        <f>Z51/Z$32</f>
        <v>3.5720189877414166E-3</v>
      </c>
      <c r="AB81" s="236">
        <f>AB51/AB$32</f>
        <v>6.2782103436474796E-3</v>
      </c>
      <c r="AD81" s="236">
        <f>AD51/AD$32</f>
        <v>9.5102121142870977E-3</v>
      </c>
      <c r="AF81" s="236">
        <f>AF51/AF$32</f>
        <v>1.3915323978235705E-2</v>
      </c>
      <c r="AH81" s="236">
        <f>AH51/AH$32</f>
        <v>2.0734034545442794E-2</v>
      </c>
      <c r="AJ81" s="236">
        <f>AJ51/AJ$32</f>
        <v>3.2487044140627704E-2</v>
      </c>
      <c r="AL81" s="236">
        <f>AL51/AL$32</f>
        <v>5.4437855550314392E-2</v>
      </c>
      <c r="AN81" s="236">
        <f>AN51/AN$32</f>
        <v>9.7996148296010152E-2</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0.13845065894363018</v>
      </c>
      <c r="F82" s="236">
        <f>F52/F$32</f>
        <v>0.13779978460003273</v>
      </c>
      <c r="H82" s="236">
        <f>H52/H$32</f>
        <v>0.13712459861914539</v>
      </c>
      <c r="J82" s="236">
        <f>J52/J$32</f>
        <v>0.13642390244942054</v>
      </c>
      <c r="L82" s="236">
        <f>L52/L$32</f>
        <v>0.13569682117537629</v>
      </c>
      <c r="N82" s="236">
        <f>N52/N$32</f>
        <v>0.13494298738665925</v>
      </c>
      <c r="P82" s="236">
        <f>P52/P$32</f>
        <v>0.13416278849662672</v>
      </c>
      <c r="R82" s="236">
        <f>R52/R$32</f>
        <v>0.13335766356937218</v>
      </c>
      <c r="T82" s="236">
        <f>T52/T$32</f>
        <v>0.13253039321445767</v>
      </c>
      <c r="V82" s="236">
        <f>V52/V$32</f>
        <v>0.13168531430857511</v>
      </c>
      <c r="X82" s="236">
        <f>X52/X$32</f>
        <v>0.13082815689206126</v>
      </c>
      <c r="Z82" s="236">
        <f>Z52/Z$32</f>
        <v>0.12996500836010033</v>
      </c>
      <c r="AB82" s="236">
        <f>AB52/AB$32</f>
        <v>0.12909934927320849</v>
      </c>
      <c r="AD82" s="236">
        <f>AD52/AD$32</f>
        <v>0.12822528034269023</v>
      </c>
      <c r="AF82" s="236">
        <f>AF52/AF$32</f>
        <v>0.12731379060328038</v>
      </c>
      <c r="AH82" s="236">
        <f>AH52/AH$32</f>
        <v>0.12628681124053914</v>
      </c>
      <c r="AJ82" s="236">
        <f>AJ52/AJ$32</f>
        <v>0.12497668798058643</v>
      </c>
      <c r="AL82" s="236">
        <f>AL52/AL$32</f>
        <v>0.12317755300289092</v>
      </c>
      <c r="AN82" s="236">
        <f>AN52/AN$32</f>
        <v>0.12140854216641997</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0.18557025629258084</v>
      </c>
      <c r="F83" s="236">
        <f>F53/F$32</f>
        <v>0.18515243034557183</v>
      </c>
      <c r="H83" s="236">
        <f>H53/H$32</f>
        <v>0.18475634030195129</v>
      </c>
      <c r="J83" s="236">
        <f>J53/J$32</f>
        <v>0.18438505181536871</v>
      </c>
      <c r="L83" s="236">
        <f>L53/L$32</f>
        <v>0.18404200991226122</v>
      </c>
      <c r="N83" s="236">
        <f>N53/N$32</f>
        <v>0.18373093161540272</v>
      </c>
      <c r="P83" s="236">
        <f>P53/P$32</f>
        <v>0.18345552167781518</v>
      </c>
      <c r="R83" s="236">
        <f>R53/R$32</f>
        <v>0.18321883130018729</v>
      </c>
      <c r="T83" s="236">
        <f>T53/T$32</f>
        <v>0.18302192353481503</v>
      </c>
      <c r="V83" s="236">
        <f>V53/V$32</f>
        <v>0.18286123532268286</v>
      </c>
      <c r="X83" s="236">
        <f>X53/X$32</f>
        <v>0.18272352830818328</v>
      </c>
      <c r="Z83" s="236">
        <f>Z53/Z$32</f>
        <v>0.1825765502437085</v>
      </c>
      <c r="AB83" s="236">
        <f>AB53/AB$32</f>
        <v>0.18235270948445895</v>
      </c>
      <c r="AD83" s="236">
        <f>AD53/AD$32</f>
        <v>0.18192231117092686</v>
      </c>
      <c r="AF83" s="236">
        <f>AF53/AF$32</f>
        <v>0.18105011377861346</v>
      </c>
      <c r="AH83" s="236">
        <f>AH53/AH$32</f>
        <v>0.17930823129688325</v>
      </c>
      <c r="AJ83" s="236">
        <f>AJ53/AJ$32</f>
        <v>0.17583639540862991</v>
      </c>
      <c r="AL83" s="236">
        <f>AL53/AL$32</f>
        <v>0.16869109105278149</v>
      </c>
      <c r="AN83" s="236">
        <f>AN53/AN$32</f>
        <v>0.15267417355956736</v>
      </c>
      <c r="AP83" s="236" t="e">
        <f>AP53/AP$32</f>
        <v>#DIV/0!</v>
      </c>
      <c r="AR83" s="236" t="e">
        <f>AR53/AR$32</f>
        <v>#DIV/0!</v>
      </c>
      <c r="AT83" s="236" t="e">
        <f>AT53/AT$32</f>
        <v>#DIV/0!</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5.3264588942903368E-2</v>
      </c>
      <c r="E2" s="227"/>
      <c r="F2" s="226">
        <v>0.10534021009273802</v>
      </c>
      <c r="G2" s="227"/>
      <c r="H2" s="226">
        <v>0.16274041854184082</v>
      </c>
      <c r="I2" s="227"/>
      <c r="J2" s="226">
        <v>0.22639389288339509</v>
      </c>
      <c r="K2" s="227"/>
      <c r="L2" s="226">
        <v>0.29748507045296785</v>
      </c>
      <c r="M2" s="227"/>
      <c r="N2" s="226">
        <v>0.37755849001819158</v>
      </c>
      <c r="O2" s="227"/>
      <c r="P2" s="226">
        <v>0.46868087608674158</v>
      </c>
      <c r="Q2" s="227"/>
      <c r="R2" s="226">
        <v>0.57370181806392162</v>
      </c>
      <c r="S2" s="227"/>
      <c r="T2" s="226">
        <v>0.69669359222921423</v>
      </c>
      <c r="U2" s="227"/>
      <c r="V2" s="226">
        <v>0.8437231726783353</v>
      </c>
      <c r="W2" s="227"/>
      <c r="X2" s="226">
        <v>1.0242867156861777</v>
      </c>
      <c r="Y2" s="227"/>
      <c r="Z2" s="226">
        <v>1.2541427986972027</v>
      </c>
      <c r="AA2" s="227"/>
      <c r="AB2" s="226">
        <v>1.5613242805355556</v>
      </c>
      <c r="AC2" s="227"/>
      <c r="AD2" s="226">
        <v>1.9999427877439693</v>
      </c>
      <c r="AE2" s="227"/>
      <c r="AF2" s="226">
        <v>2.6845960526303538</v>
      </c>
      <c r="AG2" s="227"/>
      <c r="AH2" s="226">
        <v>3.8828577905501973</v>
      </c>
      <c r="AI2" s="227"/>
      <c r="AJ2" s="226">
        <v>6.2892211518459362</v>
      </c>
      <c r="AK2" s="227"/>
      <c r="AL2" s="226">
        <v>12.082142367304394</v>
      </c>
      <c r="AM2" s="227"/>
      <c r="AN2" s="226">
        <v>32.111124681610285</v>
      </c>
      <c r="AO2" s="227"/>
      <c r="AP2" s="226">
        <v>42.260847879137529</v>
      </c>
      <c r="AQ2" s="227"/>
      <c r="AR2" s="226">
        <v>58.471687890322308</v>
      </c>
      <c r="AS2" s="227"/>
      <c r="AT2" s="226">
        <v>87.255014313942084</v>
      </c>
      <c r="AU2" s="227"/>
      <c r="AV2" s="226">
        <v>148.11398934480863</v>
      </c>
      <c r="AW2" s="227"/>
    </row>
    <row r="3" spans="1:49" x14ac:dyDescent="0.2">
      <c r="A3" t="s">
        <v>12</v>
      </c>
      <c r="B3" s="84">
        <v>1000</v>
      </c>
      <c r="C3" s="85">
        <v>1000</v>
      </c>
      <c r="D3" s="84">
        <v>998.66305392551374</v>
      </c>
      <c r="E3" s="85">
        <v>1020.8617778308038</v>
      </c>
      <c r="F3" s="84">
        <v>997.28311237362061</v>
      </c>
      <c r="G3" s="85">
        <v>1044.2673384176453</v>
      </c>
      <c r="H3" s="84">
        <v>995.85346711199168</v>
      </c>
      <c r="I3" s="85">
        <v>1070.6690882995001</v>
      </c>
      <c r="J3" s="84">
        <v>994.36638666169642</v>
      </c>
      <c r="K3" s="85">
        <v>1100.6340938714029</v>
      </c>
      <c r="L3" s="84">
        <v>992.81314953740491</v>
      </c>
      <c r="M3" s="85">
        <v>1134.8839730518901</v>
      </c>
      <c r="N3" s="84">
        <v>991.18426654628581</v>
      </c>
      <c r="O3" s="85">
        <v>1174.3540603609483</v>
      </c>
      <c r="P3" s="84">
        <v>989.47005064441362</v>
      </c>
      <c r="Q3" s="85">
        <v>1220.2822967128236</v>
      </c>
      <c r="R3" s="84">
        <v>987.66186146319876</v>
      </c>
      <c r="S3" s="85">
        <v>1274.3491193803973</v>
      </c>
      <c r="T3" s="84">
        <v>985.75461363294039</v>
      </c>
      <c r="U3" s="85">
        <v>1338.9061897757558</v>
      </c>
      <c r="V3" s="84">
        <v>983.75167909336119</v>
      </c>
      <c r="W3" s="85">
        <v>1417.3669449243469</v>
      </c>
      <c r="X3" s="84">
        <v>981.67438705803249</v>
      </c>
      <c r="Y3" s="85">
        <v>1514.9111550735365</v>
      </c>
      <c r="Z3" s="84">
        <v>979.58044470362279</v>
      </c>
      <c r="AA3" s="85">
        <v>1639.8348135493484</v>
      </c>
      <c r="AB3" s="84">
        <v>977.59958961303289</v>
      </c>
      <c r="AC3" s="85">
        <v>1806.3229712791008</v>
      </c>
      <c r="AD3" s="84">
        <v>976.00022961514526</v>
      </c>
      <c r="AE3" s="85">
        <v>2040.5995558263467</v>
      </c>
      <c r="AF3" s="84">
        <v>975.29603390650891</v>
      </c>
      <c r="AG3" s="85">
        <v>2395.701203220588</v>
      </c>
      <c r="AH3" s="84">
        <v>976.32060096535145</v>
      </c>
      <c r="AI3" s="85">
        <v>2989.8770745532161</v>
      </c>
      <c r="AJ3" s="84">
        <v>979.9240482539841</v>
      </c>
      <c r="AK3" s="85">
        <v>4118.5732412451971</v>
      </c>
      <c r="AL3" s="84">
        <v>986.04464067295817</v>
      </c>
      <c r="AM3" s="85">
        <v>6690.7016325560953</v>
      </c>
      <c r="AN3" s="84">
        <v>993.64838651001116</v>
      </c>
      <c r="AO3" s="85">
        <v>15196.462816574805</v>
      </c>
      <c r="AP3" s="84">
        <v>995.35020176739772</v>
      </c>
      <c r="AQ3" s="85">
        <v>19435.422735907909</v>
      </c>
      <c r="AR3" s="84">
        <v>997.21976876135682</v>
      </c>
      <c r="AS3" s="85">
        <v>26165.909917030069</v>
      </c>
      <c r="AT3" s="84">
        <v>999.46169399228347</v>
      </c>
      <c r="AU3" s="85">
        <v>38052.036988841966</v>
      </c>
      <c r="AV3" s="84">
        <v>1002.6902009394159</v>
      </c>
      <c r="AW3" s="85">
        <v>63065.998212046805</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998.59675746960761</v>
      </c>
      <c r="E5" s="42">
        <v>1018.1339838823704</v>
      </c>
      <c r="F5" s="41">
        <v>997.1475583494273</v>
      </c>
      <c r="G5" s="42">
        <v>1038.0449113759294</v>
      </c>
      <c r="H5" s="41">
        <v>995.64526869953124</v>
      </c>
      <c r="I5" s="42">
        <v>1059.9591992161841</v>
      </c>
      <c r="J5" s="41">
        <v>994.08165736716114</v>
      </c>
      <c r="K5" s="42">
        <v>1084.1381495474998</v>
      </c>
      <c r="L5" s="41">
        <v>992.44742554067113</v>
      </c>
      <c r="M5" s="42">
        <v>1110.8831473515536</v>
      </c>
      <c r="N5" s="41">
        <v>990.73243467012753</v>
      </c>
      <c r="O5" s="42">
        <v>1140.5417954203158</v>
      </c>
      <c r="P5" s="41">
        <v>988.92630087459543</v>
      </c>
      <c r="Q5" s="42">
        <v>1173.5125218648868</v>
      </c>
      <c r="R5" s="41">
        <v>987.0197028047113</v>
      </c>
      <c r="S5" s="42">
        <v>1210.2489246228342</v>
      </c>
      <c r="T5" s="41">
        <v>985.00702949388346</v>
      </c>
      <c r="U5" s="42">
        <v>1251.2575926705165</v>
      </c>
      <c r="V5" s="41">
        <v>982.89157220916729</v>
      </c>
      <c r="W5" s="42">
        <v>1297.0845134471317</v>
      </c>
      <c r="X5" s="41">
        <v>980.69561004018658</v>
      </c>
      <c r="Y5" s="42">
        <v>1348.2724125772174</v>
      </c>
      <c r="Z5" s="41">
        <v>978.4800018737069</v>
      </c>
      <c r="AA5" s="42">
        <v>1405.252217427736</v>
      </c>
      <c r="AB5" s="41">
        <v>976.38214902883112</v>
      </c>
      <c r="AC5" s="42">
        <v>1468.0824100940249</v>
      </c>
      <c r="AD5" s="41">
        <v>974.68696533403124</v>
      </c>
      <c r="AE5" s="42">
        <v>1535.8525039514795</v>
      </c>
      <c r="AF5" s="41">
        <v>973.94019178425435</v>
      </c>
      <c r="AG5" s="42">
        <v>1605.4391543515067</v>
      </c>
      <c r="AH5" s="41">
        <v>975.02662893401646</v>
      </c>
      <c r="AI5" s="42">
        <v>1669.663018453246</v>
      </c>
      <c r="AJ5" s="41">
        <v>978.84371145984574</v>
      </c>
      <c r="AK5" s="42">
        <v>1717.5529297411335</v>
      </c>
      <c r="AL5" s="41">
        <v>985.31319614560164</v>
      </c>
      <c r="AM5" s="42">
        <v>1742.2703214972069</v>
      </c>
      <c r="AN5" s="41">
        <v>993.32635139752176</v>
      </c>
      <c r="AO5" s="42">
        <v>1749.3983200305568</v>
      </c>
      <c r="AP5" s="41">
        <v>995.11621412120155</v>
      </c>
      <c r="AQ5" s="42">
        <v>1749.7484045230044</v>
      </c>
      <c r="AR5" s="41">
        <v>997.08101531940304</v>
      </c>
      <c r="AS5" s="42">
        <v>1749.9377357707274</v>
      </c>
      <c r="AT5" s="41">
        <v>999.43509532505391</v>
      </c>
      <c r="AU5" s="42">
        <v>1750.0264811286086</v>
      </c>
      <c r="AV5" s="41">
        <v>1002.8212209211897</v>
      </c>
      <c r="AW5" s="42">
        <v>1750.0598507307916</v>
      </c>
    </row>
    <row r="6" spans="1:49" x14ac:dyDescent="0.2">
      <c r="A6" t="s">
        <v>77</v>
      </c>
      <c r="B6" s="41">
        <v>999.99999999999943</v>
      </c>
      <c r="C6" s="42">
        <v>999.99999999999909</v>
      </c>
      <c r="D6" s="41">
        <v>998.48958555243621</v>
      </c>
      <c r="E6" s="42">
        <v>1022.4827179387008</v>
      </c>
      <c r="F6" s="41">
        <v>996.93004487221219</v>
      </c>
      <c r="G6" s="42">
        <v>1047.625932585129</v>
      </c>
      <c r="H6" s="41">
        <v>995.31373622367073</v>
      </c>
      <c r="I6" s="42">
        <v>1075.8947498539308</v>
      </c>
      <c r="J6" s="41">
        <v>993.63184611346855</v>
      </c>
      <c r="K6" s="42">
        <v>1107.8716133994167</v>
      </c>
      <c r="L6" s="41">
        <v>991.87442316632632</v>
      </c>
      <c r="M6" s="42">
        <v>1144.2971565995015</v>
      </c>
      <c r="N6" s="41">
        <v>990.03062556473458</v>
      </c>
      <c r="O6" s="42">
        <v>1186.1308425459629</v>
      </c>
      <c r="P6" s="41">
        <v>988.08936217428823</v>
      </c>
      <c r="Q6" s="42">
        <v>1234.6420744982172</v>
      </c>
      <c r="R6" s="41">
        <v>986.04069943658203</v>
      </c>
      <c r="S6" s="42">
        <v>1291.5536408946159</v>
      </c>
      <c r="T6" s="41">
        <v>983.87870515101827</v>
      </c>
      <c r="U6" s="42">
        <v>1359.2762996781796</v>
      </c>
      <c r="V6" s="41">
        <v>981.60701790802091</v>
      </c>
      <c r="W6" s="42">
        <v>1441.3093300454045</v>
      </c>
      <c r="X6" s="41">
        <v>979.24965688624832</v>
      </c>
      <c r="Y6" s="42">
        <v>1542.9630985637125</v>
      </c>
      <c r="Z6" s="41">
        <v>976.87200719592249</v>
      </c>
      <c r="AA6" s="42">
        <v>1672.7432580377745</v>
      </c>
      <c r="AB6" s="41">
        <v>974.62146646488122</v>
      </c>
      <c r="AC6" s="42">
        <v>1845.1935700318511</v>
      </c>
      <c r="AD6" s="41">
        <v>972.80342892476654</v>
      </c>
      <c r="AE6" s="42">
        <v>2087.1999581084701</v>
      </c>
      <c r="AF6" s="41">
        <v>972.00268428346112</v>
      </c>
      <c r="AG6" s="42">
        <v>2453.1338659599728</v>
      </c>
      <c r="AH6" s="41">
        <v>973.16767102612039</v>
      </c>
      <c r="AI6" s="42">
        <v>3064.2180109930509</v>
      </c>
      <c r="AJ6" s="41">
        <v>977.26226197962308</v>
      </c>
      <c r="AK6" s="42">
        <v>4223.3753779863519</v>
      </c>
      <c r="AL6" s="41">
        <v>984.20754353121845</v>
      </c>
      <c r="AM6" s="42">
        <v>6862.8032697832432</v>
      </c>
      <c r="AN6" s="41">
        <v>992.81954934102635</v>
      </c>
      <c r="AO6" s="42">
        <v>15588.521810656046</v>
      </c>
      <c r="AP6" s="41">
        <v>994.74461649996783</v>
      </c>
      <c r="AQ6" s="42">
        <v>19936.916918846153</v>
      </c>
      <c r="AR6" s="41">
        <v>996.85844357966994</v>
      </c>
      <c r="AS6" s="42">
        <v>26841.124474113014</v>
      </c>
      <c r="AT6" s="41">
        <v>999.39191203650716</v>
      </c>
      <c r="AU6" s="42">
        <v>39034.010601719259</v>
      </c>
      <c r="AV6" s="41">
        <v>1003.0376716503149</v>
      </c>
      <c r="AW6" s="42">
        <v>64693.506388846385</v>
      </c>
    </row>
    <row r="7" spans="1:49" x14ac:dyDescent="0.2">
      <c r="A7" t="s">
        <v>13</v>
      </c>
      <c r="B7" s="33">
        <v>1015.9116825427475</v>
      </c>
      <c r="C7" s="34">
        <v>1015.9116825427475</v>
      </c>
      <c r="D7" s="33">
        <v>1014.4861120626809</v>
      </c>
      <c r="E7" s="34">
        <v>1014.4861120626809</v>
      </c>
      <c r="F7" s="33">
        <v>1013.0138537461592</v>
      </c>
      <c r="G7" s="34">
        <v>1013.0138537461592</v>
      </c>
      <c r="H7" s="33">
        <v>1011.4876601402667</v>
      </c>
      <c r="I7" s="34">
        <v>1011.4876601402667</v>
      </c>
      <c r="J7" s="33">
        <v>1009.8991691207557</v>
      </c>
      <c r="K7" s="34">
        <v>1009.8991691207557</v>
      </c>
      <c r="L7" s="33">
        <v>1008.2389339162413</v>
      </c>
      <c r="M7" s="34">
        <v>1008.2389339162413</v>
      </c>
      <c r="N7" s="33">
        <v>1006.4966546554019</v>
      </c>
      <c r="O7" s="34">
        <v>1006.4966546554019</v>
      </c>
      <c r="P7" s="33">
        <v>1004.6617822322855</v>
      </c>
      <c r="Q7" s="34">
        <v>1004.6617822322855</v>
      </c>
      <c r="R7" s="33">
        <v>1002.7248469791768</v>
      </c>
      <c r="S7" s="34">
        <v>1002.7248469791768</v>
      </c>
      <c r="T7" s="33">
        <v>1000.6801486495648</v>
      </c>
      <c r="U7" s="34">
        <v>1000.6801486495648</v>
      </c>
      <c r="V7" s="33">
        <v>998.53103088010153</v>
      </c>
      <c r="W7" s="34">
        <v>998.53103088010153</v>
      </c>
      <c r="X7" s="33">
        <v>996.30012725821211</v>
      </c>
      <c r="Y7" s="34">
        <v>996.30012725821211</v>
      </c>
      <c r="Z7" s="33">
        <v>994.0492650379482</v>
      </c>
      <c r="AA7" s="34">
        <v>994.0492650379482</v>
      </c>
      <c r="AB7" s="33">
        <v>991.91803182458341</v>
      </c>
      <c r="AC7" s="34">
        <v>991.91803182458341</v>
      </c>
      <c r="AD7" s="33">
        <v>990.1958749049802</v>
      </c>
      <c r="AE7" s="34">
        <v>990.1958749049802</v>
      </c>
      <c r="AF7" s="33">
        <v>989.43721893154793</v>
      </c>
      <c r="AG7" s="34">
        <v>989.43721893154793</v>
      </c>
      <c r="AH7" s="33">
        <v>990.54094312433972</v>
      </c>
      <c r="AI7" s="34">
        <v>990.54094312433972</v>
      </c>
      <c r="AJ7" s="33">
        <v>994.41876185555952</v>
      </c>
      <c r="AK7" s="34">
        <v>994.41876185555952</v>
      </c>
      <c r="AL7" s="33">
        <v>1000.9911869278503</v>
      </c>
      <c r="AM7" s="34">
        <v>1000.9911869278503</v>
      </c>
      <c r="AN7" s="33">
        <v>1009.1318449623047</v>
      </c>
      <c r="AO7" s="34">
        <v>1009.1318449623047</v>
      </c>
      <c r="AP7" s="33">
        <v>1010.9501874134388</v>
      </c>
      <c r="AQ7" s="34">
        <v>1010.9501874134388</v>
      </c>
      <c r="AR7" s="33">
        <v>1012.9462519045657</v>
      </c>
      <c r="AS7" s="34">
        <v>1012.9462519045657</v>
      </c>
      <c r="AT7" s="33">
        <v>1015.3377892839467</v>
      </c>
      <c r="AU7" s="34">
        <v>1015.3377892839467</v>
      </c>
      <c r="AV7" s="33">
        <v>1018.7777938356181</v>
      </c>
      <c r="AW7" s="34">
        <v>1018.7777938356181</v>
      </c>
    </row>
    <row r="8" spans="1:49" x14ac:dyDescent="0.2">
      <c r="B8" s="35">
        <v>1005.7716594496609</v>
      </c>
      <c r="C8" s="36">
        <v>1005.7716594496609</v>
      </c>
      <c r="D8" s="35">
        <v>1072.3644720226655</v>
      </c>
      <c r="E8" s="36">
        <v>1072.3644720226655</v>
      </c>
      <c r="F8" s="35">
        <v>1147.3927804259674</v>
      </c>
      <c r="G8" s="36">
        <v>1147.3927804259674</v>
      </c>
      <c r="H8" s="35">
        <v>1232.4574029339003</v>
      </c>
      <c r="I8" s="36">
        <v>1232.4574029339003</v>
      </c>
      <c r="J8" s="35">
        <v>1329.5804056469585</v>
      </c>
      <c r="K8" s="36">
        <v>1329.5804056469585</v>
      </c>
      <c r="L8" s="35">
        <v>1441.3542987064452</v>
      </c>
      <c r="M8" s="36">
        <v>1441.3542987064452</v>
      </c>
      <c r="N8" s="35">
        <v>1571.1630335018474</v>
      </c>
      <c r="O8" s="36">
        <v>1571.1630335018474</v>
      </c>
      <c r="P8" s="35">
        <v>1723.5153987112835</v>
      </c>
      <c r="Q8" s="36">
        <v>1723.5153987112835</v>
      </c>
      <c r="R8" s="35">
        <v>1904.5709329888605</v>
      </c>
      <c r="S8" s="36">
        <v>1904.5709329888605</v>
      </c>
      <c r="T8" s="35">
        <v>2123.0007397122176</v>
      </c>
      <c r="U8" s="36">
        <v>2123.0007397122176</v>
      </c>
      <c r="V8" s="35">
        <v>2391.4647743646806</v>
      </c>
      <c r="W8" s="36">
        <v>2391.4647743646806</v>
      </c>
      <c r="X8" s="35">
        <v>2729.2899339062151</v>
      </c>
      <c r="Y8" s="36">
        <v>2729.2899339062151</v>
      </c>
      <c r="Z8" s="35">
        <v>3167.6391662680066</v>
      </c>
      <c r="AA8" s="36">
        <v>3167.6391662680066</v>
      </c>
      <c r="AB8" s="35">
        <v>3760.2351228009829</v>
      </c>
      <c r="AC8" s="36">
        <v>3760.2351228009829</v>
      </c>
      <c r="AD8" s="35">
        <v>4607.4696422677571</v>
      </c>
      <c r="AE8" s="36">
        <v>4607.4696422677571</v>
      </c>
      <c r="AF8" s="35">
        <v>5915.3947708617752</v>
      </c>
      <c r="AG8" s="36">
        <v>5915.3947708617752</v>
      </c>
      <c r="AH8" s="35">
        <v>8152.7270772479897</v>
      </c>
      <c r="AI8" s="36">
        <v>8152.7270772479897</v>
      </c>
      <c r="AJ8" s="35">
        <v>12519.623144884028</v>
      </c>
      <c r="AK8" s="36">
        <v>12519.623144884028</v>
      </c>
      <c r="AL8" s="35">
        <v>22792.628388155659</v>
      </c>
      <c r="AM8" s="36">
        <v>22792.628388155659</v>
      </c>
      <c r="AN8" s="35">
        <v>57924.545892331334</v>
      </c>
      <c r="AO8" s="36">
        <v>57924.545892331334</v>
      </c>
      <c r="AP8" s="35">
        <v>75695.599554833287</v>
      </c>
      <c r="AQ8" s="36">
        <v>75695.599554833287</v>
      </c>
      <c r="AR8" s="35">
        <v>104071.75084925401</v>
      </c>
      <c r="AS8" s="36">
        <v>104071.75084925401</v>
      </c>
      <c r="AT8" s="35">
        <v>154448.61214178306</v>
      </c>
      <c r="AU8" s="36">
        <v>154448.61214178306</v>
      </c>
      <c r="AV8" s="35">
        <v>260958.40593464865</v>
      </c>
      <c r="AW8" s="36">
        <v>260958.40593464865</v>
      </c>
    </row>
    <row r="9" spans="1:49" x14ac:dyDescent="0.2">
      <c r="A9" t="s">
        <v>14</v>
      </c>
      <c r="B9" s="41">
        <v>1015.9116825427475</v>
      </c>
      <c r="C9" s="42">
        <v>1005.7716594496609</v>
      </c>
      <c r="D9" s="41">
        <v>1014.4861120626809</v>
      </c>
      <c r="E9" s="42">
        <v>1072.3644720226655</v>
      </c>
      <c r="F9" s="41">
        <v>1013.0138537461592</v>
      </c>
      <c r="G9" s="42">
        <v>1147.3927804259674</v>
      </c>
      <c r="H9" s="41">
        <v>1011.4876601402667</v>
      </c>
      <c r="I9" s="42">
        <v>1232.4574029339003</v>
      </c>
      <c r="J9" s="41">
        <v>1009.8991691207557</v>
      </c>
      <c r="K9" s="42">
        <v>1329.5804056469585</v>
      </c>
      <c r="L9" s="41">
        <v>1008.2389339162413</v>
      </c>
      <c r="M9" s="42">
        <v>1441.3542987064452</v>
      </c>
      <c r="N9" s="41">
        <v>1006.4966546554019</v>
      </c>
      <c r="O9" s="42">
        <v>1571.1630335018474</v>
      </c>
      <c r="P9" s="41">
        <v>1004.6617822322855</v>
      </c>
      <c r="Q9" s="42">
        <v>1723.5153987112835</v>
      </c>
      <c r="R9" s="41">
        <v>1002.7248469791768</v>
      </c>
      <c r="S9" s="42">
        <v>1904.5709329888605</v>
      </c>
      <c r="T9" s="41">
        <v>1000.6801486495648</v>
      </c>
      <c r="U9" s="42">
        <v>2123.0007397122176</v>
      </c>
      <c r="V9" s="41">
        <v>998.53103088010153</v>
      </c>
      <c r="W9" s="42">
        <v>2391.4647743646806</v>
      </c>
      <c r="X9" s="41">
        <v>996.30012725821211</v>
      </c>
      <c r="Y9" s="42">
        <v>2729.2899339062151</v>
      </c>
      <c r="Z9" s="41">
        <v>994.0492650379482</v>
      </c>
      <c r="AA9" s="42">
        <v>3167.6391662680066</v>
      </c>
      <c r="AB9" s="41">
        <v>991.91803182458341</v>
      </c>
      <c r="AC9" s="42">
        <v>3760.2351228009829</v>
      </c>
      <c r="AD9" s="41">
        <v>990.1958749049802</v>
      </c>
      <c r="AE9" s="42">
        <v>4607.4696422677571</v>
      </c>
      <c r="AF9" s="41">
        <v>989.43721893154793</v>
      </c>
      <c r="AG9" s="42">
        <v>5915.3947708617752</v>
      </c>
      <c r="AH9" s="41">
        <v>990.54094312433972</v>
      </c>
      <c r="AI9" s="42">
        <v>8152.7270772479897</v>
      </c>
      <c r="AJ9" s="41">
        <v>994.41876185555952</v>
      </c>
      <c r="AK9" s="42">
        <v>12519.623144884028</v>
      </c>
      <c r="AL9" s="41">
        <v>1000.9911869278503</v>
      </c>
      <c r="AM9" s="42">
        <v>22792.628388155659</v>
      </c>
      <c r="AN9" s="41">
        <v>1009.1318449623047</v>
      </c>
      <c r="AO9" s="42">
        <v>57924.545892331334</v>
      </c>
      <c r="AP9" s="41">
        <v>1010.9501874134388</v>
      </c>
      <c r="AQ9" s="42">
        <v>75695.599554833287</v>
      </c>
      <c r="AR9" s="41">
        <v>1012.9462519045657</v>
      </c>
      <c r="AS9" s="42">
        <v>104071.75084925401</v>
      </c>
      <c r="AT9" s="41">
        <v>1015.3377892839467</v>
      </c>
      <c r="AU9" s="42">
        <v>154448.61214178306</v>
      </c>
      <c r="AV9" s="41">
        <v>1018.7777938356181</v>
      </c>
      <c r="AW9" s="42">
        <v>260958.40593464865</v>
      </c>
    </row>
    <row r="10" spans="1:49" x14ac:dyDescent="0.2">
      <c r="A10" t="s">
        <v>15</v>
      </c>
      <c r="B10" s="41">
        <v>1015.9116825427475</v>
      </c>
      <c r="C10" s="42">
        <v>1005.7716594496609</v>
      </c>
      <c r="D10" s="41">
        <v>1014.4861120626809</v>
      </c>
      <c r="E10" s="42">
        <v>1072.3644720226655</v>
      </c>
      <c r="F10" s="41">
        <v>1013.0138537461592</v>
      </c>
      <c r="G10" s="42">
        <v>1147.3927804259674</v>
      </c>
      <c r="H10" s="41">
        <v>1011.4876601402667</v>
      </c>
      <c r="I10" s="42">
        <v>1232.4574029339003</v>
      </c>
      <c r="J10" s="41">
        <v>1009.8991691207557</v>
      </c>
      <c r="K10" s="42">
        <v>1329.5804056469585</v>
      </c>
      <c r="L10" s="41">
        <v>1008.2389339162413</v>
      </c>
      <c r="M10" s="42">
        <v>1441.3542987064452</v>
      </c>
      <c r="N10" s="41">
        <v>1006.4966546554019</v>
      </c>
      <c r="O10" s="42">
        <v>1571.1630335018474</v>
      </c>
      <c r="P10" s="41">
        <v>1004.6617822322855</v>
      </c>
      <c r="Q10" s="42">
        <v>1723.5153987112835</v>
      </c>
      <c r="R10" s="41">
        <v>1002.7248469791768</v>
      </c>
      <c r="S10" s="42">
        <v>1904.5709329888605</v>
      </c>
      <c r="T10" s="41">
        <v>1000.6801486495648</v>
      </c>
      <c r="U10" s="42">
        <v>2123.0007397122176</v>
      </c>
      <c r="V10" s="41">
        <v>998.53103088010153</v>
      </c>
      <c r="W10" s="42">
        <v>2391.4647743646806</v>
      </c>
      <c r="X10" s="41">
        <v>996.30012725821211</v>
      </c>
      <c r="Y10" s="42">
        <v>2729.2899339062151</v>
      </c>
      <c r="Z10" s="41">
        <v>994.0492650379482</v>
      </c>
      <c r="AA10" s="42">
        <v>3167.6391662680066</v>
      </c>
      <c r="AB10" s="41">
        <v>991.91803182458341</v>
      </c>
      <c r="AC10" s="42">
        <v>3760.2351228009829</v>
      </c>
      <c r="AD10" s="41">
        <v>990.1958749049802</v>
      </c>
      <c r="AE10" s="42">
        <v>4607.4696422677571</v>
      </c>
      <c r="AF10" s="41">
        <v>989.43721893154793</v>
      </c>
      <c r="AG10" s="42">
        <v>5915.3947708617752</v>
      </c>
      <c r="AH10" s="41">
        <v>990.54094312433972</v>
      </c>
      <c r="AI10" s="42">
        <v>8152.7270772479897</v>
      </c>
      <c r="AJ10" s="41">
        <v>994.41876185555952</v>
      </c>
      <c r="AK10" s="42">
        <v>12519.623144884028</v>
      </c>
      <c r="AL10" s="41">
        <v>1000.9911869278503</v>
      </c>
      <c r="AM10" s="42">
        <v>22792.628388155659</v>
      </c>
      <c r="AN10" s="41">
        <v>1009.1318449623047</v>
      </c>
      <c r="AO10" s="42">
        <v>57924.545892331334</v>
      </c>
      <c r="AP10" s="41">
        <v>1010.9501874134388</v>
      </c>
      <c r="AQ10" s="42">
        <v>75695.599554833287</v>
      </c>
      <c r="AR10" s="41">
        <v>1012.9462519045657</v>
      </c>
      <c r="AS10" s="42">
        <v>104071.75084925401</v>
      </c>
      <c r="AT10" s="41">
        <v>1015.3377892839467</v>
      </c>
      <c r="AU10" s="42">
        <v>154448.61214178306</v>
      </c>
      <c r="AV10" s="41">
        <v>1018.7777938356181</v>
      </c>
      <c r="AW10" s="42">
        <v>260958.40593464865</v>
      </c>
    </row>
    <row r="11" spans="1:49" x14ac:dyDescent="0.2">
      <c r="A11" t="s">
        <v>29</v>
      </c>
      <c r="B11" s="41">
        <v>1015.9116825427475</v>
      </c>
      <c r="C11" s="42">
        <v>1005.7716594496609</v>
      </c>
      <c r="D11" s="41">
        <v>1014.4861120626809</v>
      </c>
      <c r="E11" s="42">
        <v>1072.3644720226655</v>
      </c>
      <c r="F11" s="41">
        <v>1013.0138537461592</v>
      </c>
      <c r="G11" s="42">
        <v>1147.3927804259674</v>
      </c>
      <c r="H11" s="41">
        <v>1011.4876601402667</v>
      </c>
      <c r="I11" s="42">
        <v>1232.4574029339003</v>
      </c>
      <c r="J11" s="41">
        <v>1009.8991691207557</v>
      </c>
      <c r="K11" s="42">
        <v>1329.5804056469585</v>
      </c>
      <c r="L11" s="41">
        <v>1008.2389339162413</v>
      </c>
      <c r="M11" s="42">
        <v>1441.3542987064452</v>
      </c>
      <c r="N11" s="41">
        <v>1006.4966546554019</v>
      </c>
      <c r="O11" s="42">
        <v>1571.1630335018474</v>
      </c>
      <c r="P11" s="41">
        <v>1004.6617822322855</v>
      </c>
      <c r="Q11" s="42">
        <v>1723.5153987112835</v>
      </c>
      <c r="R11" s="41">
        <v>1002.7248469791768</v>
      </c>
      <c r="S11" s="42">
        <v>1904.5709329888605</v>
      </c>
      <c r="T11" s="41">
        <v>1000.6801486495648</v>
      </c>
      <c r="U11" s="42">
        <v>2123.0007397122176</v>
      </c>
      <c r="V11" s="41">
        <v>998.53103088010153</v>
      </c>
      <c r="W11" s="42">
        <v>2391.4647743646806</v>
      </c>
      <c r="X11" s="41">
        <v>996.30012725821211</v>
      </c>
      <c r="Y11" s="42">
        <v>2729.2899339062151</v>
      </c>
      <c r="Z11" s="41">
        <v>994.0492650379482</v>
      </c>
      <c r="AA11" s="42">
        <v>3167.6391662680066</v>
      </c>
      <c r="AB11" s="41">
        <v>991.91803182458341</v>
      </c>
      <c r="AC11" s="42">
        <v>3760.2351228009829</v>
      </c>
      <c r="AD11" s="41">
        <v>990.1958749049802</v>
      </c>
      <c r="AE11" s="42">
        <v>4607.4696422677571</v>
      </c>
      <c r="AF11" s="41">
        <v>989.43721893154793</v>
      </c>
      <c r="AG11" s="42">
        <v>5915.3947708617752</v>
      </c>
      <c r="AH11" s="41">
        <v>990.54094312433972</v>
      </c>
      <c r="AI11" s="42">
        <v>8152.7270772479897</v>
      </c>
      <c r="AJ11" s="41">
        <v>994.41876185555952</v>
      </c>
      <c r="AK11" s="42">
        <v>12519.623144884028</v>
      </c>
      <c r="AL11" s="41">
        <v>1000.9911869278503</v>
      </c>
      <c r="AM11" s="42">
        <v>22792.628388155659</v>
      </c>
      <c r="AN11" s="41">
        <v>1009.1318449623047</v>
      </c>
      <c r="AO11" s="42">
        <v>57924.545892331334</v>
      </c>
      <c r="AP11" s="41">
        <v>1010.9501874134388</v>
      </c>
      <c r="AQ11" s="42">
        <v>75695.599554833287</v>
      </c>
      <c r="AR11" s="41">
        <v>1012.9462519045657</v>
      </c>
      <c r="AS11" s="42">
        <v>104071.75084925401</v>
      </c>
      <c r="AT11" s="41">
        <v>1015.3377892839467</v>
      </c>
      <c r="AU11" s="42">
        <v>154448.61214178306</v>
      </c>
      <c r="AV11" s="41">
        <v>1018.7777938356181</v>
      </c>
      <c r="AW11" s="42">
        <v>260958.40593464865</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1001.2137596539492</v>
      </c>
      <c r="E13" s="98">
        <v>1001.2137596539492</v>
      </c>
      <c r="F13" s="97">
        <v>1002.106926793467</v>
      </c>
      <c r="G13" s="98">
        <v>1002.106926793467</v>
      </c>
      <c r="H13" s="97">
        <v>1002.6331711630608</v>
      </c>
      <c r="I13" s="98">
        <v>1002.6331711630608</v>
      </c>
      <c r="J13" s="97">
        <v>1002.7361682775447</v>
      </c>
      <c r="K13" s="98">
        <v>1002.7361682775447</v>
      </c>
      <c r="L13" s="97">
        <v>1002.3467079274635</v>
      </c>
      <c r="M13" s="98">
        <v>1002.3467079274635</v>
      </c>
      <c r="N13" s="97">
        <v>1001.3783116299506</v>
      </c>
      <c r="O13" s="98">
        <v>1001.3783116299506</v>
      </c>
      <c r="P13" s="97">
        <v>999.72149216414516</v>
      </c>
      <c r="Q13" s="98">
        <v>999.72149216414516</v>
      </c>
      <c r="R13" s="97">
        <v>997.23465469689188</v>
      </c>
      <c r="S13" s="98">
        <v>997.23465469689188</v>
      </c>
      <c r="T13" s="97">
        <v>993.73071306553186</v>
      </c>
      <c r="U13" s="98">
        <v>993.73071306553186</v>
      </c>
      <c r="V13" s="97">
        <v>988.95558415646235</v>
      </c>
      <c r="W13" s="98">
        <v>988.95558415646235</v>
      </c>
      <c r="X13" s="97">
        <v>982.55264556437976</v>
      </c>
      <c r="Y13" s="98">
        <v>982.55264556437976</v>
      </c>
      <c r="Z13" s="97">
        <v>974.00070126025742</v>
      </c>
      <c r="AA13" s="98">
        <v>974.00070126025742</v>
      </c>
      <c r="AB13" s="97">
        <v>962.49936170484489</v>
      </c>
      <c r="AC13" s="98">
        <v>962.49936170484489</v>
      </c>
      <c r="AD13" s="97">
        <v>946.74348202518922</v>
      </c>
      <c r="AE13" s="98">
        <v>946.74348202518922</v>
      </c>
      <c r="AF13" s="97">
        <v>924.45103798210664</v>
      </c>
      <c r="AG13" s="98">
        <v>924.45103798210664</v>
      </c>
      <c r="AH13" s="97">
        <v>891.31538377804964</v>
      </c>
      <c r="AI13" s="98">
        <v>891.31538377804964</v>
      </c>
      <c r="AJ13" s="97">
        <v>838.47767234431205</v>
      </c>
      <c r="AK13" s="98">
        <v>838.47767234431205</v>
      </c>
      <c r="AL13" s="97">
        <v>745.01730224409448</v>
      </c>
      <c r="AM13" s="98">
        <v>745.01730224409448</v>
      </c>
      <c r="AN13" s="97">
        <v>545.85417683958769</v>
      </c>
      <c r="AO13" s="98">
        <v>545.85417683958769</v>
      </c>
      <c r="AP13" s="97">
        <v>476.69218805981717</v>
      </c>
      <c r="AQ13" s="98">
        <v>476.69218805981717</v>
      </c>
      <c r="AR13" s="97">
        <v>388.75804274087534</v>
      </c>
      <c r="AS13" s="98">
        <v>388.75804274087534</v>
      </c>
      <c r="AT13" s="97">
        <v>274.56280220057778</v>
      </c>
      <c r="AU13" s="98">
        <v>274.56280220057778</v>
      </c>
      <c r="AV13" s="97">
        <v>127.54210393789278</v>
      </c>
      <c r="AW13" s="98">
        <v>127.54210393789278</v>
      </c>
    </row>
    <row r="14" spans="1:49" x14ac:dyDescent="0.2">
      <c r="A14" t="s">
        <v>36</v>
      </c>
      <c r="B14" s="41">
        <v>1457.0034251455234</v>
      </c>
      <c r="C14" s="42">
        <v>1457.0034251455236</v>
      </c>
      <c r="D14" s="41">
        <v>1458.7718771186308</v>
      </c>
      <c r="E14" s="42">
        <v>1458.771877118631</v>
      </c>
      <c r="F14" s="41">
        <v>1460.0732247001356</v>
      </c>
      <c r="G14" s="42">
        <v>1460.0732247001358</v>
      </c>
      <c r="H14" s="41">
        <v>1460.8399645490972</v>
      </c>
      <c r="I14" s="42">
        <v>1460.8399645490974</v>
      </c>
      <c r="J14" s="41">
        <v>1460.9900316976805</v>
      </c>
      <c r="K14" s="42">
        <v>1460.9900316976807</v>
      </c>
      <c r="L14" s="41">
        <v>1460.4225866336537</v>
      </c>
      <c r="M14" s="42">
        <v>1460.422586633654</v>
      </c>
      <c r="N14" s="41">
        <v>1459.0116299112792</v>
      </c>
      <c r="O14" s="42">
        <v>1459.0116299112794</v>
      </c>
      <c r="P14" s="41">
        <v>1456.5976382747529</v>
      </c>
      <c r="Q14" s="42">
        <v>1456.5976382747531</v>
      </c>
      <c r="R14" s="41">
        <v>1452.9743075671847</v>
      </c>
      <c r="S14" s="42">
        <v>1452.974307567185</v>
      </c>
      <c r="T14" s="41">
        <v>1447.869052608783</v>
      </c>
      <c r="U14" s="42">
        <v>1447.8690526087832</v>
      </c>
      <c r="V14" s="41">
        <v>1440.9116734327574</v>
      </c>
      <c r="W14" s="42">
        <v>1440.9116734327577</v>
      </c>
      <c r="X14" s="41">
        <v>1431.5825699730967</v>
      </c>
      <c r="Y14" s="42">
        <v>1431.582569973097</v>
      </c>
      <c r="Z14" s="41">
        <v>1419.1223578303366</v>
      </c>
      <c r="AA14" s="42">
        <v>1419.1223578303368</v>
      </c>
      <c r="AB14" s="41">
        <v>1402.364866704339</v>
      </c>
      <c r="AC14" s="42">
        <v>1402.3648667043392</v>
      </c>
      <c r="AD14" s="41">
        <v>1379.4084960448999</v>
      </c>
      <c r="AE14" s="42">
        <v>1379.4084960448999</v>
      </c>
      <c r="AF14" s="41">
        <v>1346.9283287192636</v>
      </c>
      <c r="AG14" s="42">
        <v>1346.9283287192638</v>
      </c>
      <c r="AH14" s="41">
        <v>1298.6495670495149</v>
      </c>
      <c r="AI14" s="42">
        <v>1298.6495670495151</v>
      </c>
      <c r="AJ14" s="41">
        <v>1221.6648405137084</v>
      </c>
      <c r="AK14" s="42">
        <v>1221.6648405137087</v>
      </c>
      <c r="AL14" s="41">
        <v>1085.4927611623232</v>
      </c>
      <c r="AM14" s="42">
        <v>1085.4927611623234</v>
      </c>
      <c r="AN14" s="41">
        <v>795.31140528526942</v>
      </c>
      <c r="AO14" s="42">
        <v>795.31140528526953</v>
      </c>
      <c r="AP14" s="41">
        <v>694.54215074326748</v>
      </c>
      <c r="AQ14" s="42">
        <v>694.5421507432676</v>
      </c>
      <c r="AR14" s="41">
        <v>566.42179982632513</v>
      </c>
      <c r="AS14" s="42">
        <v>566.42179982632524</v>
      </c>
      <c r="AT14" s="41">
        <v>400.03894322379466</v>
      </c>
      <c r="AU14" s="42">
        <v>400.03894322379472</v>
      </c>
      <c r="AV14" s="41">
        <v>185.8292822877761</v>
      </c>
      <c r="AW14" s="42">
        <v>185.82928228777612</v>
      </c>
    </row>
    <row r="15" spans="1:49" x14ac:dyDescent="0.2">
      <c r="A15" t="s">
        <v>18</v>
      </c>
      <c r="B15" s="154">
        <v>1000</v>
      </c>
      <c r="C15" s="155">
        <v>1000</v>
      </c>
      <c r="D15" s="154">
        <v>989.69631286594711</v>
      </c>
      <c r="E15" s="155">
        <v>989.69631286594711</v>
      </c>
      <c r="F15" s="154">
        <v>979.15064461143231</v>
      </c>
      <c r="G15" s="155">
        <v>979.15064461143231</v>
      </c>
      <c r="H15" s="154">
        <v>968.32499756270113</v>
      </c>
      <c r="I15" s="155">
        <v>968.32499756270113</v>
      </c>
      <c r="J15" s="154">
        <v>957.17416188718141</v>
      </c>
      <c r="K15" s="155">
        <v>957.17416188718141</v>
      </c>
      <c r="L15" s="154">
        <v>945.64399224605381</v>
      </c>
      <c r="M15" s="155">
        <v>945.64399224605381</v>
      </c>
      <c r="N15" s="154">
        <v>933.66948019644531</v>
      </c>
      <c r="O15" s="155">
        <v>933.66948019644531</v>
      </c>
      <c r="P15" s="154">
        <v>921.17165892260391</v>
      </c>
      <c r="Q15" s="155">
        <v>921.17165892260391</v>
      </c>
      <c r="R15" s="154">
        <v>908.05386745300962</v>
      </c>
      <c r="S15" s="155">
        <v>908.05386745300962</v>
      </c>
      <c r="T15" s="154">
        <v>894.19572092159001</v>
      </c>
      <c r="U15" s="155">
        <v>894.19572092159001</v>
      </c>
      <c r="V15" s="154">
        <v>879.4438590665834</v>
      </c>
      <c r="W15" s="155">
        <v>879.4438590665834</v>
      </c>
      <c r="X15" s="154">
        <v>863.59588498007247</v>
      </c>
      <c r="Y15" s="155">
        <v>863.59588498007247</v>
      </c>
      <c r="Z15" s="154">
        <v>846.37006756191113</v>
      </c>
      <c r="AA15" s="155">
        <v>846.37006756191113</v>
      </c>
      <c r="AB15" s="154">
        <v>827.34217275193703</v>
      </c>
      <c r="AC15" s="155">
        <v>827.34217275193703</v>
      </c>
      <c r="AD15" s="154">
        <v>805.79981562489547</v>
      </c>
      <c r="AE15" s="155">
        <v>805.79981562489547</v>
      </c>
      <c r="AF15" s="154">
        <v>780.37389986396704</v>
      </c>
      <c r="AG15" s="155">
        <v>780.37389986396704</v>
      </c>
      <c r="AH15" s="154">
        <v>748.05458492150967</v>
      </c>
      <c r="AI15" s="155">
        <v>748.05458492150967</v>
      </c>
      <c r="AJ15" s="154">
        <v>701.61961621401349</v>
      </c>
      <c r="AK15" s="155">
        <v>701.61961621401349</v>
      </c>
      <c r="AL15" s="154">
        <v>622.85560451380741</v>
      </c>
      <c r="AM15" s="155">
        <v>622.85560451380741</v>
      </c>
      <c r="AN15" s="154">
        <v>456.29677247261196</v>
      </c>
      <c r="AO15" s="155">
        <v>456.29677247261196</v>
      </c>
      <c r="AP15" s="154">
        <v>398.48127924022879</v>
      </c>
      <c r="AQ15" s="155">
        <v>398.48127924022879</v>
      </c>
      <c r="AR15" s="154">
        <v>324.97425644922112</v>
      </c>
      <c r="AS15" s="155">
        <v>324.97425644922112</v>
      </c>
      <c r="AT15" s="154">
        <v>229.51505581255032</v>
      </c>
      <c r="AU15" s="155">
        <v>229.51505581255032</v>
      </c>
      <c r="AV15" s="154">
        <v>106.61616090343978</v>
      </c>
      <c r="AW15" s="155">
        <v>106.61616090343978</v>
      </c>
    </row>
    <row r="16" spans="1:49" s="29" customFormat="1" x14ac:dyDescent="0.2">
      <c r="A16" t="s">
        <v>61</v>
      </c>
      <c r="B16" s="41">
        <v>1000</v>
      </c>
      <c r="C16" s="42">
        <v>1000</v>
      </c>
      <c r="D16" s="41">
        <v>995.8344393014612</v>
      </c>
      <c r="E16" s="42">
        <v>992.98267142693783</v>
      </c>
      <c r="F16" s="41">
        <v>991.38003077993733</v>
      </c>
      <c r="G16" s="42">
        <v>985.6988892258122</v>
      </c>
      <c r="H16" s="41">
        <v>986.59436784818195</v>
      </c>
      <c r="I16" s="42">
        <v>978.10828633784126</v>
      </c>
      <c r="J16" s="41">
        <v>981.42635510223624</v>
      </c>
      <c r="K16" s="42">
        <v>970.16249218670157</v>
      </c>
      <c r="L16" s="41">
        <v>975.81386861150577</v>
      </c>
      <c r="M16" s="42">
        <v>961.80307859864547</v>
      </c>
      <c r="N16" s="41">
        <v>969.68052767724373</v>
      </c>
      <c r="O16" s="42">
        <v>952.9589348542645</v>
      </c>
      <c r="P16" s="41">
        <v>962.93120811364781</v>
      </c>
      <c r="Q16" s="42">
        <v>943.54242531502757</v>
      </c>
      <c r="R16" s="41">
        <v>955.44547515211764</v>
      </c>
      <c r="S16" s="42">
        <v>933.44413445859345</v>
      </c>
      <c r="T16" s="41">
        <v>947.06768236401376</v>
      </c>
      <c r="U16" s="42">
        <v>922.52475881991916</v>
      </c>
      <c r="V16" s="41">
        <v>937.59126964852214</v>
      </c>
      <c r="W16" s="42">
        <v>910.60239230863817</v>
      </c>
      <c r="X16" s="41">
        <v>926.73245437732601</v>
      </c>
      <c r="Y16" s="42">
        <v>897.43096333170297</v>
      </c>
      <c r="Z16" s="41">
        <v>914.08324407419718</v>
      </c>
      <c r="AA16" s="42">
        <v>882.66097261593177</v>
      </c>
      <c r="AB16" s="41">
        <v>899.02120902052366</v>
      </c>
      <c r="AC16" s="42">
        <v>865.76180059021351</v>
      </c>
      <c r="AD16" s="41">
        <v>880.52177902590017</v>
      </c>
      <c r="AE16" s="42">
        <v>845.85347554241559</v>
      </c>
      <c r="AF16" s="41">
        <v>856.73505875555406</v>
      </c>
      <c r="AG16" s="42">
        <v>821.30880418658694</v>
      </c>
      <c r="AH16" s="41">
        <v>823.96767031773209</v>
      </c>
      <c r="AI16" s="42">
        <v>788.75108763486082</v>
      </c>
      <c r="AJ16" s="41">
        <v>774.13237032450149</v>
      </c>
      <c r="AK16" s="42">
        <v>740.49410292095536</v>
      </c>
      <c r="AL16" s="41">
        <v>687.57962120830757</v>
      </c>
      <c r="AM16" s="42">
        <v>657.55474242966568</v>
      </c>
      <c r="AN16" s="41">
        <v>503.74610846582044</v>
      </c>
      <c r="AO16" s="42">
        <v>481.7348182671854</v>
      </c>
      <c r="AP16" s="41">
        <v>439.91900799627342</v>
      </c>
      <c r="AQ16" s="42">
        <v>420.69644486231476</v>
      </c>
      <c r="AR16" s="41">
        <v>358.76820166558991</v>
      </c>
      <c r="AS16" s="42">
        <v>343.0915161715069</v>
      </c>
      <c r="AT16" s="41">
        <v>253.38226644614983</v>
      </c>
      <c r="AU16" s="42">
        <v>242.3104974666474</v>
      </c>
      <c r="AV16" s="41">
        <v>117.70315036180035</v>
      </c>
      <c r="AW16" s="42">
        <v>112.56000276777645</v>
      </c>
    </row>
    <row r="17" spans="1:49" x14ac:dyDescent="0.2">
      <c r="A17" t="s">
        <v>62</v>
      </c>
      <c r="B17" s="35">
        <v>1000.0000000000002</v>
      </c>
      <c r="C17" s="36">
        <v>999.99999999999977</v>
      </c>
      <c r="D17" s="35">
        <v>998.72470860907185</v>
      </c>
      <c r="E17" s="36">
        <v>1031.7881351672081</v>
      </c>
      <c r="F17" s="35">
        <v>997.4091813500736</v>
      </c>
      <c r="G17" s="36">
        <v>1067.5343799608149</v>
      </c>
      <c r="H17" s="35">
        <v>996.04710693281311</v>
      </c>
      <c r="I17" s="36">
        <v>1107.9641345399152</v>
      </c>
      <c r="J17" s="35">
        <v>994.63122039167388</v>
      </c>
      <c r="K17" s="36">
        <v>1153.9904487170254</v>
      </c>
      <c r="L17" s="35">
        <v>993.1533363180863</v>
      </c>
      <c r="M17" s="36">
        <v>1206.7800599159259</v>
      </c>
      <c r="N17" s="35">
        <v>991.60457305793329</v>
      </c>
      <c r="O17" s="36">
        <v>1267.8513481008831</v>
      </c>
      <c r="P17" s="35">
        <v>989.97589477740928</v>
      </c>
      <c r="Q17" s="36">
        <v>1339.221817607835</v>
      </c>
      <c r="R17" s="35">
        <v>988.25929472964003</v>
      </c>
      <c r="S17" s="36">
        <v>1423.6408820110466</v>
      </c>
      <c r="T17" s="35">
        <v>986.45018036820545</v>
      </c>
      <c r="U17" s="36">
        <v>1524.97042225979</v>
      </c>
      <c r="V17" s="35">
        <v>984.55200151173074</v>
      </c>
      <c r="W17" s="36">
        <v>1648.8370752364663</v>
      </c>
      <c r="X17" s="35">
        <v>982.58520632575676</v>
      </c>
      <c r="Y17" s="36">
        <v>1803.8123531508247</v>
      </c>
      <c r="Z17" s="35">
        <v>980.60456865065544</v>
      </c>
      <c r="AA17" s="36">
        <v>2003.6839173601625</v>
      </c>
      <c r="AB17" s="35">
        <v>978.73269054724835</v>
      </c>
      <c r="AC17" s="36">
        <v>2272.1489520756354</v>
      </c>
      <c r="AD17" s="35">
        <v>977.22259905894805</v>
      </c>
      <c r="AE17" s="36">
        <v>2653.3103406433688</v>
      </c>
      <c r="AF17" s="35">
        <v>976.55807197963952</v>
      </c>
      <c r="AG17" s="36">
        <v>3237.181302946125</v>
      </c>
      <c r="AH17" s="35">
        <v>977.52499666347217</v>
      </c>
      <c r="AI17" s="36">
        <v>4227.0005550345186</v>
      </c>
      <c r="AJ17" s="35">
        <v>980.92944648816945</v>
      </c>
      <c r="AK17" s="36">
        <v>6138.7901707635965</v>
      </c>
      <c r="AL17" s="35">
        <v>986.72518187146989</v>
      </c>
      <c r="AM17" s="36">
        <v>10585.851581724601</v>
      </c>
      <c r="AN17" s="35">
        <v>993.94792571933169</v>
      </c>
      <c r="AO17" s="36">
        <v>25643.492576934033</v>
      </c>
      <c r="AP17" s="35">
        <v>995.56783100855</v>
      </c>
      <c r="AQ17" s="36">
        <v>33234.385759502911</v>
      </c>
      <c r="AR17" s="35">
        <v>997.34881339023036</v>
      </c>
      <c r="AS17" s="36">
        <v>45344.724147060908</v>
      </c>
      <c r="AT17" s="35">
        <v>999.48642963488214</v>
      </c>
      <c r="AU17" s="36">
        <v>66834.748994412614</v>
      </c>
      <c r="AV17" s="35">
        <v>1002.5683708915831</v>
      </c>
      <c r="AW17" s="36">
        <v>112279.69734253567</v>
      </c>
    </row>
    <row r="18" spans="1:49" x14ac:dyDescent="0.2">
      <c r="A18" t="s">
        <v>19</v>
      </c>
      <c r="B18" s="33">
        <v>27857.010133999996</v>
      </c>
      <c r="C18" s="34">
        <v>1236.7674480000003</v>
      </c>
      <c r="D18" s="33">
        <v>27866.916658612721</v>
      </c>
      <c r="E18" s="34">
        <v>1151.4084715967419</v>
      </c>
      <c r="F18" s="33">
        <v>27873.189966647009</v>
      </c>
      <c r="G18" s="34">
        <v>1066.0586151265591</v>
      </c>
      <c r="H18" s="33">
        <v>27875.287321069234</v>
      </c>
      <c r="I18" s="34">
        <v>980.74335121425679</v>
      </c>
      <c r="J18" s="33">
        <v>27872.541249816277</v>
      </c>
      <c r="K18" s="34">
        <v>895.5007319021297</v>
      </c>
      <c r="L18" s="33">
        <v>27864.118249530002</v>
      </c>
      <c r="M18" s="34">
        <v>810.38771922118553</v>
      </c>
      <c r="N18" s="33">
        <v>27848.956069360243</v>
      </c>
      <c r="O18" s="34">
        <v>725.49333745193292</v>
      </c>
      <c r="P18" s="33">
        <v>27825.673919252324</v>
      </c>
      <c r="Q18" s="34">
        <v>640.95362828871157</v>
      </c>
      <c r="R18" s="33">
        <v>27792.429490985745</v>
      </c>
      <c r="S18" s="34">
        <v>556.98102703840993</v>
      </c>
      <c r="T18" s="33">
        <v>27746.694600372022</v>
      </c>
      <c r="U18" s="34">
        <v>473.90534549223946</v>
      </c>
      <c r="V18" s="33">
        <v>27684.882557905403</v>
      </c>
      <c r="W18" s="34">
        <v>392.24072611612473</v>
      </c>
      <c r="X18" s="33">
        <v>27601.707199419256</v>
      </c>
      <c r="Y18" s="34">
        <v>312.78963192926176</v>
      </c>
      <c r="Z18" s="33">
        <v>27489.028133608335</v>
      </c>
      <c r="AA18" s="34">
        <v>236.80432538354157</v>
      </c>
      <c r="AB18" s="33">
        <v>27333.669094072011</v>
      </c>
      <c r="AC18" s="34">
        <v>166.22526868294219</v>
      </c>
      <c r="AD18" s="33">
        <v>27113.106916533416</v>
      </c>
      <c r="AE18" s="34">
        <v>103.97731105049812</v>
      </c>
      <c r="AF18" s="33">
        <v>26786.698083268184</v>
      </c>
      <c r="AG18" s="34">
        <v>54.093024256910283</v>
      </c>
      <c r="AH18" s="33">
        <v>26277.719175845985</v>
      </c>
      <c r="AI18" s="34">
        <v>20.759745790156444</v>
      </c>
      <c r="AJ18" s="33">
        <v>25433.83538567619</v>
      </c>
      <c r="AK18" s="34">
        <v>4.8256447984849373</v>
      </c>
      <c r="AL18" s="33">
        <v>23896.903974559194</v>
      </c>
      <c r="AM18" s="34">
        <v>0.48829721605586218</v>
      </c>
      <c r="AN18" s="33">
        <v>20374.715049832768</v>
      </c>
      <c r="AO18" s="34">
        <v>9.3211256978915132E-3</v>
      </c>
      <c r="AP18" s="33">
        <v>19023.63057742206</v>
      </c>
      <c r="AQ18" s="34">
        <v>2.7892693248547946E-3</v>
      </c>
      <c r="AR18" s="33">
        <v>17163.222120101258</v>
      </c>
      <c r="AS18" s="34">
        <v>6.3704060998205051E-4</v>
      </c>
      <c r="AT18" s="33">
        <v>14407.32144538178</v>
      </c>
      <c r="AU18" s="34">
        <v>9.4971499621107719E-5</v>
      </c>
      <c r="AV18" s="33">
        <v>9803.3875446645507</v>
      </c>
      <c r="AW18" s="34">
        <v>6.2939905136281114E-6</v>
      </c>
    </row>
    <row r="19" spans="1:49" x14ac:dyDescent="0.2">
      <c r="A19" t="s">
        <v>3</v>
      </c>
      <c r="B19" s="41">
        <v>1886.3937399999918</v>
      </c>
      <c r="C19" s="42">
        <v>262.78711299999759</v>
      </c>
      <c r="D19" s="41">
        <v>1880.7148533285131</v>
      </c>
      <c r="E19" s="42">
        <v>268.25474965809082</v>
      </c>
      <c r="F19" s="41">
        <v>1874.5901384183833</v>
      </c>
      <c r="G19" s="42">
        <v>274.60672638819068</v>
      </c>
      <c r="H19" s="41">
        <v>1867.9545649885965</v>
      </c>
      <c r="I19" s="42">
        <v>281.95488306262376</v>
      </c>
      <c r="J19" s="41">
        <v>1860.7308162058109</v>
      </c>
      <c r="K19" s="42">
        <v>290.42406175809691</v>
      </c>
      <c r="L19" s="41">
        <v>1852.8270126117122</v>
      </c>
      <c r="M19" s="42">
        <v>300.15039529658884</v>
      </c>
      <c r="N19" s="41">
        <v>1844.1340303025486</v>
      </c>
      <c r="O19" s="42">
        <v>311.27691551628061</v>
      </c>
      <c r="P19" s="41">
        <v>1834.5228419053396</v>
      </c>
      <c r="Q19" s="42">
        <v>323.94290302680992</v>
      </c>
      <c r="R19" s="41">
        <v>1823.8417524025672</v>
      </c>
      <c r="S19" s="42">
        <v>338.26284137097377</v>
      </c>
      <c r="T19" s="41">
        <v>1811.9145199096392</v>
      </c>
      <c r="U19" s="42">
        <v>354.28586974793194</v>
      </c>
      <c r="V19" s="41">
        <v>1798.5403075613774</v>
      </c>
      <c r="W19" s="42">
        <v>371.91811043286481</v>
      </c>
      <c r="X19" s="41">
        <v>1783.4978135222984</v>
      </c>
      <c r="Y19" s="42">
        <v>390.77548713903434</v>
      </c>
      <c r="Z19" s="41">
        <v>1766.5570852548046</v>
      </c>
      <c r="AA19" s="42">
        <v>409.90307836016547</v>
      </c>
      <c r="AB19" s="41">
        <v>1747.5018588125149</v>
      </c>
      <c r="AC19" s="42">
        <v>427.24194841031374</v>
      </c>
      <c r="AD19" s="41">
        <v>1726.1465406759862</v>
      </c>
      <c r="AE19" s="42">
        <v>438.65526011232993</v>
      </c>
      <c r="AF19" s="41">
        <v>1702.2132546094865</v>
      </c>
      <c r="AG19" s="42">
        <v>436.43491145011416</v>
      </c>
      <c r="AH19" s="41">
        <v>1674.3694724591949</v>
      </c>
      <c r="AI19" s="42">
        <v>408.45985959445653</v>
      </c>
      <c r="AJ19" s="41">
        <v>1635.9475748916536</v>
      </c>
      <c r="AK19" s="42">
        <v>343.03294707504034</v>
      </c>
      <c r="AL19" s="41">
        <v>1561.6837325388456</v>
      </c>
      <c r="AM19" s="42">
        <v>242.13982162123162</v>
      </c>
      <c r="AN19" s="41">
        <v>1357.7043369023572</v>
      </c>
      <c r="AO19" s="42">
        <v>123.06339398188976</v>
      </c>
      <c r="AP19" s="41">
        <v>1273.1683101067933</v>
      </c>
      <c r="AQ19" s="42">
        <v>98.529545574411841</v>
      </c>
      <c r="AR19" s="41">
        <v>1154.1144426150111</v>
      </c>
      <c r="AS19" s="42">
        <v>73.929148495298264</v>
      </c>
      <c r="AT19" s="41">
        <v>974.29865844519475</v>
      </c>
      <c r="AU19" s="42">
        <v>49.296097626402371</v>
      </c>
      <c r="AV19" s="41">
        <v>668.3584633052302</v>
      </c>
      <c r="AW19" s="42">
        <v>24.649928828436583</v>
      </c>
    </row>
    <row r="20" spans="1:49" x14ac:dyDescent="0.2">
      <c r="A20" t="s">
        <v>127</v>
      </c>
      <c r="B20" s="82">
        <v>26548.356269999993</v>
      </c>
      <c r="C20" s="83">
        <v>1408.5418709999938</v>
      </c>
      <c r="D20" s="82">
        <v>26542.873788052253</v>
      </c>
      <c r="E20" s="83">
        <v>1338.1147774499941</v>
      </c>
      <c r="F20" s="82">
        <v>26533.39108233459</v>
      </c>
      <c r="G20" s="83">
        <v>1267.6876838999945</v>
      </c>
      <c r="H20" s="82">
        <v>26519.316737944515</v>
      </c>
      <c r="I20" s="83">
        <v>1197.2605903499943</v>
      </c>
      <c r="J20" s="82">
        <v>26499.929591976019</v>
      </c>
      <c r="K20" s="83">
        <v>1126.8334967999951</v>
      </c>
      <c r="L20" s="82">
        <v>26474.340198970243</v>
      </c>
      <c r="M20" s="83">
        <v>1056.4064032499953</v>
      </c>
      <c r="N20" s="82">
        <v>26441.434344847028</v>
      </c>
      <c r="O20" s="83">
        <v>985.97930969999561</v>
      </c>
      <c r="P20" s="82">
        <v>26399.795309149991</v>
      </c>
      <c r="Q20" s="83">
        <v>915.55221614999596</v>
      </c>
      <c r="R20" s="82">
        <v>26347.584130101757</v>
      </c>
      <c r="S20" s="83">
        <v>845.12512259999642</v>
      </c>
      <c r="T20" s="82">
        <v>26282.358571699409</v>
      </c>
      <c r="U20" s="83">
        <v>774.69802904999653</v>
      </c>
      <c r="V20" s="82">
        <v>26200.781383320686</v>
      </c>
      <c r="W20" s="83">
        <v>704.27093549999688</v>
      </c>
      <c r="X20" s="82">
        <v>26098.131154626088</v>
      </c>
      <c r="Y20" s="83">
        <v>633.84384194999734</v>
      </c>
      <c r="Z20" s="82">
        <v>25967.435318671229</v>
      </c>
      <c r="AA20" s="83">
        <v>563.41674839999757</v>
      </c>
      <c r="AB20" s="82">
        <v>25797.835877406476</v>
      </c>
      <c r="AC20" s="83">
        <v>492.98965484999775</v>
      </c>
      <c r="AD20" s="82">
        <v>25571.289932845244</v>
      </c>
      <c r="AE20" s="83">
        <v>422.56256129999798</v>
      </c>
      <c r="AF20" s="82">
        <v>25255.425033156065</v>
      </c>
      <c r="AG20" s="83">
        <v>352.13546774999827</v>
      </c>
      <c r="AH20" s="82">
        <v>24786.981009740888</v>
      </c>
      <c r="AI20" s="83">
        <v>281.70837419999856</v>
      </c>
      <c r="AJ20" s="82">
        <v>24029.678633501553</v>
      </c>
      <c r="AK20" s="83">
        <v>211.28128064999879</v>
      </c>
      <c r="AL20" s="82">
        <v>22638.611073771441</v>
      </c>
      <c r="AM20" s="83">
        <v>140.85418709999902</v>
      </c>
      <c r="AN20" s="82">
        <v>19365.404919117587</v>
      </c>
      <c r="AO20" s="83">
        <v>70.42709354999927</v>
      </c>
      <c r="AP20" s="82">
        <v>18094.371624749208</v>
      </c>
      <c r="AQ20" s="83">
        <v>56.341674839999335</v>
      </c>
      <c r="AR20" s="82">
        <v>16337.788584506881</v>
      </c>
      <c r="AS20" s="83">
        <v>42.256256129999379</v>
      </c>
      <c r="AT20" s="82">
        <v>13727.397313937516</v>
      </c>
      <c r="AU20" s="83">
        <v>28.170837419999433</v>
      </c>
      <c r="AV20" s="82">
        <v>9353.361314538517</v>
      </c>
      <c r="AW20" s="83">
        <v>14.08541870999948</v>
      </c>
    </row>
    <row r="21" spans="1:49" x14ac:dyDescent="0.2">
      <c r="A21" t="s">
        <v>76</v>
      </c>
      <c r="B21" s="82">
        <v>24661.962529999968</v>
      </c>
      <c r="C21" s="83">
        <v>1145.7547579999991</v>
      </c>
      <c r="D21" s="82">
        <v>24662.162932496754</v>
      </c>
      <c r="E21" s="83">
        <v>1070.0673692196488</v>
      </c>
      <c r="F21" s="82">
        <v>24658.817457107427</v>
      </c>
      <c r="G21" s="83">
        <v>993.97123315794624</v>
      </c>
      <c r="H21" s="82">
        <v>24651.400640084536</v>
      </c>
      <c r="I21" s="83">
        <v>917.4619738391051</v>
      </c>
      <c r="J21" s="82">
        <v>24639.269774346692</v>
      </c>
      <c r="K21" s="83">
        <v>840.54788889556107</v>
      </c>
      <c r="L21" s="82">
        <v>24621.628696439853</v>
      </c>
      <c r="M21" s="83">
        <v>763.25779822611014</v>
      </c>
      <c r="N21" s="82">
        <v>24597.47402303066</v>
      </c>
      <c r="O21" s="83">
        <v>685.65259586401726</v>
      </c>
      <c r="P21" s="82">
        <v>24565.520090090584</v>
      </c>
      <c r="Q21" s="83">
        <v>607.84350978857015</v>
      </c>
      <c r="R21" s="82">
        <v>24524.081936338462</v>
      </c>
      <c r="S21" s="83">
        <v>530.01981494381812</v>
      </c>
      <c r="T21" s="82">
        <v>24470.895953954809</v>
      </c>
      <c r="U21" s="83">
        <v>452.49153455874711</v>
      </c>
      <c r="V21" s="82">
        <v>24402.827671842064</v>
      </c>
      <c r="W21" s="83">
        <v>375.75618730192809</v>
      </c>
      <c r="X21" s="82">
        <v>24315.377261192076</v>
      </c>
      <c r="Y21" s="83">
        <v>300.60261920335341</v>
      </c>
      <c r="Z21" s="82">
        <v>24201.798085994425</v>
      </c>
      <c r="AA21" s="83">
        <v>228.27146865470638</v>
      </c>
      <c r="AB21" s="82">
        <v>24051.434718030625</v>
      </c>
      <c r="AC21" s="83">
        <v>160.69181735555</v>
      </c>
      <c r="AD21" s="82">
        <v>23846.396665439446</v>
      </c>
      <c r="AE21" s="83">
        <v>100.77544341251061</v>
      </c>
      <c r="AF21" s="82">
        <v>23554.523681848921</v>
      </c>
      <c r="AG21" s="83">
        <v>52.543874900515576</v>
      </c>
      <c r="AH21" s="82">
        <v>23113.793987014113</v>
      </c>
      <c r="AI21" s="83">
        <v>20.200324477220121</v>
      </c>
      <c r="AJ21" s="82">
        <v>22394.553739934589</v>
      </c>
      <c r="AK21" s="83">
        <v>4.7009399703342964</v>
      </c>
      <c r="AL21" s="82">
        <v>21077.300857121623</v>
      </c>
      <c r="AM21" s="83">
        <v>0.47593498029268261</v>
      </c>
      <c r="AN21" s="82">
        <v>18007.766553959354</v>
      </c>
      <c r="AO21" s="83">
        <v>9.0865025805880687E-3</v>
      </c>
      <c r="AP21" s="82">
        <v>16821.236325852777</v>
      </c>
      <c r="AQ21" s="83">
        <v>2.7190806492739111E-3</v>
      </c>
      <c r="AR21" s="82">
        <v>15183.684789734309</v>
      </c>
      <c r="AS21" s="83">
        <v>6.2101270521931903E-4</v>
      </c>
      <c r="AT21" s="82">
        <v>12753.098990568265</v>
      </c>
      <c r="AU21" s="83">
        <v>9.2582188745090862E-5</v>
      </c>
      <c r="AV21" s="82">
        <v>8685.0085456155157</v>
      </c>
      <c r="AW21" s="83">
        <v>6.1356490857666701E-6</v>
      </c>
    </row>
    <row r="22" spans="1:49" x14ac:dyDescent="0.2">
      <c r="A22" t="s">
        <v>28</v>
      </c>
      <c r="B22" s="41">
        <v>6533.6044688320644</v>
      </c>
      <c r="C22" s="42">
        <v>379.90788307663382</v>
      </c>
      <c r="D22" s="41">
        <v>6499.0854399041064</v>
      </c>
      <c r="E22" s="42">
        <v>363.09599643612017</v>
      </c>
      <c r="F22" s="41">
        <v>6462.3366700477363</v>
      </c>
      <c r="G22" s="42">
        <v>346.14537985067352</v>
      </c>
      <c r="H22" s="41">
        <v>6423.0403375985625</v>
      </c>
      <c r="I22" s="42">
        <v>329.05136933807074</v>
      </c>
      <c r="J22" s="41">
        <v>6380.8124734035455</v>
      </c>
      <c r="K22" s="42">
        <v>311.80826609101291</v>
      </c>
      <c r="L22" s="41">
        <v>6335.1833654609618</v>
      </c>
      <c r="M22" s="42">
        <v>294.4087478952132</v>
      </c>
      <c r="N22" s="41">
        <v>6285.5686492370996</v>
      </c>
      <c r="O22" s="42">
        <v>276.84271419551533</v>
      </c>
      <c r="P22" s="41">
        <v>6231.228688450994</v>
      </c>
      <c r="Q22" s="42">
        <v>259.095893301883</v>
      </c>
      <c r="R22" s="41">
        <v>6171.2042218791776</v>
      </c>
      <c r="S22" s="42">
        <v>241.14735531745868</v>
      </c>
      <c r="T22" s="41">
        <v>6104.2179487320409</v>
      </c>
      <c r="U22" s="42">
        <v>222.96594210149576</v>
      </c>
      <c r="V22" s="41">
        <v>6028.5113173368209</v>
      </c>
      <c r="W22" s="42">
        <v>204.50482852704482</v>
      </c>
      <c r="X22" s="41">
        <v>5941.5662051972067</v>
      </c>
      <c r="Y22" s="42">
        <v>185.69346360650113</v>
      </c>
      <c r="Z22" s="41">
        <v>5839.6058882200896</v>
      </c>
      <c r="AA22" s="42">
        <v>166.426142156515</v>
      </c>
      <c r="AB22" s="41">
        <v>5716.6581290455842</v>
      </c>
      <c r="AC22" s="42">
        <v>146.54778635859799</v>
      </c>
      <c r="AD22" s="41">
        <v>5562.7225715892791</v>
      </c>
      <c r="AE22" s="42">
        <v>125.8441782386263</v>
      </c>
      <c r="AF22" s="41">
        <v>5360.1316826543807</v>
      </c>
      <c r="AG22" s="42">
        <v>104.06871061015647</v>
      </c>
      <c r="AH22" s="41">
        <v>5076.5761130889796</v>
      </c>
      <c r="AI22" s="42">
        <v>81.101012713554056</v>
      </c>
      <c r="AJ22" s="41">
        <v>4652.1882896208263</v>
      </c>
      <c r="AK22" s="42">
        <v>57.347152697419141</v>
      </c>
      <c r="AL22" s="41">
        <v>3966.0604068832463</v>
      </c>
      <c r="AM22" s="42">
        <v>34.059255706133698</v>
      </c>
      <c r="AN22" s="41">
        <v>2691.1034791422603</v>
      </c>
      <c r="AO22" s="42">
        <v>13.148020672092647</v>
      </c>
      <c r="AP22" s="41">
        <v>2291.0957026705901</v>
      </c>
      <c r="AQ22" s="42">
        <v>9.5183848418330168</v>
      </c>
      <c r="AR22" s="41">
        <v>1808.4311669475419</v>
      </c>
      <c r="AS22" s="42">
        <v>6.1944764575228461</v>
      </c>
      <c r="AT22" s="41">
        <v>1221.6168088997956</v>
      </c>
      <c r="AU22" s="42">
        <v>3.2936477700106535</v>
      </c>
      <c r="AV22" s="41">
        <v>530.76989118991003</v>
      </c>
      <c r="AW22" s="42">
        <v>1.0413440306451343</v>
      </c>
    </row>
    <row r="23" spans="1:49" x14ac:dyDescent="0.2">
      <c r="A23" t="s">
        <v>7</v>
      </c>
      <c r="B23" s="116">
        <v>3278.5018080150408</v>
      </c>
      <c r="C23" s="8">
        <v>0</v>
      </c>
      <c r="D23" s="116">
        <v>3283.6914151978908</v>
      </c>
      <c r="E23" s="8">
        <v>0</v>
      </c>
      <c r="F23" s="116">
        <v>3288.4862933306222</v>
      </c>
      <c r="G23" s="8">
        <v>0</v>
      </c>
      <c r="H23" s="116">
        <v>3292.8241743321851</v>
      </c>
      <c r="I23" s="8">
        <v>0</v>
      </c>
      <c r="J23" s="116">
        <v>3296.6284818922295</v>
      </c>
      <c r="K23" s="8">
        <v>0</v>
      </c>
      <c r="L23" s="116">
        <v>3299.8042204705998</v>
      </c>
      <c r="M23" s="8">
        <v>0</v>
      </c>
      <c r="N23" s="116">
        <v>3302.2318058132259</v>
      </c>
      <c r="O23" s="8">
        <v>0</v>
      </c>
      <c r="P23" s="116">
        <v>3303.7592084294361</v>
      </c>
      <c r="Q23" s="8">
        <v>0</v>
      </c>
      <c r="R23" s="116">
        <v>3304.1896650807794</v>
      </c>
      <c r="S23" s="8">
        <v>0</v>
      </c>
      <c r="T23" s="116">
        <v>3303.2641644476435</v>
      </c>
      <c r="U23" s="8">
        <v>0</v>
      </c>
      <c r="V23" s="116">
        <v>3300.633906960149</v>
      </c>
      <c r="W23" s="8">
        <v>0</v>
      </c>
      <c r="X23" s="116">
        <v>3295.815735175901</v>
      </c>
      <c r="Y23" s="8">
        <v>0</v>
      </c>
      <c r="Z23" s="116">
        <v>3288.1149489542731</v>
      </c>
      <c r="AA23" s="8">
        <v>0</v>
      </c>
      <c r="AB23" s="116">
        <v>3276.48029134936</v>
      </c>
      <c r="AC23" s="8">
        <v>0</v>
      </c>
      <c r="AD23" s="116">
        <v>3259.2003600715757</v>
      </c>
      <c r="AE23" s="8">
        <v>0</v>
      </c>
      <c r="AF23" s="116">
        <v>3233.178729450548</v>
      </c>
      <c r="AG23" s="8">
        <v>0</v>
      </c>
      <c r="AH23" s="116">
        <v>3191.947660699559</v>
      </c>
      <c r="AI23" s="8">
        <v>0</v>
      </c>
      <c r="AJ23" s="116">
        <v>3119.6710452272096</v>
      </c>
      <c r="AK23" s="8">
        <v>0</v>
      </c>
      <c r="AL23" s="116">
        <v>2971.1060212561442</v>
      </c>
      <c r="AM23" s="8">
        <v>0</v>
      </c>
      <c r="AN23" s="116">
        <v>2572.3984170531726</v>
      </c>
      <c r="AO23" s="8">
        <v>0</v>
      </c>
      <c r="AP23" s="116">
        <v>2407.1397693804852</v>
      </c>
      <c r="AQ23" s="8">
        <v>0</v>
      </c>
      <c r="AR23" s="116">
        <v>2173.4313267690527</v>
      </c>
      <c r="AS23" s="8">
        <v>0</v>
      </c>
      <c r="AT23" s="116">
        <v>1819.6132390755195</v>
      </c>
      <c r="AU23" s="8">
        <v>0</v>
      </c>
      <c r="AV23" s="116">
        <v>1223.1949025855142</v>
      </c>
      <c r="AW23" s="8">
        <v>0</v>
      </c>
    </row>
    <row r="24" spans="1:49" x14ac:dyDescent="0.2">
      <c r="A24" t="s">
        <v>8</v>
      </c>
      <c r="B24" s="97">
        <v>3196.3846373657216</v>
      </c>
      <c r="C24" s="8">
        <v>0</v>
      </c>
      <c r="D24" s="97">
        <v>3239.2054623278464</v>
      </c>
      <c r="E24" s="8">
        <v>0</v>
      </c>
      <c r="F24" s="97">
        <v>3282.4834717459948</v>
      </c>
      <c r="G24" s="8">
        <v>0</v>
      </c>
      <c r="H24" s="97">
        <v>3326.2779741742734</v>
      </c>
      <c r="I24" s="8">
        <v>0</v>
      </c>
      <c r="J24" s="97">
        <v>3370.6583141932438</v>
      </c>
      <c r="K24" s="8">
        <v>0</v>
      </c>
      <c r="L24" s="97">
        <v>3415.7074706690928</v>
      </c>
      <c r="M24" s="8">
        <v>0</v>
      </c>
      <c r="N24" s="97">
        <v>3461.5275518002086</v>
      </c>
      <c r="O24" s="8">
        <v>0</v>
      </c>
      <c r="P24" s="97">
        <v>3508.249622822761</v>
      </c>
      <c r="Q24" s="8">
        <v>0</v>
      </c>
      <c r="R24" s="97">
        <v>3556.050496545945</v>
      </c>
      <c r="S24" s="8">
        <v>0</v>
      </c>
      <c r="T24" s="97">
        <v>3605.1829266958425</v>
      </c>
      <c r="U24" s="8">
        <v>0</v>
      </c>
      <c r="V24" s="97">
        <v>3656.0312365466739</v>
      </c>
      <c r="W24" s="8">
        <v>0</v>
      </c>
      <c r="X24" s="97">
        <v>3709.2163170689564</v>
      </c>
      <c r="Y24" s="8">
        <v>0</v>
      </c>
      <c r="Z24" s="97">
        <v>3765.798189255318</v>
      </c>
      <c r="AA24" s="8">
        <v>0</v>
      </c>
      <c r="AB24" s="97">
        <v>3827.6715017249621</v>
      </c>
      <c r="AC24" s="8">
        <v>0</v>
      </c>
      <c r="AD24" s="97">
        <v>3898.3208644128026</v>
      </c>
      <c r="AE24" s="8">
        <v>0</v>
      </c>
      <c r="AF24" s="97">
        <v>3984.0838232916431</v>
      </c>
      <c r="AG24" s="8">
        <v>0</v>
      </c>
      <c r="AH24" s="97">
        <v>4095.2141031897195</v>
      </c>
      <c r="AI24" s="8">
        <v>0</v>
      </c>
      <c r="AJ24" s="97">
        <v>4242.3206021748956</v>
      </c>
      <c r="AK24" s="8">
        <v>0</v>
      </c>
      <c r="AL24" s="97">
        <v>4416.9543151449179</v>
      </c>
      <c r="AM24" s="8">
        <v>0</v>
      </c>
      <c r="AN24" s="97">
        <v>4483.7100174913785</v>
      </c>
      <c r="AO24" s="8">
        <v>0</v>
      </c>
      <c r="AP24" s="97">
        <v>4416.3074165022381</v>
      </c>
      <c r="AQ24" s="8">
        <v>0</v>
      </c>
      <c r="AR24" s="97">
        <v>4254.8219701342468</v>
      </c>
      <c r="AS24" s="8">
        <v>0</v>
      </c>
      <c r="AT24" s="97">
        <v>3886.3945269741739</v>
      </c>
      <c r="AU24" s="8">
        <v>0</v>
      </c>
      <c r="AV24" s="97">
        <v>2973.0356579801146</v>
      </c>
      <c r="AW24" s="8">
        <v>0</v>
      </c>
    </row>
    <row r="25" spans="1:49" x14ac:dyDescent="0.2">
      <c r="A25" t="s">
        <v>0</v>
      </c>
      <c r="B25" s="41">
        <v>3195.0476040000012</v>
      </c>
      <c r="C25" s="42">
        <v>91.012690000004397</v>
      </c>
      <c r="D25" s="41">
        <v>3204.7472487745854</v>
      </c>
      <c r="E25" s="42">
        <v>81.303536714483783</v>
      </c>
      <c r="F25" s="41">
        <v>3214.345648048266</v>
      </c>
      <c r="G25" s="42">
        <v>71.940193120559897</v>
      </c>
      <c r="H25" s="41">
        <v>3223.8238516630772</v>
      </c>
      <c r="I25" s="42">
        <v>62.959134471928401</v>
      </c>
      <c r="J25" s="41">
        <v>3233.1550164138926</v>
      </c>
      <c r="K25" s="42">
        <v>54.399377066463479</v>
      </c>
      <c r="L25" s="41">
        <v>3242.2992383536321</v>
      </c>
      <c r="M25" s="42">
        <v>46.302434911726621</v>
      </c>
      <c r="N25" s="41">
        <v>3251.19450124269</v>
      </c>
      <c r="O25" s="42">
        <v>38.712322381274568</v>
      </c>
      <c r="P25" s="41">
        <v>3259.7419052529353</v>
      </c>
      <c r="Q25" s="42">
        <v>31.675238490571079</v>
      </c>
      <c r="R25" s="41">
        <v>3267.7797406595741</v>
      </c>
      <c r="S25" s="42">
        <v>25.239308962941557</v>
      </c>
      <c r="T25" s="41">
        <v>3275.0387909622564</v>
      </c>
      <c r="U25" s="42">
        <v>19.45383434914298</v>
      </c>
      <c r="V25" s="41">
        <v>3281.0628029462955</v>
      </c>
      <c r="W25" s="42">
        <v>14.368187560773988</v>
      </c>
      <c r="X25" s="41">
        <v>3285.0641571296205</v>
      </c>
      <c r="Y25" s="42">
        <v>10.029792000833696</v>
      </c>
      <c r="Z25" s="41">
        <v>3285.6553295867716</v>
      </c>
      <c r="AA25" s="42">
        <v>6.480422647242043</v>
      </c>
      <c r="AB25" s="41">
        <v>3280.3391135619504</v>
      </c>
      <c r="AC25" s="42">
        <v>3.7490405551495365</v>
      </c>
      <c r="AD25" s="41">
        <v>3264.542132445737</v>
      </c>
      <c r="AE25" s="42">
        <v>1.837540463057816</v>
      </c>
      <c r="AF25" s="41">
        <v>3229.900156297902</v>
      </c>
      <c r="AG25" s="42">
        <v>0.69356930669459527</v>
      </c>
      <c r="AH25" s="41">
        <v>3161.8815148361273</v>
      </c>
      <c r="AI25" s="42">
        <v>0.17089496579824953</v>
      </c>
      <c r="AJ25" s="41">
        <v>3037.8746898430286</v>
      </c>
      <c r="AK25" s="42">
        <v>2.0935130348474121E-2</v>
      </c>
      <c r="AL25" s="41">
        <v>2818.975591934367</v>
      </c>
      <c r="AM25" s="42">
        <v>8.0270288979341308E-4</v>
      </c>
      <c r="AN25" s="41">
        <v>2366.8400601271401</v>
      </c>
      <c r="AO25" s="42">
        <v>2.9702790069679059E-6</v>
      </c>
      <c r="AP25" s="41">
        <v>2202.3402555697066</v>
      </c>
      <c r="AQ25" s="42">
        <v>5.4339591934849061E-7</v>
      </c>
      <c r="AR25" s="41">
        <v>1979.5200065083231</v>
      </c>
      <c r="AS25" s="42">
        <v>6.8471420770483952E-8</v>
      </c>
      <c r="AT25" s="41">
        <v>1654.2219131174959</v>
      </c>
      <c r="AU25" s="42">
        <v>4.8267119307697324E-9</v>
      </c>
      <c r="AV25" s="41">
        <v>1118.3698771895326</v>
      </c>
      <c r="AW25" s="42">
        <v>1.1645266732015381E-10</v>
      </c>
    </row>
    <row r="26" spans="1:49" x14ac:dyDescent="0.2">
      <c r="A26" t="s">
        <v>27</v>
      </c>
      <c r="B26" s="33">
        <v>5036.2953101960647</v>
      </c>
      <c r="C26" s="34">
        <v>74.905331803938267</v>
      </c>
      <c r="D26" s="33">
        <v>5041.0988394437945</v>
      </c>
      <c r="E26" s="34">
        <v>70.10180255620601</v>
      </c>
      <c r="F26" s="33">
        <v>5045.9209824114932</v>
      </c>
      <c r="G26" s="34">
        <v>65.27965958850956</v>
      </c>
      <c r="H26" s="33">
        <v>5050.7635621584277</v>
      </c>
      <c r="I26" s="34">
        <v>60.437079841578097</v>
      </c>
      <c r="J26" s="33">
        <v>5055.6283073451168</v>
      </c>
      <c r="K26" s="34">
        <v>55.57233465488823</v>
      </c>
      <c r="L26" s="33">
        <v>5060.5165892357063</v>
      </c>
      <c r="M26" s="34">
        <v>50.684052764295842</v>
      </c>
      <c r="N26" s="33">
        <v>5065.4288309639078</v>
      </c>
      <c r="O26" s="34">
        <v>45.77181103609648</v>
      </c>
      <c r="P26" s="33">
        <v>5070.3637217855176</v>
      </c>
      <c r="Q26" s="34">
        <v>40.836920214483349</v>
      </c>
      <c r="R26" s="33">
        <v>5075.3166510535202</v>
      </c>
      <c r="S26" s="34">
        <v>35.883990946484666</v>
      </c>
      <c r="T26" s="33">
        <v>5080.2773013407286</v>
      </c>
      <c r="U26" s="34">
        <v>30.923340659273585</v>
      </c>
      <c r="V26" s="33">
        <v>5085.225518885245</v>
      </c>
      <c r="W26" s="34">
        <v>25.975123114756929</v>
      </c>
      <c r="X26" s="33">
        <v>5090.124479097025</v>
      </c>
      <c r="Y26" s="34">
        <v>21.076162902970538</v>
      </c>
      <c r="Z26" s="33">
        <v>5094.9093490890364</v>
      </c>
      <c r="AA26" s="34">
        <v>16.291292910969101</v>
      </c>
      <c r="AB26" s="33">
        <v>5099.4690567732132</v>
      </c>
      <c r="AC26" s="34">
        <v>11.731585226791829</v>
      </c>
      <c r="AD26" s="33">
        <v>5103.6200066926422</v>
      </c>
      <c r="AE26" s="34">
        <v>7.5806353073593957</v>
      </c>
      <c r="AF26" s="33">
        <v>5107.0827897943527</v>
      </c>
      <c r="AG26" s="34">
        <v>4.1178522056514373</v>
      </c>
      <c r="AH26" s="33">
        <v>5109.5214308285758</v>
      </c>
      <c r="AI26" s="34">
        <v>1.6792111714258726</v>
      </c>
      <c r="AJ26" s="33">
        <v>5110.773369467267</v>
      </c>
      <c r="AK26" s="34">
        <v>0.42727253273745419</v>
      </c>
      <c r="AL26" s="33">
        <v>5111.1506614691425</v>
      </c>
      <c r="AM26" s="34">
        <v>4.9980530862778372E-2</v>
      </c>
      <c r="AN26" s="33">
        <v>5111.1993841379208</v>
      </c>
      <c r="AO26" s="34">
        <v>1.257862082077887E-3</v>
      </c>
      <c r="AP26" s="33">
        <v>5111.2002284749115</v>
      </c>
      <c r="AQ26" s="34">
        <v>4.1352509302235185E-4</v>
      </c>
      <c r="AR26" s="33">
        <v>5111.2005350886111</v>
      </c>
      <c r="AS26" s="34">
        <v>1.0691139103157709E-4</v>
      </c>
      <c r="AT26" s="33">
        <v>5111.2006229328108</v>
      </c>
      <c r="AU26" s="34">
        <v>1.9067192371962387E-5</v>
      </c>
      <c r="AV26" s="33">
        <v>5111.2006402656662</v>
      </c>
      <c r="AW26" s="34">
        <v>1.734334025058568E-6</v>
      </c>
    </row>
    <row r="27" spans="1:49" x14ac:dyDescent="0.2">
      <c r="A27" t="s">
        <v>2</v>
      </c>
      <c r="B27" s="35">
        <v>6425.1981590000305</v>
      </c>
      <c r="C27" s="36">
        <v>273.22915400000028</v>
      </c>
      <c r="D27" s="35">
        <v>6442.4978131730904</v>
      </c>
      <c r="E27" s="36">
        <v>255.92950013107753</v>
      </c>
      <c r="F27" s="35">
        <v>6459.8951108146093</v>
      </c>
      <c r="G27" s="36">
        <v>238.5322024947757</v>
      </c>
      <c r="H27" s="35">
        <v>6477.3970042555802</v>
      </c>
      <c r="I27" s="36">
        <v>221.03030908219588</v>
      </c>
      <c r="J27" s="35">
        <v>6495.0101278173461</v>
      </c>
      <c r="K27" s="36">
        <v>203.4171902506047</v>
      </c>
      <c r="L27" s="35">
        <v>6512.7399381419655</v>
      </c>
      <c r="M27" s="36">
        <v>185.68737494868603</v>
      </c>
      <c r="N27" s="35">
        <v>6530.58835050791</v>
      </c>
      <c r="O27" s="36">
        <v>167.83896337456875</v>
      </c>
      <c r="P27" s="35">
        <v>6548.5511213286318</v>
      </c>
      <c r="Q27" s="36">
        <v>149.8761946114287</v>
      </c>
      <c r="R27" s="35">
        <v>6566.6118227390507</v>
      </c>
      <c r="S27" s="36">
        <v>131.81549303544352</v>
      </c>
      <c r="T27" s="35">
        <v>6584.733092074317</v>
      </c>
      <c r="U27" s="36">
        <v>113.69422354658613</v>
      </c>
      <c r="V27" s="35">
        <v>6602.8412573035721</v>
      </c>
      <c r="W27" s="36">
        <v>95.586057820664564</v>
      </c>
      <c r="X27" s="35">
        <v>6620.8009536588334</v>
      </c>
      <c r="Y27" s="36">
        <v>77.626361089288807</v>
      </c>
      <c r="Z27" s="35">
        <v>6638.3729206628141</v>
      </c>
      <c r="AA27" s="36">
        <v>60.054392282515145</v>
      </c>
      <c r="AB27" s="35">
        <v>6655.1460790501769</v>
      </c>
      <c r="AC27" s="36">
        <v>43.281233426690953</v>
      </c>
      <c r="AD27" s="35">
        <v>6670.4394138785092</v>
      </c>
      <c r="AE27" s="36">
        <v>27.987899999614438</v>
      </c>
      <c r="AF27" s="35">
        <v>6683.2147059633653</v>
      </c>
      <c r="AG27" s="36">
        <v>15.212606686134968</v>
      </c>
      <c r="AH27" s="35">
        <v>6692.2210956576009</v>
      </c>
      <c r="AI27" s="36">
        <v>6.2062170696956382</v>
      </c>
      <c r="AJ27" s="35">
        <v>6696.8477991589552</v>
      </c>
      <c r="AK27" s="36">
        <v>1.5795142217470952</v>
      </c>
      <c r="AL27" s="35">
        <v>6698.2425357447491</v>
      </c>
      <c r="AM27" s="36">
        <v>0.18477729629951287</v>
      </c>
      <c r="AN27" s="35">
        <v>6698.4226626895488</v>
      </c>
      <c r="AO27" s="36">
        <v>4.650338556128817E-3</v>
      </c>
      <c r="AP27" s="35">
        <v>6698.4257841924064</v>
      </c>
      <c r="AQ27" s="36">
        <v>1.5288097082408688E-3</v>
      </c>
      <c r="AR27" s="35">
        <v>6698.4269177456717</v>
      </c>
      <c r="AS27" s="36">
        <v>3.9525334713170238E-4</v>
      </c>
      <c r="AT27" s="35">
        <v>6698.4272425476038</v>
      </c>
      <c r="AU27" s="36">
        <v>7.0491758729644027E-5</v>
      </c>
      <c r="AV27" s="35">
        <v>6698.4273052498611</v>
      </c>
      <c r="AW27" s="36">
        <v>6.4118648514137045E-6</v>
      </c>
    </row>
    <row r="28" spans="1:49" x14ac:dyDescent="0.2">
      <c r="A28" t="s">
        <v>35</v>
      </c>
      <c r="B28" s="41">
        <v>13763.097676000029</v>
      </c>
      <c r="C28" s="42">
        <v>382.36647899999997</v>
      </c>
      <c r="D28" s="41">
        <v>13787.361640385823</v>
      </c>
      <c r="E28" s="42">
        <v>358.06769944184634</v>
      </c>
      <c r="F28" s="41">
        <v>13811.680846650892</v>
      </c>
      <c r="G28" s="42">
        <v>333.64351580139135</v>
      </c>
      <c r="H28" s="41">
        <v>13836.063885241454</v>
      </c>
      <c r="I28" s="42">
        <v>309.08446366161678</v>
      </c>
      <c r="J28" s="41">
        <v>13860.518788771305</v>
      </c>
      <c r="K28" s="42">
        <v>284.38154202651845</v>
      </c>
      <c r="L28" s="41">
        <v>13885.051811416328</v>
      </c>
      <c r="M28" s="42">
        <v>259.52743504532651</v>
      </c>
      <c r="N28" s="41">
        <v>13909.66428644663</v>
      </c>
      <c r="O28" s="42">
        <v>234.51978268713015</v>
      </c>
      <c r="P28" s="41">
        <v>13934.349005893084</v>
      </c>
      <c r="Q28" s="42">
        <v>209.36489877548038</v>
      </c>
      <c r="R28" s="41">
        <v>13959.082234925903</v>
      </c>
      <c r="S28" s="42">
        <v>184.08609450075443</v>
      </c>
      <c r="T28" s="41">
        <v>13983.812017250637</v>
      </c>
      <c r="U28" s="42">
        <v>158.73594149849873</v>
      </c>
      <c r="V28" s="41">
        <v>14008.437827469437</v>
      </c>
      <c r="W28" s="42">
        <v>133.41764826822813</v>
      </c>
      <c r="X28" s="41">
        <v>14032.777076898201</v>
      </c>
      <c r="Y28" s="42">
        <v>108.32039175399375</v>
      </c>
      <c r="Z28" s="41">
        <v>14056.509611225438</v>
      </c>
      <c r="AA28" s="42">
        <v>83.778008041236788</v>
      </c>
      <c r="AB28" s="41">
        <v>14079.088606738704</v>
      </c>
      <c r="AC28" s="42">
        <v>60.363430934343739</v>
      </c>
      <c r="AD28" s="41">
        <v>14099.612233756341</v>
      </c>
      <c r="AE28" s="42">
        <v>39.025006531569431</v>
      </c>
      <c r="AF28" s="41">
        <v>14116.710512558831</v>
      </c>
      <c r="AG28" s="42">
        <v>21.207581006366013</v>
      </c>
      <c r="AH28" s="41">
        <v>14128.739375663143</v>
      </c>
      <c r="AI28" s="42">
        <v>8.6507595383827827</v>
      </c>
      <c r="AJ28" s="41">
        <v>14134.910689000941</v>
      </c>
      <c r="AK28" s="42">
        <v>2.2015057057165865</v>
      </c>
      <c r="AL28" s="41">
        <v>14136.769980085493</v>
      </c>
      <c r="AM28" s="42">
        <v>0.25753457181668726</v>
      </c>
      <c r="AN28" s="41">
        <v>14137.010066883298</v>
      </c>
      <c r="AO28" s="42">
        <v>6.4814217611479661E-3</v>
      </c>
      <c r="AP28" s="41">
        <v>14137.014227395797</v>
      </c>
      <c r="AQ28" s="42">
        <v>2.1307825789713139E-3</v>
      </c>
      <c r="AR28" s="41">
        <v>14137.015738255359</v>
      </c>
      <c r="AS28" s="42">
        <v>5.5088539417214846E-4</v>
      </c>
      <c r="AT28" s="41">
        <v>14137.016171150826</v>
      </c>
      <c r="AU28" s="42">
        <v>9.8248072922562356E-5</v>
      </c>
      <c r="AV28" s="41">
        <v>14137.016255311933</v>
      </c>
      <c r="AW28" s="42">
        <v>8.9365532751399435E-6</v>
      </c>
    </row>
    <row r="29" spans="1:49" x14ac:dyDescent="0.2">
      <c r="A29" t="s">
        <v>53</v>
      </c>
      <c r="B29" s="35">
        <v>14362.768558000025</v>
      </c>
      <c r="C29" s="36">
        <v>817.26650999999993</v>
      </c>
      <c r="D29" s="35">
        <v>14367.255363648514</v>
      </c>
      <c r="E29" s="36">
        <v>758.03074725798365</v>
      </c>
      <c r="F29" s="35">
        <v>14369.839158711708</v>
      </c>
      <c r="G29" s="36">
        <v>699.04829212556479</v>
      </c>
      <c r="H29" s="35">
        <v>14370.236167911109</v>
      </c>
      <c r="I29" s="36">
        <v>640.36321347819603</v>
      </c>
      <c r="J29" s="35">
        <v>14368.097642911091</v>
      </c>
      <c r="K29" s="36">
        <v>582.03065901077696</v>
      </c>
      <c r="L29" s="35">
        <v>14362.98857552277</v>
      </c>
      <c r="M29" s="36">
        <v>524.12113728767383</v>
      </c>
      <c r="N29" s="35">
        <v>14354.355419842606</v>
      </c>
      <c r="O29" s="36">
        <v>466.7290536250739</v>
      </c>
      <c r="P29" s="35">
        <v>14341.480119966945</v>
      </c>
      <c r="Q29" s="36">
        <v>409.98219047202298</v>
      </c>
      <c r="R29" s="35">
        <v>14323.407118614492</v>
      </c>
      <c r="S29" s="36">
        <v>354.05998357084553</v>
      </c>
      <c r="T29" s="35">
        <v>14298.829171169273</v>
      </c>
      <c r="U29" s="36">
        <v>299.21841331496597</v>
      </c>
      <c r="V29" s="35">
        <v>14265.898340812853</v>
      </c>
      <c r="W29" s="36">
        <v>245.8300291513639</v>
      </c>
      <c r="X29" s="35">
        <v>14221.90168161319</v>
      </c>
      <c r="Y29" s="36">
        <v>194.44489074277806</v>
      </c>
      <c r="Z29" s="35">
        <v>14162.678025191448</v>
      </c>
      <c r="AA29" s="36">
        <v>145.8831388006821</v>
      </c>
      <c r="AB29" s="35">
        <v>14081.516679372942</v>
      </c>
      <c r="AC29" s="36">
        <v>101.36737785400712</v>
      </c>
      <c r="AD29" s="35">
        <v>13966.977689427311</v>
      </c>
      <c r="AE29" s="36">
        <v>62.676342828272617</v>
      </c>
      <c r="AF29" s="35">
        <v>13798.431172153312</v>
      </c>
      <c r="AG29" s="36">
        <v>32.170653951110602</v>
      </c>
      <c r="AH29" s="35">
        <v>13536.816266223605</v>
      </c>
      <c r="AI29" s="36">
        <v>12.152483712824713</v>
      </c>
      <c r="AJ29" s="35">
        <v>13103.996458054155</v>
      </c>
      <c r="AK29" s="36">
        <v>2.7730864580034198</v>
      </c>
      <c r="AL29" s="35">
        <v>12315.032269293262</v>
      </c>
      <c r="AM29" s="36">
        <v>0.27480267558829247</v>
      </c>
      <c r="AN29" s="35">
        <v>10502.763198221932</v>
      </c>
      <c r="AO29" s="36">
        <v>5.1287542436965127E-3</v>
      </c>
      <c r="AP29" s="35">
        <v>9806.8741344696919</v>
      </c>
      <c r="AQ29" s="36">
        <v>1.5276305136389036E-3</v>
      </c>
      <c r="AR29" s="35">
        <v>8848.3673778874891</v>
      </c>
      <c r="AS29" s="36">
        <v>3.4726894885264345E-4</v>
      </c>
      <c r="AT29" s="35">
        <v>7428.1280599048223</v>
      </c>
      <c r="AU29" s="36">
        <v>5.1528845058836958E-5</v>
      </c>
      <c r="AV29" s="35">
        <v>5054.948920412241</v>
      </c>
      <c r="AW29" s="36">
        <v>3.3987925298084123E-6</v>
      </c>
    </row>
    <row r="30" spans="1:49" x14ac:dyDescent="0.2">
      <c r="A30" t="s">
        <v>48</v>
      </c>
      <c r="B30" s="119">
        <v>2924829.9599999995</v>
      </c>
      <c r="D30" s="119">
        <v>2990259.4047833239</v>
      </c>
      <c r="F30" s="119">
        <v>3056434.6603875374</v>
      </c>
      <c r="H30" s="119">
        <v>3123467.5768123362</v>
      </c>
      <c r="J30" s="119">
        <v>3191491.0991808348</v>
      </c>
      <c r="L30" s="119">
        <v>3260667.7239740156</v>
      </c>
      <c r="N30" s="119">
        <v>3331203.3065556539</v>
      </c>
      <c r="P30" s="119">
        <v>3403370.9233959704</v>
      </c>
      <c r="R30" s="119">
        <v>3477550.5856764489</v>
      </c>
      <c r="T30" s="119">
        <v>3554302.6311011752</v>
      </c>
      <c r="V30" s="119">
        <v>3634499.1628046548</v>
      </c>
      <c r="X30" s="119">
        <v>3719571.500654011</v>
      </c>
      <c r="Z30" s="119">
        <v>3811985.2785767298</v>
      </c>
      <c r="AB30" s="119">
        <v>3916172.2549748416</v>
      </c>
      <c r="AD30" s="119">
        <v>4040346.6602250235</v>
      </c>
      <c r="AF30" s="119">
        <v>4199762.4525783062</v>
      </c>
      <c r="AH30" s="119">
        <v>4420725.0505681159</v>
      </c>
      <c r="AJ30" s="119">
        <v>4738630.1659666207</v>
      </c>
      <c r="AL30" s="119">
        <v>5176741.6916975938</v>
      </c>
      <c r="AN30" s="119">
        <v>5637446.4182327753</v>
      </c>
      <c r="AP30" s="119">
        <v>5659823.7869845675</v>
      </c>
      <c r="AR30" s="119">
        <v>5575628.2887099832</v>
      </c>
      <c r="AT30" s="119">
        <v>5232470.0155829526</v>
      </c>
      <c r="AV30" s="119">
        <v>4146818.1680964613</v>
      </c>
    </row>
    <row r="31" spans="1:49" x14ac:dyDescent="0.2">
      <c r="A31" t="s">
        <v>47</v>
      </c>
      <c r="B31" s="80">
        <v>1</v>
      </c>
      <c r="D31" s="80">
        <v>0.99252888912768267</v>
      </c>
      <c r="F31" s="80">
        <v>0.98457074698995584</v>
      </c>
      <c r="H31" s="80">
        <v>0.9760598669652627</v>
      </c>
      <c r="J31" s="80">
        <v>0.96691741306640455</v>
      </c>
      <c r="L31" s="80">
        <v>0.95704762962531464</v>
      </c>
      <c r="N31" s="80">
        <v>0.9463322802866212</v>
      </c>
      <c r="P31" s="80">
        <v>0.93462285416705793</v>
      </c>
      <c r="R31" s="80">
        <v>0.92172835823327648</v>
      </c>
      <c r="T31" s="80">
        <v>0.90739669080415608</v>
      </c>
      <c r="V31" s="80">
        <v>0.89128412493137821</v>
      </c>
      <c r="X31" s="80">
        <v>0.87290386440917955</v>
      </c>
      <c r="Z31" s="80">
        <v>0.85153532421491229</v>
      </c>
      <c r="AB31" s="80">
        <v>0.82605766459414409</v>
      </c>
      <c r="AD31" s="80">
        <v>0.79463519916899183</v>
      </c>
      <c r="AF31" s="80">
        <v>0.75412731266518351</v>
      </c>
      <c r="AH31" s="80">
        <v>0.69907491460246374</v>
      </c>
      <c r="AJ31" s="80">
        <v>0.62019036563810592</v>
      </c>
      <c r="AL31" s="80">
        <v>0.50107966188275521</v>
      </c>
      <c r="AN31" s="80">
        <v>0.30540399582537364</v>
      </c>
      <c r="AP31" s="80">
        <v>0.25057056668840255</v>
      </c>
      <c r="AR31" s="80">
        <v>0.18851499643974359</v>
      </c>
      <c r="AT31" s="80">
        <v>0.1192196569059468</v>
      </c>
      <c r="AV31" s="80">
        <v>4.6902309372485754E-2</v>
      </c>
    </row>
    <row r="32" spans="1:49" x14ac:dyDescent="0.2">
      <c r="A32" t="s">
        <v>64</v>
      </c>
      <c r="B32" s="86">
        <v>14734457.915000005</v>
      </c>
      <c r="D32" s="86">
        <v>14737072.64157261</v>
      </c>
      <c r="F32" s="86">
        <v>14737173.665080654</v>
      </c>
      <c r="H32" s="86">
        <v>14734381.520656355</v>
      </c>
      <c r="J32" s="86">
        <v>14728238.287291909</v>
      </c>
      <c r="L32" s="86">
        <v>14718190.450445605</v>
      </c>
      <c r="N32" s="86">
        <v>14703565.900839552</v>
      </c>
      <c r="P32" s="86">
        <v>14683549.41328403</v>
      </c>
      <c r="R32" s="86">
        <v>14657149.774722351</v>
      </c>
      <c r="T32" s="86">
        <v>14623164.68209557</v>
      </c>
      <c r="V32" s="86">
        <v>14580140.303728973</v>
      </c>
      <c r="X32" s="86">
        <v>14526329.440933</v>
      </c>
      <c r="Z32" s="86">
        <v>14459646.666780133</v>
      </c>
      <c r="AB32" s="86">
        <v>14377591.024674874</v>
      </c>
      <c r="AD32" s="86">
        <v>14276934.037668882</v>
      </c>
      <c r="AF32" s="86">
        <v>14152095.039775107</v>
      </c>
      <c r="AH32" s="86">
        <v>13987206.077294465</v>
      </c>
      <c r="AJ32" s="86">
        <v>13724005.780894738</v>
      </c>
      <c r="AL32" s="86">
        <v>13156827.59830654</v>
      </c>
      <c r="AN32" s="86">
        <v>11483887.40072445</v>
      </c>
      <c r="AP32" s="86">
        <v>10765491.089198882</v>
      </c>
      <c r="AR32" s="86">
        <v>9739465.0817736499</v>
      </c>
      <c r="AT32" s="86">
        <v>8173205.5049311044</v>
      </c>
      <c r="AV32" s="86">
        <v>5512872.0550221764</v>
      </c>
    </row>
    <row r="33" spans="1:49 16319:16321" x14ac:dyDescent="0.2">
      <c r="A33" t="s">
        <v>54</v>
      </c>
      <c r="B33" s="117">
        <v>7019665.6909999885</v>
      </c>
      <c r="D33" s="117">
        <v>6982603.1664032582</v>
      </c>
      <c r="F33" s="117">
        <v>6943601.2841486437</v>
      </c>
      <c r="H33" s="117">
        <v>6902367.8381503597</v>
      </c>
      <c r="J33" s="117">
        <v>6858551.3761189561</v>
      </c>
      <c r="L33" s="117">
        <v>6811725.8369118096</v>
      </c>
      <c r="N33" s="117">
        <v>6761368.8567023249</v>
      </c>
      <c r="P33" s="117">
        <v>6706833.0814847723</v>
      </c>
      <c r="R33" s="117">
        <v>6647302.0525658149</v>
      </c>
      <c r="T33" s="117">
        <v>6581726.5843386259</v>
      </c>
      <c r="V33" s="117">
        <v>6508721.7139826082</v>
      </c>
      <c r="X33" s="117">
        <v>6426394.4673644714</v>
      </c>
      <c r="Z33" s="117">
        <v>6332033.9074823186</v>
      </c>
      <c r="AB33" s="117">
        <v>6221510.4134112354</v>
      </c>
      <c r="AD33" s="117">
        <v>6088008.1745191291</v>
      </c>
      <c r="AF33" s="117">
        <v>5919121.2917460743</v>
      </c>
      <c r="AH33" s="117">
        <v>5689750.9132436775</v>
      </c>
      <c r="AJ33" s="117">
        <v>5344188.0590874813</v>
      </c>
      <c r="AL33" s="117">
        <v>4746291.4726006873</v>
      </c>
      <c r="AN33" s="117">
        <v>3477271.3457052559</v>
      </c>
      <c r="AP33" s="117">
        <v>3036683.4773931429</v>
      </c>
      <c r="AR33" s="117">
        <v>2476513.5829157997</v>
      </c>
      <c r="AT33" s="117">
        <v>1749053.0370624522</v>
      </c>
      <c r="AV33" s="117">
        <v>812484.05704754405</v>
      </c>
    </row>
    <row r="34" spans="1:49 16319:16321" x14ac:dyDescent="0.2">
      <c r="A34" t="s">
        <v>75</v>
      </c>
      <c r="B34" s="117">
        <v>1136879.4410000162</v>
      </c>
      <c r="D34" s="117">
        <v>1137081.1825024653</v>
      </c>
      <c r="F34" s="117">
        <v>1137088.9763622519</v>
      </c>
      <c r="H34" s="117">
        <v>1136873.5380837852</v>
      </c>
      <c r="J34" s="117">
        <v>1136399.5155164483</v>
      </c>
      <c r="L34" s="117">
        <v>1135624.2653570573</v>
      </c>
      <c r="N34" s="117">
        <v>1134495.8778051352</v>
      </c>
      <c r="P34" s="117">
        <v>1132951.3988113569</v>
      </c>
      <c r="R34" s="117">
        <v>1130914.4558489746</v>
      </c>
      <c r="T34" s="117">
        <v>1128292.2356538284</v>
      </c>
      <c r="V34" s="117">
        <v>1124972.5725128273</v>
      </c>
      <c r="X34" s="117">
        <v>1120820.6484691217</v>
      </c>
      <c r="Z34" s="117">
        <v>1115675.5886190436</v>
      </c>
      <c r="AB34" s="117">
        <v>1109344.3468942714</v>
      </c>
      <c r="AD34" s="117">
        <v>1101577.8721204789</v>
      </c>
      <c r="AF34" s="117">
        <v>1091945.5595449959</v>
      </c>
      <c r="AH34" s="117">
        <v>1079223.0777482742</v>
      </c>
      <c r="AJ34" s="117">
        <v>1058915.1030066833</v>
      </c>
      <c r="AL34" s="117">
        <v>1015152.8404771796</v>
      </c>
      <c r="AN34" s="117">
        <v>886072.33221317211</v>
      </c>
      <c r="AP34" s="117">
        <v>830642.40043189737</v>
      </c>
      <c r="AR34" s="117">
        <v>751476.41546648531</v>
      </c>
      <c r="AT34" s="117">
        <v>630627.15705072542</v>
      </c>
      <c r="AV34" s="117">
        <v>425361.48505598225</v>
      </c>
    </row>
    <row r="35" spans="1:49 16319:16321" x14ac:dyDescent="0.2">
      <c r="A35" t="s">
        <v>78</v>
      </c>
      <c r="B35" s="233">
        <v>1</v>
      </c>
      <c r="D35" s="233">
        <v>1.0022088606861317</v>
      </c>
      <c r="F35" s="233">
        <v>1.0046747198968136</v>
      </c>
      <c r="H35" s="233">
        <v>1.0074425160690716</v>
      </c>
      <c r="J35" s="233">
        <v>1.0105691354056783</v>
      </c>
      <c r="L35" s="233">
        <v>1.0141279176821252</v>
      </c>
      <c r="N35" s="233">
        <v>1.0182154894820097</v>
      </c>
      <c r="P35" s="233">
        <v>1.0229622109352927</v>
      </c>
      <c r="R35" s="233">
        <v>1.0285489154954208</v>
      </c>
      <c r="T35" s="233">
        <v>1.0352345468896911</v>
      </c>
      <c r="V35" s="233">
        <v>1.0434037089737145</v>
      </c>
      <c r="X35" s="233">
        <v>1.053652406221762</v>
      </c>
      <c r="Z35" s="233">
        <v>1.0669509453665056</v>
      </c>
      <c r="AB35" s="233">
        <v>1.0849720153411437</v>
      </c>
      <c r="AD35" s="233">
        <v>1.1107922888180708</v>
      </c>
      <c r="AF35" s="233">
        <v>1.1504738620924235</v>
      </c>
      <c r="AH35" s="233">
        <v>1.216753817274655</v>
      </c>
      <c r="AJ35" s="233">
        <v>1.3382422250918236</v>
      </c>
      <c r="AL35" s="233">
        <v>1.5903146097791478</v>
      </c>
      <c r="AN35" s="233">
        <v>2.2708973047118475</v>
      </c>
      <c r="AP35" s="233">
        <v>2.5584218401953205</v>
      </c>
      <c r="AR35" s="233">
        <v>2.9720869219802353</v>
      </c>
      <c r="AT35" s="233">
        <v>3.6162545939785362</v>
      </c>
      <c r="AV35" s="233">
        <v>4.7608254917470409</v>
      </c>
    </row>
    <row r="36" spans="1:49 16319:16321" x14ac:dyDescent="0.2">
      <c r="A36" t="s">
        <v>21</v>
      </c>
      <c r="B36" s="37">
        <v>0.47195767671988198</v>
      </c>
      <c r="C36" s="38">
        <v>0.31738834428178964</v>
      </c>
      <c r="D36" s="37">
        <v>0.4719796096867197</v>
      </c>
      <c r="E36" s="38">
        <v>0.31984741908289582</v>
      </c>
      <c r="F36" s="37">
        <v>0.47200258697341707</v>
      </c>
      <c r="G36" s="38">
        <v>0.32255907567931313</v>
      </c>
      <c r="H36" s="37">
        <v>0.4720267580242804</v>
      </c>
      <c r="I36" s="38">
        <v>0.32556198931902941</v>
      </c>
      <c r="J36" s="37">
        <v>0.47205229899595097</v>
      </c>
      <c r="K36" s="38">
        <v>0.32890334312654257</v>
      </c>
      <c r="L36" s="37">
        <v>0.47207941391853803</v>
      </c>
      <c r="M36" s="38">
        <v>0.33264144328853984</v>
      </c>
      <c r="N36" s="37">
        <v>0.47210833463379687</v>
      </c>
      <c r="O36" s="38">
        <v>0.33684950176060557</v>
      </c>
      <c r="P36" s="37">
        <v>0.47213931230741368</v>
      </c>
      <c r="Q36" s="38">
        <v>0.34162111371877724</v>
      </c>
      <c r="R36" s="37">
        <v>0.47217259615506907</v>
      </c>
      <c r="S36" s="38">
        <v>0.34707863463535971</v>
      </c>
      <c r="T36" s="37">
        <v>0.47220838739068643</v>
      </c>
      <c r="U36" s="38">
        <v>0.35338633909499179</v>
      </c>
      <c r="V36" s="37">
        <v>0.47224673887038054</v>
      </c>
      <c r="W36" s="38">
        <v>0.3607719900560738</v>
      </c>
      <c r="X36" s="37">
        <v>0.4722873516140586</v>
      </c>
      <c r="Y36" s="38">
        <v>0.36956386292744803</v>
      </c>
      <c r="Z36" s="37">
        <v>0.47232916352562432</v>
      </c>
      <c r="AA36" s="38">
        <v>0.3802575323834067</v>
      </c>
      <c r="AB36" s="37">
        <v>0.47236953503673285</v>
      </c>
      <c r="AC36" s="38">
        <v>0.39364290170753724</v>
      </c>
      <c r="AD36" s="37">
        <v>0.47240271808582052</v>
      </c>
      <c r="AE36" s="38">
        <v>0.41105827406816131</v>
      </c>
      <c r="AF36" s="37">
        <v>0.47241749609637862</v>
      </c>
      <c r="AG36" s="38">
        <v>0.43491671649752844</v>
      </c>
      <c r="AH36" s="37">
        <v>0.47239602880969422</v>
      </c>
      <c r="AI36" s="38">
        <v>0.46980093130833167</v>
      </c>
      <c r="AJ36" s="37">
        <v>0.47232224179791077</v>
      </c>
      <c r="AK36" s="38">
        <v>0.52481069557391502</v>
      </c>
      <c r="AL36" s="37">
        <v>0.47220289895585182</v>
      </c>
      <c r="AM36" s="38">
        <v>0.62051895316181138</v>
      </c>
      <c r="AN36" s="37">
        <v>0.47206477716004569</v>
      </c>
      <c r="AO36" s="38">
        <v>0.82455317441634268</v>
      </c>
      <c r="AP36" s="37">
        <v>0.47203535594865531</v>
      </c>
      <c r="AQ36" s="38">
        <v>0.89813793412526721</v>
      </c>
      <c r="AR36" s="37">
        <v>0.47200364998475336</v>
      </c>
      <c r="AS36" s="38">
        <v>0.99596221381050809</v>
      </c>
      <c r="AT36" s="37">
        <v>0.47196646906487966</v>
      </c>
      <c r="AU36" s="38">
        <v>1.1345121043892863</v>
      </c>
      <c r="AV36" s="37">
        <v>0.47191451253354799</v>
      </c>
      <c r="AW36" s="38">
        <v>1.3523561776569153</v>
      </c>
    </row>
    <row r="37" spans="1:49 16319:16321" x14ac:dyDescent="0.2">
      <c r="B37" s="39">
        <v>2.1403217525954466E-2</v>
      </c>
      <c r="C37" s="40">
        <v>0.3496246130199252</v>
      </c>
      <c r="D37" s="39">
        <v>2.0713890834168216E-2</v>
      </c>
      <c r="E37" s="40">
        <v>0.34547817747584125</v>
      </c>
      <c r="F37" s="39">
        <v>2.0011099850789228E-2</v>
      </c>
      <c r="G37" s="40">
        <v>0.34122805025281533</v>
      </c>
      <c r="H37" s="39">
        <v>1.9294060481399863E-2</v>
      </c>
      <c r="I37" s="40">
        <v>0.33686868348162585</v>
      </c>
      <c r="J37" s="39">
        <v>1.8561862298754523E-2</v>
      </c>
      <c r="K37" s="40">
        <v>0.33239387267972043</v>
      </c>
      <c r="L37" s="39">
        <v>1.7813423450123551E-2</v>
      </c>
      <c r="M37" s="40">
        <v>0.32779653506691669</v>
      </c>
      <c r="N37" s="39">
        <v>1.704741413757957E-2</v>
      </c>
      <c r="O37" s="40">
        <v>0.32306831707762773</v>
      </c>
      <c r="P37" s="39">
        <v>1.6262155592584756E-2</v>
      </c>
      <c r="Q37" s="40">
        <v>0.31819907188928354</v>
      </c>
      <c r="R37" s="39">
        <v>1.5455455309968001E-2</v>
      </c>
      <c r="S37" s="40">
        <v>0.31317598958090043</v>
      </c>
      <c r="T37" s="39">
        <v>1.4624358721401576E-2</v>
      </c>
      <c r="U37" s="40">
        <v>0.30798227122187466</v>
      </c>
      <c r="V37" s="39">
        <v>1.3764767405519055E-2</v>
      </c>
      <c r="W37" s="40">
        <v>0.30259509079785757</v>
      </c>
      <c r="X37" s="39">
        <v>1.2870846281084609E-2</v>
      </c>
      <c r="Y37" s="40">
        <v>0.29698245861707134</v>
      </c>
      <c r="Z37" s="39">
        <v>1.1934114560591805E-2</v>
      </c>
      <c r="AA37" s="40">
        <v>0.29109854562301579</v>
      </c>
      <c r="AB37" s="39">
        <v>1.0942111855006129E-2</v>
      </c>
      <c r="AC37" s="40">
        <v>0.28487727630605481</v>
      </c>
      <c r="AD37" s="39">
        <v>9.8767432595302726E-3</v>
      </c>
      <c r="AE37" s="40">
        <v>0.27822595874899997</v>
      </c>
      <c r="AF37" s="39">
        <v>8.7135033324584853E-3</v>
      </c>
      <c r="AG37" s="40">
        <v>0.27102892298022585</v>
      </c>
      <c r="AH37" s="39">
        <v>7.4261967841176809E-3</v>
      </c>
      <c r="AI37" s="40">
        <v>0.26319434707067624</v>
      </c>
      <c r="AJ37" s="39">
        <v>6.0039942946719677E-3</v>
      </c>
      <c r="AK37" s="40">
        <v>0.25478985522328496</v>
      </c>
      <c r="AL37" s="39">
        <v>4.4639561408356147E-3</v>
      </c>
      <c r="AM37" s="40">
        <v>0.2461618498010979</v>
      </c>
      <c r="AN37" s="39">
        <v>2.8111733643399455E-3</v>
      </c>
      <c r="AO37" s="40">
        <v>0.23780629647040208</v>
      </c>
      <c r="AP37" s="39">
        <v>2.4612878671580077E-3</v>
      </c>
      <c r="AQ37" s="40">
        <v>0.23621546106165836</v>
      </c>
      <c r="AR37" s="39">
        <v>2.1010990785379851E-3</v>
      </c>
      <c r="AS37" s="40">
        <v>0.23466509738548907</v>
      </c>
      <c r="AT37" s="39">
        <v>1.7267031626762184E-3</v>
      </c>
      <c r="AU37" s="40">
        <v>0.2331647429986666</v>
      </c>
      <c r="AV37" s="39">
        <v>1.3305679449597794E-3</v>
      </c>
      <c r="AW37" s="40">
        <v>0.2317299922417333</v>
      </c>
    </row>
    <row r="38" spans="1:49 16319:16321" x14ac:dyDescent="0.2">
      <c r="A38" t="s">
        <v>22</v>
      </c>
      <c r="B38" s="37">
        <v>0.18079094942242827</v>
      </c>
      <c r="C38" s="38">
        <v>6.0565413429233668E-2</v>
      </c>
      <c r="D38" s="37">
        <v>0.18089905321067379</v>
      </c>
      <c r="E38" s="38">
        <v>6.0883521604622848E-2</v>
      </c>
      <c r="F38" s="37">
        <v>0.18103134188980272</v>
      </c>
      <c r="G38" s="38">
        <v>6.1234587537909224E-2</v>
      </c>
      <c r="H38" s="37">
        <v>0.18119144401933618</v>
      </c>
      <c r="I38" s="38">
        <v>6.1623746688418579E-2</v>
      </c>
      <c r="J38" s="37">
        <v>0.18138383084744528</v>
      </c>
      <c r="K38" s="38">
        <v>6.2057274410984839E-2</v>
      </c>
      <c r="L38" s="37">
        <v>0.18161409393678066</v>
      </c>
      <c r="M38" s="38">
        <v>6.2542967473649791E-2</v>
      </c>
      <c r="N38" s="37">
        <v>0.1818893612510292</v>
      </c>
      <c r="O38" s="38">
        <v>6.3090601488988943E-2</v>
      </c>
      <c r="P38" s="37">
        <v>0.18221890102282051</v>
      </c>
      <c r="Q38" s="38">
        <v>6.3712753016960444E-2</v>
      </c>
      <c r="R38" s="37">
        <v>0.18261507698345189</v>
      </c>
      <c r="S38" s="38">
        <v>6.44258766538022E-2</v>
      </c>
      <c r="T38" s="37">
        <v>0.18309486497438918</v>
      </c>
      <c r="U38" s="38">
        <v>6.5252145715203741E-2</v>
      </c>
      <c r="V38" s="37">
        <v>0.18368239447102735</v>
      </c>
      <c r="W38" s="38">
        <v>6.6222402176226006E-2</v>
      </c>
      <c r="X38" s="37">
        <v>0.18441339306737237</v>
      </c>
      <c r="Y38" s="38">
        <v>6.7381270833609244E-2</v>
      </c>
      <c r="Z38" s="37">
        <v>0.18534337861366418</v>
      </c>
      <c r="AA38" s="38">
        <v>6.8796433023690803E-2</v>
      </c>
      <c r="AB38" s="37">
        <v>0.18656364936674968</v>
      </c>
      <c r="AC38" s="38">
        <v>7.0576425111206376E-2</v>
      </c>
      <c r="AD38" s="37">
        <v>0.18823442191276443</v>
      </c>
      <c r="AE38" s="38">
        <v>7.2906629636515105E-2</v>
      </c>
      <c r="AF38" s="37">
        <v>0.19065742160226898</v>
      </c>
      <c r="AG38" s="38">
        <v>7.6125383304398803E-2</v>
      </c>
      <c r="AH38" s="37">
        <v>0.1944431096411578</v>
      </c>
      <c r="AI38" s="38">
        <v>8.08878484543918E-2</v>
      </c>
      <c r="AJ38" s="37">
        <v>0.2009438722854025</v>
      </c>
      <c r="AK38" s="38">
        <v>8.8542060300750056E-2</v>
      </c>
      <c r="AL38" s="37">
        <v>0.21388338283948866</v>
      </c>
      <c r="AM38" s="38">
        <v>0.1023567802955905</v>
      </c>
      <c r="AN38" s="37">
        <v>0.25085991983872541</v>
      </c>
      <c r="AO38" s="38">
        <v>0.13494744335036934</v>
      </c>
      <c r="AP38" s="37">
        <v>0.2686763816019993</v>
      </c>
      <c r="AQ38" s="38">
        <v>0.14825570601500784</v>
      </c>
      <c r="AR38" s="37">
        <v>0.29779959143583329</v>
      </c>
      <c r="AS38" s="38">
        <v>0.16782507952607523</v>
      </c>
      <c r="AT38" s="37">
        <v>0.35476411367021937</v>
      </c>
      <c r="AU38" s="38">
        <v>0.20076751918240368</v>
      </c>
      <c r="AV38" s="37">
        <v>0.5213708646096944</v>
      </c>
      <c r="AW38" s="38">
        <v>0.27555396235556567</v>
      </c>
    </row>
    <row r="39" spans="1:49 16319:16321" x14ac:dyDescent="0.2">
      <c r="A39" t="s">
        <v>23</v>
      </c>
      <c r="B39" s="39">
        <v>0.23064923795098732</v>
      </c>
      <c r="C39" s="40">
        <v>0.22092201281804777</v>
      </c>
      <c r="D39" s="39">
        <v>0.23118803892435413</v>
      </c>
      <c r="E39" s="40">
        <v>0.22227515816012841</v>
      </c>
      <c r="F39" s="39">
        <v>0.23176016518182899</v>
      </c>
      <c r="G39" s="40">
        <v>0.22375148899899647</v>
      </c>
      <c r="H39" s="39">
        <v>0.23237059154399137</v>
      </c>
      <c r="I39" s="40">
        <v>0.22537018355366734</v>
      </c>
      <c r="J39" s="39">
        <v>0.23302540193962967</v>
      </c>
      <c r="K39" s="40">
        <v>0.22715468899564942</v>
      </c>
      <c r="L39" s="39">
        <v>0.23373213822231104</v>
      </c>
      <c r="M39" s="40">
        <v>0.22913399419124822</v>
      </c>
      <c r="N39" s="39">
        <v>0.23450029273064715</v>
      </c>
      <c r="O39" s="40">
        <v>0.23134459644253977</v>
      </c>
      <c r="P39" s="39">
        <v>0.23534204922877899</v>
      </c>
      <c r="Q39" s="40">
        <v>0.23383313237743053</v>
      </c>
      <c r="R39" s="39">
        <v>0.23627340045492889</v>
      </c>
      <c r="S39" s="40">
        <v>0.23666065204471212</v>
      </c>
      <c r="T39" s="39">
        <v>0.23731594652669116</v>
      </c>
      <c r="U39" s="40">
        <v>0.23990913929973376</v>
      </c>
      <c r="V39" s="39">
        <v>0.23849988323024815</v>
      </c>
      <c r="W39" s="40">
        <v>0.243692333448225</v>
      </c>
      <c r="X39" s="39">
        <v>0.23986925539874346</v>
      </c>
      <c r="Y39" s="40">
        <v>0.24817434200262822</v>
      </c>
      <c r="Z39" s="39">
        <v>0.2414917285688496</v>
      </c>
      <c r="AA39" s="40">
        <v>0.25360344320251621</v>
      </c>
      <c r="AB39" s="39">
        <v>0.24347796324546533</v>
      </c>
      <c r="AC39" s="40">
        <v>0.26037697980350694</v>
      </c>
      <c r="AD39" s="39">
        <v>0.24602268690243367</v>
      </c>
      <c r="AE39" s="40">
        <v>0.269173146687951</v>
      </c>
      <c r="AF39" s="39">
        <v>0.24949751870081785</v>
      </c>
      <c r="AG39" s="40">
        <v>0.28123047093621478</v>
      </c>
      <c r="AH39" s="39">
        <v>0.2546728295128815</v>
      </c>
      <c r="AI39" s="40">
        <v>0.29895438664949414</v>
      </c>
      <c r="AJ39" s="39">
        <v>0.26330467653063766</v>
      </c>
      <c r="AK39" s="40">
        <v>0.32731671884408081</v>
      </c>
      <c r="AL39" s="39">
        <v>0.28029750393087505</v>
      </c>
      <c r="AM39" s="40">
        <v>0.37841152933866812</v>
      </c>
      <c r="AN39" s="39">
        <v>0.32876153832367477</v>
      </c>
      <c r="AO39" s="40">
        <v>0.49890310535998322</v>
      </c>
      <c r="AP39" s="39">
        <v>0.35211080014044971</v>
      </c>
      <c r="AQ39" s="40">
        <v>0.5481040122650962</v>
      </c>
      <c r="AR39" s="39">
        <v>0.39027793679256728</v>
      </c>
      <c r="AS39" s="40">
        <v>0.62045235568708745</v>
      </c>
      <c r="AT39" s="39">
        <v>0.46493217132284936</v>
      </c>
      <c r="AU39" s="40">
        <v>0.74224118826040952</v>
      </c>
      <c r="AV39" s="39">
        <v>0.68327680352649633</v>
      </c>
      <c r="AW39" s="40">
        <v>1.0187280768107871</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0.10800000000000051</v>
      </c>
      <c r="E42" s="135"/>
      <c r="F42" s="177">
        <f>10.8%+(1-10.8%)*(1-SUM(F26:G26)/SUM($B$26:$C$26))</f>
        <v>0.10800000000000021</v>
      </c>
      <c r="G42" s="135"/>
      <c r="H42" s="177">
        <f>10.8%+(1-10.8%)*(1-SUM(H26:I26)/SUM($B$26:$C$26))</f>
        <v>0.10799999999999961</v>
      </c>
      <c r="I42" s="135"/>
      <c r="J42" s="177">
        <f>10.8%+(1-10.8%)*(1-SUM(J26:K26)/SUM($B$26:$C$26))</f>
        <v>0.10799999999999961</v>
      </c>
      <c r="K42" s="135"/>
      <c r="L42" s="177">
        <f>10.8%+(1-10.8%)*(1-SUM(L26:M26)/SUM($B$26:$C$26))</f>
        <v>0.10800000000000021</v>
      </c>
      <c r="M42" s="135"/>
      <c r="N42" s="177">
        <f>10.8%+(1-10.8%)*(1-SUM(N26:O26)/SUM($B$26:$C$26))</f>
        <v>0.10799999999999982</v>
      </c>
      <c r="O42" s="135"/>
      <c r="P42" s="177">
        <f>10.8%+(1-10.8%)*(1-SUM(P26:Q26)/SUM($B$26:$C$26))</f>
        <v>0.10800000000000051</v>
      </c>
      <c r="Q42" s="135"/>
      <c r="R42" s="177">
        <f>10.8%+(1-10.8%)*(1-SUM(R26:S26)/SUM($B$26:$C$26))</f>
        <v>0.10799999999999961</v>
      </c>
      <c r="S42" s="135"/>
      <c r="T42" s="177">
        <f>10.8%+(1-10.8%)*(1-SUM(T26:U26)/SUM($B$26:$C$26))</f>
        <v>0.10800000000000021</v>
      </c>
      <c r="U42" s="135"/>
      <c r="V42" s="177">
        <f>10.8%+(1-10.8%)*(1-SUM(V26:W26)/SUM($B$26:$C$26))</f>
        <v>0.1080000000000003</v>
      </c>
      <c r="W42" s="135"/>
      <c r="X42" s="177">
        <f>10.8%+(1-10.8%)*(1-SUM(X26:Y26)/SUM($B$26:$C$26))</f>
        <v>0.1080000000000014</v>
      </c>
      <c r="Y42" s="162"/>
      <c r="Z42" s="177">
        <f>10.8%+(1-10.8%)*(1-SUM(Z26:AA26)/SUM($B$26:$C$26))</f>
        <v>0.10799999999999961</v>
      </c>
      <c r="AA42" s="135"/>
      <c r="AB42" s="177">
        <f>10.8%+(1-10.8%)*(1-SUM(AB26:AC26)/SUM($B$26:$C$26))</f>
        <v>0.10799999999999961</v>
      </c>
      <c r="AC42" s="135"/>
      <c r="AD42" s="177">
        <f>10.8%+(1-10.8%)*(1-SUM(AD26:AE26)/SUM($B$26:$C$26))</f>
        <v>0.1080000000000003</v>
      </c>
      <c r="AE42" s="135"/>
      <c r="AF42" s="177">
        <f>10.8%+(1-10.8%)*(1-SUM(AF26:AG26)/SUM($B$26:$C$26))</f>
        <v>0.10799999999999982</v>
      </c>
      <c r="AG42" s="135"/>
      <c r="AH42" s="177">
        <f>10.8%+(1-10.8%)*(1-SUM(AH26:AI26)/SUM($B$26:$C$26))</f>
        <v>0.1080000000000003</v>
      </c>
      <c r="AI42" s="135"/>
      <c r="AJ42" s="177">
        <f>10.8%+(1-10.8%)*(1-SUM(AJ26:AK26)/SUM($B$26:$C$26))</f>
        <v>0.10799999999999982</v>
      </c>
      <c r="AK42" s="135"/>
      <c r="AL42" s="177">
        <f>10.8%+(1-10.8%)*(1-SUM(AL26:AM26)/SUM($B$26:$C$26))</f>
        <v>0.10799999999999961</v>
      </c>
      <c r="AM42" s="135"/>
      <c r="AN42" s="177">
        <f>10.8%+(1-10.8%)*(1-SUM(AN26:AO26)/SUM($B$26:$C$26))</f>
        <v>0.10800000000000021</v>
      </c>
      <c r="AO42" s="135"/>
      <c r="AP42" s="177">
        <f>10.8%+(1-10.8%)*(1-SUM(AP26:AQ26)/SUM($B$26:$C$26))</f>
        <v>0.10799999999999982</v>
      </c>
      <c r="AQ42" s="135"/>
      <c r="AR42" s="177">
        <f>10.8%+(1-10.8%)*(1-SUM(AR26:AS26)/SUM($B$26:$C$26))</f>
        <v>0.10800000000000021</v>
      </c>
      <c r="AS42" s="135"/>
      <c r="AT42" s="177">
        <f>10.8%+(1-10.8%)*(1-SUM(AT26:AU26)/SUM($B$26:$C$26))</f>
        <v>0.10800000000000001</v>
      </c>
      <c r="AU42" s="135"/>
      <c r="AV42" s="177">
        <f>10.8%+(1-10.8%)*(1-SUM(AV26:AW26)/SUM($B$26:$C$26))</f>
        <v>0.10800000000000061</v>
      </c>
    </row>
    <row r="43" spans="1:49 16319:16321" x14ac:dyDescent="0.2">
      <c r="A43" t="s">
        <v>108</v>
      </c>
      <c r="B43" s="162">
        <f>SUM(B15:C15*B27:C27)/SUM(B15:C15*B27:C27,B13:C13*B26:C26)</f>
        <v>0.56058995943839174</v>
      </c>
      <c r="C43" s="135"/>
      <c r="D43" s="162">
        <f t="array" ref="D43">SUM(D15:E15*D27:E27)/SUM(D15:E15*D27:E27,D13:E13*D26:E26)</f>
        <v>0.56435806775340513</v>
      </c>
      <c r="E43" s="135"/>
      <c r="F43" s="162">
        <f t="array" ref="F43">SUM(F15:G15*F27:G27)/SUM(F15:G15*F27:G27,F13:G13*F26:G26)</f>
        <v>0.56150295180158516</v>
      </c>
      <c r="G43" s="135"/>
      <c r="H43" s="162">
        <f t="array" ref="H43">SUM(H15:I15*H27:I27)/SUM(H15:I15*H27:I27,H13:I13*H26:I26)</f>
        <v>0.55863428637504242</v>
      </c>
      <c r="I43" s="135"/>
      <c r="J43" s="162">
        <f t="array" ref="J43">SUM(J15:K15*J27:K27)/SUM(J15:K15*J27:K27,J13:K13*J26:K26)</f>
        <v>0.55575123444648522</v>
      </c>
      <c r="K43" s="135"/>
      <c r="L43" s="162">
        <f t="array" ref="L43">SUM(L15:M15*L27:M27)/SUM(L15:M15*L27:M27,L13:M13*L26:M26)</f>
        <v>0.55285315344969399</v>
      </c>
      <c r="M43" s="135"/>
      <c r="N43" s="162">
        <f t="array" ref="N43">SUM(N15:O15*N27:O27)/SUM(N15:O15*N27:O27,N13:O13*N26:O26)</f>
        <v>0.54994000442982405</v>
      </c>
      <c r="O43" s="135"/>
      <c r="P43" s="162">
        <f t="array" ref="P43">SUM(P15:Q15*P27:Q27)/SUM(P15:Q15*P27:Q27,P13:Q13*P26:Q26)</f>
        <v>0.54701274305636927</v>
      </c>
      <c r="Q43" s="135"/>
      <c r="R43" s="162">
        <f t="array" ref="R43">SUM(R15:S15*R27:S27)/SUM(R15:S15*R27:S27,R13:S13*R26:S26)</f>
        <v>0.54407431794811911</v>
      </c>
      <c r="S43" s="135"/>
      <c r="T43" s="162">
        <f t="array" ref="T43">SUM(T15:U15*T27:U27)/SUM(T15:U15*T27:U27,T13:U13*T26:U26)</f>
        <v>0.54113105645448556</v>
      </c>
      <c r="U43" s="135"/>
      <c r="V43" s="162">
        <f t="array" ref="V43">SUM(V15:W15*V27:W27)/SUM(V15:W15*V27:W27,V13:W13*V26:W26)</f>
        <v>0.53819512886262688</v>
      </c>
      <c r="W43" s="135"/>
      <c r="X43" s="162">
        <f t="array" ref="X43">SUM(X15:Y15*X27:Y27)/SUM(X15:Y15*X27:Y27,X13:Y13*X26:Y26)</f>
        <v>0.5352885922690086</v>
      </c>
      <c r="Y43" s="135"/>
      <c r="Z43" s="162">
        <f t="array" ref="Z43">SUM(Z15:AA15*Z27:AA27)/SUM(Z15:AA15*Z27:AA27,Z13:AA13*Z26:AA26)</f>
        <v>0.53245010067044019</v>
      </c>
      <c r="AA43" s="135"/>
      <c r="AB43" s="162">
        <f t="array" ref="AB43">SUM(AB15:AC15*AB27:AC27)/SUM(AB15:AC15*AB27:AC27,AB13:AC13*AB26:AC26)</f>
        <v>0.52974568103057629</v>
      </c>
      <c r="AC43" s="135"/>
      <c r="AD43" s="162">
        <f t="array" ref="AD43">SUM(AD15:AE15*AD27:AE27)/SUM(AD15:AE15*AD27:AE27,AD13:AE13*AD26:AE26)</f>
        <v>0.52728426868303613</v>
      </c>
      <c r="AE43" s="135"/>
      <c r="AF43" s="162">
        <f t="array" ref="AF43">SUM(AF15:AG15*AF27:AG27)/SUM(AF15:AG15*AF27:AG27,AF13:AG13*AF26:AG26)</f>
        <v>0.52523142699810099</v>
      </c>
      <c r="AG43" s="135"/>
      <c r="AH43" s="162">
        <f t="array" ref="AH43">SUM(AH15:AI15*AH27:AI27)/SUM(AH15:AI15*AH27:AI27,AH13:AI13*AH26:AI26)</f>
        <v>0.52378604525930617</v>
      </c>
      <c r="AI43" s="135"/>
      <c r="AJ43" s="162">
        <f t="array" ref="AJ43">SUM(AJ15:AK15*AJ27:AK27)/SUM(AJ15:AK15*AJ27:AK27,AJ13:AK13*AJ26:AK26)</f>
        <v>0.52304413311510634</v>
      </c>
      <c r="AK43" s="135"/>
      <c r="AL43" s="162">
        <f t="array" ref="AL43">SUM(AL15:AM15*AL27:AM27)/SUM(AL15:AM15*AL27:AM27,AL13:AM13*AL26:AM26)</f>
        <v>0.52282056133697252</v>
      </c>
      <c r="AM43" s="135"/>
      <c r="AN43" s="162">
        <f t="array" ref="AN43">SUM(AN15:AO15*AN27:AO27)/SUM(AN15:AO15*AN27:AO27,AN13:AO13*AN26:AO26)</f>
        <v>0.52279169030063133</v>
      </c>
      <c r="AO43" s="135"/>
      <c r="AP43" s="162">
        <f t="array" ref="AP43">SUM(AP15:AQ15*AP27:AQ27)/SUM(AP15:AQ15*AP27:AQ27,AP13:AQ13*AP26:AQ26)</f>
        <v>0.52279118998151086</v>
      </c>
      <c r="AQ43" s="135"/>
      <c r="AR43" s="162">
        <f t="array" ref="AR43">SUM(AR15:AS15*AR27:AS27)/SUM(AR15:AS15*AR27:AS27,AR13:AS13*AR26:AS26)</f>
        <v>0.52279100829522007</v>
      </c>
      <c r="AS43" s="135"/>
      <c r="AT43" s="162">
        <f t="array" ref="AT43">SUM(AT15:AU15*AT27:AU27)/SUM(AT15:AU15*AT27:AU27,AT13:AU13*AT26:AU26)</f>
        <v>0.5227909562439228</v>
      </c>
      <c r="AU43" s="135"/>
      <c r="AV43" s="162">
        <f t="array" ref="AV43">SUM(AV15:AW15*AV27:AW27)/SUM(AV15:AW15*AV27:AW27,AV13:AW13*AV26:AW26)</f>
        <v>0.52279094591232</v>
      </c>
    </row>
    <row r="44" spans="1:49 16319:16321" x14ac:dyDescent="0.2">
      <c r="A44" t="s">
        <v>142</v>
      </c>
      <c r="B44" s="193">
        <f>(SUM(B11:C11*B24:C24)+B34)/B32</f>
        <v>0.29754226190682465</v>
      </c>
      <c r="D44" s="193">
        <f>(SUM(D11:E11*D24:E24)+D34)/D32</f>
        <v>0.30014170695433551</v>
      </c>
      <c r="F44" s="193">
        <f>(SUM(F11:G11*F24:G24)+F34)/F32</f>
        <v>0.30279145169517907</v>
      </c>
      <c r="H44" s="193">
        <f>(SUM(H11:I11*H24:I24)+H34)/H32</f>
        <v>0.30550061818657936</v>
      </c>
      <c r="J44" s="193">
        <f>(SUM(J11:K11*J24:K24)+J34)/J32</f>
        <v>0.30828022047469356</v>
      </c>
      <c r="L44" s="193">
        <f>(SUM(L11:M11*L24:M24)+L34)/L32</f>
        <v>0.3111437876532952</v>
      </c>
      <c r="N44" s="193">
        <f>(SUM(N11:O11*N24:O24)+N34)/N32</f>
        <v>0.31410827889211812</v>
      </c>
      <c r="P44" s="193">
        <f>(SUM(P11:Q11*P24:Q24)+P34)/P32</f>
        <v>0.31719549451569123</v>
      </c>
      <c r="R44" s="193">
        <f>(SUM(R11:S11*R24:S24)+R34)/R32</f>
        <v>0.3204343762624341</v>
      </c>
      <c r="T44" s="193">
        <f>(SUM(T11:U11*T24:U24)+T34)/T32</f>
        <v>0.32386472597462507</v>
      </c>
      <c r="V44" s="193">
        <f>(SUM(V11:W11*V24:W24)+V34)/V32</f>
        <v>0.32754370757668411</v>
      </c>
      <c r="X44" s="193">
        <f>(SUM(X11:Y11*X24:Y24)+X34)/X32</f>
        <v>0.33155749060884687</v>
      </c>
      <c r="Z44" s="193">
        <f>(SUM(Z11:AA11*Z24:AA24)+Z34)/Z32</f>
        <v>0.33604310139146315</v>
      </c>
      <c r="AB44" s="193">
        <f>(SUM(AB11:AC11*AB24:AC24)+AB34)/AB32</f>
        <v>0.34123106721678964</v>
      </c>
      <c r="AD44" s="193">
        <f>(SUM(AD11:AE11*AD24:AE24)+AD34)/AD32</f>
        <v>0.34753113644897032</v>
      </c>
      <c r="AF44" s="193">
        <f>(SUM(AF11:AG11*AF24:AG24)+AF34)/AF32</f>
        <v>0.35570326255615953</v>
      </c>
      <c r="AH44" s="193">
        <f>(SUM(AH11:AI11*AH24:AI24)+AH34)/AH32</f>
        <v>0.36717127705401698</v>
      </c>
      <c r="AJ44" s="193">
        <f>(SUM(AJ11:AK11*AJ24:AK24)+AJ34)/AJ32</f>
        <v>0.38454940837774143</v>
      </c>
      <c r="AL44" s="193">
        <f>(SUM(AL11:AM11*AL24:AM24)+AL34)/AL32</f>
        <v>0.41320638599079385</v>
      </c>
      <c r="AN44" s="193">
        <f>(SUM(AN11:AO11*AN24:AO24)+AN34)/AN32</f>
        <v>0.47115812839638987</v>
      </c>
      <c r="AP44" s="193">
        <f>(SUM(AP11:AQ11*AP24:AQ24)+AP34)/AP32</f>
        <v>0.49187809148186734</v>
      </c>
      <c r="AR44" s="193">
        <f>(SUM(AR11:AS11*AR24:AS24)+AR34)/AR32</f>
        <v>0.51967765581982495</v>
      </c>
      <c r="AT44" s="193">
        <f>(SUM(AT11:AU11*AT24:AU24)+AT34)/AT32</f>
        <v>0.55995537877919677</v>
      </c>
      <c r="AV44" s="193">
        <f>(SUM(AV11:AW11*AV24:AW24)+AV34)/AV32</f>
        <v>0.62657434440924886</v>
      </c>
    </row>
    <row r="45" spans="1:49 16319:16321" x14ac:dyDescent="0.2">
      <c r="A45" t="s">
        <v>82</v>
      </c>
      <c r="B45" s="193">
        <f>SUM(B11:C11*B24:C24)/B32</f>
        <v>0.22038438833194082</v>
      </c>
      <c r="D45" s="193">
        <f>SUM(D11:E11*D24:E24)/D32</f>
        <v>0.22298383373500894</v>
      </c>
      <c r="F45" s="193">
        <f>SUM(F11:G11*F24:G24)/F32</f>
        <v>0.22563357853687097</v>
      </c>
      <c r="H45" s="193">
        <f>SUM(H11:I11*H24:I24)/H32</f>
        <v>0.22834274518797507</v>
      </c>
      <c r="J45" s="193">
        <f>SUM(J11:K11*J24:K24)/J32</f>
        <v>0.23112234908847501</v>
      </c>
      <c r="L45" s="193">
        <f>SUM(L11:M11*L24:M24)/L32</f>
        <v>0.23398591493921606</v>
      </c>
      <c r="N45" s="193">
        <f>SUM(N11:O11*N24:O24)/N32</f>
        <v>0.23695040539012929</v>
      </c>
      <c r="P45" s="193">
        <f>SUM(P11:Q11*P24:Q24)/P32</f>
        <v>0.24003762437658238</v>
      </c>
      <c r="R45" s="193">
        <f>SUM(R11:S11*R24:S24)/R32</f>
        <v>0.24327650633336073</v>
      </c>
      <c r="T45" s="193">
        <f>SUM(T11:U11*T24:U24)/T32</f>
        <v>0.24670685623967664</v>
      </c>
      <c r="V45" s="193">
        <f>SUM(V11:W11*V24:W24)/V32</f>
        <v>0.25038583741372639</v>
      </c>
      <c r="X45" s="193">
        <f>SUM(X11:Y11*X24:Y24)/X32</f>
        <v>0.2543996199281216</v>
      </c>
      <c r="Z45" s="193">
        <f>SUM(Z11:AA11*Z24:AA24)/Z32</f>
        <v>0.258885227874248</v>
      </c>
      <c r="AB45" s="193">
        <f>SUM(AB11:AC11*AB24:AC24)/AB32</f>
        <v>0.26407319389917955</v>
      </c>
      <c r="AD45" s="193">
        <f>SUM(AD11:AE11*AD24:AE24)/AD32</f>
        <v>0.27037326283170571</v>
      </c>
      <c r="AF45" s="193">
        <f>SUM(AF11:AG11*AF24:AG24)/AF32</f>
        <v>0.27854538900626935</v>
      </c>
      <c r="AH45" s="193">
        <f>SUM(AH11:AI11*AH24:AI24)/AH32</f>
        <v>0.29001340350983684</v>
      </c>
      <c r="AJ45" s="193">
        <f>SUM(AJ11:AK11*AJ24:AK24)/AJ32</f>
        <v>0.30739153480115022</v>
      </c>
      <c r="AL45" s="193">
        <f>SUM(AL11:AM11*AL24:AM24)/AL32</f>
        <v>0.33604851241587197</v>
      </c>
      <c r="AN45" s="193">
        <f>SUM(AN11:AO11*AN24:AO24)/AN32</f>
        <v>0.39400025482151707</v>
      </c>
      <c r="AP45" s="193">
        <f>SUM(AP11:AQ11*AP24:AQ24)/AP32</f>
        <v>0.41472021790698799</v>
      </c>
      <c r="AR45" s="193">
        <f>SUM(AR11:AS11*AR24:AS24)/AR32</f>
        <v>0.44251978224494132</v>
      </c>
      <c r="AT45" s="193">
        <f>SUM(AT11:AU11*AT24:AU24)/AT32</f>
        <v>0.48279750520434883</v>
      </c>
      <c r="AV45" s="193">
        <f>SUM(AV11:AW11*AV24:AW24)/AV32</f>
        <v>0.54941647083435208</v>
      </c>
      <c r="XCQ45" s="193"/>
    </row>
    <row r="46" spans="1:49 16319:16321" x14ac:dyDescent="0.2">
      <c r="A46" t="s">
        <v>139</v>
      </c>
      <c r="B46" s="193">
        <f>B34/B32</f>
        <v>7.7157873574883795E-2</v>
      </c>
      <c r="D46" s="193">
        <f>D34/D32</f>
        <v>7.7157873219326559E-2</v>
      </c>
      <c r="F46" s="193">
        <f>F34/F32</f>
        <v>7.7157873158308118E-2</v>
      </c>
      <c r="H46" s="193">
        <f>H34/H32</f>
        <v>7.7157872998604313E-2</v>
      </c>
      <c r="J46" s="193">
        <f>J34/J32</f>
        <v>7.7157871386218518E-2</v>
      </c>
      <c r="L46" s="193">
        <f>L34/L32</f>
        <v>7.7157872714079159E-2</v>
      </c>
      <c r="N46" s="193">
        <f>N34/N32</f>
        <v>7.7157873501988869E-2</v>
      </c>
      <c r="P46" s="193">
        <f>P34/P32</f>
        <v>7.7157870139108839E-2</v>
      </c>
      <c r="R46" s="193">
        <f>R34/R32</f>
        <v>7.7157869929073405E-2</v>
      </c>
      <c r="T46" s="193">
        <f>T34/T32</f>
        <v>7.7157869734948412E-2</v>
      </c>
      <c r="V46" s="193">
        <f>V34/V32</f>
        <v>7.7157870162957734E-2</v>
      </c>
      <c r="X46" s="193">
        <f>X34/X32</f>
        <v>7.7157870680725341E-2</v>
      </c>
      <c r="Z46" s="193">
        <f>Z34/Z32</f>
        <v>7.7157873517215175E-2</v>
      </c>
      <c r="AB46" s="193">
        <f>AB34/AB32</f>
        <v>7.7157873317610065E-2</v>
      </c>
      <c r="AD46" s="193">
        <f>AD34/AD32</f>
        <v>7.7157873617264602E-2</v>
      </c>
      <c r="AF46" s="193">
        <f>AF34/AF32</f>
        <v>7.7157873549890191E-2</v>
      </c>
      <c r="AH46" s="193">
        <f>AH34/AH32</f>
        <v>7.7157873544180133E-2</v>
      </c>
      <c r="AJ46" s="193">
        <f>AJ34/AJ32</f>
        <v>7.7157873576591221E-2</v>
      </c>
      <c r="AL46" s="193">
        <f>AL34/AL32</f>
        <v>7.7157873574921917E-2</v>
      </c>
      <c r="AN46" s="193">
        <f>AN34/AN32</f>
        <v>7.7157873574872832E-2</v>
      </c>
      <c r="AP46" s="193">
        <f>AP34/AP32</f>
        <v>7.715787357487934E-2</v>
      </c>
      <c r="AR46" s="193">
        <f>AR34/AR32</f>
        <v>7.715787357488367E-2</v>
      </c>
      <c r="AT46" s="193">
        <f>AT34/AT32</f>
        <v>7.7157873574847949E-2</v>
      </c>
      <c r="AV46" s="193">
        <f>AV34/AV32</f>
        <v>7.7157873574896743E-2</v>
      </c>
      <c r="XCS46" s="193"/>
    </row>
    <row r="48" spans="1:49 16319:16321" x14ac:dyDescent="0.2">
      <c r="A48" t="s">
        <v>159</v>
      </c>
      <c r="B48" s="191">
        <f>B24/$B$24</f>
        <v>1</v>
      </c>
      <c r="C48" s="191"/>
      <c r="D48" s="191">
        <f>D24/$B$24</f>
        <v>1.0133966433393371</v>
      </c>
      <c r="E48" s="191"/>
      <c r="F48" s="191">
        <f>F24/$B$24</f>
        <v>1.0269363184185589</v>
      </c>
      <c r="G48" s="191"/>
      <c r="H48" s="191">
        <f>H24/$B$24</f>
        <v>1.0406375801241501</v>
      </c>
      <c r="I48" s="191"/>
      <c r="J48" s="191">
        <f>J24/$B$24</f>
        <v>1.0545221231482169</v>
      </c>
      <c r="K48" s="191"/>
      <c r="L48" s="191">
        <f>L24/$B$24</f>
        <v>1.0686159077163269</v>
      </c>
      <c r="M48" s="191"/>
      <c r="N48" s="191">
        <f>N24/$B$24</f>
        <v>1.0829508787318547</v>
      </c>
      <c r="O48" s="191"/>
      <c r="P48" s="191">
        <f>P24/$B$24</f>
        <v>1.0975680404076966</v>
      </c>
      <c r="Q48" s="191"/>
      <c r="R48" s="191">
        <f>R24/$B$24</f>
        <v>1.1125227092433529</v>
      </c>
      <c r="S48" s="191"/>
      <c r="T48" s="191">
        <f>T24/$B$24</f>
        <v>1.127893960117087</v>
      </c>
      <c r="U48" s="191"/>
      <c r="V48" s="191">
        <f>V24/$B$24</f>
        <v>1.1438020298958034</v>
      </c>
      <c r="W48" s="191"/>
      <c r="X48" s="191">
        <f>X24/$B$24</f>
        <v>1.1604411664692149</v>
      </c>
      <c r="Y48" s="191"/>
      <c r="Z48" s="191">
        <f>Z24/$B$24</f>
        <v>1.1781430010747627</v>
      </c>
      <c r="AA48" s="191"/>
      <c r="AB48" s="191">
        <f>AB24/$B$24</f>
        <v>1.1975002810924256</v>
      </c>
      <c r="AC48" s="191"/>
      <c r="AD48" s="191">
        <f>AD24/$B$24</f>
        <v>1.2196031788044059</v>
      </c>
      <c r="AE48" s="191"/>
      <c r="AF48" s="191">
        <f>AF24/$B$24</f>
        <v>1.2464344174095074</v>
      </c>
      <c r="AG48" s="191"/>
      <c r="AH48" s="191">
        <f>AH24/$B$24</f>
        <v>1.2812019102196543</v>
      </c>
      <c r="AI48" s="191"/>
      <c r="AJ48" s="191">
        <f>AJ24/$B$24</f>
        <v>1.3272246877244331</v>
      </c>
      <c r="AK48" s="191"/>
      <c r="AL48" s="191">
        <f>AL24/$B$24</f>
        <v>1.3818594494263119</v>
      </c>
      <c r="AM48" s="191"/>
      <c r="AN48" s="191">
        <f>AN24/$B$24</f>
        <v>1.4027442020202541</v>
      </c>
      <c r="AO48" s="191"/>
      <c r="AP48" s="191">
        <f>AP24/$B$24</f>
        <v>1.3816570649463225</v>
      </c>
      <c r="AQ48" s="191"/>
      <c r="AR48" s="191">
        <f>AR24/$B$24</f>
        <v>1.3311357839714901</v>
      </c>
      <c r="AS48" s="191"/>
      <c r="AT48" s="191">
        <f>AT24/$B$24</f>
        <v>1.2158719828465698</v>
      </c>
      <c r="AU48" s="191"/>
      <c r="AV48" s="191">
        <f>AV24/$B$24</f>
        <v>0.93012449854292922</v>
      </c>
    </row>
    <row r="49" spans="1:48 16321:16384" x14ac:dyDescent="0.2">
      <c r="A49" t="s">
        <v>160</v>
      </c>
      <c r="B49" s="191">
        <f>B13/B35/$B$13*$B$35</f>
        <v>1</v>
      </c>
      <c r="C49" s="191"/>
      <c r="D49" s="191">
        <f>D13/D35/$B$13*$B$35</f>
        <v>0.99900709216290384</v>
      </c>
      <c r="E49" s="191"/>
      <c r="F49" s="191">
        <f>F13/F35/$B$13*$B$35</f>
        <v>0.99744415475726278</v>
      </c>
      <c r="G49" s="191"/>
      <c r="H49" s="191">
        <f>H13/H35/$B$13*$B$35</f>
        <v>0.99522618429409115</v>
      </c>
      <c r="I49" s="191"/>
      <c r="J49" s="191">
        <f>J13/J35/$B$13*$B$35</f>
        <v>0.99224895471897712</v>
      </c>
      <c r="K49" s="191"/>
      <c r="L49" s="191">
        <f>L13/L35/$B$13*$B$35</f>
        <v>0.9883829154594338</v>
      </c>
      <c r="M49" s="191"/>
      <c r="N49" s="191">
        <f>N13/N35/$B$13*$B$35</f>
        <v>0.98346403288303486</v>
      </c>
      <c r="O49" s="191"/>
      <c r="P49" s="191">
        <f>P13/P35/$B$13*$B$35</f>
        <v>0.97728096060371705</v>
      </c>
      <c r="Q49" s="191"/>
      <c r="R49" s="191">
        <f>R13/R35/$B$13*$B$35</f>
        <v>0.96955491340589683</v>
      </c>
      <c r="S49" s="191"/>
      <c r="T49" s="191">
        <f>T13/T35/$B$13*$B$35</f>
        <v>0.95990876275443526</v>
      </c>
      <c r="U49" s="191"/>
      <c r="V49" s="191">
        <f>V13/V35/$B$13*$B$35</f>
        <v>0.9478168187931717</v>
      </c>
      <c r="W49" s="191"/>
      <c r="X49" s="191">
        <f>X13/X35/$B$13*$B$35</f>
        <v>0.93252066788103749</v>
      </c>
      <c r="Y49" s="191"/>
      <c r="Z49" s="191">
        <f>Z13/Z35/$B$13*$B$35</f>
        <v>0.91288236398317346</v>
      </c>
      <c r="AA49" s="191"/>
      <c r="AB49" s="191">
        <f>AB13/AB35/$B$13*$B$35</f>
        <v>0.88711906675510865</v>
      </c>
      <c r="AC49" s="191"/>
      <c r="AD49" s="191">
        <f>AD13/AD35/$B$13*$B$35</f>
        <v>0.85231369676914459</v>
      </c>
      <c r="AE49" s="191"/>
      <c r="AF49" s="191">
        <f>AF13/AF35/$B$13*$B$35</f>
        <v>0.80353936620581889</v>
      </c>
      <c r="AG49" s="191"/>
      <c r="AH49" s="191">
        <f>AH13/AH35/$B$13*$B$35</f>
        <v>0.73253551468156608</v>
      </c>
      <c r="AI49" s="191"/>
      <c r="AJ49" s="191">
        <f>AJ13/AJ35/$B$13*$B$35</f>
        <v>0.62655149914043384</v>
      </c>
      <c r="AK49" s="191"/>
      <c r="AL49" s="191">
        <f>AL13/AL35/$B$13*$B$35</f>
        <v>0.46847164558688015</v>
      </c>
      <c r="AM49" s="191"/>
      <c r="AN49" s="191">
        <f>AN13/AN35/$B$13*$B$35</f>
        <v>0.24036937985130541</v>
      </c>
      <c r="AO49" s="191"/>
      <c r="AP49" s="191">
        <f>AP13/AP35/$B$13*$B$35</f>
        <v>0.1863227480982669</v>
      </c>
      <c r="AQ49" s="191"/>
      <c r="AR49" s="191">
        <f>AR13/AR35/$B$13*$B$35</f>
        <v>0.13080305285346586</v>
      </c>
      <c r="AS49" s="191"/>
      <c r="AT49" s="191">
        <f>AT13/AT35/$B$13*$B$35</f>
        <v>7.5924632811460571E-2</v>
      </c>
      <c r="AU49" s="191"/>
      <c r="AV49" s="191">
        <f>AV13/AV35/$B$13*$B$35</f>
        <v>2.6789913673372159E-2</v>
      </c>
    </row>
    <row r="51" spans="1:48 16321:16384" x14ac:dyDescent="0.2">
      <c r="A51" t="s">
        <v>166</v>
      </c>
      <c r="B51" s="29">
        <f>B30-B10*B23</f>
        <v>-405838.32800000021</v>
      </c>
      <c r="D51" s="29">
        <f>D30-D10*D23</f>
        <v>-340999.93223438691</v>
      </c>
      <c r="F51" s="29">
        <f>F30-F10*F23</f>
        <v>-274847.51261073863</v>
      </c>
      <c r="H51" s="29">
        <f>H30-H10*H23</f>
        <v>-207183.44253623113</v>
      </c>
      <c r="J51" s="29">
        <f>J30-J10*J23</f>
        <v>-137771.26558194589</v>
      </c>
      <c r="L51" s="29">
        <f>L30-L10*L23</f>
        <v>-66323.365405575838</v>
      </c>
      <c r="N51" s="29">
        <f>N30-N10*N23</f>
        <v>7518.0411079749465</v>
      </c>
      <c r="P51" s="29">
        <f>P30-P10*P23</f>
        <v>84210.308988928329</v>
      </c>
      <c r="R51" s="29">
        <f>R30-R10*R23</f>
        <v>164357.50936814677</v>
      </c>
      <c r="T51" s="29">
        <f>T30-T10*T23</f>
        <v>248791.75599292712</v>
      </c>
      <c r="V51" s="29">
        <f>V30-V10*V23</f>
        <v>338713.78512992011</v>
      </c>
      <c r="X51" s="29">
        <f>X30-X10*X23</f>
        <v>435949.86427864293</v>
      </c>
      <c r="Z51" s="29">
        <f>Z30-Z10*Z23</f>
        <v>543437.03020844422</v>
      </c>
      <c r="AB51" s="29">
        <f>AB30-AB10*AB23</f>
        <v>666172.37306754664</v>
      </c>
      <c r="AD51" s="29">
        <f>AD30-AD10*AD23</f>
        <v>813099.9081933233</v>
      </c>
      <c r="AF51" s="29">
        <f>AF30-AF10*AF23</f>
        <v>1000735.0822021202</v>
      </c>
      <c r="AH51" s="29">
        <f>AH30-AH10*AH23</f>
        <v>1258970.2043352448</v>
      </c>
      <c r="AJ51" s="29">
        <f>AJ30-AJ10*AJ23</f>
        <v>1636370.7477751398</v>
      </c>
      <c r="AL51" s="29">
        <f>AL30-AL10*AL23</f>
        <v>2202690.7489919229</v>
      </c>
      <c r="AN51" s="29">
        <f>AN30-AN10*AN23</f>
        <v>3041557.2576537952</v>
      </c>
      <c r="AP51" s="29">
        <f>AP30-AP10*AP23</f>
        <v>3226325.3859990244</v>
      </c>
      <c r="AQ51" s="29"/>
      <c r="AR51" s="29">
        <f>AR30-AR10*AR23</f>
        <v>3374059.1724873041</v>
      </c>
      <c r="AT51" s="29">
        <f>AT30-AT10*AT23</f>
        <v>3384947.9320682129</v>
      </c>
      <c r="AV51" s="29">
        <f>AV30-AV10*AV23</f>
        <v>2900654.363809417</v>
      </c>
      <c r="XFD51" s="29"/>
    </row>
    <row r="52" spans="1:48 16321:16384" x14ac:dyDescent="0.2">
      <c r="A52" t="s">
        <v>167</v>
      </c>
      <c r="B52" s="29">
        <f t="array" ref="B52">Calibration!sL*SUM(B13:C13*B26:C26)</f>
        <v>2049247.8195702801</v>
      </c>
      <c r="D52" s="29">
        <f t="array" ref="D52">Calibration!sL*SUM(D13:E13*D26:E26)</f>
        <v>2051735.1138946172</v>
      </c>
      <c r="F52" s="29">
        <f t="array" ref="F52">Calibration!sL*SUM(F13:G13*F26:G26)</f>
        <v>2053565.4347077862</v>
      </c>
      <c r="H52" s="29">
        <f t="array" ref="H52">Calibration!sL*SUM(H13:I13*H26:I26)</f>
        <v>2054643.839834739</v>
      </c>
      <c r="J52" s="29">
        <f t="array" ref="J52">Calibration!sL*SUM(J13:K13*J26:K26)</f>
        <v>2054854.9064470171</v>
      </c>
      <c r="L52" s="29">
        <f t="array" ref="L52">Calibration!sL*SUM(L13:M13*L26:M26)</f>
        <v>2054056.805673803</v>
      </c>
      <c r="N52" s="29">
        <f t="array" ref="N52">Calibration!sL*SUM(N13:O13*N26:O26)</f>
        <v>2052072.3216726456</v>
      </c>
      <c r="P52" s="29">
        <f t="array" ref="P52">Calibration!sL*SUM(P13:Q13*P26:Q26)</f>
        <v>2048677.0879949206</v>
      </c>
      <c r="R52" s="29">
        <f t="array" ref="R52">Calibration!sL*SUM(R13:S13*R26:S26)</f>
        <v>2043580.9417375277</v>
      </c>
      <c r="T52" s="29">
        <f t="array" ref="T52">Calibration!sL*SUM(T13:U13*T26:U26)</f>
        <v>2036400.4969895608</v>
      </c>
      <c r="V52" s="29">
        <f t="array" ref="V52">Calibration!sL*SUM(V13:W13*V26:W26)</f>
        <v>2026615.0744844829</v>
      </c>
      <c r="X52" s="29">
        <f t="array" ref="X52">Calibration!sL*SUM(X13:Y13*X26:Y26)</f>
        <v>2013493.8665358124</v>
      </c>
      <c r="Z52" s="29">
        <f t="array" ref="Z52">Calibration!sL*SUM(Z13:AA13*Z26:AA26)</f>
        <v>1995968.8133175075</v>
      </c>
      <c r="AB52" s="29">
        <f t="array" ref="AB52">Calibration!sL*SUM(AB13:AC13*AB26:AC26)</f>
        <v>1972399.7183114407</v>
      </c>
      <c r="AD52" s="29">
        <f t="array" ref="AD52">Calibration!sL*SUM(AD13:AE13*AD26:AE26)</f>
        <v>1940112.0162324933</v>
      </c>
      <c r="AF52" s="29">
        <f t="array" ref="AF52">Calibration!sL*SUM(AF13:AG13*AF26:AG26)</f>
        <v>1894429.2738843148</v>
      </c>
      <c r="AH52" s="29">
        <f t="array" ref="AH52">Calibration!sL*SUM(AH13:AI13*AH26:AI26)</f>
        <v>1826526.1067566155</v>
      </c>
      <c r="AJ52" s="29">
        <f t="array" ref="AJ52">Calibration!sL*SUM(AJ13:AK13*AJ26:AK26)</f>
        <v>1718248.5418099458</v>
      </c>
      <c r="AL52" s="29">
        <f t="array" ref="AL52">Calibration!sL*SUM(AL13:AM13*AL26:AM26)</f>
        <v>1526725.0821658438</v>
      </c>
      <c r="AN52" s="29">
        <f t="array" ref="AN52">Calibration!sL*SUM(AN13:AO13*AN26:AO26)</f>
        <v>1118590.4816918552</v>
      </c>
      <c r="AP52" s="29">
        <f t="array" ref="AP52">Calibration!sL*SUM(AP13:AQ13*AP26:AQ26)</f>
        <v>976860.42698776664</v>
      </c>
      <c r="AQ52" s="29"/>
      <c r="AR52" s="29">
        <f t="array" ref="AR52">Calibration!sL*SUM(AR13:AS13*AR26:AS26)</f>
        <v>796661.57142714853</v>
      </c>
      <c r="AT52" s="29">
        <f t="array" ref="AT52">Calibration!sL*SUM(AT13:AU13*AT26:AU26)</f>
        <v>562647.22374464024</v>
      </c>
      <c r="AV52" s="29">
        <f t="array" ref="AV52">Calibration!sL*SUM(AV13:AW13*AV26:AW26)</f>
        <v>261365.37839813271</v>
      </c>
    </row>
    <row r="53" spans="1:48 16321:16384" x14ac:dyDescent="0.2">
      <c r="A53" t="s">
        <v>168</v>
      </c>
      <c r="B53" s="29">
        <f t="array" ref="B53">Calibration!sK*SUM(B15:C15*B27:C27)</f>
        <v>2740714.4444297408</v>
      </c>
      <c r="D53" s="29">
        <f t="array" ref="D53">Calibration!sK*SUM(D15:E15*D27:E27)</f>
        <v>2712474.9803937152</v>
      </c>
      <c r="F53" s="29">
        <f t="array" ref="F53">Calibration!sK*SUM(F15:G15*F27:G27)</f>
        <v>2683572.3150831796</v>
      </c>
      <c r="H53" s="29">
        <f t="array" ref="H53">Calibration!sK*SUM(H15:I15*H27:I27)</f>
        <v>2653902.3078563022</v>
      </c>
      <c r="J53" s="29">
        <f t="array" ref="J53">Calibration!sK*SUM(J15:K15*J27:K27)</f>
        <v>2623341.0533039058</v>
      </c>
      <c r="L53" s="29">
        <f t="array" ref="L53">Calibration!sK*SUM(L15:M15*L27:M27)</f>
        <v>2591740.1488720281</v>
      </c>
      <c r="N53" s="29">
        <f t="array" ref="N53">Calibration!sK*SUM(N15:O15*N27:O27)</f>
        <v>2558921.4310347168</v>
      </c>
      <c r="P53" s="29">
        <f t="array" ref="P53">Calibration!sK*SUM(P15:Q15*P27:Q27)</f>
        <v>2524668.4725165982</v>
      </c>
      <c r="R53" s="29">
        <f t="array" ref="R53">Calibration!sK*SUM(R15:S15*R27:S27)</f>
        <v>2488716.3518795697</v>
      </c>
      <c r="T53" s="29">
        <f t="array" ref="T53">Calibration!sK*SUM(T15:U15*T27:U27)</f>
        <v>2450735.1294359583</v>
      </c>
      <c r="V53" s="29">
        <f t="array" ref="V53">Calibration!sK*SUM(V15:W15*V27:W27)</f>
        <v>2410304.4883731743</v>
      </c>
      <c r="X53" s="29">
        <f t="array" ref="X53">Calibration!sK*SUM(X15:Y15*X27:Y27)</f>
        <v>2366869.7167326524</v>
      </c>
      <c r="Z53" s="29">
        <f t="array" ref="Z53">Calibration!sK*SUM(Z15:AA15*Z27:AA27)</f>
        <v>2319658.6694809622</v>
      </c>
      <c r="AB53" s="29">
        <f t="array" ref="AB53">Calibration!sK*SUM(AB15:AC15*AB27:AC27)</f>
        <v>2267508.6431700215</v>
      </c>
      <c r="AD53" s="29">
        <f t="array" ref="AD53">Calibration!sK*SUM(AD15:AE15*AD27:AE27)</f>
        <v>2208467.1942914794</v>
      </c>
      <c r="AF53" s="29">
        <f t="array" ref="AF53">Calibration!sK*SUM(AF15:AG15*AF27:AG27)</f>
        <v>2138782.0193012198</v>
      </c>
      <c r="AH53" s="29">
        <f t="array" ref="AH53">Calibration!sK*SUM(AH15:AI15*AH27:AI27)</f>
        <v>2050204.0060327991</v>
      </c>
      <c r="AJ53" s="29">
        <f t="array" ref="AJ53">Calibration!sK*SUM(AJ15:AK15*AJ27:AK27)</f>
        <v>1922939.0167622785</v>
      </c>
      <c r="AL53" s="29">
        <f t="array" ref="AL53">Calibration!sK*SUM(AL15:AM15*AL27:AM27)</f>
        <v>1707069.3520954633</v>
      </c>
      <c r="AN53" s="29">
        <f t="array" ref="AN53">Calibration!sK*SUM(AN15:AO15*AN27:AO27)</f>
        <v>1250579.1552676</v>
      </c>
      <c r="AP53" s="29">
        <f t="array" ref="AP53">Calibration!sK*SUM(AP15:AQ15*AP27:AQ27)</f>
        <v>1092123.3978488757</v>
      </c>
      <c r="AQ53" s="29"/>
      <c r="AR53" s="29">
        <f t="array" ref="AR53">Calibration!sK*SUM(AR15:AS15*AR27:AS27)</f>
        <v>890661.63871806045</v>
      </c>
      <c r="AT53" s="29">
        <f t="array" ref="AT53">Calibration!sK*SUM(AT15:AU15*AT27:AU27)</f>
        <v>629035.22868324828</v>
      </c>
      <c r="AV53" s="29">
        <f t="array" ref="AV53">Calibration!sK*SUM(AV15:AW15*AV27:AW27)</f>
        <v>292204.45213932212</v>
      </c>
      <c r="XFD53" s="29"/>
    </row>
    <row r="55" spans="1:48 16321:16384" x14ac:dyDescent="0.2">
      <c r="A55" t="s">
        <v>169</v>
      </c>
      <c r="B55" s="193">
        <f>B30/B32</f>
        <v>0.19850271905982084</v>
      </c>
      <c r="D55" s="193">
        <f>D30/D32</f>
        <v>0.20290728542301803</v>
      </c>
      <c r="F55" s="193">
        <f>F30/F32</f>
        <v>0.20739625723687299</v>
      </c>
      <c r="H55" s="193">
        <f>H30/H32</f>
        <v>0.21198498032872973</v>
      </c>
      <c r="J55" s="193">
        <f>J30/J32</f>
        <v>0.21669197883188626</v>
      </c>
      <c r="L55" s="193">
        <f>L30/L32</f>
        <v>0.22153998719831053</v>
      </c>
      <c r="N55" s="193">
        <f>N30/N32</f>
        <v>0.22655751190025591</v>
      </c>
      <c r="P55" s="193">
        <f>P30/P32</f>
        <v>0.23178121499131416</v>
      </c>
      <c r="R55" s="193">
        <f>R30/R32</f>
        <v>0.23725967457014158</v>
      </c>
      <c r="T55" s="193">
        <f>T30/T32</f>
        <v>0.24305974174338754</v>
      </c>
      <c r="V55" s="193">
        <f>V30/V32</f>
        <v>0.24927737916727083</v>
      </c>
      <c r="X55" s="193">
        <f>X30/X32</f>
        <v>0.25605721774234452</v>
      </c>
      <c r="Z55" s="193">
        <f>Z30/Z32</f>
        <v>0.26362921352251695</v>
      </c>
      <c r="AB55" s="193">
        <f>AB30/AB32</f>
        <v>0.27238027902267442</v>
      </c>
      <c r="AD55" s="193">
        <f>AD30/AD32</f>
        <v>0.2829982018243411</v>
      </c>
      <c r="AF55" s="193">
        <f>AF30/AF32</f>
        <v>0.29675906222892673</v>
      </c>
      <c r="AH55" s="193">
        <f>AH30/AH32</f>
        <v>0.31605490232565542</v>
      </c>
      <c r="AJ55" s="193">
        <f>AJ30/AJ32</f>
        <v>0.34528039710995262</v>
      </c>
      <c r="AL55" s="193">
        <f>AL30/AL32</f>
        <v>0.39346427951704022</v>
      </c>
      <c r="AN55" s="193">
        <f>AN30/AN32</f>
        <v>0.49090053058837396</v>
      </c>
      <c r="AP55" s="193">
        <f>AP30/AP32</f>
        <v>0.52573763148279617</v>
      </c>
      <c r="AR55" s="193">
        <f>AR30/AR32</f>
        <v>0.57247787654623516</v>
      </c>
      <c r="AT55" s="193">
        <f>AT30/AT32</f>
        <v>0.64019802419333138</v>
      </c>
      <c r="AV55" s="193">
        <f>AV30/AV32</f>
        <v>0.75220649539993367</v>
      </c>
      <c r="XCS55" s="193"/>
      <c r="XFD55" s="193"/>
    </row>
    <row r="56" spans="1:48 16321:16384" x14ac:dyDescent="0.2">
      <c r="A56" t="s">
        <v>170</v>
      </c>
      <c r="B56" s="193">
        <f>(Model!$C$52*B5*B20+B2*C5*C20)/B32</f>
        <v>2.9221206744340551E-2</v>
      </c>
      <c r="D56" s="193">
        <f>(Model!$C$52*D5*D20+D2*E5*E20)/D32</f>
        <v>3.354232981874361E-2</v>
      </c>
      <c r="F56" s="193">
        <f>(Model!$C$52*F5*F20+F2*G5*G20)/F32</f>
        <v>3.7972380618051971E-2</v>
      </c>
      <c r="H56" s="193">
        <f>(Model!$C$52*H5*H20+H2*I5*I20)/H32</f>
        <v>4.2530098521083831E-2</v>
      </c>
      <c r="J56" s="193">
        <f>(Model!$C$52*J5*J20+J2*K5*K20)/J32</f>
        <v>4.7238202555009545E-2</v>
      </c>
      <c r="L56" s="193">
        <f>(Model!$C$52*L5*L20+L2*M5*M20)/L32</f>
        <v>5.2124723345131879E-2</v>
      </c>
      <c r="N56" s="193">
        <f>(Model!$C$52*N5*N20+N2*O5*O20)/N32</f>
        <v>5.7225044895816805E-2</v>
      </c>
      <c r="P56" s="193">
        <f>(Model!$C$52*P5*P20+P2*Q5*Q20)/P32</f>
        <v>6.2584993168489408E-2</v>
      </c>
      <c r="R56" s="193">
        <f>(Model!$C$52*R5*R20+R2*S5*S20)/R32</f>
        <v>6.8265767576580288E-2</v>
      </c>
      <c r="T56" s="193">
        <f>(Model!$C$52*T5*T20+T2*U5*U20)/T32</f>
        <v>7.4352184296253579E-2</v>
      </c>
      <c r="V56" s="193">
        <f>(Model!$C$52*V5*V20+V2*W5*W20)/V32</f>
        <v>8.0966727558707888E-2</v>
      </c>
      <c r="X56" s="193">
        <f>(Model!$C$52*X5*X20+X2*Y5*Y20)/X32</f>
        <v>8.8294719853035816E-2</v>
      </c>
      <c r="Z56" s="193">
        <f>(Model!$C$52*Z5*Z20+Z2*AA5*AA20)/Z32</f>
        <v>9.6631141169241791E-2</v>
      </c>
      <c r="AB56" s="193">
        <f>(Model!$C$52*AB5*AB20+AB2*AC5*AC20)/AB32</f>
        <v>0.10647122502296574</v>
      </c>
      <c r="AD56" s="193">
        <f>(Model!$C$52*AD5*AD20+AD2*AE5*AE20)/AD32</f>
        <v>0.1186902750975793</v>
      </c>
      <c r="AF56" s="193">
        <f>(Model!$C$52*AF5*AF20+AF2*AG5*AG20)/AF32</f>
        <v>0.13489679365431767</v>
      </c>
      <c r="AH56" s="193">
        <f>(Model!$C$52*AH5*AH20+AH2*AI5*AI20)/AH32</f>
        <v>0.15806490837660264</v>
      </c>
      <c r="AJ56" s="193">
        <f>(Model!$C$52*AJ5*AJ20+AJ2*AK5*AK20)/AJ32</f>
        <v>0.19356875294634268</v>
      </c>
      <c r="AL56" s="193">
        <f>(Model!$C$52*AL5*AL20+AL2*AM5*AM20)/AL32</f>
        <v>0.25233734991008838</v>
      </c>
      <c r="AN56" s="193">
        <f>(Model!$C$52*AN5*AN20+AN2*AO5*AO20)/AN32</f>
        <v>0.37115760607502013</v>
      </c>
      <c r="AP56" s="193">
        <f>(Model!$C$52*AP5*AP20+AP2*AQ5*AQ20)/AP32</f>
        <v>0.41361224132091318</v>
      </c>
      <c r="AR56" s="193">
        <f>(Model!$C$52*AR5*AR20+AR2*AS5*AS20)/AR32</f>
        <v>0.47055352478826828</v>
      </c>
      <c r="AT56" s="193">
        <f>(Model!$C$52*AT5*AT20+AT2*AU5*AU20)/AT32</f>
        <v>0.55302043078677365</v>
      </c>
      <c r="AV56" s="193">
        <f>(Model!$C$52*AV5*AV20+AV2*AW5*AW20)/AV32</f>
        <v>0.68935132932512388</v>
      </c>
      <c r="XFD56" s="193"/>
    </row>
    <row r="57" spans="1:48 16321:16384" x14ac:dyDescent="0.2">
      <c r="A57" t="s">
        <v>171</v>
      </c>
      <c r="B57" s="193">
        <f t="array" ref="B57">SUM(Model!tauL*B13:C13*B26:C26)/B32</f>
        <v>0.15852881819439493</v>
      </c>
      <c r="D57" s="193">
        <f t="array" ref="D57">SUM(Model!tauL*D13:E13*D26:E26)/D32</f>
        <v>0.15869307294723561</v>
      </c>
      <c r="F57" s="193">
        <f t="array" ref="F57">SUM(Model!tauL*F13:G13*F26:G26)/F32</f>
        <v>0.15883355174278044</v>
      </c>
      <c r="H57" s="193">
        <f t="array" ref="H57">SUM(Model!tauL*H13:I13*H26:I26)/H32</f>
        <v>0.15894707580635176</v>
      </c>
      <c r="J57" s="193">
        <f t="array" ref="J57">SUM(Model!tauL*J13:K13*J26:K26)/J32</f>
        <v>0.15902970845691333</v>
      </c>
      <c r="L57" s="193">
        <f t="array" ref="L57">SUM(Model!tauL*L13:M13*L26:M26)/L32</f>
        <v>0.15907646617365995</v>
      </c>
      <c r="N57" s="193">
        <f t="array" ref="N57">SUM(Model!tauL*N13:O13*N26:O26)/N32</f>
        <v>0.15908084650857129</v>
      </c>
      <c r="P57" s="193">
        <f t="array" ref="P57">SUM(Model!tauL*P13:Q13*P26:Q26)/P32</f>
        <v>0.15903413987917736</v>
      </c>
      <c r="R57" s="193">
        <f t="array" ref="R57">SUM(Model!tauL*R13:S13*R26:S26)/R32</f>
        <v>0.15892426850633209</v>
      </c>
      <c r="T57" s="193">
        <f t="array" ref="T57">SUM(Model!tauL*T13:U13*T26:U26)/T32</f>
        <v>0.15873391451799221</v>
      </c>
      <c r="V57" s="193">
        <f t="array" ref="V57">SUM(Model!tauL*V13:W13*V26:W26)/V32</f>
        <v>0.15843731305342798</v>
      </c>
      <c r="X57" s="193">
        <f t="array" ref="X57">SUM(Model!tauL*X13:Y13*X26:Y26)/X32</f>
        <v>0.15799462949310852</v>
      </c>
      <c r="Y57" s="193"/>
      <c r="Z57" s="193">
        <f t="array" ref="Z57">SUM(Model!tauL*Z13:AA13*Z26:AA26)/Z32</f>
        <v>0.15734174902461256</v>
      </c>
      <c r="AB57" s="193">
        <f t="array" ref="AB57">SUM(Model!tauL*AB13:AC13*AB26:AC26)/AB32</f>
        <v>0.15637117843236958</v>
      </c>
      <c r="AD57" s="193">
        <f t="array" ref="AD57">SUM(Model!tauL*AD13:AE13*AD26:AE26)/AD32</f>
        <v>0.15489584049304503</v>
      </c>
      <c r="AF57" s="193">
        <f t="array" ref="AF57">SUM(Model!tauL*AF13:AG13*AF26:AG26)/AF32</f>
        <v>0.1525827938250261</v>
      </c>
      <c r="AH57" s="193">
        <f t="array" ref="AH57">SUM(Model!tauL*AH13:AI13*AH26:AI26)/AH32</f>
        <v>0.14884793485850842</v>
      </c>
      <c r="AJ57" s="193">
        <f t="array" ref="AJ57">SUM(Model!tauL*AJ13:AK13*AJ26:AK26)/AJ32</f>
        <v>0.1427095362113652</v>
      </c>
      <c r="AL57" s="193">
        <f t="array" ref="AL57">SUM(Model!tauL*AL13:AM13*AL26:AM26)/AL32</f>
        <v>0.13226884453757598</v>
      </c>
      <c r="AN57" s="193">
        <f t="array" ref="AN57">SUM(Model!tauL*AN13:AO13*AN26:AO26)/AN32</f>
        <v>0.11102738138155868</v>
      </c>
      <c r="AP57" s="193">
        <f t="array" ref="AP57">SUM(Model!tauL*AP13:AQ13*AP26:AQ26)/AP32</f>
        <v>0.103430011682838</v>
      </c>
      <c r="AR57" s="193">
        <f t="array" ref="AR57">SUM(Model!tauL*AR13:AS13*AR26:AS26)/AR32</f>
        <v>9.323665125866587E-2</v>
      </c>
      <c r="AT57" s="193">
        <f t="array" ref="AT57">SUM(Model!tauL*AT13:AU13*AT26:AU26)/AT32</f>
        <v>7.8467833968767317E-2</v>
      </c>
      <c r="AV57" s="193">
        <f t="array" ref="AV57">SUM(Model!tauL*AV13:AW13*AV26:AW26)/AV32</f>
        <v>5.404033694757928E-2</v>
      </c>
      <c r="XFD57" s="193"/>
    </row>
    <row r="58" spans="1:48 16321:16384" x14ac:dyDescent="0.2">
      <c r="A58" t="s">
        <v>172</v>
      </c>
      <c r="B58" s="193">
        <f t="array" ref="B58">SUM(Model!tauY/(1+Model!tauY)*B3:C3*B18:C18)/B32</f>
        <v>1.075269412108535E-2</v>
      </c>
      <c r="D58" s="193">
        <f t="array" ref="D58">SUM(Model!tauY/(1+Model!tauY)*D3:E3*D18:E18)/D32</f>
        <v>1.067188265703883E-2</v>
      </c>
      <c r="F58" s="193">
        <f t="array" ref="F58">SUM(Model!tauY/(1+Model!tauY)*F3:G3*F18:G18)/F32</f>
        <v>1.0590324876040566E-2</v>
      </c>
      <c r="H58" s="193">
        <f t="array" ref="H58">SUM(Model!tauY/(1+Model!tauY)*H3:I3*H18:I18)/H32</f>
        <v>1.0507806001294168E-2</v>
      </c>
      <c r="J58" s="193">
        <f t="array" ref="J58">SUM(Model!tauY/(1+Model!tauY)*J3:K3*J18:K18)/J32</f>
        <v>1.0424067819963348E-2</v>
      </c>
      <c r="L58" s="193">
        <f t="array" ref="L58">SUM(Model!tauY/(1+Model!tauY)*L3:M3*L18:M18)/L32</f>
        <v>1.03387976795187E-2</v>
      </c>
      <c r="N58" s="193">
        <f t="array" ref="N58">SUM(Model!tauY/(1+Model!tauY)*N3:O3*N18:O18)/N32</f>
        <v>1.0251620495867824E-2</v>
      </c>
      <c r="P58" s="193">
        <f t="array" ref="P58">SUM(Model!tauY/(1+Model!tauY)*P3:Q3*P18:Q18)/P32</f>
        <v>1.0162081943647375E-2</v>
      </c>
      <c r="R58" s="193">
        <f t="array" ref="R58">SUM(Model!tauY/(1+Model!tauY)*R3:S3*R18:S18)/R32</f>
        <v>1.0069638487229164E-2</v>
      </c>
      <c r="T58" s="193">
        <f t="array" ref="T58">SUM(Model!tauY/(1+Model!tauY)*T3:U3*T18:U18)/T32</f>
        <v>9.9736429291417475E-3</v>
      </c>
      <c r="V58" s="193">
        <f t="array" ref="V58">SUM(Model!tauY/(1+Model!tauY)*V3:W3*V18:W18)/V32</f>
        <v>9.873338555134975E-3</v>
      </c>
      <c r="X58" s="193">
        <f t="array" ref="X58">SUM(Model!tauY/(1+Model!tauY)*X3:Y3*X18:Y18)/X32</f>
        <v>9.7678683962001828E-3</v>
      </c>
      <c r="Y58" s="193"/>
      <c r="Z58" s="193">
        <f t="array" ref="Z58">SUM(Model!tauY/(1+Model!tauY)*Z3:AA3*Z18:AA18)/Z32</f>
        <v>9.6563233286625846E-3</v>
      </c>
      <c r="AB58" s="193">
        <f t="array" ref="AB58">SUM(Model!tauY/(1+Model!tauY)*AB3:AC3*AB18:AC18)/AB32</f>
        <v>9.537875567339078E-3</v>
      </c>
      <c r="AD58" s="193">
        <f t="array" ref="AD58">SUM(Model!tauY/(1+Model!tauY)*AD3:AE3*AD18:AE18)/AD32</f>
        <v>9.4120862337167821E-3</v>
      </c>
      <c r="AF58" s="193">
        <f t="array" ref="AF58">SUM(Model!tauY/(1+Model!tauY)*AF3:AG3*AF18:AG18)/AF32</f>
        <v>9.2794747495829506E-3</v>
      </c>
      <c r="AH58" s="193">
        <f t="array" ref="AH58">SUM(Model!tauY/(1+Model!tauY)*AH3:AI3*AH18:AI18)/AH32</f>
        <v>9.1420590905443109E-3</v>
      </c>
      <c r="AJ58" s="193">
        <f t="array" ref="AJ58">SUM(Model!tauY/(1+Model!tauY)*AJ3:AK3*AJ18:AK18)/AJ32</f>
        <v>9.0021079522447922E-3</v>
      </c>
      <c r="AL58" s="193">
        <f t="array" ref="AL58">SUM(Model!tauY/(1+Model!tauY)*AL3:AM3*AL18:AM18)/AL32</f>
        <v>8.8580850693758175E-3</v>
      </c>
      <c r="AN58" s="193">
        <f t="array" ref="AN58">SUM(Model!tauY/(1+Model!tauY)*AN3:AO3*AN18:AO18)/AN32</f>
        <v>8.7155431317951608E-3</v>
      </c>
      <c r="AP58" s="193">
        <f t="array" ref="AP58">SUM(Model!tauY/(1+Model!tauY)*AP3:AQ3*AP18:AQ18)/AP32</f>
        <v>8.6953784790449462E-3</v>
      </c>
      <c r="AR58" s="193">
        <f t="array" ref="AR58">SUM(Model!tauY/(1+Model!tauY)*AR3:AS3*AR18:AS18)/AR32</f>
        <v>8.687700499301048E-3</v>
      </c>
      <c r="AT58" s="193">
        <f t="array" ref="AT58">SUM(Model!tauY/(1+Model!tauY)*AT3:AU3*AT18:AU18)/AT32</f>
        <v>8.7097594377904645E-3</v>
      </c>
      <c r="AV58" s="193">
        <f t="array" ref="AV58">SUM(Model!tauY/(1+Model!tauY)*AV3:AW3*AV18:AW18)/AV32</f>
        <v>8.814829127230495E-3</v>
      </c>
      <c r="XFD58" s="193"/>
    </row>
    <row r="59" spans="1:48 16321:16384" x14ac:dyDescent="0.2">
      <c r="A59" t="s">
        <v>173</v>
      </c>
      <c r="B59" s="193">
        <f>(B2*C5*C20)/B32</f>
        <v>5.5174232040962052E-4</v>
      </c>
      <c r="D59" s="193">
        <f>(D2*E5*E20)/D32</f>
        <v>4.9240863049116257E-3</v>
      </c>
      <c r="F59" s="193">
        <f>(F2*G5*G20)/F32</f>
        <v>9.4060740550202335E-3</v>
      </c>
      <c r="H59" s="193">
        <f>(H2*I5*I20)/H32</f>
        <v>1.4016557188223717E-2</v>
      </c>
      <c r="J59" s="193">
        <f>(J2*K5*K20)/J32</f>
        <v>1.8778386817768326E-2</v>
      </c>
      <c r="L59" s="193">
        <f>(L2*M5*M20)/L32</f>
        <v>2.3719752883761342E-2</v>
      </c>
      <c r="N59" s="193">
        <f>(N2*O5*O20)/N32</f>
        <v>2.8876235460783217E-2</v>
      </c>
      <c r="P59" s="193">
        <f>(P2*Q5*Q20)/P32</f>
        <v>3.4293912092537404E-2</v>
      </c>
      <c r="R59" s="193">
        <f>(R2*S5*S20)/R32</f>
        <v>4.0034316457363821E-2</v>
      </c>
      <c r="T59" s="193">
        <f>(T2*U5*U20)/T32</f>
        <v>4.6182732160427807E-2</v>
      </c>
      <c r="V59" s="193">
        <f>(V2*W5*W20)/V32</f>
        <v>5.2862331506646099E-2</v>
      </c>
      <c r="X59" s="193">
        <f>(X2*Y5*Y20)/X32</f>
        <v>6.0259507061214759E-2</v>
      </c>
      <c r="Z59" s="193">
        <f>(Z2*AA5*AA20)/Z32</f>
        <v>6.8670995012583502E-2</v>
      </c>
      <c r="AB59" s="193">
        <f>(AB2*AC5*AC20)/AB32</f>
        <v>7.8595056206673716E-2</v>
      </c>
      <c r="AD59" s="193">
        <f>(AD2*AE5*AE20)/AD32</f>
        <v>9.0912404713457948E-2</v>
      </c>
      <c r="AF59" s="193">
        <f>(AF2*AG5*AG20)/AF32</f>
        <v>0.10724124115447527</v>
      </c>
      <c r="AH59" s="193">
        <f>(AH2*AI5*AI20)/AH32</f>
        <v>0.13057171144437571</v>
      </c>
      <c r="AJ59" s="193">
        <f>(AJ2*AK5*AK20)/AJ32</f>
        <v>0.16629803755283798</v>
      </c>
      <c r="AL59" s="193">
        <f>(AL2*AM5*AM20)/AL32</f>
        <v>0.22536063891456037</v>
      </c>
      <c r="AN59" s="193">
        <f>(AN2*AO5*AO20)/AN32</f>
        <v>0.34450462941754939</v>
      </c>
      <c r="AP59" s="193">
        <f>(AP2*AQ5*AQ20)/AP32</f>
        <v>0.38699888994918158</v>
      </c>
      <c r="AR59" s="193">
        <f>(AR2*AS5*AS20)/AR32</f>
        <v>0.44393985771361116</v>
      </c>
      <c r="AT59" s="193">
        <f>(AT2*AU5*AU20)/AT32</f>
        <v>0.52631088601832643</v>
      </c>
      <c r="AV59" s="193">
        <f>(AV2*AW5*AW20)/AV32</f>
        <v>0.66227876346093617</v>
      </c>
      <c r="XFD59" s="193"/>
    </row>
    <row r="60" spans="1:48 16321:16384" x14ac:dyDescent="0.2">
      <c r="A60" t="s">
        <v>174</v>
      </c>
      <c r="B60" s="193">
        <f>Model!$C$52*B5*B20/B32</f>
        <v>2.8669464423930927E-2</v>
      </c>
      <c r="D60" s="193">
        <f>Model!$C$52*D5*D20/D32</f>
        <v>2.8618243513831982E-2</v>
      </c>
      <c r="F60" s="193">
        <f>Model!$C$52*F5*F20/F32</f>
        <v>2.8566306563031742E-2</v>
      </c>
      <c r="H60" s="193">
        <f>Model!$C$52*H5*H20/H32</f>
        <v>2.8513541332860114E-2</v>
      </c>
      <c r="J60" s="193">
        <f>Model!$C$52*J5*J20/J32</f>
        <v>2.8459815737241226E-2</v>
      </c>
      <c r="L60" s="193">
        <f>Model!$C$52*L5*L20/L32</f>
        <v>2.8404970461370541E-2</v>
      </c>
      <c r="N60" s="193">
        <f>Model!$C$52*N5*N20/N32</f>
        <v>2.8348809435033588E-2</v>
      </c>
      <c r="P60" s="193">
        <f>Model!$C$52*P5*P20/P32</f>
        <v>2.8291081075952004E-2</v>
      </c>
      <c r="R60" s="193">
        <f>Model!$C$52*R5*R20/R32</f>
        <v>2.8231451119216468E-2</v>
      </c>
      <c r="T60" s="193">
        <f>Model!$C$52*T5*T20/T32</f>
        <v>2.8169452135825782E-2</v>
      </c>
      <c r="V60" s="193">
        <f>Model!$C$52*V5*V20/V32</f>
        <v>2.8104396052061782E-2</v>
      </c>
      <c r="X60" s="193">
        <f>Model!$C$52*X5*X20/X32</f>
        <v>2.8035212791821067E-2</v>
      </c>
      <c r="Z60" s="193">
        <f>Model!$C$52*Z5*Z20/Z32</f>
        <v>2.7960146156658278E-2</v>
      </c>
      <c r="AB60" s="193">
        <f>Model!$C$52*AB5*AB20/AB32</f>
        <v>2.7876168816292027E-2</v>
      </c>
      <c r="AD60" s="193">
        <f>Model!$C$52*AD5*AD20/AD32</f>
        <v>2.7777870384121359E-2</v>
      </c>
      <c r="AF60" s="193">
        <f>Model!$C$52*AF5*AF20/AF32</f>
        <v>2.7655552499842407E-2</v>
      </c>
      <c r="AH60" s="193">
        <f>Model!$C$52*AH5*AH20/AH32</f>
        <v>2.7493196932226936E-2</v>
      </c>
      <c r="AJ60" s="193">
        <f>Model!$C$52*AJ5*AJ20/AJ32</f>
        <v>2.7270715393504716E-2</v>
      </c>
      <c r="AL60" s="193">
        <f>Model!$C$52*AL5*AL20/AL32</f>
        <v>2.6976710995528005E-2</v>
      </c>
      <c r="AN60" s="193">
        <f>Model!$C$52*AN5*AN20/AN32</f>
        <v>2.6652976657470684E-2</v>
      </c>
      <c r="AP60" s="193">
        <f>Model!$C$52*AP5*AP20/AP32</f>
        <v>2.6613351371731615E-2</v>
      </c>
      <c r="AR60" s="193">
        <f>Model!$C$52*AR5*AR20/AR32</f>
        <v>2.6613667074657125E-2</v>
      </c>
      <c r="AT60" s="193">
        <f>Model!$C$52*AT5*AT20/AT32</f>
        <v>2.6709544768447151E-2</v>
      </c>
      <c r="AV60" s="193">
        <f>Model!$C$52*AV5*AV20/AV32</f>
        <v>2.7072565864187763E-2</v>
      </c>
      <c r="XFD60" s="193"/>
    </row>
    <row r="62" spans="1:48 16321:16384" x14ac:dyDescent="0.2">
      <c r="A62" t="s">
        <v>175</v>
      </c>
      <c r="B62">
        <f>B13/B15</f>
        <v>1</v>
      </c>
      <c r="D62">
        <f>D13/D15</f>
        <v>1.0116373544472952</v>
      </c>
      <c r="F62">
        <f>F13/F15</f>
        <v>1.023445097348779</v>
      </c>
      <c r="H62">
        <f>H13/H15</f>
        <v>1.0354304326406054</v>
      </c>
      <c r="J62">
        <f>J13/J15</f>
        <v>1.0476005393841101</v>
      </c>
      <c r="L62">
        <f>L13/L15</f>
        <v>1.0599620112286992</v>
      </c>
      <c r="N62">
        <f>N13/N15</f>
        <v>1.072519058263808</v>
      </c>
      <c r="P62">
        <f>P13/P15</f>
        <v>1.0852716564613079</v>
      </c>
      <c r="R62">
        <f>R13/R15</f>
        <v>1.0982108996397146</v>
      </c>
      <c r="T62">
        <f>T13/T15</f>
        <v>1.1113123109573344</v>
      </c>
      <c r="V62">
        <f>V13/V15</f>
        <v>1.1245238385155267</v>
      </c>
      <c r="X62">
        <f>X13/X15</f>
        <v>1.1377458631441397</v>
      </c>
      <c r="Z62">
        <f>Z13/Z15</f>
        <v>1.1507976694709967</v>
      </c>
      <c r="AB62">
        <f>AB13/AB15</f>
        <v>1.1633631082812361</v>
      </c>
      <c r="AD62">
        <f>AD13/AD15</f>
        <v>1.1749115148295142</v>
      </c>
      <c r="AF62">
        <f>AF13/AF15</f>
        <v>1.1846257776474263</v>
      </c>
      <c r="AH62">
        <f>AH13/AH15</f>
        <v>1.1915111567313925</v>
      </c>
      <c r="AJ62">
        <f>AJ13/AJ15</f>
        <v>1.1950601906896414</v>
      </c>
      <c r="AL62">
        <f>AL13/AL15</f>
        <v>1.1961316504900761</v>
      </c>
      <c r="AN62">
        <f>AN13/AN15</f>
        <v>1.1962700807232889</v>
      </c>
      <c r="AP62">
        <f>AP13/AP15</f>
        <v>1.1962724797729785</v>
      </c>
      <c r="AR62">
        <f>AR13/AR15</f>
        <v>1.1962733509680967</v>
      </c>
      <c r="AT62">
        <f>AT13/AT15</f>
        <v>1.1962736005642214</v>
      </c>
      <c r="AV62">
        <f>AV13/AV15</f>
        <v>1.1962736498588167</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0.99872380755061618</v>
      </c>
      <c r="E65" s="191"/>
      <c r="F65" s="191">
        <f t="array" ref="F65">SQRT((F9:G9*$B$22:$C$22+F10:G10*$B$23:$C$23+F11:G11*$B$24:$C$24+F4:G4*($B$25:$C$25-$B$19:$C$19))/($B$9:$C$9*$B$22:$C$22+$B$10:$C$10*$B$23:$C$23+$B$11:$C$11*$B$24:$C$24+$B$4:$C$4*($B$25:$C$25-$B$19:$C$19))*(F9:G9*F22:G22+F10:G10*F23:G23+F11:G11*F24:G24+F4:G4*(F25:G25-F19:G19))/($B$9:$C$9*F22:G22+$B$10:$C$10*F23:G23+$B$11:$C$11*F24:G24+$B$4:$C$4*(F25:G25-F19:G19)))</f>
        <v>0.99740711512367075</v>
      </c>
      <c r="G65" s="191"/>
      <c r="H65" s="191">
        <f t="array" ref="H65">SQRT((H9:I9*$B$22:$C$22+H10:I10*$B$23:$C$23+H11:I11*$B$24:$C$24+H4:I4*($B$25:$C$25-$B$19:$C$19))/($B$9:$C$9*$B$22:$C$22+$B$10:$C$10*$B$23:$C$23+$B$11:$C$11*$B$24:$C$24+$B$4:$C$4*($B$25:$C$25-$B$19:$C$19))*(H9:I9*H22:I22+H10:I10*H23:I23+H11:I11*H24:I24+H4:I4*(H25:I25-H19:I19))/($B$9:$C$9*H22:I22+$B$10:$C$10*H23:I23+$B$11:$C$11*H24:I24+$B$4:$C$4*(H25:I25-H19:I19)))</f>
        <v>0.99604358421391581</v>
      </c>
      <c r="I65" s="191"/>
      <c r="J65" s="191">
        <f t="array" ref="J65">SQRT((J9:K9*$B$22:$C$22+J10:K10*$B$23:$C$23+J11:K11*$B$24:$C$24+J4:K4*($B$25:$C$25-$B$19:$C$19))/($B$9:$C$9*$B$22:$C$22+$B$10:$C$10*$B$23:$C$23+$B$11:$C$11*$B$24:$C$24+$B$4:$C$4*($B$25:$C$25-$B$19:$C$19))*(J9:K9*J22:K22+J10:K10*J23:K23+J11:K11*J24:K24+J4:K4*(J25:K25-J19:K19))/($B$9:$C$9*J22:K22+$B$10:$C$10*J23:K23+$B$11:$C$11*J24:K24+$B$4:$C$4*(J25:K25-J19:K19)))</f>
        <v>0.99462591655996047</v>
      </c>
      <c r="K65" s="191"/>
      <c r="L65" s="191">
        <f t="array" ref="L65">SQRT((L9:M9*$B$22:$C$22+L10:M10*$B$23:$C$23+L11:M11*$B$24:$C$24+L4:M4*($B$25:$C$25-$B$19:$C$19))/($B$9:$C$9*$B$22:$C$22+$B$10:$C$10*$B$23:$C$23+$B$11:$C$11*$B$24:$C$24+$B$4:$C$4*($B$25:$C$25-$B$19:$C$19))*(L9:M9*L22:M22+L10:M10*L23:M23+L11:M11*L24:M24+L4:M4*(L25:M25-L19:M19))/($B$9:$C$9*L22:M22+$B$10:$C$10*L23:M23+$B$11:$C$11*L24:M24+$B$4:$C$4*(L25:M25-L19:M19)))</f>
        <v>0.99314588986575925</v>
      </c>
      <c r="M65" s="191"/>
      <c r="N65" s="191">
        <f t="array" ref="N65">SQRT((N9:O9*$B$22:$C$22+N10:O10*$B$23:$C$23+N11:O11*$B$24:$C$24+N4:O4*($B$25:$C$25-$B$19:$C$19))/($B$9:$C$9*$B$22:$C$22+$B$10:$C$10*$B$23:$C$23+$B$11:$C$11*$B$24:$C$24+$B$4:$C$4*($B$25:$C$25-$B$19:$C$19))*(N9:O9*N22:O22+N10:O10*N23:O23+N11:O11*N24:O24+N4:O4*(N25:O25-N19:O19))/($B$9:$C$9*N22:O22+$B$10:$C$10*N23:O23+$B$11:$C$11*N24:O24+$B$4:$C$4*(N25:O25-N19:O19)))</f>
        <v>0.99159457393605466</v>
      </c>
      <c r="O65" s="191"/>
      <c r="P65" s="191">
        <f t="array" ref="P65">SQRT((P9:Q9*$B$22:$C$22+P10:Q10*$B$23:$C$23+P11:Q11*$B$24:$C$24+P4:Q4*($B$25:$C$25-$B$19:$C$19))/($B$9:$C$9*$B$22:$C$22+$B$10:$C$10*$B$23:$C$23+$B$11:$C$11*$B$24:$C$24+$B$4:$C$4*($B$25:$C$25-$B$19:$C$19))*(P9:Q9*P22:Q22+P10:Q10*P23:Q23+P11:Q11*P24:Q24+P4:Q4*(P25:Q25-P19:Q19))/($B$9:$C$9*P22:Q22+$B$10:$C$10*P23:Q23+$B$11:$C$11*P24:Q24+$B$4:$C$4*(P25:Q25-P19:Q19)))</f>
        <v>0.98996287747016976</v>
      </c>
      <c r="Q65" s="191"/>
      <c r="R65" s="191">
        <f t="array" ref="R65">SQRT((R9:S9*$B$22:$C$22+R10:S10*$B$23:$C$23+R11:S11*$B$24:$C$24+R4:S4*($B$25:$C$25-$B$19:$C$19))/($B$9:$C$9*$B$22:$C$22+$B$10:$C$10*$B$23:$C$23+$B$11:$C$11*$B$24:$C$24+$B$4:$C$4*($B$25:$C$25-$B$19:$C$19))*(R9:S9*R22:S22+R10:S10*R23:S23+R11:S11*R24:S24+R4:S4*(R25:S25-R19:S19))/($B$9:$C$9*R22:S22+$B$10:$C$10*R23:S23+$B$11:$C$11*R24:S24+$B$4:$C$4*(R25:S25-R19:S19)))</f>
        <v>0.98824273492233605</v>
      </c>
      <c r="S65" s="191"/>
      <c r="T65" s="191">
        <f t="array" ref="T65">SQRT((T9:U9*$B$22:$C$22+T10:U10*$B$23:$C$23+T11:U11*$B$24:$C$24+T4:U4*($B$25:$C$25-$B$19:$C$19))/($B$9:$C$9*$B$22:$C$22+$B$10:$C$10*$B$23:$C$23+$B$11:$C$11*$B$24:$C$24+$B$4:$C$4*($B$25:$C$25-$B$19:$C$19))*(T9:U9*T22:U22+T10:U10*T23:U23+T11:U11*T24:U24+T4:U4*(T25:U25-T19:U19))/($B$9:$C$9*T22:U22+$B$10:$C$10*T23:U23+$B$11:$C$11*T24:U24+$B$4:$C$4*(T25:U25-T19:U19)))</f>
        <v>0.98642948952450404</v>
      </c>
      <c r="U65" s="191"/>
      <c r="V65" s="191">
        <f t="array" ref="V65">SQRT((V9:W9*$B$22:$C$22+V10:W10*$B$23:$C$23+V11:W11*$B$24:$C$24+V4:W4*($B$25:$C$25-$B$19:$C$19))/($B$9:$C$9*$B$22:$C$22+$B$10:$C$10*$B$23:$C$23+$B$11:$C$11*$B$24:$C$24+$B$4:$C$4*($B$25:$C$25-$B$19:$C$19))*(V9:W9*V22:W22+V10:W10*V23:W23+V11:W11*V24:W24+V4:W4*(V25:W25-V19:W19))/($B$9:$C$9*V22:W22+$B$10:$C$10*V23:W23+$B$11:$C$11*V24:W24+$B$4:$C$4*(V25:W25-V19:W19)))</f>
        <v>0.98452653837810156</v>
      </c>
      <c r="W65" s="191"/>
      <c r="X65" s="191">
        <f t="array" ref="X65">SQRT((X9:Y9*$B$22:$C$22+X10:Y10*$B$23:$C$23+X11:Y11*$B$24:$C$24+X4:Y4*($B$25:$C$25-$B$19:$C$19))/($B$9:$C$9*$B$22:$C$22+$B$10:$C$10*$B$23:$C$23+$B$11:$C$11*$B$24:$C$24+$B$4:$C$4*($B$25:$C$25-$B$19:$C$19))*(X9:Y9*X22:Y22+X10:Y10*X23:Y23+X11:Y11*X24:Y24+X4:Y4*(X25:Y25-X19:Y19))/($B$9:$C$9*X22:Y22+$B$10:$C$10*X23:Y23+$B$11:$C$11*X24:Y24+$B$4:$C$4*(X25:Y25-X19:Y19)))</f>
        <v>0.98255431526469506</v>
      </c>
      <c r="Y65" s="191"/>
      <c r="Z65" s="191">
        <f t="array" ref="Z65">SQRT((Z9:AA9*$B$22:$C$22+Z10:AA10*$B$23:$C$23+Z11:AA11*$B$24:$C$24+Z4:AA4*($B$25:$C$25-$B$19:$C$19))/($B$9:$C$9*$B$22:$C$22+$B$10:$C$10*$B$23:$C$23+$B$11:$C$11*$B$24:$C$24+$B$4:$C$4*($B$25:$C$25-$B$19:$C$19))*(Z9:AA9*Z22:AA22+Z10:AA10*Z23:AA23+Z11:AA11*Z24:AA24+Z4:AA4*(Z25:AA25-Z19:AA19))/($B$9:$C$9*Z22:AA22+$B$10:$C$10*Z23:AA23+$B$11:$C$11*Z24:AA24+$B$4:$C$4*(Z25:AA25-Z19:AA19)))</f>
        <v>0.98056768158693608</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0.97868955330724006</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0.97717374832891646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0.97650568260524684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0.97747387482062431</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0.98088665700189992</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0.98669660907605972</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0.99393560947520465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0.99555892436673621</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0.99734355885557591</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0.99948542843165111</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1.0025732607446631</v>
      </c>
    </row>
    <row r="66" spans="1:48 16384:16384" x14ac:dyDescent="0.2">
      <c r="A66" t="s">
        <v>182</v>
      </c>
      <c r="B66" s="191">
        <f t="array" ref="B66">SQRT((B9:C9*$B$22:$C$22)/($B$9:$C$9*$B$22:$C$22)*(B9:C9*B22:C22)/($B$9:$C$9*B22:C22))</f>
        <v>1</v>
      </c>
      <c r="C66" s="191"/>
      <c r="D66" s="191">
        <f t="array" ref="D66">SQRT((D9:E9*$B$22:$C$22)/($B$9:$C$9*$B$22:$C$22)*(D9:E9*D22:E22)/($B$9:$C$9*D22:E22))</f>
        <v>0.99859675746960763</v>
      </c>
      <c r="E66" s="191"/>
      <c r="F66" s="191">
        <f t="array" ref="F66">SQRT((F9:G9*$B$22:$C$22)/($B$9:$C$9*$B$22:$C$22)*(F9:G9*F22:G22)/($B$9:$C$9*F22:G22))</f>
        <v>0.99714755834942737</v>
      </c>
      <c r="G66" s="191"/>
      <c r="H66" s="191">
        <f t="array" ref="H66">SQRT((H9:I9*$B$22:$C$22)/($B$9:$C$9*$B$22:$C$22)*(H9:I9*H22:I22)/($B$9:$C$9*H22:I22))</f>
        <v>0.99564526869953129</v>
      </c>
      <c r="I66" s="191"/>
      <c r="J66" s="191">
        <f t="array" ref="J66">SQRT((J9:K9*$B$22:$C$22)/($B$9:$C$9*$B$22:$C$22)*(J9:K9*J22:K22)/($B$9:$C$9*J22:K22))</f>
        <v>0.99408165736716125</v>
      </c>
      <c r="K66" s="191"/>
      <c r="L66" s="191">
        <f t="array" ref="L66">SQRT((L9:M9*$B$22:$C$22)/($B$9:$C$9*$B$22:$C$22)*(L9:M9*L22:M22)/($B$9:$C$9*L22:M22))</f>
        <v>0.99244742554067111</v>
      </c>
      <c r="M66" s="191"/>
      <c r="N66" s="191">
        <f t="array" ref="N66">SQRT((N9:O9*$B$22:$C$22)/($B$9:$C$9*$B$22:$C$22)*(N9:O9*N22:O22)/($B$9:$C$9*N22:O22))</f>
        <v>0.99073243467012762</v>
      </c>
      <c r="O66" s="191"/>
      <c r="P66" s="191">
        <f t="array" ref="P66">SQRT((P9:Q9*$B$22:$C$22)/($B$9:$C$9*$B$22:$C$22)*(P9:Q9*P22:Q22)/($B$9:$C$9*P22:Q22))</f>
        <v>0.98892630087459543</v>
      </c>
      <c r="Q66" s="191"/>
      <c r="R66" s="191">
        <f t="array" ref="R66">SQRT((R9:S9*$B$22:$C$22)/($B$9:$C$9*$B$22:$C$22)*(R9:S9*R22:S22)/($B$9:$C$9*R22:S22))</f>
        <v>0.9870197028047113</v>
      </c>
      <c r="S66" s="191"/>
      <c r="T66" s="191">
        <f t="array" ref="T66">SQRT((T9:U9*$B$22:$C$22)/($B$9:$C$9*$B$22:$C$22)*(T9:U9*T22:U22)/($B$9:$C$9*T22:U22))</f>
        <v>0.9850070294938833</v>
      </c>
      <c r="U66" s="191"/>
      <c r="V66" s="191">
        <f t="array" ref="V66">SQRT((V9:W9*$B$22:$C$22)/($B$9:$C$9*$B$22:$C$22)*(V9:W9*V22:W22)/($B$9:$C$9*V22:W22))</f>
        <v>0.98289157220916734</v>
      </c>
      <c r="W66" s="191"/>
      <c r="X66" s="191">
        <f t="array" ref="X66">SQRT((X9:Y9*$B$22:$C$22)/($B$9:$C$9*$B$22:$C$22)*(X9:Y9*X22:Y22)/($B$9:$C$9*X22:Y22))</f>
        <v>0.98069561004018657</v>
      </c>
      <c r="Y66" s="191"/>
      <c r="Z66" s="191">
        <f t="array" ref="Z66">SQRT((Z9:AA9*$B$22:$C$22)/($B$9:$C$9*$B$22:$C$22)*(Z9:AA9*Z22:AA22)/($B$9:$C$9*Z22:AA22))</f>
        <v>0.97848000187370676</v>
      </c>
      <c r="AA66" s="191"/>
      <c r="AB66" s="191">
        <f t="array" ref="AB66">SQRT((AB9:AC9*$B$22:$C$22)/($B$9:$C$9*$B$22:$C$22)*(AB9:AC9*AB22:AC22)/($B$9:$C$9*AB22:AC22))</f>
        <v>0.97638214902883114</v>
      </c>
      <c r="AC66" s="191"/>
      <c r="AD66" s="191">
        <f t="array" ref="AD66">SQRT((AD9:AE9*$B$22:$C$22)/($B$9:$C$9*$B$22:$C$22)*(AD9:AE9*AD22:AE22)/($B$9:$C$9*AD22:AE22))</f>
        <v>0.9746869653340311</v>
      </c>
      <c r="AE66" s="191"/>
      <c r="AF66" s="191">
        <f t="array" ref="AF66">SQRT((AF9:AG9*$B$22:$C$22)/($B$9:$C$9*$B$22:$C$22)*(AF9:AG9*AF22:AG22)/($B$9:$C$9*AF22:AG22))</f>
        <v>0.97394019178425417</v>
      </c>
      <c r="AG66" s="191"/>
      <c r="AH66" s="191">
        <f t="array" ref="AH66">SQRT((AH9:AI9*$B$22:$C$22)/($B$9:$C$9*$B$22:$C$22)*(AH9:AI9*AH22:AI22)/($B$9:$C$9*AH22:AI22))</f>
        <v>0.97502662893401648</v>
      </c>
      <c r="AI66" s="191"/>
      <c r="AJ66" s="191">
        <f t="array" ref="AJ66">SQRT((AJ9:AK9*$B$22:$C$22)/($B$9:$C$9*$B$22:$C$22)*(AJ9:AK9*AJ22:AK22)/($B$9:$C$9*AJ22:AK22))</f>
        <v>0.97884371145984572</v>
      </c>
      <c r="AK66" s="191"/>
      <c r="AL66" s="191">
        <f t="array" ref="AL66">SQRT((AL9:AM9*$B$22:$C$22)/($B$9:$C$9*$B$22:$C$22)*(AL9:AM9*AL22:AM22)/($B$9:$C$9*AL22:AM22))</f>
        <v>0.98531319614560176</v>
      </c>
      <c r="AM66" s="191"/>
      <c r="AN66" s="191">
        <f t="array" ref="AN66">SQRT((AN9:AO9*$B$22:$C$22)/($B$9:$C$9*$B$22:$C$22)*(AN9:AO9*AN22:AO22)/($B$9:$C$9*AN22:AO22))</f>
        <v>0.99332635139752179</v>
      </c>
      <c r="AO66" s="191"/>
      <c r="AP66" s="191">
        <f t="array" ref="AP66">SQRT((AP9:AQ9*$B$22:$C$22)/($B$9:$C$9*$B$22:$C$22)*(AP9:AQ9*AP22:AQ22)/($B$9:$C$9*AP22:AQ22))</f>
        <v>0.99511621412120155</v>
      </c>
      <c r="AQ66" s="191"/>
      <c r="AR66" s="191">
        <f t="array" ref="AR66">SQRT((AR9:AS9*$B$22:$C$22)/($B$9:$C$9*$B$22:$C$22)*(AR9:AS9*AR22:AS22)/($B$9:$C$9*AR22:AS22))</f>
        <v>0.99708101531940296</v>
      </c>
      <c r="AS66" s="191"/>
      <c r="AT66" s="191">
        <f t="array" ref="AT66">SQRT((AT9:AU9*$B$22:$C$22)/($B$9:$C$9*$B$22:$C$22)*(AT9:AU9*AT22:AU22)/($B$9:$C$9*AT22:AU22))</f>
        <v>0.99943509532505392</v>
      </c>
      <c r="AU66" s="191"/>
      <c r="AV66" s="191">
        <f t="array" ref="AV66">SQRT((AV9:AW9*$B$22:$C$22)/($B$9:$C$9*$B$22:$C$22)*(AV9:AW9*AV22:AW22)/($B$9:$C$9*AV22:AW22))</f>
        <v>1.0028212209211897</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0.99859675746960763</v>
      </c>
      <c r="E68" s="191"/>
      <c r="F68" s="191">
        <f>F66/F67</f>
        <v>0.99714755834942737</v>
      </c>
      <c r="G68" s="191"/>
      <c r="H68" s="191">
        <f>H66/H67</f>
        <v>0.99564526869953129</v>
      </c>
      <c r="I68" s="191"/>
      <c r="J68" s="191">
        <f>J66/J67</f>
        <v>0.99408165736716125</v>
      </c>
      <c r="K68" s="191"/>
      <c r="L68" s="191">
        <f>L66/L67</f>
        <v>0.99244742554067111</v>
      </c>
      <c r="M68" s="191"/>
      <c r="N68" s="191">
        <f>N66/N67</f>
        <v>0.99073243467012762</v>
      </c>
      <c r="O68" s="191"/>
      <c r="P68" s="191">
        <f>P66/P67</f>
        <v>0.98892630087459543</v>
      </c>
      <c r="Q68" s="191"/>
      <c r="R68" s="191">
        <f>R66/R67</f>
        <v>0.9870197028047113</v>
      </c>
      <c r="S68" s="191"/>
      <c r="T68" s="191">
        <f>T66/T67</f>
        <v>0.9850070294938833</v>
      </c>
      <c r="U68" s="191"/>
      <c r="V68" s="191">
        <f>V66/V67</f>
        <v>0.98289157220916734</v>
      </c>
      <c r="W68" s="191"/>
      <c r="X68" s="191">
        <f>X66/X67</f>
        <v>0.98069561004018657</v>
      </c>
      <c r="Y68" s="191"/>
      <c r="Z68" s="191">
        <f>Z66/Z67</f>
        <v>0.97848000187370676</v>
      </c>
      <c r="AA68" s="191"/>
      <c r="AB68" s="191">
        <f>AB66/AB67</f>
        <v>0.97638214902883114</v>
      </c>
      <c r="AC68" s="191"/>
      <c r="AD68" s="191">
        <f>AD66/AD67</f>
        <v>0.9746869653340311</v>
      </c>
      <c r="AE68" s="191"/>
      <c r="AF68" s="191">
        <f>AF66/AF67</f>
        <v>0.97394019178425417</v>
      </c>
      <c r="AG68" s="191"/>
      <c r="AH68" s="191">
        <f>AH66/AH67</f>
        <v>0.97502662893401648</v>
      </c>
      <c r="AI68" s="191"/>
      <c r="AJ68" s="191">
        <f>AJ66/AJ67</f>
        <v>0.97884371145984572</v>
      </c>
      <c r="AK68" s="191"/>
      <c r="AL68" s="191">
        <f>AL66/AL67</f>
        <v>0.98531319614560176</v>
      </c>
      <c r="AM68" s="191"/>
      <c r="AN68" s="191">
        <f>AN66/AN67</f>
        <v>0.99332635139752179</v>
      </c>
      <c r="AO68" s="191"/>
      <c r="AP68" s="191">
        <f>AP66/AP67</f>
        <v>0.99511621412120155</v>
      </c>
      <c r="AQ68" s="191"/>
      <c r="AR68" s="191">
        <f>AR66/AR67</f>
        <v>0.99708101531940296</v>
      </c>
      <c r="AS68" s="191"/>
      <c r="AT68" s="191">
        <f>AT66/AT67</f>
        <v>0.99943509532505392</v>
      </c>
      <c r="AU68" s="191"/>
      <c r="AV68" s="191">
        <f>AV66/AV67</f>
        <v>1.0028212209211897</v>
      </c>
      <c r="XFD68" s="191"/>
    </row>
    <row r="69" spans="1:48 16384:16384" x14ac:dyDescent="0.2">
      <c r="A69" t="s">
        <v>177</v>
      </c>
      <c r="B69" s="191">
        <f>B32/B65/($B$32)</f>
        <v>1</v>
      </c>
      <c r="C69" s="191"/>
      <c r="D69" s="191">
        <f>D32/D65/($B$32)</f>
        <v>1.0014555065401063</v>
      </c>
      <c r="E69" s="191"/>
      <c r="F69" s="191">
        <f>F32/F65/($B$32)</f>
        <v>1.0027844174102429</v>
      </c>
      <c r="G69" s="191"/>
      <c r="H69" s="191">
        <f>H32/H65/($B$32)</f>
        <v>1.0039669258534525</v>
      </c>
      <c r="I69" s="191"/>
      <c r="J69" s="191">
        <f>J32/J65/($B$32)</f>
        <v>1.0049787250665572</v>
      </c>
      <c r="K69" s="191"/>
      <c r="L69" s="191">
        <f>L32/L65/($B$32)</f>
        <v>1.0057897514453544</v>
      </c>
      <c r="M69" s="191"/>
      <c r="N69" s="191">
        <f>N32/N65/($B$32)</f>
        <v>1.0063623210709745</v>
      </c>
      <c r="O69" s="191"/>
      <c r="P69" s="191">
        <f>P32/P65/($B$32)</f>
        <v>1.0066487928292296</v>
      </c>
      <c r="Q69" s="191"/>
      <c r="R69" s="191">
        <f>R32/R65/($B$32)</f>
        <v>1.0065879631444998</v>
      </c>
      <c r="S69" s="191"/>
      <c r="T69" s="191">
        <f>T32/T65/($B$32)</f>
        <v>1.0061000281677861</v>
      </c>
      <c r="U69" s="191"/>
      <c r="V69" s="191">
        <f>V32/V65/($B$32)</f>
        <v>1.0050788016638565</v>
      </c>
      <c r="W69" s="191"/>
      <c r="X69" s="191">
        <f>X32/X65/($B$32)</f>
        <v>1.0033793509791702</v>
      </c>
      <c r="Y69" s="191"/>
      <c r="Z69" s="191">
        <f>Z32/Z65/($B$32)</f>
        <v>1.0007968800840439</v>
      </c>
      <c r="AA69" s="191"/>
      <c r="AB69" s="191">
        <f>AB32/AB65/($B$32)</f>
        <v>0.99702720923766686</v>
      </c>
      <c r="AC69" s="191"/>
      <c r="AD69" s="191">
        <f>AD32/AD65/($B$32)</f>
        <v>0.99158283257250868</v>
      </c>
      <c r="AE69" s="191"/>
      <c r="AF69" s="191">
        <f>AF32/AF65/($B$32)</f>
        <v>0.98358477779121301</v>
      </c>
      <c r="AG69" s="191"/>
      <c r="AH69" s="191">
        <f>AH32/AH65/($B$32)</f>
        <v>0.97116193580929688</v>
      </c>
      <c r="AI69" s="191"/>
      <c r="AJ69" s="191">
        <f>AJ32/AJ65/($B$32)</f>
        <v>0.94957200587148849</v>
      </c>
      <c r="AK69" s="191"/>
      <c r="AL69" s="191">
        <f>AL32/AL65/($B$32)</f>
        <v>0.90496833943774724</v>
      </c>
      <c r="AM69" s="191"/>
      <c r="AN69" s="191">
        <f>AN32/AN65/($B$32)</f>
        <v>0.78414524397084273</v>
      </c>
      <c r="AO69" s="191"/>
      <c r="AP69" s="191">
        <f>AP32/AP65/($B$32)</f>
        <v>0.73389294593253251</v>
      </c>
      <c r="AQ69" s="191"/>
      <c r="AR69" s="191">
        <f>AR32/AR65/($B$32)</f>
        <v>0.66275979511558336</v>
      </c>
      <c r="AS69" s="191"/>
      <c r="AT69" s="191">
        <f>AT32/AT65/($B$32)</f>
        <v>0.55498569520014862</v>
      </c>
      <c r="AU69" s="191"/>
      <c r="AV69" s="191">
        <f>AV32/AV65/($B$32)</f>
        <v>0.37318796797435999</v>
      </c>
    </row>
    <row r="70" spans="1:48 16384:16384" x14ac:dyDescent="0.2">
      <c r="A70" t="s">
        <v>178</v>
      </c>
      <c r="B70" s="138">
        <f>B18/$B$18</f>
        <v>1</v>
      </c>
      <c r="C70" s="138"/>
      <c r="D70" s="138">
        <f>D18/$B$18</f>
        <v>1.0003556205265773</v>
      </c>
      <c r="E70" s="138"/>
      <c r="F70" s="138">
        <f>F18/$B$18</f>
        <v>1.000580817272535</v>
      </c>
      <c r="G70" s="138"/>
      <c r="H70" s="138">
        <f>H18/$B$18</f>
        <v>1.0006561072771745</v>
      </c>
      <c r="I70" s="138"/>
      <c r="J70" s="138">
        <f>J18/$B$18</f>
        <v>1.0005575298907374</v>
      </c>
      <c r="K70" s="138"/>
      <c r="L70" s="138">
        <f>L18/$B$18</f>
        <v>1.0002551643373001</v>
      </c>
      <c r="M70" s="138"/>
      <c r="N70" s="138">
        <f>N18/$B$18</f>
        <v>0.99971087835338357</v>
      </c>
      <c r="O70" s="138"/>
      <c r="P70" s="138">
        <f>P18/$B$18</f>
        <v>0.99887510488035369</v>
      </c>
      <c r="Q70" s="138"/>
      <c r="R70" s="138">
        <f>R18/$B$18</f>
        <v>0.99768170946186974</v>
      </c>
      <c r="S70" s="138"/>
      <c r="T70" s="138">
        <f>T18/$B$18</f>
        <v>0.99603993633568977</v>
      </c>
      <c r="U70" s="138"/>
      <c r="V70" s="138">
        <f>V18/$B$18</f>
        <v>0.99382103193176108</v>
      </c>
      <c r="W70" s="138"/>
      <c r="X70" s="138">
        <f>X18/$B$18</f>
        <v>0.99083523560666908</v>
      </c>
      <c r="Y70" s="138"/>
      <c r="Z70" s="138">
        <f>Z18/$B$18</f>
        <v>0.98679032679309209</v>
      </c>
      <c r="AA70" s="138"/>
      <c r="AB70" s="138">
        <f>AB18/$B$18</f>
        <v>0.98121330905899196</v>
      </c>
      <c r="AC70" s="138"/>
      <c r="AD70" s="138">
        <f>AD18/$B$18</f>
        <v>0.97329565470636659</v>
      </c>
      <c r="AE70" s="138"/>
      <c r="AF70" s="138">
        <f>AF18/$B$18</f>
        <v>0.96157835871174568</v>
      </c>
      <c r="AG70" s="138"/>
      <c r="AH70" s="138">
        <f>AH18/$B$18</f>
        <v>0.9433072339580888</v>
      </c>
      <c r="AI70" s="138"/>
      <c r="AJ70" s="138">
        <f>AJ18/$B$18</f>
        <v>0.91301382536504605</v>
      </c>
      <c r="AK70" s="138"/>
      <c r="AL70" s="138">
        <f>AL18/$B$18</f>
        <v>0.85784166569234865</v>
      </c>
      <c r="AM70" s="138"/>
      <c r="AN70" s="138">
        <f>AN18/$B$18</f>
        <v>0.73140351214379073</v>
      </c>
      <c r="AO70" s="138"/>
      <c r="AP70" s="138">
        <f>AP18/$B$18</f>
        <v>0.68290281282567966</v>
      </c>
      <c r="AQ70" s="138"/>
      <c r="AR70" s="138">
        <f>AR18/$B$18</f>
        <v>0.6161186012978912</v>
      </c>
      <c r="AS70" s="138"/>
      <c r="AT70" s="138">
        <f>AT18/$B$18</f>
        <v>0.51718836214218755</v>
      </c>
      <c r="AU70" s="138"/>
      <c r="AV70" s="138">
        <f>AV18/$B$18</f>
        <v>0.35191815264838255</v>
      </c>
    </row>
    <row r="71" spans="1:48 16384:16384" x14ac:dyDescent="0.2">
      <c r="A71" t="s">
        <v>179</v>
      </c>
      <c r="B71" s="138">
        <f>C18/$C$18</f>
        <v>1</v>
      </c>
      <c r="D71" s="138">
        <f>E18/$C$18</f>
        <v>0.93098219350671463</v>
      </c>
      <c r="E71" s="138"/>
      <c r="F71" s="138">
        <f>G18/$C$18</f>
        <v>0.86197176102144535</v>
      </c>
      <c r="G71" s="138"/>
      <c r="H71" s="138">
        <f>I18/$C$18</f>
        <v>0.79298929867553936</v>
      </c>
      <c r="I71" s="138"/>
      <c r="J71" s="138">
        <f>K18/$C$18</f>
        <v>0.72406557380715397</v>
      </c>
      <c r="K71" s="138"/>
      <c r="L71" s="138">
        <f>M18/$C$18</f>
        <v>0.65524664360440488</v>
      </c>
      <c r="M71" s="138"/>
      <c r="N71" s="138">
        <f>O18/$C$18</f>
        <v>0.58660448949003452</v>
      </c>
      <c r="O71" s="138"/>
      <c r="P71" s="138">
        <f>Q18/$C$18</f>
        <v>0.51824910926076651</v>
      </c>
      <c r="Q71" s="138"/>
      <c r="R71" s="138">
        <f>S18/$C$18</f>
        <v>0.45035226949020557</v>
      </c>
      <c r="S71" s="138"/>
      <c r="T71" s="138">
        <f>U18/$C$18</f>
        <v>0.38318064261684814</v>
      </c>
      <c r="U71" s="138"/>
      <c r="V71" s="138">
        <f>W18/$C$18</f>
        <v>0.31714994338703251</v>
      </c>
      <c r="W71" s="138"/>
      <c r="X71" s="138">
        <f>Y18/$C$18</f>
        <v>0.25290901085331741</v>
      </c>
      <c r="Y71" s="138"/>
      <c r="Z71" s="138">
        <f>AA18/$C$18</f>
        <v>0.19147037364743247</v>
      </c>
      <c r="AA71" s="138"/>
      <c r="AB71" s="138">
        <f>AC18/$C$18</f>
        <v>0.13440301080995312</v>
      </c>
      <c r="AC71" s="138"/>
      <c r="AD71" s="138">
        <f>AE18/$C$18</f>
        <v>8.4071836802174713E-2</v>
      </c>
      <c r="AE71" s="138"/>
      <c r="AF71" s="138">
        <f>AG18/$C$18</f>
        <v>4.3737425612539467E-2</v>
      </c>
      <c r="AG71" s="138"/>
      <c r="AH71" s="138">
        <f>AI18/$C$18</f>
        <v>1.6785488511787253E-2</v>
      </c>
      <c r="AI71" s="138"/>
      <c r="AJ71" s="138">
        <f>AK18/$C$18</f>
        <v>3.9018206747667701E-3</v>
      </c>
      <c r="AK71" s="138"/>
      <c r="AL71" s="138">
        <f>AM18/$C$18</f>
        <v>3.9481732547658551E-4</v>
      </c>
      <c r="AM71" s="138"/>
      <c r="AN71" s="138">
        <f>AO18/$C$18</f>
        <v>7.5366842108958147E-6</v>
      </c>
      <c r="AO71" s="138"/>
      <c r="AP71" s="138">
        <f>AQ18/$C$18</f>
        <v>2.2552900542178517E-6</v>
      </c>
      <c r="AQ71" s="138"/>
      <c r="AR71" s="138">
        <f>AS18/$C$18</f>
        <v>5.150852013547258E-7</v>
      </c>
      <c r="AS71" s="138"/>
      <c r="AT71" s="138">
        <f>AU18/$C$18</f>
        <v>7.6790102920874819E-8</v>
      </c>
      <c r="AU71" s="138"/>
      <c r="AV71" s="138">
        <f>AW18/$C$18</f>
        <v>5.089065469669533E-9</v>
      </c>
      <c r="XFD71" s="138"/>
    </row>
    <row r="72" spans="1:48 16384:16384" x14ac:dyDescent="0.2">
      <c r="A72" t="s">
        <v>180</v>
      </c>
      <c r="B72" s="138">
        <f>C19/$C$19</f>
        <v>1</v>
      </c>
      <c r="D72" s="138">
        <f>E19/$C$19</f>
        <v>1.0208063348148022</v>
      </c>
      <c r="E72" s="138"/>
      <c r="F72" s="138">
        <f>G19/$C$19</f>
        <v>1.0449779034187008</v>
      </c>
      <c r="G72" s="138"/>
      <c r="H72" s="138">
        <f>I19/$C$19</f>
        <v>1.0729402969719688</v>
      </c>
      <c r="I72" s="138"/>
      <c r="J72" s="138">
        <f>K19/$C$19</f>
        <v>1.105168584724699</v>
      </c>
      <c r="K72" s="138"/>
      <c r="L72" s="138">
        <f>M19/$C$19</f>
        <v>1.1421808012959584</v>
      </c>
      <c r="M72" s="138"/>
      <c r="N72" s="138">
        <f>O19/$C$19</f>
        <v>1.1845212345564429</v>
      </c>
      <c r="O72" s="138"/>
      <c r="P72" s="138">
        <f>Q19/$C$19</f>
        <v>1.2327198975956362</v>
      </c>
      <c r="Q72" s="138"/>
      <c r="R72" s="138">
        <f>S19/$C$19</f>
        <v>1.287212441696016</v>
      </c>
      <c r="S72" s="138"/>
      <c r="T72" s="138">
        <f>U19/$C$19</f>
        <v>1.3481858592812166</v>
      </c>
      <c r="U72" s="138"/>
      <c r="V72" s="138">
        <f>W19/$C$19</f>
        <v>1.4152829116581078</v>
      </c>
      <c r="W72" s="138"/>
      <c r="X72" s="138">
        <f>Y19/$C$19</f>
        <v>1.4870420496572749</v>
      </c>
      <c r="Y72" s="138"/>
      <c r="Z72" s="138">
        <f>AA19/$C$19</f>
        <v>1.5598294516069715</v>
      </c>
      <c r="AA72" s="138"/>
      <c r="AB72" s="138">
        <f>AC19/$C$19</f>
        <v>1.6258101226231656</v>
      </c>
      <c r="AC72" s="138"/>
      <c r="AD72" s="138">
        <f>AE19/$C$19</f>
        <v>1.6692419011899338</v>
      </c>
      <c r="AE72" s="138"/>
      <c r="AF72" s="138">
        <f>AG19/$C$19</f>
        <v>1.6607926715573689</v>
      </c>
      <c r="AG72" s="138"/>
      <c r="AH72" s="138">
        <f>AI19/$C$19</f>
        <v>1.5543374822739511</v>
      </c>
      <c r="AI72" s="138"/>
      <c r="AJ72" s="138">
        <f>AK19/$C$19</f>
        <v>1.3053644189737854</v>
      </c>
      <c r="AK72" s="138"/>
      <c r="AL72" s="138">
        <f>AM19/$C$19</f>
        <v>0.92142958936206987</v>
      </c>
      <c r="AM72" s="138"/>
      <c r="AN72" s="138">
        <f>AO19/$C$19</f>
        <v>0.46830071907632276</v>
      </c>
      <c r="AO72" s="138"/>
      <c r="AP72" s="138">
        <f>AQ19/$C$19</f>
        <v>0.37494055339925569</v>
      </c>
      <c r="AQ72" s="138"/>
      <c r="AR72" s="138">
        <f>AS19/$C$19</f>
        <v>0.2813271459597752</v>
      </c>
      <c r="AS72" s="138"/>
      <c r="AT72" s="138">
        <f>AU19/$C$19</f>
        <v>0.18758947904116904</v>
      </c>
      <c r="AU72" s="138"/>
      <c r="AV72" s="138">
        <f>AW19/$C$19</f>
        <v>9.3801893658448959E-2</v>
      </c>
      <c r="XFD72" s="138"/>
    </row>
    <row r="73" spans="1:48 16384:16384" x14ac:dyDescent="0.2">
      <c r="A73" t="s">
        <v>184</v>
      </c>
      <c r="B73" s="193">
        <f t="array" ref="B73">SUM(B9:C9*B22:C22)/B32</f>
        <v>0.47641153352875065</v>
      </c>
      <c r="D73" s="193">
        <f t="array" ref="D73">SUM(D9:E9*D22:E22)/D32</f>
        <v>0.47381208848123979</v>
      </c>
      <c r="E73" s="138"/>
      <c r="F73" s="193">
        <f t="array" ref="F73">SUM(F9:G9*F22:G22)/F32</f>
        <v>0.47116234374039623</v>
      </c>
      <c r="G73" s="138"/>
      <c r="H73" s="193">
        <f t="array" ref="H73">SUM(H9:I9*H22:I22)/H32</f>
        <v>0.46845317724899593</v>
      </c>
      <c r="I73" s="138"/>
      <c r="J73" s="193">
        <f t="array" ref="J73">SUM(J9:K9*J22:K22)/J32</f>
        <v>0.46567357496088185</v>
      </c>
      <c r="K73" s="138"/>
      <c r="L73" s="193">
        <f t="array" ref="L73">SUM(L9:M9*L22:M22)/L32</f>
        <v>0.46281000778228026</v>
      </c>
      <c r="M73" s="138"/>
      <c r="N73" s="193">
        <f t="array" ref="N73">SUM(N9:O9*N22:O22)/N32</f>
        <v>0.45984551654345701</v>
      </c>
      <c r="O73" s="138"/>
      <c r="P73" s="193">
        <f t="array" ref="P73">SUM(P9:Q9*P22:Q22)/P32</f>
        <v>0.45675830091988401</v>
      </c>
      <c r="Q73" s="138"/>
      <c r="R73" s="193">
        <f t="array" ref="R73">SUM(R9:S9*R22:S22)/R32</f>
        <v>0.45351941917314115</v>
      </c>
      <c r="S73" s="138"/>
      <c r="T73" s="193">
        <f t="array" ref="T73">SUM(T9:U9*T22:U22)/T32</f>
        <v>0.45008906946095018</v>
      </c>
      <c r="U73" s="138"/>
      <c r="V73" s="193">
        <f t="array" ref="V73">SUM(V9:W9*V22:W22)/V32</f>
        <v>0.44641008785889119</v>
      </c>
      <c r="W73" s="138"/>
      <c r="X73" s="193">
        <f t="array" ref="X73">SUM(X9:Y9*X22:Y22)/X32</f>
        <v>0.44239630482672831</v>
      </c>
      <c r="Y73" s="138"/>
      <c r="Z73" s="193">
        <f t="array" ref="Z73">SUM(Z9:AA9*Z22:AA22)/Z32</f>
        <v>0.43791069404411198</v>
      </c>
      <c r="AA73" s="138"/>
      <c r="AB73" s="193">
        <f t="array" ref="AB73">SUM(AB9:AC9*AB22:AC22)/AB32</f>
        <v>0.4327227282187856</v>
      </c>
      <c r="AC73" s="138"/>
      <c r="AD73" s="193">
        <f t="array" ref="AD73">SUM(AD9:AE9*AD22:AE22)/AD32</f>
        <v>0.42642265898660497</v>
      </c>
      <c r="AE73" s="138"/>
      <c r="AF73" s="193">
        <f t="array" ref="AF73">SUM(AF9:AG9*AF22:AG22)/AF32</f>
        <v>0.41825053287941583</v>
      </c>
      <c r="AG73" s="138"/>
      <c r="AH73" s="193">
        <f t="array" ref="AH73">SUM(AH9:AI9*AH22:AI22)/AH32</f>
        <v>0.40678251838155821</v>
      </c>
      <c r="AI73" s="138"/>
      <c r="AJ73" s="193">
        <f t="array" ref="AJ73">SUM(AJ9:AK9*AJ22:AK22)/AJ32</f>
        <v>0.38940438705783376</v>
      </c>
      <c r="AK73" s="138"/>
      <c r="AL73" s="193">
        <f t="array" ref="AL73">SUM(AL9:AM9*AL22:AM22)/AL32</f>
        <v>0.3607474094447814</v>
      </c>
      <c r="AM73" s="138"/>
      <c r="AN73" s="193">
        <f t="array" ref="AN73">SUM(AN9:AO9*AN22:AO22)/AN32</f>
        <v>0.30279566703918548</v>
      </c>
      <c r="AO73" s="138"/>
      <c r="AP73" s="193">
        <f t="array" ref="AP73">SUM(AP9:AQ9*AP22:AQ22)/AP32</f>
        <v>0.28207570395370796</v>
      </c>
      <c r="AQ73" s="138"/>
      <c r="AR73" s="193">
        <f t="array" ref="AR73">SUM(AR9:AS9*AR22:AS22)/AR32</f>
        <v>0.25427613961575013</v>
      </c>
      <c r="AS73" s="138"/>
      <c r="AT73" s="193">
        <f t="array" ref="AT73">SUM(AT9:AU9*AT22:AU22)/AT32</f>
        <v>0.21399841665637842</v>
      </c>
      <c r="AU73" s="138"/>
      <c r="AV73" s="193">
        <f t="array" ref="AV73">SUM(AV9:AW9*AV22:AW22)/AV32</f>
        <v>0.1473794510263263</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0.22604620456442481</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0.22604620456442487</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0.22604620456442487</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0.22604620456442481</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0.22298383373500894</v>
      </c>
      <c r="E75" s="138"/>
      <c r="F75" s="193">
        <f t="array" ref="F75">SUM(F11:G11*F24:G24)/F32</f>
        <v>0.22563357853687097</v>
      </c>
      <c r="G75" s="138"/>
      <c r="H75" s="193">
        <f t="array" ref="H75">SUM(H11:I11*H24:I24)/H32</f>
        <v>0.22834274518797507</v>
      </c>
      <c r="I75" s="138"/>
      <c r="J75" s="193">
        <f t="array" ref="J75">SUM(J11:K11*J24:K24)/J32</f>
        <v>0.23112234908847501</v>
      </c>
      <c r="K75" s="138"/>
      <c r="L75" s="193">
        <f t="array" ref="L75">SUM(L11:M11*L24:M24)/L32</f>
        <v>0.23398591493921606</v>
      </c>
      <c r="M75" s="138"/>
      <c r="N75" s="193">
        <f t="array" ref="N75">SUM(N11:O11*N24:O24)/N32</f>
        <v>0.23695040539012929</v>
      </c>
      <c r="O75" s="138"/>
      <c r="P75" s="193">
        <f t="array" ref="P75">SUM(P11:Q11*P24:Q24)/P32</f>
        <v>0.24003762437658238</v>
      </c>
      <c r="Q75" s="138"/>
      <c r="R75" s="193">
        <f t="array" ref="R75">SUM(R11:S11*R24:S24)/R32</f>
        <v>0.24327650633336073</v>
      </c>
      <c r="S75" s="138"/>
      <c r="T75" s="193">
        <f t="array" ref="T75">SUM(T11:U11*T24:U24)/T32</f>
        <v>0.24670685623967664</v>
      </c>
      <c r="U75" s="138"/>
      <c r="V75" s="193">
        <f t="array" ref="V75">SUM(V11:W11*V24:W24)/V32</f>
        <v>0.25038583741372639</v>
      </c>
      <c r="W75" s="138"/>
      <c r="X75" s="193">
        <f t="array" ref="X75">SUM(X11:Y11*X24:Y24)/X32</f>
        <v>0.2543996199281216</v>
      </c>
      <c r="Y75" s="138"/>
      <c r="Z75" s="193">
        <f t="array" ref="Z75">SUM(Z11:AA11*Z24:AA24)/Z32</f>
        <v>0.258885227874248</v>
      </c>
      <c r="AA75" s="138"/>
      <c r="AB75" s="193">
        <f t="array" ref="AB75">SUM(AB11:AC11*AB24:AC24)/AB32</f>
        <v>0.26407319389917955</v>
      </c>
      <c r="AC75" s="138"/>
      <c r="AD75" s="193">
        <f t="array" ref="AD75">SUM(AD11:AE11*AD24:AE24)/AD32</f>
        <v>0.27037326283170571</v>
      </c>
      <c r="AE75" s="138"/>
      <c r="AF75" s="193">
        <f t="array" ref="AF75">SUM(AF11:AG11*AF24:AG24)/AF32</f>
        <v>0.27854538900626935</v>
      </c>
      <c r="AG75" s="138"/>
      <c r="AH75" s="193">
        <f t="array" ref="AH75">SUM(AH11:AI11*AH24:AI24)/AH32</f>
        <v>0.29001340350983684</v>
      </c>
      <c r="AI75" s="138"/>
      <c r="AJ75" s="193">
        <f t="array" ref="AJ75">SUM(AJ11:AK11*AJ24:AK24)/AJ32</f>
        <v>0.30739153480115022</v>
      </c>
      <c r="AK75" s="138"/>
      <c r="AL75" s="193">
        <f t="array" ref="AL75">SUM(AL11:AM11*AL24:AM24)/AL32</f>
        <v>0.33604851241587197</v>
      </c>
      <c r="AM75" s="138"/>
      <c r="AN75" s="193">
        <f t="array" ref="AN75">SUM(AN11:AO11*AN24:AO24)/AN32</f>
        <v>0.39400025482151707</v>
      </c>
      <c r="AO75" s="138"/>
      <c r="AP75" s="193">
        <f t="array" ref="AP75">SUM(AP11:AQ11*AP24:AQ24)/AP32</f>
        <v>0.41472021790698799</v>
      </c>
      <c r="AQ75" s="138"/>
      <c r="AR75" s="193">
        <f t="array" ref="AR75">SUM(AR11:AS11*AR24:AS24)/AR32</f>
        <v>0.44251978224494132</v>
      </c>
      <c r="AS75" s="138"/>
      <c r="AT75" s="193">
        <f t="array" ref="AT75">SUM(AT11:AU11*AT24:AU24)/AT32</f>
        <v>0.48279750520434883</v>
      </c>
      <c r="AU75" s="138"/>
      <c r="AV75" s="193">
        <f t="array" ref="AV75">SUM(AV11:AW11*AV24:AW24)/AV32</f>
        <v>0.54941647083435208</v>
      </c>
      <c r="XFD75" s="193"/>
    </row>
    <row r="76" spans="1:48 16384:16384" x14ac:dyDescent="0.2">
      <c r="A76" t="s">
        <v>187</v>
      </c>
      <c r="B76" s="193">
        <f t="array" ref="B76">SUM(B12:C12*B25:C25)/B32</f>
        <v>0.22301874374724867</v>
      </c>
      <c r="D76" s="193">
        <f t="array" ref="D76">SUM(D12:E12*D25:E25)/D32</f>
        <v>0.22297852941426577</v>
      </c>
      <c r="E76" s="138"/>
      <c r="F76" s="193">
        <f t="array" ref="F76">SUM(F12:G12*F25:G25)/F32</f>
        <v>0.222992950741674</v>
      </c>
      <c r="G76" s="138"/>
      <c r="H76" s="193">
        <f t="array" ref="H76">SUM(H12:I12*H25:I25)/H32</f>
        <v>0.22306894806050828</v>
      </c>
      <c r="I76" s="138"/>
      <c r="J76" s="193">
        <f t="array" ref="J76">SUM(J12:K12*J25:K25)/J32</f>
        <v>0.2232143674859596</v>
      </c>
      <c r="K76" s="138"/>
      <c r="L76" s="193">
        <f t="array" ref="L76">SUM(L12:M12*L25:M25)/L32</f>
        <v>0.22343790728470928</v>
      </c>
      <c r="M76" s="138"/>
      <c r="N76" s="193">
        <f t="array" ref="N76">SUM(N12:O12*N25:O25)/N32</f>
        <v>0.22374890865324823</v>
      </c>
      <c r="O76" s="138"/>
      <c r="P76" s="193">
        <f t="array" ref="P76">SUM(P12:Q12*P25:Q25)/P32</f>
        <v>0.2241567792025681</v>
      </c>
      <c r="Q76" s="138"/>
      <c r="R76" s="193">
        <f t="array" ref="R76">SUM(R12:S12*R25:S25)/R32</f>
        <v>0.22466980963117675</v>
      </c>
      <c r="S76" s="138"/>
      <c r="T76" s="193">
        <f t="array" ref="T76">SUM(T12:U12*T25:U25)/T32</f>
        <v>0.22529272540745829</v>
      </c>
      <c r="U76" s="138"/>
      <c r="V76" s="193">
        <f t="array" ref="V76">SUM(V12:W12*V25:W25)/V32</f>
        <v>0.22602189840822312</v>
      </c>
      <c r="W76" s="138"/>
      <c r="X76" s="193">
        <f t="array" ref="X76">SUM(X12:Y12*X25:Y25)/X32</f>
        <v>0.22683596448290494</v>
      </c>
      <c r="Y76" s="138"/>
      <c r="Z76" s="193">
        <f t="array" ref="Z76">SUM(Z12:AA12*Z25:AA25)/Z32</f>
        <v>0.22767746875844685</v>
      </c>
      <c r="AA76" s="138"/>
      <c r="AB76" s="193">
        <f t="array" ref="AB76">SUM(AB12:AC12*AB25:AC25)/AB32</f>
        <v>0.22841713528232482</v>
      </c>
      <c r="AC76" s="138"/>
      <c r="AD76" s="193">
        <f t="array" ref="AD76">SUM(AD12:AE12*AD25:AE25)/AD32</f>
        <v>0.22878719368532749</v>
      </c>
      <c r="AE76" s="138"/>
      <c r="AF76" s="193">
        <f t="array" ref="AF76">SUM(AF12:AG12*AF25:AG25)/AF32</f>
        <v>0.22827671214225639</v>
      </c>
      <c r="AG76" s="138"/>
      <c r="AH76" s="193">
        <f t="array" ref="AH76">SUM(AH12:AI12*AH25:AI25)/AH32</f>
        <v>0.22606747854633447</v>
      </c>
      <c r="AI76" s="138"/>
      <c r="AJ76" s="193">
        <f t="array" ref="AJ76">SUM(AJ12:AK12*AJ25:AK25)/AJ32</f>
        <v>0.22135633527657414</v>
      </c>
      <c r="AK76" s="138"/>
      <c r="AL76" s="193">
        <f t="array" ref="AL76">SUM(AL12:AM12*AL25:AM25)/AL32</f>
        <v>0.21425958298641057</v>
      </c>
      <c r="AM76" s="138"/>
      <c r="AN76" s="193">
        <f t="array" ref="AN76">SUM(AN12:AO12*AN25:AO25)/AN32</f>
        <v>0.20610094652687985</v>
      </c>
      <c r="AO76" s="138"/>
      <c r="AP76" s="193">
        <f t="array" ref="AP76">SUM(AP12:AQ12*AP25:AQ25)/AP32</f>
        <v>0.20457406335348058</v>
      </c>
      <c r="AQ76" s="138"/>
      <c r="AR76" s="193">
        <f t="array" ref="AR76">SUM(AR12:AS12*AR25:AS25)/AR32</f>
        <v>0.20324730259377913</v>
      </c>
      <c r="AS76" s="138"/>
      <c r="AT76" s="193">
        <f t="array" ref="AT76">SUM(AT12:AU12*AT25:AU25)/AT32</f>
        <v>0.20239573226493426</v>
      </c>
      <c r="AU76" s="138"/>
      <c r="AV76" s="193">
        <f t="array" ref="AV76">SUM(AV12:AW12*AV25:AW25)/AV32</f>
        <v>0.20286519731050609</v>
      </c>
      <c r="XFD76" s="193"/>
    </row>
    <row r="77" spans="1:48 16384:16384" x14ac:dyDescent="0.2">
      <c r="A77" t="s">
        <v>188</v>
      </c>
      <c r="B77" s="193">
        <f t="array" ref="B77">SUM(B4:C4*B19:C19)/B32</f>
        <v>0.14586087017236485</v>
      </c>
      <c r="D77" s="193">
        <f t="array" ref="D77">SUM(D4:E4*D19:E19)/D32</f>
        <v>0.1458206561949392</v>
      </c>
      <c r="E77" s="138"/>
      <c r="F77" s="193">
        <f t="array" ref="F77">SUM(F4:G4*F19:G19)/F32</f>
        <v>0.14583507758336589</v>
      </c>
      <c r="G77" s="138"/>
      <c r="H77" s="193">
        <f t="array" ref="H77">SUM(H4:I4*H19:I19)/H32</f>
        <v>0.14591107506190398</v>
      </c>
      <c r="I77" s="138"/>
      <c r="J77" s="193">
        <f t="array" ref="J77">SUM(J4:K4*J19:K19)/J32</f>
        <v>0.14605649609974108</v>
      </c>
      <c r="K77" s="138"/>
      <c r="L77" s="193">
        <f t="array" ref="L77">SUM(L4:M4*L19:M19)/L32</f>
        <v>0.14628003457063013</v>
      </c>
      <c r="M77" s="138"/>
      <c r="N77" s="193">
        <f t="array" ref="N77">SUM(N4:O4*N19:O19)/N32</f>
        <v>0.14659103515125937</v>
      </c>
      <c r="O77" s="138"/>
      <c r="P77" s="193">
        <f t="array" ref="P77">SUM(P4:Q4*P19:Q19)/P32</f>
        <v>0.14699890906345925</v>
      </c>
      <c r="Q77" s="138"/>
      <c r="R77" s="193">
        <f t="array" ref="R77">SUM(R4:S4*R19:S19)/R32</f>
        <v>0.14751193970210336</v>
      </c>
      <c r="S77" s="138"/>
      <c r="T77" s="193">
        <f t="array" ref="T77">SUM(T4:U4*T19:U19)/T32</f>
        <v>0.14813485567250986</v>
      </c>
      <c r="U77" s="138"/>
      <c r="V77" s="193">
        <f t="array" ref="V77">SUM(V4:W4*V19:W19)/V32</f>
        <v>0.14886402824526537</v>
      </c>
      <c r="W77" s="138"/>
      <c r="X77" s="193">
        <f t="array" ref="X77">SUM(X4:Y4*X19:Y19)/X32</f>
        <v>0.14967809380217961</v>
      </c>
      <c r="Y77" s="138"/>
      <c r="Z77" s="193">
        <f t="array" ref="Z77">SUM(Z4:AA4*Z19:AA19)/Z32</f>
        <v>0.15051959524123165</v>
      </c>
      <c r="AA77" s="138"/>
      <c r="AB77" s="193">
        <f t="array" ref="AB77">SUM(AB4:AC4*AB19:AC19)/AB32</f>
        <v>0.15125926196471479</v>
      </c>
      <c r="AC77" s="138"/>
      <c r="AD77" s="193">
        <f t="array" ref="AD77">SUM(AD4:AE4*AD19:AE19)/AD32</f>
        <v>0.1516293200680629</v>
      </c>
      <c r="AE77" s="138"/>
      <c r="AF77" s="193">
        <f t="array" ref="AF77">SUM(AF4:AG4*AF19:AG19)/AF32</f>
        <v>0.15111883859236619</v>
      </c>
      <c r="AG77" s="138"/>
      <c r="AH77" s="193">
        <f t="array" ref="AH77">SUM(AH4:AI4*AH19:AI19)/AH32</f>
        <v>0.14890960500215436</v>
      </c>
      <c r="AI77" s="138"/>
      <c r="AJ77" s="193">
        <f t="array" ref="AJ77">SUM(AJ4:AK4*AJ19:AK19)/AJ32</f>
        <v>0.1441984616999829</v>
      </c>
      <c r="AK77" s="138"/>
      <c r="AL77" s="193">
        <f t="array" ref="AL77">SUM(AL4:AM4*AL19:AM19)/AL32</f>
        <v>0.13710170941148864</v>
      </c>
      <c r="AM77" s="138"/>
      <c r="AN77" s="193">
        <f t="array" ref="AN77">SUM(AN4:AO4*AN19:AO19)/AN32</f>
        <v>0.12894307295200702</v>
      </c>
      <c r="AO77" s="138"/>
      <c r="AP77" s="193">
        <f t="array" ref="AP77">SUM(AP4:AQ4*AP19:AQ19)/AP32</f>
        <v>0.12741618977860122</v>
      </c>
      <c r="AQ77" s="138"/>
      <c r="AR77" s="193">
        <f t="array" ref="AR77">SUM(AR4:AS4*AR19:AS19)/AR32</f>
        <v>0.12608942901889544</v>
      </c>
      <c r="AS77" s="138"/>
      <c r="AT77" s="193">
        <f t="array" ref="AT77">SUM(AT4:AU4*AT19:AU19)/AT32</f>
        <v>0.1252378586900863</v>
      </c>
      <c r="AU77" s="138"/>
      <c r="AV77" s="193">
        <f t="array" ref="AV77">SUM(AV4:AW4*AV19:AW19)/AV32</f>
        <v>0.12570732373560936</v>
      </c>
      <c r="XFD77" s="193"/>
    </row>
    <row r="78" spans="1:48 16384:16384" x14ac:dyDescent="0.2">
      <c r="A78" t="s">
        <v>189</v>
      </c>
      <c r="B78" s="193">
        <f t="array" ref="B78">SUM(B13:C13*B26:C26)/B32</f>
        <v>0.346887593115773</v>
      </c>
      <c r="D78" s="193">
        <f t="array" ref="D78">SUM(D13:E13*D26:E26)/D32</f>
        <v>0.347247010012459</v>
      </c>
      <c r="E78" s="138"/>
      <c r="F78" s="193">
        <f t="array" ref="F78">SUM(F13:G13*F26:G26)/F32</f>
        <v>0.34755440113430908</v>
      </c>
      <c r="G78" s="138"/>
      <c r="H78" s="193">
        <f t="array" ref="H78">SUM(H13:I13*H26:I26)/H32</f>
        <v>0.34780281079017805</v>
      </c>
      <c r="I78" s="138"/>
      <c r="J78" s="193">
        <f t="array" ref="J78">SUM(J13:K13*J26:K26)/J32</f>
        <v>0.34798362486292878</v>
      </c>
      <c r="K78" s="138"/>
      <c r="L78" s="193">
        <f t="array" ref="L78">SUM(L13:M13*L26:M26)/L32</f>
        <v>0.34808593857476083</v>
      </c>
      <c r="M78" s="138"/>
      <c r="N78" s="193">
        <f t="array" ref="N78">SUM(N13:O13*N26:O26)/N32</f>
        <v>0.3480955234808476</v>
      </c>
      <c r="O78" s="138"/>
      <c r="P78" s="193">
        <f t="array" ref="P78">SUM(P13:Q13*P26:Q26)/P32</f>
        <v>0.34799332155669555</v>
      </c>
      <c r="Q78" s="138"/>
      <c r="R78" s="193">
        <f t="array" ref="R78">SUM(R13:S13*R26:S26)/R32</f>
        <v>0.34775290459962299</v>
      </c>
      <c r="S78" s="138"/>
      <c r="T78" s="193">
        <f t="array" ref="T78">SUM(T13:U13*T26:U26)/T32</f>
        <v>0.34733637820645802</v>
      </c>
      <c r="U78" s="138"/>
      <c r="V78" s="193">
        <f t="array" ref="V78">SUM(V13:W13*V26:W26)/V32</f>
        <v>0.34668736454869431</v>
      </c>
      <c r="W78" s="138"/>
      <c r="X78" s="193">
        <f t="array" ref="X78">SUM(X13:Y13*X26:Y26)/X32</f>
        <v>0.34571869881018585</v>
      </c>
      <c r="Y78" s="138"/>
      <c r="Z78" s="193">
        <f t="array" ref="Z78">SUM(Z13:AA13*Z26:AA26)/Z32</f>
        <v>0.3442900870480573</v>
      </c>
      <c r="AA78" s="138"/>
      <c r="AB78" s="193">
        <f t="array" ref="AB78">SUM(AB13:AC13*AB26:AC26)/AB32</f>
        <v>0.3421663161114743</v>
      </c>
      <c r="AC78" s="138"/>
      <c r="AD78" s="193">
        <f t="array" ref="AD78">SUM(AD13:AE13*AD26:AE26)/AD32</f>
        <v>0.33893802971765841</v>
      </c>
      <c r="AE78" s="138"/>
      <c r="AF78" s="193">
        <f t="array" ref="AF78">SUM(AF13:AG13*AF26:AG26)/AF32</f>
        <v>0.33387669638677048</v>
      </c>
      <c r="AG78" s="138"/>
      <c r="AH78" s="193">
        <f t="array" ref="AH78">SUM(AH13:AI13*AH26:AI26)/AH32</f>
        <v>0.3257041997247852</v>
      </c>
      <c r="AI78" s="138"/>
      <c r="AJ78" s="193">
        <f t="array" ref="AJ78">SUM(AJ13:AK13*AJ26:AK26)/AJ32</f>
        <v>0.31227235587112351</v>
      </c>
      <c r="AK78" s="138"/>
      <c r="AL78" s="193">
        <f t="array" ref="AL78">SUM(AL13:AM13*AL26:AM26)/AL32</f>
        <v>0.28942637463922227</v>
      </c>
      <c r="AM78" s="138"/>
      <c r="AN78" s="193">
        <f t="array" ref="AN78">SUM(AN13:AO13*AN26:AO26)/AN32</f>
        <v>0.24294649727451012</v>
      </c>
      <c r="AO78" s="138"/>
      <c r="AP78" s="193">
        <f t="array" ref="AP78">SUM(AP13:AQ13*AP26:AQ26)/AP32</f>
        <v>0.2263221805173623</v>
      </c>
      <c r="AQ78" s="138"/>
      <c r="AR78" s="193">
        <f t="array" ref="AR78">SUM(AR13:AS13*AR26:AS26)/AR32</f>
        <v>0.20401740146471894</v>
      </c>
      <c r="AS78" s="138"/>
      <c r="AT78" s="193">
        <f t="array" ref="AT78">SUM(AT13:AU13*AT26:AU26)/AT32</f>
        <v>0.17170075682426422</v>
      </c>
      <c r="AU78" s="138"/>
      <c r="AV78" s="193">
        <f t="array" ref="AV78">SUM(AV13:AW13*AV26:AW26)/AV32</f>
        <v>0.1182493039967288</v>
      </c>
      <c r="XFD78" s="193"/>
    </row>
    <row r="79" spans="1:48 16384:16384" x14ac:dyDescent="0.2">
      <c r="A79" t="s">
        <v>190</v>
      </c>
      <c r="B79" s="193">
        <f t="array" ref="B79">SUM(B15:C15*B27:C27)/B32</f>
        <v>0.45460968782440808</v>
      </c>
      <c r="D79" s="193">
        <f t="array" ref="D79">SUM(D15:E15*D27:E27)/D32</f>
        <v>0.44984570377134653</v>
      </c>
      <c r="F79" s="193">
        <f t="array" ref="F79">SUM(F15:G15*F27:G27)/F32</f>
        <v>0.44504934058357071</v>
      </c>
      <c r="H79" s="193">
        <f t="array" ref="H79">SUM(H15:I15*H27:I27)/H32</f>
        <v>0.44021220726289417</v>
      </c>
      <c r="J79" s="193">
        <f t="array" ref="J79">SUM(J15:K15*J27:K27)/J32</f>
        <v>0.43532440398292804</v>
      </c>
      <c r="L79" s="193">
        <f t="array" ref="L79">SUM(L15:M15*L27:M27)/L32</f>
        <v>0.43037407128600341</v>
      </c>
      <c r="N79" s="193">
        <f t="array" ref="N79">SUM(N15:O15*N27:O27)/N32</f>
        <v>0.4253469662028872</v>
      </c>
      <c r="P79" s="193">
        <f t="array" ref="P79">SUM(P15:Q15*P27:Q27)/P32</f>
        <v>0.42022546654930065</v>
      </c>
      <c r="R79" s="193">
        <f t="array" ref="R79">SUM(R15:S15*R27:S27)/R32</f>
        <v>0.41498742411923895</v>
      </c>
      <c r="T79" s="193">
        <f t="array" ref="T79">SUM(T15:U15*T27:U27)/T32</f>
        <v>0.40960388347853516</v>
      </c>
      <c r="V79" s="193">
        <f t="array" ref="V79">SUM(V15:W15*V27:W27)/V32</f>
        <v>0.4040352592617531</v>
      </c>
      <c r="X79" s="193">
        <f t="array" ref="X79">SUM(X15:Y15*X27:Y27)/X32</f>
        <v>0.39822408602093851</v>
      </c>
      <c r="Z79" s="193">
        <f t="array" ref="Z79">SUM(Z15:AA15*Z27:AA27)/Z32</f>
        <v>0.39208069934661388</v>
      </c>
      <c r="AB79" s="193">
        <f t="array" ref="AB79">SUM(AB15:AC15*AB27:AC27)/AB32</f>
        <v>0.38545340434392072</v>
      </c>
      <c r="AD79" s="193">
        <f t="array" ref="AD79">SUM(AD15:AE15*AD27:AE27)/AD32</f>
        <v>0.3780637691719046</v>
      </c>
      <c r="AF79" s="193">
        <f t="array" ref="AF79">SUM(AF15:AG15*AF27:AG27)/AF32</f>
        <v>0.36936424114140703</v>
      </c>
      <c r="AH79" s="193">
        <f t="array" ref="AH79">SUM(AH15:AI15*AH27:AI27)/AH32</f>
        <v>0.35824089781469454</v>
      </c>
      <c r="AJ79" s="193">
        <f t="array" ref="AJ79">SUM(AJ15:AK15*AJ27:AK27)/AJ32</f>
        <v>0.34244724724571146</v>
      </c>
      <c r="AL79" s="193">
        <f t="array" ref="AL79">SUM(AL15:AM15*AL27:AM27)/AL32</f>
        <v>0.31710934586487954</v>
      </c>
      <c r="AN79" s="193">
        <f t="array" ref="AN79">SUM(AN15:AO15*AN27:AO27)/AN32</f>
        <v>0.26615297215334072</v>
      </c>
      <c r="AP79" s="193">
        <f t="array" ref="AP79">SUM(AP15:AQ15*AP27:AQ27)/AP32</f>
        <v>0.24794018800134462</v>
      </c>
      <c r="AR79" s="193">
        <f t="array" ref="AR79">SUM(AR15:AS15*AR27:AS27)/AR32</f>
        <v>0.22350472198875534</v>
      </c>
      <c r="AT79" s="193">
        <f t="array" ref="AT79">SUM(AT15:AU15*AT27:AU27)/AT32</f>
        <v>0.18810121899920343</v>
      </c>
      <c r="AV79" s="193">
        <f t="array" ref="AV79">SUM(AV15:AW15*AV27:AW27)/AV32</f>
        <v>0.12954420072374587</v>
      </c>
      <c r="XFD79" s="193"/>
    </row>
    <row r="80" spans="1:48 16384:16384" x14ac:dyDescent="0.2">
      <c r="A80" t="s">
        <v>169</v>
      </c>
      <c r="B80" s="236">
        <f>B55</f>
        <v>0.19850271905982084</v>
      </c>
      <c r="D80" s="236">
        <f>D55</f>
        <v>0.20290728542301803</v>
      </c>
      <c r="F80" s="236">
        <f>F55</f>
        <v>0.20739625723687299</v>
      </c>
      <c r="H80" s="236">
        <f>H55</f>
        <v>0.21198498032872973</v>
      </c>
      <c r="J80" s="236">
        <f>J55</f>
        <v>0.21669197883188626</v>
      </c>
      <c r="L80" s="236">
        <f>L55</f>
        <v>0.22153998719831053</v>
      </c>
      <c r="N80" s="236">
        <f>N55</f>
        <v>0.22655751190025591</v>
      </c>
      <c r="P80" s="236">
        <f>P55</f>
        <v>0.23178121499131416</v>
      </c>
      <c r="R80" s="236">
        <f>R55</f>
        <v>0.23725967457014158</v>
      </c>
      <c r="T80" s="236">
        <f>T55</f>
        <v>0.24305974174338754</v>
      </c>
      <c r="V80" s="236">
        <f>V55</f>
        <v>0.24927737916727083</v>
      </c>
      <c r="X80" s="236">
        <f>X55</f>
        <v>0.25605721774234452</v>
      </c>
      <c r="Z80" s="236">
        <f>Z55</f>
        <v>0.26362921352251695</v>
      </c>
      <c r="AB80" s="236">
        <f>AB55</f>
        <v>0.27238027902267442</v>
      </c>
      <c r="AD80" s="236">
        <f>AD55</f>
        <v>0.2829982018243411</v>
      </c>
      <c r="AF80" s="236">
        <f>AF55</f>
        <v>0.29675906222892673</v>
      </c>
      <c r="AH80" s="236">
        <f>AH55</f>
        <v>0.31605490232565542</v>
      </c>
      <c r="AJ80" s="236">
        <f>AJ55</f>
        <v>0.34528039710995262</v>
      </c>
      <c r="AL80" s="236">
        <f>AL55</f>
        <v>0.39346427951704022</v>
      </c>
      <c r="AN80" s="236">
        <f>AN55</f>
        <v>0.49090053058837396</v>
      </c>
      <c r="AP80" s="236">
        <f>AP55</f>
        <v>0.52573763148279617</v>
      </c>
      <c r="AR80" s="236">
        <f>AR55</f>
        <v>0.57247787654623516</v>
      </c>
      <c r="AT80" s="236">
        <f>AT55</f>
        <v>0.64019802419333138</v>
      </c>
      <c r="AV80" s="236">
        <f>AV55</f>
        <v>0.75220649539993367</v>
      </c>
      <c r="XFD80" s="236"/>
    </row>
    <row r="81" spans="1:48 16384:16384" x14ac:dyDescent="0.2">
      <c r="A81" t="s">
        <v>191</v>
      </c>
      <c r="B81" s="236">
        <f>B51/B$32</f>
        <v>-2.7543485504603994E-2</v>
      </c>
      <c r="D81" s="236">
        <f>D51/D$32</f>
        <v>-2.31389191414068E-2</v>
      </c>
      <c r="F81" s="236">
        <f>F51/F$32</f>
        <v>-1.8649947327551864E-2</v>
      </c>
      <c r="H81" s="236">
        <f>H51/H$32</f>
        <v>-1.4061224235695098E-2</v>
      </c>
      <c r="J81" s="236">
        <f>J51/J$32</f>
        <v>-9.3542257325385774E-3</v>
      </c>
      <c r="L81" s="236">
        <f>L51/L$32</f>
        <v>-4.5062173661143132E-3</v>
      </c>
      <c r="N81" s="236">
        <f>N51/N$32</f>
        <v>5.1130733583107737E-4</v>
      </c>
      <c r="P81" s="236">
        <f>P51/P$32</f>
        <v>5.7350104268893108E-3</v>
      </c>
      <c r="R81" s="236">
        <f>R51/R$32</f>
        <v>1.1213470005716727E-2</v>
      </c>
      <c r="T81" s="236">
        <f>T51/T$32</f>
        <v>1.7013537178962691E-2</v>
      </c>
      <c r="V81" s="236">
        <f>V51/V$32</f>
        <v>2.3231174602846016E-2</v>
      </c>
      <c r="X81" s="236">
        <f>X51/X$32</f>
        <v>3.0011013177919682E-2</v>
      </c>
      <c r="Z81" s="236">
        <f>Z51/Z$32</f>
        <v>3.7583008958092093E-2</v>
      </c>
      <c r="AB81" s="236">
        <f>AB51/AB$32</f>
        <v>4.6334074458249594E-2</v>
      </c>
      <c r="AD81" s="236">
        <f>AD51/AD$32</f>
        <v>5.6951997259916259E-2</v>
      </c>
      <c r="AF81" s="236">
        <f>AF51/AF$32</f>
        <v>7.0712857664501874E-2</v>
      </c>
      <c r="AH81" s="236">
        <f>AH51/AH$32</f>
        <v>9.0008697761230563E-2</v>
      </c>
      <c r="AJ81" s="236">
        <f>AJ51/AJ$32</f>
        <v>0.11923419254552779</v>
      </c>
      <c r="AL81" s="236">
        <f>AL51/AL$32</f>
        <v>0.16741807495261538</v>
      </c>
      <c r="AN81" s="236">
        <f>AN51/AN$32</f>
        <v>0.26485432602394915</v>
      </c>
      <c r="AP81" s="236">
        <f>AP51/AP$32</f>
        <v>0.29969142691837131</v>
      </c>
      <c r="AR81" s="236">
        <f>AR51/AR$32</f>
        <v>0.3464316719818103</v>
      </c>
      <c r="AT81" s="236">
        <f>AT51/AT$32</f>
        <v>0.41415181962890657</v>
      </c>
      <c r="AV81" s="236">
        <f>AV51/AV$32</f>
        <v>0.52616029083550875</v>
      </c>
      <c r="XFD81" s="236"/>
    </row>
    <row r="82" spans="1:48 16384:16384" x14ac:dyDescent="0.2">
      <c r="A82" t="s">
        <v>192</v>
      </c>
      <c r="B82" s="236">
        <f>B52/B$32</f>
        <v>0.13907860278212886</v>
      </c>
      <c r="D82" s="236">
        <f>D52/D$32</f>
        <v>0.13922270479326851</v>
      </c>
      <c r="F82" s="236">
        <f>F52/F$32</f>
        <v>0.13934594796651245</v>
      </c>
      <c r="H82" s="236">
        <f>H52/H$32</f>
        <v>0.13944554353735869</v>
      </c>
      <c r="J82" s="236">
        <f>J52/J$32</f>
        <v>0.13951803782398231</v>
      </c>
      <c r="L82" s="236">
        <f>L52/L$32</f>
        <v>0.13955905874363889</v>
      </c>
      <c r="N82" s="236">
        <f>N52/N$32</f>
        <v>0.13956290164656421</v>
      </c>
      <c r="P82" s="236">
        <f>P52/P$32</f>
        <v>0.13952192554625159</v>
      </c>
      <c r="R82" s="236">
        <f>R52/R$32</f>
        <v>0.13942553451025502</v>
      </c>
      <c r="T82" s="236">
        <f>T52/T$32</f>
        <v>0.13925853543063119</v>
      </c>
      <c r="V82" s="236">
        <f>V52/V$32</f>
        <v>0.13899832458856118</v>
      </c>
      <c r="X82" s="236">
        <f>X52/X$32</f>
        <v>0.13860995475306315</v>
      </c>
      <c r="Z82" s="236">
        <f>Z52/Z$32</f>
        <v>0.13803717748533123</v>
      </c>
      <c r="AB82" s="236">
        <f>AB52/AB$32</f>
        <v>0.13718568812580642</v>
      </c>
      <c r="AD82" s="236">
        <f>AD52/AD$32</f>
        <v>0.13589136232706669</v>
      </c>
      <c r="AF82" s="236">
        <f>AF52/AF$32</f>
        <v>0.1338621079465574</v>
      </c>
      <c r="AH82" s="236">
        <f>AH52/AH$32</f>
        <v>0.13058548624100338</v>
      </c>
      <c r="AJ82" s="236">
        <f>AJ52/AJ$32</f>
        <v>0.12520021990969493</v>
      </c>
      <c r="AL82" s="236">
        <f>AL52/AL$32</f>
        <v>0.11604051742399921</v>
      </c>
      <c r="AN82" s="236">
        <f>AN52/AN$32</f>
        <v>9.7405211550688833E-2</v>
      </c>
      <c r="AP82" s="236">
        <f>AP52/AP$32</f>
        <v>9.0739978222438913E-2</v>
      </c>
      <c r="AR82" s="236">
        <f>AR52/AR$32</f>
        <v>8.1797261424348039E-2</v>
      </c>
      <c r="AT82" s="236">
        <f>AT52/AT$32</f>
        <v>6.8840459646485178E-2</v>
      </c>
      <c r="AV82" s="236">
        <f>AV52/AV$32</f>
        <v>4.7410020727767704E-2</v>
      </c>
    </row>
    <row r="83" spans="1:48 16384:16384" x14ac:dyDescent="0.2">
      <c r="A83" t="s">
        <v>193</v>
      </c>
      <c r="B83" s="236">
        <f>B53/B$32</f>
        <v>0.18600714462930004</v>
      </c>
      <c r="D83" s="236">
        <f>D53/D$32</f>
        <v>0.18405792292439049</v>
      </c>
      <c r="F83" s="236">
        <f>F53/F$32</f>
        <v>0.18209545304075733</v>
      </c>
      <c r="H83" s="236">
        <f>H53/H$32</f>
        <v>0.18011630173521406</v>
      </c>
      <c r="J83" s="236">
        <f>J53/J$32</f>
        <v>0.17811641841559731</v>
      </c>
      <c r="L83" s="236">
        <f>L53/L$32</f>
        <v>0.17609095069112665</v>
      </c>
      <c r="N83" s="236">
        <f>N53/N$32</f>
        <v>0.17403407093843856</v>
      </c>
      <c r="P83" s="236">
        <f>P53/P$32</f>
        <v>0.1719385689016418</v>
      </c>
      <c r="R83" s="236">
        <f>R53/R$32</f>
        <v>0.16979538246730602</v>
      </c>
      <c r="T83" s="236">
        <f>T53/T$32</f>
        <v>0.16759266429082956</v>
      </c>
      <c r="V83" s="236">
        <f>V53/V$32</f>
        <v>0.1653142177072687</v>
      </c>
      <c r="X83" s="236">
        <f>X53/X$32</f>
        <v>0.16293653027468669</v>
      </c>
      <c r="Z83" s="236">
        <f>Z53/Z$32</f>
        <v>0.16042291509170761</v>
      </c>
      <c r="AB83" s="236">
        <f>AB53/AB$32</f>
        <v>0.15771130499389743</v>
      </c>
      <c r="AD83" s="236">
        <f>AD53/AD$32</f>
        <v>0.15468777739426154</v>
      </c>
      <c r="AF83" s="236">
        <f>AF53/AF$32</f>
        <v>0.15112829678503964</v>
      </c>
      <c r="AH83" s="236">
        <f>AH53/AH$32</f>
        <v>0.14657709300221938</v>
      </c>
      <c r="AJ83" s="236">
        <f>AJ53/AJ$32</f>
        <v>0.14011499612155601</v>
      </c>
      <c r="AL83" s="236">
        <f>AL53/AL$32</f>
        <v>0.12974779363341252</v>
      </c>
      <c r="AN83" s="236">
        <f>AN53/AN$32</f>
        <v>0.10889859083681963</v>
      </c>
      <c r="AP83" s="236">
        <f>AP53/AP$32</f>
        <v>0.10144668634249425</v>
      </c>
      <c r="AR83" s="236">
        <f>AR53/AR$32</f>
        <v>9.1448722413393815E-2</v>
      </c>
      <c r="AT83" s="236">
        <f>AT53/AT$32</f>
        <v>7.6963099521201964E-2</v>
      </c>
      <c r="AV83" s="236">
        <f>AV53/AV$32</f>
        <v>5.3004032965562213E-2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5.5295082421593568E-2</v>
      </c>
      <c r="E2" s="227"/>
      <c r="F2" s="226">
        <v>0.10960951952066278</v>
      </c>
      <c r="G2" s="227"/>
      <c r="H2" s="226">
        <v>0.16949440886134501</v>
      </c>
      <c r="I2" s="227"/>
      <c r="J2" s="226">
        <v>0.23592794768418004</v>
      </c>
      <c r="K2" s="227"/>
      <c r="L2" s="226">
        <v>0.31016193152228755</v>
      </c>
      <c r="M2" s="227"/>
      <c r="N2" s="226">
        <v>0.39383562106001802</v>
      </c>
      <c r="O2" s="227"/>
      <c r="P2" s="226">
        <v>0.48915404995577366</v>
      </c>
      <c r="Q2" s="227"/>
      <c r="R2" s="226">
        <v>0.59917661271342082</v>
      </c>
      <c r="S2" s="227"/>
      <c r="T2" s="226">
        <v>0.72830869344153737</v>
      </c>
      <c r="U2" s="227"/>
      <c r="V2" s="226">
        <v>0.88317074281243968</v>
      </c>
      <c r="W2" s="227"/>
      <c r="X2" s="226">
        <v>1.0742313498534406</v>
      </c>
      <c r="Y2" s="227"/>
      <c r="Z2" s="226">
        <v>1.3190633995139958</v>
      </c>
      <c r="AA2" s="227"/>
      <c r="AB2" s="226">
        <v>1.6493324679082593</v>
      </c>
      <c r="AC2" s="227"/>
      <c r="AD2" s="226">
        <v>2.1270055370592482</v>
      </c>
      <c r="AE2" s="227"/>
      <c r="AF2" s="226">
        <v>2.8849376603441557</v>
      </c>
      <c r="AG2" s="227"/>
      <c r="AH2" s="226">
        <v>4.2353096993855202</v>
      </c>
      <c r="AI2" s="227"/>
      <c r="AJ2" s="226">
        <v>6.9874816651534468</v>
      </c>
      <c r="AK2" s="227"/>
      <c r="AL2" s="226">
        <v>13.68603121652478</v>
      </c>
      <c r="AM2" s="227"/>
      <c r="AN2" s="226">
        <v>37.007124483444983</v>
      </c>
      <c r="AO2" s="227"/>
      <c r="AP2" s="226">
        <v>48.750718007761982</v>
      </c>
      <c r="AQ2" s="227"/>
      <c r="AR2" s="226">
        <v>67.274689425411381</v>
      </c>
      <c r="AS2" s="227"/>
      <c r="AT2" s="226">
        <v>99.291454084221201</v>
      </c>
      <c r="AU2" s="227"/>
      <c r="AV2" s="226">
        <v>162.94281696416638</v>
      </c>
      <c r="AW2" s="227"/>
    </row>
    <row r="3" spans="1:49" x14ac:dyDescent="0.2">
      <c r="A3" t="s">
        <v>12</v>
      </c>
      <c r="B3" s="84">
        <v>1000</v>
      </c>
      <c r="C3" s="85">
        <v>1000</v>
      </c>
      <c r="D3" s="84">
        <v>998.56743899574371</v>
      </c>
      <c r="E3" s="85">
        <v>1021.7666453978574</v>
      </c>
      <c r="F3" s="84">
        <v>997.08680583223577</v>
      </c>
      <c r="G3" s="85">
        <v>1046.2030825227864</v>
      </c>
      <c r="H3" s="84">
        <v>995.5504420432618</v>
      </c>
      <c r="I3" s="85">
        <v>1073.7866191188448</v>
      </c>
      <c r="J3" s="84">
        <v>993.9495459350901</v>
      </c>
      <c r="K3" s="85">
        <v>1105.1163481157505</v>
      </c>
      <c r="L3" s="84">
        <v>992.27422608930817</v>
      </c>
      <c r="M3" s="85">
        <v>1140.9560209140475</v>
      </c>
      <c r="N3" s="84">
        <v>990.51377297492149</v>
      </c>
      <c r="O3" s="85">
        <v>1182.2979395815091</v>
      </c>
      <c r="P3" s="84">
        <v>988.65733392394145</v>
      </c>
      <c r="Q3" s="85">
        <v>1230.459608878414</v>
      </c>
      <c r="R3" s="84">
        <v>986.69535290996839</v>
      </c>
      <c r="S3" s="85">
        <v>1287.2368486620696</v>
      </c>
      <c r="T3" s="84">
        <v>984.62243985045177</v>
      </c>
      <c r="U3" s="85">
        <v>1355.1564551708123</v>
      </c>
      <c r="V3" s="84">
        <v>982.44292009981928</v>
      </c>
      <c r="W3" s="85">
        <v>1437.9111633389555</v>
      </c>
      <c r="X3" s="84">
        <v>980.18151960425689</v>
      </c>
      <c r="Y3" s="85">
        <v>1541.1531010701997</v>
      </c>
      <c r="Z3" s="84">
        <v>977.90390589873891</v>
      </c>
      <c r="AA3" s="85">
        <v>1674.0300407368557</v>
      </c>
      <c r="AB3" s="84">
        <v>975.75602385927459</v>
      </c>
      <c r="AC3" s="85">
        <v>1852.3776356130245</v>
      </c>
      <c r="AD3" s="84">
        <v>974.03571417280352</v>
      </c>
      <c r="AE3" s="85">
        <v>2105.8711655834391</v>
      </c>
      <c r="AF3" s="84">
        <v>973.29750487023671</v>
      </c>
      <c r="AG3" s="85">
        <v>2495.2901154952624</v>
      </c>
      <c r="AH3" s="84">
        <v>974.37829589086448</v>
      </c>
      <c r="AI3" s="85">
        <v>3157.1840634857772</v>
      </c>
      <c r="AJ3" s="84">
        <v>977.93367290211552</v>
      </c>
      <c r="AK3" s="85">
        <v>4433.3978392043</v>
      </c>
      <c r="AL3" s="84">
        <v>983.38886769574185</v>
      </c>
      <c r="AM3" s="85">
        <v>7381.8648273798617</v>
      </c>
      <c r="AN3" s="84">
        <v>988.59409541257924</v>
      </c>
      <c r="AO3" s="85">
        <v>17235.990616907955</v>
      </c>
      <c r="AP3" s="84">
        <v>989.26959510348013</v>
      </c>
      <c r="AQ3" s="85">
        <v>22124.002199785446</v>
      </c>
      <c r="AR3" s="84">
        <v>989.66952063311032</v>
      </c>
      <c r="AS3" s="85">
        <v>29794.078733402304</v>
      </c>
      <c r="AT3" s="84">
        <v>989.63940762265429</v>
      </c>
      <c r="AU3" s="85">
        <v>42989.369834359291</v>
      </c>
      <c r="AV3" s="84">
        <v>988.87869428254999</v>
      </c>
      <c r="AW3" s="85">
        <v>69120.333711265092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998.49637094190302</v>
      </c>
      <c r="E5" s="42">
        <v>1018.9122512653078</v>
      </c>
      <c r="F5" s="41">
        <v>996.94133078265475</v>
      </c>
      <c r="G5" s="42">
        <v>1039.6712138803723</v>
      </c>
      <c r="H5" s="41">
        <v>995.32672902683089</v>
      </c>
      <c r="I5" s="42">
        <v>1062.5089530999287</v>
      </c>
      <c r="J5" s="41">
        <v>993.64318663553809</v>
      </c>
      <c r="K5" s="42">
        <v>1087.6920779047005</v>
      </c>
      <c r="L5" s="41">
        <v>991.88014564048535</v>
      </c>
      <c r="M5" s="42">
        <v>1115.5263812407368</v>
      </c>
      <c r="N5" s="41">
        <v>990.02614763476481</v>
      </c>
      <c r="O5" s="42">
        <v>1146.3621976421389</v>
      </c>
      <c r="P5" s="41">
        <v>988.06953782295545</v>
      </c>
      <c r="Q5" s="42">
        <v>1180.5975675780867</v>
      </c>
      <c r="R5" s="41">
        <v>985.99997850394732</v>
      </c>
      <c r="S5" s="42">
        <v>1218.6806851866777</v>
      </c>
      <c r="T5" s="41">
        <v>983.81147975998613</v>
      </c>
      <c r="U5" s="42">
        <v>1261.1038909296556</v>
      </c>
      <c r="V5" s="41">
        <v>981.50828198836109</v>
      </c>
      <c r="W5" s="42">
        <v>1308.3844130555522</v>
      </c>
      <c r="X5" s="41">
        <v>979.11621235572886</v>
      </c>
      <c r="Y5" s="42">
        <v>1361.0097399627323</v>
      </c>
      <c r="Z5" s="41">
        <v>976.70456033186179</v>
      </c>
      <c r="AA5" s="42">
        <v>1419.3078125487837</v>
      </c>
      <c r="AB5" s="41">
        <v>974.42802099089715</v>
      </c>
      <c r="AC5" s="42">
        <v>1483.1418056476614</v>
      </c>
      <c r="AD5" s="41">
        <v>972.60307638429356</v>
      </c>
      <c r="AE5" s="42">
        <v>1551.2292456807713</v>
      </c>
      <c r="AF5" s="41">
        <v>971.81953103870899</v>
      </c>
      <c r="AG5" s="42">
        <v>1619.792611611289</v>
      </c>
      <c r="AH5" s="41">
        <v>972.96660822305671</v>
      </c>
      <c r="AI5" s="42">
        <v>1680.8754453422457</v>
      </c>
      <c r="AJ5" s="41">
        <v>976.7360949522681</v>
      </c>
      <c r="AK5" s="42">
        <v>1723.8138164302475</v>
      </c>
      <c r="AL5" s="41">
        <v>982.50817934031511</v>
      </c>
      <c r="AM5" s="42">
        <v>1744.2493987340049</v>
      </c>
      <c r="AN5" s="41">
        <v>988.00285937562512</v>
      </c>
      <c r="AO5" s="42">
        <v>1749.6093115445494</v>
      </c>
      <c r="AP5" s="41">
        <v>988.7150093835578</v>
      </c>
      <c r="AQ5" s="42">
        <v>1749.8517094070116</v>
      </c>
      <c r="AR5" s="41">
        <v>989.1365353737815</v>
      </c>
      <c r="AS5" s="42">
        <v>1749.9801619004336</v>
      </c>
      <c r="AT5" s="41">
        <v>989.10479846139231</v>
      </c>
      <c r="AU5" s="42">
        <v>1750.0395873576074</v>
      </c>
      <c r="AV5" s="41">
        <v>988.30292502067834</v>
      </c>
      <c r="AW5" s="42">
        <v>1750.0621092198844</v>
      </c>
    </row>
    <row r="6" spans="1:49" x14ac:dyDescent="0.2">
      <c r="A6" t="s">
        <v>77</v>
      </c>
      <c r="B6" s="41">
        <v>999.99999999999943</v>
      </c>
      <c r="C6" s="42">
        <v>999.99999999999909</v>
      </c>
      <c r="D6" s="41">
        <v>998.38154448192449</v>
      </c>
      <c r="E6" s="42">
        <v>1023.4563049343369</v>
      </c>
      <c r="F6" s="41">
        <v>996.70814329879909</v>
      </c>
      <c r="G6" s="42">
        <v>1049.7018007027159</v>
      </c>
      <c r="H6" s="41">
        <v>994.97106811914</v>
      </c>
      <c r="I6" s="42">
        <v>1079.2266943364982</v>
      </c>
      <c r="J6" s="41">
        <v>993.16027962352473</v>
      </c>
      <c r="K6" s="42">
        <v>1112.6457757663288</v>
      </c>
      <c r="L6" s="41">
        <v>991.26448342615572</v>
      </c>
      <c r="M6" s="42">
        <v>1150.7423295811509</v>
      </c>
      <c r="N6" s="41">
        <v>989.27143240033809</v>
      </c>
      <c r="O6" s="42">
        <v>1194.533630054764</v>
      </c>
      <c r="P6" s="41">
        <v>987.16868603722594</v>
      </c>
      <c r="Q6" s="42">
        <v>1245.3700263066326</v>
      </c>
      <c r="R6" s="41">
        <v>984.9452383101243</v>
      </c>
      <c r="S6" s="42">
        <v>1305.0919685112692</v>
      </c>
      <c r="T6" s="41">
        <v>982.59477190544885</v>
      </c>
      <c r="U6" s="42">
        <v>1376.2891725151862</v>
      </c>
      <c r="V6" s="41">
        <v>980.1219664278949</v>
      </c>
      <c r="W6" s="42">
        <v>1462.7467463037024</v>
      </c>
      <c r="X6" s="41">
        <v>977.55466544883097</v>
      </c>
      <c r="Y6" s="42">
        <v>1570.2589550323898</v>
      </c>
      <c r="Z6" s="41">
        <v>974.96729691436963</v>
      </c>
      <c r="AA6" s="42">
        <v>1708.2045066245498</v>
      </c>
      <c r="AB6" s="41">
        <v>972.52575971996839</v>
      </c>
      <c r="AC6" s="42">
        <v>1892.8192947721186</v>
      </c>
      <c r="AD6" s="41">
        <v>970.56916044607044</v>
      </c>
      <c r="AE6" s="42">
        <v>2154.5273537071612</v>
      </c>
      <c r="AF6" s="41">
        <v>969.72925603460806</v>
      </c>
      <c r="AG6" s="42">
        <v>2555.6372419042627</v>
      </c>
      <c r="AH6" s="41">
        <v>970.95887462384485</v>
      </c>
      <c r="AI6" s="42">
        <v>3236.1336541560181</v>
      </c>
      <c r="AJ6" s="41">
        <v>975.00112305124981</v>
      </c>
      <c r="AK6" s="42">
        <v>4546.5278676967846</v>
      </c>
      <c r="AL6" s="41">
        <v>981.19538943743225</v>
      </c>
      <c r="AM6" s="42">
        <v>7571.9033367434413</v>
      </c>
      <c r="AN6" s="41">
        <v>987.09703852892676</v>
      </c>
      <c r="AO6" s="42">
        <v>17680.707005472403</v>
      </c>
      <c r="AP6" s="41">
        <v>987.86229747959089</v>
      </c>
      <c r="AQ6" s="42">
        <v>22694.894493080377</v>
      </c>
      <c r="AR6" s="41">
        <v>988.31529822708058</v>
      </c>
      <c r="AS6" s="42">
        <v>30562.93213984483</v>
      </c>
      <c r="AT6" s="41">
        <v>988.28119054770536</v>
      </c>
      <c r="AU6" s="42">
        <v>44098.762632367849</v>
      </c>
      <c r="AV6" s="41">
        <v>987.41947156498236</v>
      </c>
      <c r="AW6" s="42">
        <v>70904.084331656952</v>
      </c>
    </row>
    <row r="7" spans="1:49" x14ac:dyDescent="0.2">
      <c r="A7" t="s">
        <v>13</v>
      </c>
      <c r="B7" s="33">
        <v>1015.9116825427475</v>
      </c>
      <c r="C7" s="34">
        <v>1015.9116825427475</v>
      </c>
      <c r="D7" s="33">
        <v>1014.384128216416</v>
      </c>
      <c r="E7" s="34">
        <v>1014.384128216416</v>
      </c>
      <c r="F7" s="33">
        <v>1012.8043447518126</v>
      </c>
      <c r="G7" s="34">
        <v>1012.8043447518126</v>
      </c>
      <c r="H7" s="33">
        <v>1011.164051965417</v>
      </c>
      <c r="I7" s="34">
        <v>1011.164051965417</v>
      </c>
      <c r="J7" s="33">
        <v>1009.4537215820467</v>
      </c>
      <c r="K7" s="34">
        <v>1009.4537215820467</v>
      </c>
      <c r="L7" s="33">
        <v>1007.6626276383709</v>
      </c>
      <c r="M7" s="34">
        <v>1007.6626276383709</v>
      </c>
      <c r="N7" s="33">
        <v>1005.7791294049484</v>
      </c>
      <c r="O7" s="34">
        <v>1005.7791294049484</v>
      </c>
      <c r="P7" s="33">
        <v>1003.7913866389536</v>
      </c>
      <c r="Q7" s="34">
        <v>1003.7913866389536</v>
      </c>
      <c r="R7" s="33">
        <v>1001.6888971490579</v>
      </c>
      <c r="S7" s="34">
        <v>1001.6888971490579</v>
      </c>
      <c r="T7" s="33">
        <v>999.46557570783762</v>
      </c>
      <c r="U7" s="34">
        <v>999.46557570783762</v>
      </c>
      <c r="V7" s="33">
        <v>997.12573018443732</v>
      </c>
      <c r="W7" s="34">
        <v>997.12573018443732</v>
      </c>
      <c r="X7" s="33">
        <v>994.69559869919055</v>
      </c>
      <c r="Y7" s="34">
        <v>994.69559869919055</v>
      </c>
      <c r="Z7" s="33">
        <v>992.24557323391605</v>
      </c>
      <c r="AA7" s="34">
        <v>992.24557323391605</v>
      </c>
      <c r="AB7" s="33">
        <v>989.93281032166192</v>
      </c>
      <c r="AC7" s="34">
        <v>989.93281032166192</v>
      </c>
      <c r="AD7" s="33">
        <v>988.07882777581995</v>
      </c>
      <c r="AE7" s="34">
        <v>988.07882777581995</v>
      </c>
      <c r="AF7" s="33">
        <v>987.28281490543861</v>
      </c>
      <c r="AG7" s="34">
        <v>987.28281490543861</v>
      </c>
      <c r="AH7" s="33">
        <v>988.4481440177957</v>
      </c>
      <c r="AI7" s="34">
        <v>988.4481440177957</v>
      </c>
      <c r="AJ7" s="33">
        <v>992.27760962319144</v>
      </c>
      <c r="AK7" s="34">
        <v>992.27760962319144</v>
      </c>
      <c r="AL7" s="33">
        <v>998.141537585631</v>
      </c>
      <c r="AM7" s="34">
        <v>998.141537585631</v>
      </c>
      <c r="AN7" s="33">
        <v>1003.7236472253368</v>
      </c>
      <c r="AO7" s="34">
        <v>1003.7236472253368</v>
      </c>
      <c r="AP7" s="33">
        <v>1004.4471287381185</v>
      </c>
      <c r="AQ7" s="34">
        <v>1004.4471287381185</v>
      </c>
      <c r="AR7" s="33">
        <v>1004.8753619160822</v>
      </c>
      <c r="AS7" s="34">
        <v>1004.8753619160822</v>
      </c>
      <c r="AT7" s="33">
        <v>1004.8431200160181</v>
      </c>
      <c r="AU7" s="34">
        <v>1004.8431200160181</v>
      </c>
      <c r="AV7" s="33">
        <v>1004.0284874196761</v>
      </c>
      <c r="AW7" s="34">
        <v>1004.0284874196761</v>
      </c>
    </row>
    <row r="8" spans="1:49" x14ac:dyDescent="0.2">
      <c r="B8" s="35">
        <v>1005.7716594496609</v>
      </c>
      <c r="C8" s="36">
        <v>1005.7716594496609</v>
      </c>
      <c r="D8" s="35">
        <v>1075.2530881793946</v>
      </c>
      <c r="E8" s="36">
        <v>1075.2530881793946</v>
      </c>
      <c r="F8" s="35">
        <v>1153.6290760932641</v>
      </c>
      <c r="G8" s="36">
        <v>1153.6290760932641</v>
      </c>
      <c r="H8" s="35">
        <v>1242.5982800154877</v>
      </c>
      <c r="I8" s="36">
        <v>1242.5982800154877</v>
      </c>
      <c r="J8" s="35">
        <v>1344.3090375570978</v>
      </c>
      <c r="K8" s="36">
        <v>1344.3090375570978</v>
      </c>
      <c r="L8" s="35">
        <v>1461.5201983104316</v>
      </c>
      <c r="M8" s="36">
        <v>1461.5201983104316</v>
      </c>
      <c r="N8" s="35">
        <v>1597.8404657102578</v>
      </c>
      <c r="O8" s="36">
        <v>1597.8404657102578</v>
      </c>
      <c r="P8" s="35">
        <v>1758.0916491268429</v>
      </c>
      <c r="Q8" s="36">
        <v>1758.0916491268429</v>
      </c>
      <c r="R8" s="35">
        <v>1948.8856501161019</v>
      </c>
      <c r="S8" s="36">
        <v>1948.8856501161019</v>
      </c>
      <c r="T8" s="35">
        <v>2179.5768180266718</v>
      </c>
      <c r="U8" s="36">
        <v>2179.5768180266718</v>
      </c>
      <c r="V8" s="35">
        <v>2463.9112470180421</v>
      </c>
      <c r="W8" s="36">
        <v>2463.9112470180421</v>
      </c>
      <c r="X8" s="35">
        <v>2823.0490700865785</v>
      </c>
      <c r="Y8" s="36">
        <v>2823.0490700865785</v>
      </c>
      <c r="Z8" s="35">
        <v>3291.4648007261558</v>
      </c>
      <c r="AA8" s="36">
        <v>3291.4648007261558</v>
      </c>
      <c r="AB8" s="35">
        <v>3929.3357402144302</v>
      </c>
      <c r="AC8" s="36">
        <v>3929.3357402144302</v>
      </c>
      <c r="AD8" s="35">
        <v>4850.702440492013</v>
      </c>
      <c r="AE8" s="36">
        <v>4850.702440492013</v>
      </c>
      <c r="AF8" s="35">
        <v>6292.7933187959106</v>
      </c>
      <c r="AG8" s="36">
        <v>6292.7933187959106</v>
      </c>
      <c r="AH8" s="35">
        <v>8799.9035224592153</v>
      </c>
      <c r="AI8" s="36">
        <v>8799.9035224592153</v>
      </c>
      <c r="AJ8" s="35">
        <v>13768.931252874791</v>
      </c>
      <c r="AK8" s="36">
        <v>13768.931252874791</v>
      </c>
      <c r="AL8" s="35">
        <v>25616.101119212173</v>
      </c>
      <c r="AM8" s="36">
        <v>25616.101119212173</v>
      </c>
      <c r="AN8" s="35">
        <v>66497.618901268172</v>
      </c>
      <c r="AO8" s="36">
        <v>66497.618901268172</v>
      </c>
      <c r="AP8" s="35">
        <v>87056.378950108498</v>
      </c>
      <c r="AQ8" s="36">
        <v>87056.378950108498</v>
      </c>
      <c r="AR8" s="35">
        <v>119479.35205438323</v>
      </c>
      <c r="AS8" s="36">
        <v>119479.35205438323</v>
      </c>
      <c r="AT8" s="35">
        <v>175514.0149210449</v>
      </c>
      <c r="AU8" s="36">
        <v>175514.0149210449</v>
      </c>
      <c r="AV8" s="35">
        <v>286910.11204775848</v>
      </c>
      <c r="AW8" s="36">
        <v>286910.11204775848</v>
      </c>
    </row>
    <row r="9" spans="1:49" x14ac:dyDescent="0.2">
      <c r="A9" t="s">
        <v>14</v>
      </c>
      <c r="B9" s="41">
        <v>1015.9116825427475</v>
      </c>
      <c r="C9" s="42">
        <v>1005.7716594496609</v>
      </c>
      <c r="D9" s="41">
        <v>1014.384128216416</v>
      </c>
      <c r="E9" s="42">
        <v>1075.2530881793946</v>
      </c>
      <c r="F9" s="41">
        <v>1012.8043447518126</v>
      </c>
      <c r="G9" s="42">
        <v>1153.6290760932641</v>
      </c>
      <c r="H9" s="41">
        <v>1011.164051965417</v>
      </c>
      <c r="I9" s="42">
        <v>1242.5982800154877</v>
      </c>
      <c r="J9" s="41">
        <v>1009.4537215820467</v>
      </c>
      <c r="K9" s="42">
        <v>1344.3090375570978</v>
      </c>
      <c r="L9" s="41">
        <v>1007.6626276383709</v>
      </c>
      <c r="M9" s="42">
        <v>1461.5201983104316</v>
      </c>
      <c r="N9" s="41">
        <v>1005.7791294049484</v>
      </c>
      <c r="O9" s="42">
        <v>1597.8404657102578</v>
      </c>
      <c r="P9" s="41">
        <v>1003.7913866389536</v>
      </c>
      <c r="Q9" s="42">
        <v>1758.0916491268429</v>
      </c>
      <c r="R9" s="41">
        <v>1001.6888971490579</v>
      </c>
      <c r="S9" s="42">
        <v>1948.8856501161019</v>
      </c>
      <c r="T9" s="41">
        <v>999.46557570783762</v>
      </c>
      <c r="U9" s="42">
        <v>2179.5768180266718</v>
      </c>
      <c r="V9" s="41">
        <v>997.12573018443732</v>
      </c>
      <c r="W9" s="42">
        <v>2463.9112470180421</v>
      </c>
      <c r="X9" s="41">
        <v>994.69559869919055</v>
      </c>
      <c r="Y9" s="42">
        <v>2823.0490700865785</v>
      </c>
      <c r="Z9" s="41">
        <v>992.24557323391605</v>
      </c>
      <c r="AA9" s="42">
        <v>3291.4648007261558</v>
      </c>
      <c r="AB9" s="41">
        <v>989.93281032166192</v>
      </c>
      <c r="AC9" s="42">
        <v>3929.3357402144302</v>
      </c>
      <c r="AD9" s="41">
        <v>988.07882777581995</v>
      </c>
      <c r="AE9" s="42">
        <v>4850.702440492013</v>
      </c>
      <c r="AF9" s="41">
        <v>987.28281490543861</v>
      </c>
      <c r="AG9" s="42">
        <v>6292.7933187959106</v>
      </c>
      <c r="AH9" s="41">
        <v>988.4481440177957</v>
      </c>
      <c r="AI9" s="42">
        <v>8799.9035224592153</v>
      </c>
      <c r="AJ9" s="41">
        <v>992.27760962319144</v>
      </c>
      <c r="AK9" s="42">
        <v>13768.931252874791</v>
      </c>
      <c r="AL9" s="41">
        <v>998.141537585631</v>
      </c>
      <c r="AM9" s="42">
        <v>25616.101119212173</v>
      </c>
      <c r="AN9" s="41">
        <v>1003.7236472253368</v>
      </c>
      <c r="AO9" s="42">
        <v>66497.618901268172</v>
      </c>
      <c r="AP9" s="41">
        <v>1004.4471287381185</v>
      </c>
      <c r="AQ9" s="42">
        <v>87056.378950108498</v>
      </c>
      <c r="AR9" s="41">
        <v>1004.8753619160822</v>
      </c>
      <c r="AS9" s="42">
        <v>119479.35205438323</v>
      </c>
      <c r="AT9" s="41">
        <v>1004.8431200160181</v>
      </c>
      <c r="AU9" s="42">
        <v>175514.0149210449</v>
      </c>
      <c r="AV9" s="41">
        <v>1004.0284874196761</v>
      </c>
      <c r="AW9" s="42">
        <v>286910.11204775848</v>
      </c>
    </row>
    <row r="10" spans="1:49" x14ac:dyDescent="0.2">
      <c r="A10" t="s">
        <v>15</v>
      </c>
      <c r="B10" s="41">
        <v>1015.9116825427475</v>
      </c>
      <c r="C10" s="42">
        <v>1005.7716594496609</v>
      </c>
      <c r="D10" s="41">
        <v>1014.384128216416</v>
      </c>
      <c r="E10" s="42">
        <v>1075.2530881793946</v>
      </c>
      <c r="F10" s="41">
        <v>1012.8043447518126</v>
      </c>
      <c r="G10" s="42">
        <v>1153.6290760932641</v>
      </c>
      <c r="H10" s="41">
        <v>1011.164051965417</v>
      </c>
      <c r="I10" s="42">
        <v>1242.5982800154877</v>
      </c>
      <c r="J10" s="41">
        <v>1009.4537215820467</v>
      </c>
      <c r="K10" s="42">
        <v>1344.3090375570978</v>
      </c>
      <c r="L10" s="41">
        <v>1007.6626276383709</v>
      </c>
      <c r="M10" s="42">
        <v>1461.5201983104316</v>
      </c>
      <c r="N10" s="41">
        <v>1005.7791294049484</v>
      </c>
      <c r="O10" s="42">
        <v>1597.8404657102578</v>
      </c>
      <c r="P10" s="41">
        <v>1003.7913866389536</v>
      </c>
      <c r="Q10" s="42">
        <v>1758.0916491268429</v>
      </c>
      <c r="R10" s="41">
        <v>1001.6888971490579</v>
      </c>
      <c r="S10" s="42">
        <v>1948.8856501161019</v>
      </c>
      <c r="T10" s="41">
        <v>999.46557570783762</v>
      </c>
      <c r="U10" s="42">
        <v>2179.5768180266718</v>
      </c>
      <c r="V10" s="41">
        <v>997.12573018443732</v>
      </c>
      <c r="W10" s="42">
        <v>2463.9112470180421</v>
      </c>
      <c r="X10" s="41">
        <v>994.69559869919055</v>
      </c>
      <c r="Y10" s="42">
        <v>2823.0490700865785</v>
      </c>
      <c r="Z10" s="41">
        <v>992.24557323391605</v>
      </c>
      <c r="AA10" s="42">
        <v>3291.4648007261558</v>
      </c>
      <c r="AB10" s="41">
        <v>989.93281032166192</v>
      </c>
      <c r="AC10" s="42">
        <v>3929.3357402144302</v>
      </c>
      <c r="AD10" s="41">
        <v>988.07882777581995</v>
      </c>
      <c r="AE10" s="42">
        <v>4850.702440492013</v>
      </c>
      <c r="AF10" s="41">
        <v>987.28281490543861</v>
      </c>
      <c r="AG10" s="42">
        <v>6292.7933187959106</v>
      </c>
      <c r="AH10" s="41">
        <v>988.4481440177957</v>
      </c>
      <c r="AI10" s="42">
        <v>8799.9035224592153</v>
      </c>
      <c r="AJ10" s="41">
        <v>992.27760962319144</v>
      </c>
      <c r="AK10" s="42">
        <v>13768.931252874791</v>
      </c>
      <c r="AL10" s="41">
        <v>998.141537585631</v>
      </c>
      <c r="AM10" s="42">
        <v>25616.101119212173</v>
      </c>
      <c r="AN10" s="41">
        <v>1003.7236472253368</v>
      </c>
      <c r="AO10" s="42">
        <v>66497.618901268172</v>
      </c>
      <c r="AP10" s="41">
        <v>1004.4471287381185</v>
      </c>
      <c r="AQ10" s="42">
        <v>87056.378950108498</v>
      </c>
      <c r="AR10" s="41">
        <v>1004.8753619160822</v>
      </c>
      <c r="AS10" s="42">
        <v>119479.35205438323</v>
      </c>
      <c r="AT10" s="41">
        <v>1004.8431200160181</v>
      </c>
      <c r="AU10" s="42">
        <v>175514.0149210449</v>
      </c>
      <c r="AV10" s="41">
        <v>1004.0284874196761</v>
      </c>
      <c r="AW10" s="42">
        <v>286910.11204775848</v>
      </c>
    </row>
    <row r="11" spans="1:49" x14ac:dyDescent="0.2">
      <c r="A11" t="s">
        <v>29</v>
      </c>
      <c r="B11" s="41">
        <v>1015.9116825427475</v>
      </c>
      <c r="C11" s="42">
        <v>1005.7716594496609</v>
      </c>
      <c r="D11" s="41">
        <v>1014.384128216416</v>
      </c>
      <c r="E11" s="42">
        <v>1075.2530881793946</v>
      </c>
      <c r="F11" s="41">
        <v>1012.8043447518126</v>
      </c>
      <c r="G11" s="42">
        <v>1153.6290760932641</v>
      </c>
      <c r="H11" s="41">
        <v>1011.164051965417</v>
      </c>
      <c r="I11" s="42">
        <v>1242.5982800154877</v>
      </c>
      <c r="J11" s="41">
        <v>1009.4537215820467</v>
      </c>
      <c r="K11" s="42">
        <v>1344.3090375570978</v>
      </c>
      <c r="L11" s="41">
        <v>1007.6626276383709</v>
      </c>
      <c r="M11" s="42">
        <v>1461.5201983104316</v>
      </c>
      <c r="N11" s="41">
        <v>1005.7791294049484</v>
      </c>
      <c r="O11" s="42">
        <v>1597.8404657102578</v>
      </c>
      <c r="P11" s="41">
        <v>1003.7913866389536</v>
      </c>
      <c r="Q11" s="42">
        <v>1758.0916491268429</v>
      </c>
      <c r="R11" s="41">
        <v>1001.6888971490579</v>
      </c>
      <c r="S11" s="42">
        <v>1948.8856501161019</v>
      </c>
      <c r="T11" s="41">
        <v>999.46557570783762</v>
      </c>
      <c r="U11" s="42">
        <v>2179.5768180266718</v>
      </c>
      <c r="V11" s="41">
        <v>997.12573018443732</v>
      </c>
      <c r="W11" s="42">
        <v>2463.9112470180421</v>
      </c>
      <c r="X11" s="41">
        <v>994.69559869919055</v>
      </c>
      <c r="Y11" s="42">
        <v>2823.0490700865785</v>
      </c>
      <c r="Z11" s="41">
        <v>992.24557323391605</v>
      </c>
      <c r="AA11" s="42">
        <v>3291.4648007261558</v>
      </c>
      <c r="AB11" s="41">
        <v>989.93281032166192</v>
      </c>
      <c r="AC11" s="42">
        <v>3929.3357402144302</v>
      </c>
      <c r="AD11" s="41">
        <v>988.07882777581995</v>
      </c>
      <c r="AE11" s="42">
        <v>4850.702440492013</v>
      </c>
      <c r="AF11" s="41">
        <v>987.28281490543861</v>
      </c>
      <c r="AG11" s="42">
        <v>6292.7933187959106</v>
      </c>
      <c r="AH11" s="41">
        <v>988.4481440177957</v>
      </c>
      <c r="AI11" s="42">
        <v>8799.9035224592153</v>
      </c>
      <c r="AJ11" s="41">
        <v>992.27760962319144</v>
      </c>
      <c r="AK11" s="42">
        <v>13768.931252874791</v>
      </c>
      <c r="AL11" s="41">
        <v>998.141537585631</v>
      </c>
      <c r="AM11" s="42">
        <v>25616.101119212173</v>
      </c>
      <c r="AN11" s="41">
        <v>1003.7236472253368</v>
      </c>
      <c r="AO11" s="42">
        <v>66497.618901268172</v>
      </c>
      <c r="AP11" s="41">
        <v>1004.4471287381185</v>
      </c>
      <c r="AQ11" s="42">
        <v>87056.378950108498</v>
      </c>
      <c r="AR11" s="41">
        <v>1004.8753619160822</v>
      </c>
      <c r="AS11" s="42">
        <v>119479.35205438323</v>
      </c>
      <c r="AT11" s="41">
        <v>1004.8431200160181</v>
      </c>
      <c r="AU11" s="42">
        <v>175514.0149210449</v>
      </c>
      <c r="AV11" s="41">
        <v>1004.0284874196761</v>
      </c>
      <c r="AW11" s="42">
        <v>286910.11204775848</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1001.0479037738448</v>
      </c>
      <c r="E13" s="98">
        <v>1001.0479037738448</v>
      </c>
      <c r="F13" s="97">
        <v>1001.7598105286389</v>
      </c>
      <c r="G13" s="98">
        <v>1001.7598105286389</v>
      </c>
      <c r="H13" s="97">
        <v>1002.0870414906419</v>
      </c>
      <c r="I13" s="98">
        <v>1002.0870414906419</v>
      </c>
      <c r="J13" s="97">
        <v>1001.9703723510836</v>
      </c>
      <c r="K13" s="98">
        <v>1001.9703723510836</v>
      </c>
      <c r="L13" s="97">
        <v>1001.336959249526</v>
      </c>
      <c r="M13" s="98">
        <v>1001.336959249526</v>
      </c>
      <c r="N13" s="97">
        <v>1000.0956608697704</v>
      </c>
      <c r="O13" s="98">
        <v>1000.0956608697704</v>
      </c>
      <c r="P13" s="97">
        <v>998.1308913628543</v>
      </c>
      <c r="Q13" s="98">
        <v>998.1308913628543</v>
      </c>
      <c r="R13" s="97">
        <v>995.29279627645462</v>
      </c>
      <c r="S13" s="98">
        <v>995.29279627645462</v>
      </c>
      <c r="T13" s="97">
        <v>991.38276039334369</v>
      </c>
      <c r="U13" s="98">
        <v>991.38276039334369</v>
      </c>
      <c r="V13" s="97">
        <v>986.12985223909936</v>
      </c>
      <c r="W13" s="98">
        <v>986.12985223909936</v>
      </c>
      <c r="X13" s="97">
        <v>979.15167523679031</v>
      </c>
      <c r="Y13" s="98">
        <v>979.15167523679031</v>
      </c>
      <c r="Z13" s="97">
        <v>969.88522304845412</v>
      </c>
      <c r="AA13" s="98">
        <v>969.88522304845412</v>
      </c>
      <c r="AB13" s="97">
        <v>957.45814976297322</v>
      </c>
      <c r="AC13" s="98">
        <v>957.45814976297322</v>
      </c>
      <c r="AD13" s="97">
        <v>940.43391066087383</v>
      </c>
      <c r="AE13" s="98">
        <v>940.43391066087383</v>
      </c>
      <c r="AF13" s="97">
        <v>916.279990921734</v>
      </c>
      <c r="AG13" s="98">
        <v>916.279990921734</v>
      </c>
      <c r="AH13" s="97">
        <v>880.21054450133636</v>
      </c>
      <c r="AI13" s="98">
        <v>880.21054450133636</v>
      </c>
      <c r="AJ13" s="97">
        <v>822.4762854487692</v>
      </c>
      <c r="AK13" s="98">
        <v>822.4762854487692</v>
      </c>
      <c r="AL13" s="97">
        <v>720.44571195631011</v>
      </c>
      <c r="AM13" s="98">
        <v>720.44571195631011</v>
      </c>
      <c r="AN13" s="97">
        <v>506.38362371926348</v>
      </c>
      <c r="AO13" s="98">
        <v>506.38362371926348</v>
      </c>
      <c r="AP13" s="97">
        <v>433.99290567284334</v>
      </c>
      <c r="AQ13" s="98">
        <v>433.99290567284334</v>
      </c>
      <c r="AR13" s="97">
        <v>344.11928458260149</v>
      </c>
      <c r="AS13" s="98">
        <v>344.11928458260149</v>
      </c>
      <c r="AT13" s="97">
        <v>232.12311324445244</v>
      </c>
      <c r="AU13" s="98">
        <v>232.12311324445244</v>
      </c>
      <c r="AV13" s="97">
        <v>98.913452687634361</v>
      </c>
      <c r="AW13" s="98">
        <v>98.913452687634361</v>
      </c>
    </row>
    <row r="14" spans="1:49" x14ac:dyDescent="0.2">
      <c r="A14" t="s">
        <v>36</v>
      </c>
      <c r="B14" s="41">
        <v>1457.0034251455234</v>
      </c>
      <c r="C14" s="42">
        <v>1457.0034251455236</v>
      </c>
      <c r="D14" s="41">
        <v>1458.5302245332382</v>
      </c>
      <c r="E14" s="42">
        <v>1458.5302245332384</v>
      </c>
      <c r="F14" s="41">
        <v>1459.5674751133574</v>
      </c>
      <c r="G14" s="42">
        <v>1459.5674751133577</v>
      </c>
      <c r="H14" s="41">
        <v>1460.0442517458093</v>
      </c>
      <c r="I14" s="42">
        <v>1460.0442517458096</v>
      </c>
      <c r="J14" s="41">
        <v>1459.8742644098641</v>
      </c>
      <c r="K14" s="42">
        <v>1459.8742644098643</v>
      </c>
      <c r="L14" s="41">
        <v>1458.9513793513627</v>
      </c>
      <c r="M14" s="42">
        <v>1458.9513793513629</v>
      </c>
      <c r="N14" s="41">
        <v>1457.1428033604311</v>
      </c>
      <c r="O14" s="42">
        <v>1457.1428033604313</v>
      </c>
      <c r="P14" s="41">
        <v>1454.280127459233</v>
      </c>
      <c r="Q14" s="42">
        <v>1454.2801274592332</v>
      </c>
      <c r="R14" s="41">
        <v>1450.14501319746</v>
      </c>
      <c r="S14" s="42">
        <v>1450.1450131974602</v>
      </c>
      <c r="T14" s="41">
        <v>1444.4480775233253</v>
      </c>
      <c r="U14" s="42">
        <v>1444.4480775233255</v>
      </c>
      <c r="V14" s="41">
        <v>1436.7945723506166</v>
      </c>
      <c r="W14" s="42">
        <v>1436.7945723506168</v>
      </c>
      <c r="X14" s="41">
        <v>1426.6273445569805</v>
      </c>
      <c r="Y14" s="42">
        <v>1426.6273445569807</v>
      </c>
      <c r="Z14" s="41">
        <v>1413.1260919796275</v>
      </c>
      <c r="AA14" s="42">
        <v>1413.1260919796277</v>
      </c>
      <c r="AB14" s="41">
        <v>1395.0198036381473</v>
      </c>
      <c r="AC14" s="42">
        <v>1395.0198036381476</v>
      </c>
      <c r="AD14" s="41">
        <v>1370.2154289558923</v>
      </c>
      <c r="AE14" s="42">
        <v>1370.2154289558923</v>
      </c>
      <c r="AF14" s="41">
        <v>1335.0230851652755</v>
      </c>
      <c r="AG14" s="42">
        <v>1335.0230851652757</v>
      </c>
      <c r="AH14" s="41">
        <v>1282.4697781876532</v>
      </c>
      <c r="AI14" s="42">
        <v>1282.4697781876532</v>
      </c>
      <c r="AJ14" s="41">
        <v>1198.3507649998239</v>
      </c>
      <c r="AK14" s="42">
        <v>1198.3507649998239</v>
      </c>
      <c r="AL14" s="41">
        <v>1049.6918699517489</v>
      </c>
      <c r="AM14" s="42">
        <v>1049.6918699517491</v>
      </c>
      <c r="AN14" s="41">
        <v>737.80267419656877</v>
      </c>
      <c r="AO14" s="42">
        <v>737.80267419656889</v>
      </c>
      <c r="AP14" s="41">
        <v>632.32915005419079</v>
      </c>
      <c r="AQ14" s="42">
        <v>632.32915005419079</v>
      </c>
      <c r="AR14" s="41">
        <v>501.38297629547742</v>
      </c>
      <c r="AS14" s="42">
        <v>501.38297629547753</v>
      </c>
      <c r="AT14" s="41">
        <v>338.20417105260941</v>
      </c>
      <c r="AU14" s="42">
        <v>338.20417105260941</v>
      </c>
      <c r="AV14" s="41">
        <v>144.11723935885294</v>
      </c>
      <c r="AW14" s="42">
        <v>144.11723935885294</v>
      </c>
    </row>
    <row r="15" spans="1:49" x14ac:dyDescent="0.2">
      <c r="A15" t="s">
        <v>18</v>
      </c>
      <c r="B15" s="154">
        <v>1000</v>
      </c>
      <c r="C15" s="155">
        <v>1000</v>
      </c>
      <c r="D15" s="154">
        <v>989.42345004548361</v>
      </c>
      <c r="E15" s="155">
        <v>989.42345004548361</v>
      </c>
      <c r="F15" s="154">
        <v>978.59189490306494</v>
      </c>
      <c r="G15" s="155">
        <v>978.59189490306494</v>
      </c>
      <c r="H15" s="154">
        <v>967.46513835906285</v>
      </c>
      <c r="I15" s="155">
        <v>967.46513835906285</v>
      </c>
      <c r="J15" s="154">
        <v>955.99548007765134</v>
      </c>
      <c r="K15" s="155">
        <v>955.99548007765134</v>
      </c>
      <c r="L15" s="154">
        <v>944.12596237443847</v>
      </c>
      <c r="M15" s="155">
        <v>944.12596237443847</v>
      </c>
      <c r="N15" s="154">
        <v>931.78842121838602</v>
      </c>
      <c r="O15" s="155">
        <v>931.78842121838602</v>
      </c>
      <c r="P15" s="154">
        <v>918.90031132379386</v>
      </c>
      <c r="Q15" s="155">
        <v>918.90031132379386</v>
      </c>
      <c r="R15" s="154">
        <v>905.36087074975819</v>
      </c>
      <c r="S15" s="155">
        <v>905.36087074975819</v>
      </c>
      <c r="T15" s="154">
        <v>891.04474146564633</v>
      </c>
      <c r="U15" s="155">
        <v>891.04474146564633</v>
      </c>
      <c r="V15" s="154">
        <v>875.79204433658333</v>
      </c>
      <c r="W15" s="155">
        <v>875.79204433658333</v>
      </c>
      <c r="X15" s="154">
        <v>859.39057121499707</v>
      </c>
      <c r="Y15" s="155">
        <v>859.39057121499707</v>
      </c>
      <c r="Z15" s="154">
        <v>841.54151536644997</v>
      </c>
      <c r="AA15" s="155">
        <v>841.54151536644997</v>
      </c>
      <c r="AB15" s="154">
        <v>821.78642134576774</v>
      </c>
      <c r="AC15" s="155">
        <v>821.78642134576774</v>
      </c>
      <c r="AD15" s="154">
        <v>799.33660623270578</v>
      </c>
      <c r="AE15" s="155">
        <v>799.33660623270578</v>
      </c>
      <c r="AF15" s="154">
        <v>772.64109784570394</v>
      </c>
      <c r="AG15" s="155">
        <v>772.64109784570394</v>
      </c>
      <c r="AH15" s="154">
        <v>738.25896584976863</v>
      </c>
      <c r="AI15" s="155">
        <v>738.25896584976863</v>
      </c>
      <c r="AJ15" s="154">
        <v>688.07100607500956</v>
      </c>
      <c r="AK15" s="155">
        <v>688.07100607500956</v>
      </c>
      <c r="AL15" s="154">
        <v>602.2915979005993</v>
      </c>
      <c r="AM15" s="155">
        <v>602.2915979005993</v>
      </c>
      <c r="AN15" s="154">
        <v>423.30162730069151</v>
      </c>
      <c r="AO15" s="155">
        <v>423.30162730069151</v>
      </c>
      <c r="AP15" s="154">
        <v>362.78753802367487</v>
      </c>
      <c r="AQ15" s="155">
        <v>362.78753802367487</v>
      </c>
      <c r="AR15" s="154">
        <v>287.65938174253517</v>
      </c>
      <c r="AS15" s="155">
        <v>287.65938174253517</v>
      </c>
      <c r="AT15" s="154">
        <v>194.03847878802387</v>
      </c>
      <c r="AU15" s="155">
        <v>194.03847878802387</v>
      </c>
      <c r="AV15" s="154">
        <v>82.68463708646587</v>
      </c>
      <c r="AW15" s="155">
        <v>82.68463708646587</v>
      </c>
    </row>
    <row r="16" spans="1:49" s="29" customFormat="1" x14ac:dyDescent="0.2">
      <c r="A16" t="s">
        <v>61</v>
      </c>
      <c r="B16" s="41">
        <v>1000</v>
      </c>
      <c r="C16" s="42">
        <v>1000</v>
      </c>
      <c r="D16" s="41">
        <v>995.61858105308045</v>
      </c>
      <c r="E16" s="42">
        <v>992.74033189251827</v>
      </c>
      <c r="F16" s="41">
        <v>990.93392651525926</v>
      </c>
      <c r="G16" s="42">
        <v>985.20046777062009</v>
      </c>
      <c r="H16" s="41">
        <v>985.90135019342711</v>
      </c>
      <c r="I16" s="42">
        <v>977.33779863000427</v>
      </c>
      <c r="J16" s="41">
        <v>980.46704682576899</v>
      </c>
      <c r="K16" s="42">
        <v>969.10134594766225</v>
      </c>
      <c r="L16" s="41">
        <v>974.56564189383323</v>
      </c>
      <c r="M16" s="42">
        <v>960.42963447895966</v>
      </c>
      <c r="N16" s="41">
        <v>968.11679727419232</v>
      </c>
      <c r="O16" s="42">
        <v>951.24796827068587</v>
      </c>
      <c r="P16" s="41">
        <v>961.0204730335472</v>
      </c>
      <c r="Q16" s="42">
        <v>941.46441636789802</v>
      </c>
      <c r="R16" s="41">
        <v>953.14993126210891</v>
      </c>
      <c r="S16" s="42">
        <v>930.9642813104997</v>
      </c>
      <c r="T16" s="41">
        <v>944.34108733283358</v>
      </c>
      <c r="U16" s="42">
        <v>919.60142769292247</v>
      </c>
      <c r="V16" s="41">
        <v>934.37541145173361</v>
      </c>
      <c r="W16" s="42">
        <v>907.18450542863945</v>
      </c>
      <c r="X16" s="41">
        <v>922.95089796432455</v>
      </c>
      <c r="Y16" s="42">
        <v>893.45311617578386</v>
      </c>
      <c r="Z16" s="41">
        <v>909.62945826818441</v>
      </c>
      <c r="AA16" s="42">
        <v>878.03369617299472</v>
      </c>
      <c r="AB16" s="41">
        <v>893.73459043472928</v>
      </c>
      <c r="AC16" s="42">
        <v>860.35074406710146</v>
      </c>
      <c r="AD16" s="41">
        <v>874.13644090785078</v>
      </c>
      <c r="AE16" s="42">
        <v>839.43242746190299</v>
      </c>
      <c r="AF16" s="41">
        <v>848.76710490460709</v>
      </c>
      <c r="AG16" s="42">
        <v>813.45028088337904</v>
      </c>
      <c r="AH16" s="41">
        <v>813.47660595325738</v>
      </c>
      <c r="AI16" s="42">
        <v>778.58284253014801</v>
      </c>
      <c r="AJ16" s="41">
        <v>759.2836067625658</v>
      </c>
      <c r="AK16" s="42">
        <v>726.24854039365698</v>
      </c>
      <c r="AL16" s="41">
        <v>664.89222845415702</v>
      </c>
      <c r="AM16" s="42">
        <v>635.85237814756579</v>
      </c>
      <c r="AN16" s="41">
        <v>467.32015865993463</v>
      </c>
      <c r="AO16" s="42">
        <v>446.90038589974074</v>
      </c>
      <c r="AP16" s="41">
        <v>400.51358823261239</v>
      </c>
      <c r="AQ16" s="42">
        <v>383.01283707270881</v>
      </c>
      <c r="AR16" s="41">
        <v>317.57298468467985</v>
      </c>
      <c r="AS16" s="42">
        <v>303.69635258587419</v>
      </c>
      <c r="AT16" s="41">
        <v>214.2164913384436</v>
      </c>
      <c r="AU16" s="42">
        <v>204.85610580185275</v>
      </c>
      <c r="AV16" s="41">
        <v>91.282993071145484</v>
      </c>
      <c r="AW16" s="42">
        <v>87.294298620626265</v>
      </c>
    </row>
    <row r="17" spans="1:49" x14ac:dyDescent="0.2">
      <c r="A17" t="s">
        <v>62</v>
      </c>
      <c r="B17" s="35">
        <v>1000.0000000000002</v>
      </c>
      <c r="C17" s="36">
        <v>999.99999999999977</v>
      </c>
      <c r="D17" s="35">
        <v>998.63353141543382</v>
      </c>
      <c r="E17" s="36">
        <v>1033.1892255817368</v>
      </c>
      <c r="F17" s="35">
        <v>997.22210255955258</v>
      </c>
      <c r="G17" s="36">
        <v>1070.5405630383734</v>
      </c>
      <c r="H17" s="35">
        <v>995.75851380058907</v>
      </c>
      <c r="I17" s="36">
        <v>1112.82146924944</v>
      </c>
      <c r="J17" s="35">
        <v>994.23450242923582</v>
      </c>
      <c r="K17" s="36">
        <v>1160.9992613926959</v>
      </c>
      <c r="L17" s="35">
        <v>992.64079644083313</v>
      </c>
      <c r="M17" s="36">
        <v>1216.3122225295031</v>
      </c>
      <c r="N17" s="35">
        <v>990.96738674261883</v>
      </c>
      <c r="O17" s="36">
        <v>1280.3755857377087</v>
      </c>
      <c r="P17" s="35">
        <v>989.20417079996275</v>
      </c>
      <c r="Q17" s="36">
        <v>1355.3421046801102</v>
      </c>
      <c r="R17" s="35">
        <v>987.34231919985439</v>
      </c>
      <c r="S17" s="36">
        <v>1444.1572786438444</v>
      </c>
      <c r="T17" s="35">
        <v>985.37700607315378</v>
      </c>
      <c r="U17" s="36">
        <v>1550.980111023789</v>
      </c>
      <c r="V17" s="35">
        <v>983.31263731633487</v>
      </c>
      <c r="W17" s="36">
        <v>1681.9108239860234</v>
      </c>
      <c r="X17" s="35">
        <v>981.1729203857841</v>
      </c>
      <c r="Y17" s="36">
        <v>1846.3215068487225</v>
      </c>
      <c r="Z17" s="35">
        <v>979.0201525199991</v>
      </c>
      <c r="AA17" s="36">
        <v>2059.4459085768876</v>
      </c>
      <c r="AB17" s="35">
        <v>976.99212482235725</v>
      </c>
      <c r="AC17" s="36">
        <v>2347.7941644447665</v>
      </c>
      <c r="AD17" s="35">
        <v>975.3693080024824</v>
      </c>
      <c r="AE17" s="36">
        <v>2761.392377410325</v>
      </c>
      <c r="AF17" s="35">
        <v>974.67334470236699</v>
      </c>
      <c r="AG17" s="36">
        <v>3403.6941566944884</v>
      </c>
      <c r="AH17" s="35">
        <v>975.69236830817988</v>
      </c>
      <c r="AI17" s="36">
        <v>4510.2386307445822</v>
      </c>
      <c r="AJ17" s="35">
        <v>979.04827171791635</v>
      </c>
      <c r="AK17" s="36">
        <v>6680.4978365278912</v>
      </c>
      <c r="AL17" s="35">
        <v>984.20835156944827</v>
      </c>
      <c r="AM17" s="36">
        <v>11798.823444496835</v>
      </c>
      <c r="AN17" s="35">
        <v>989.14413218672644</v>
      </c>
      <c r="AO17" s="36">
        <v>29301.28478909059</v>
      </c>
      <c r="AP17" s="35">
        <v>989.78552241798479</v>
      </c>
      <c r="AQ17" s="36">
        <v>38077.782905212611</v>
      </c>
      <c r="AR17" s="35">
        <v>990.16534579673112</v>
      </c>
      <c r="AS17" s="36">
        <v>51910.351226397361</v>
      </c>
      <c r="AT17" s="35">
        <v>990.13674402565107</v>
      </c>
      <c r="AU17" s="36">
        <v>75811.173131859468</v>
      </c>
      <c r="AV17" s="35">
        <v>989.41433632117491</v>
      </c>
      <c r="AW17" s="36">
        <v>123345.7448208851</v>
      </c>
    </row>
    <row r="18" spans="1:49" x14ac:dyDescent="0.2">
      <c r="A18" t="s">
        <v>19</v>
      </c>
      <c r="B18" s="33">
        <v>27857.010133999996</v>
      </c>
      <c r="C18" s="34">
        <v>1236.7674480000003</v>
      </c>
      <c r="D18" s="33">
        <v>27865.721418924488</v>
      </c>
      <c r="E18" s="34">
        <v>1150.3934525580453</v>
      </c>
      <c r="F18" s="33">
        <v>27870.661287215295</v>
      </c>
      <c r="G18" s="34">
        <v>1064.0229062733183</v>
      </c>
      <c r="H18" s="33">
        <v>27871.265639824211</v>
      </c>
      <c r="I18" s="34">
        <v>977.68122883936405</v>
      </c>
      <c r="J18" s="33">
        <v>27866.839322461568</v>
      </c>
      <c r="K18" s="34">
        <v>891.40784270273252</v>
      </c>
      <c r="L18" s="33">
        <v>27856.511900785772</v>
      </c>
      <c r="M18" s="34">
        <v>805.26344744821722</v>
      </c>
      <c r="N18" s="33">
        <v>27839.170130079889</v>
      </c>
      <c r="O18" s="34">
        <v>719.34478689661148</v>
      </c>
      <c r="P18" s="33">
        <v>27813.360637589492</v>
      </c>
      <c r="Q18" s="34">
        <v>633.8016433984626</v>
      </c>
      <c r="R18" s="33">
        <v>27777.133888550881</v>
      </c>
      <c r="S18" s="34">
        <v>548.86982042882391</v>
      </c>
      <c r="T18" s="33">
        <v>27727.797993174379</v>
      </c>
      <c r="U18" s="34">
        <v>464.91661350280265</v>
      </c>
      <c r="V18" s="33">
        <v>27661.506584855342</v>
      </c>
      <c r="W18" s="34">
        <v>382.51526112202038</v>
      </c>
      <c r="X18" s="33">
        <v>27572.545627638679</v>
      </c>
      <c r="Y18" s="34">
        <v>302.55852568117581</v>
      </c>
      <c r="Z18" s="33">
        <v>27452.038966160046</v>
      </c>
      <c r="AA18" s="34">
        <v>226.4340713140399</v>
      </c>
      <c r="AB18" s="33">
        <v>27285.490413259162</v>
      </c>
      <c r="AC18" s="34">
        <v>156.27551577310868</v>
      </c>
      <c r="AD18" s="33">
        <v>27047.921588401547</v>
      </c>
      <c r="AE18" s="34">
        <v>95.249954230843855</v>
      </c>
      <c r="AF18" s="33">
        <v>26694.08098192629</v>
      </c>
      <c r="AG18" s="34">
        <v>47.567744178248674</v>
      </c>
      <c r="AH18" s="33">
        <v>26138.977837454433</v>
      </c>
      <c r="AI18" s="34">
        <v>17.135679110894209</v>
      </c>
      <c r="AJ18" s="33">
        <v>25215.777301316743</v>
      </c>
      <c r="AK18" s="34">
        <v>3.6453148099683599</v>
      </c>
      <c r="AL18" s="33">
        <v>23531.852030215887</v>
      </c>
      <c r="AM18" s="34">
        <v>0.33099710652634495</v>
      </c>
      <c r="AN18" s="33">
        <v>19675.352046343065</v>
      </c>
      <c r="AO18" s="34">
        <v>5.6350411193620996E-3</v>
      </c>
      <c r="AP18" s="33">
        <v>18208.434672850435</v>
      </c>
      <c r="AQ18" s="34">
        <v>1.6615422796528686E-3</v>
      </c>
      <c r="AR18" s="33">
        <v>16210.493663182713</v>
      </c>
      <c r="AS18" s="34">
        <v>3.7899336368732412E-4</v>
      </c>
      <c r="AT18" s="33">
        <v>13313.972812926671</v>
      </c>
      <c r="AU18" s="34">
        <v>5.8300629403192916E-5</v>
      </c>
      <c r="AV18" s="33">
        <v>8694.5383874681138</v>
      </c>
      <c r="AW18" s="34">
        <v>4.3620033080418532E-6</v>
      </c>
    </row>
    <row r="19" spans="1:49" x14ac:dyDescent="0.2">
      <c r="A19" t="s">
        <v>3</v>
      </c>
      <c r="B19" s="41">
        <v>1886.3937399999918</v>
      </c>
      <c r="C19" s="42">
        <v>262.78711299999759</v>
      </c>
      <c r="D19" s="41">
        <v>1880.1803580798874</v>
      </c>
      <c r="E19" s="42">
        <v>269.07591387518499</v>
      </c>
      <c r="F19" s="41">
        <v>1873.4892483847868</v>
      </c>
      <c r="G19" s="42">
        <v>276.3316797515011</v>
      </c>
      <c r="H19" s="41">
        <v>1866.2499355370508</v>
      </c>
      <c r="I19" s="42">
        <v>284.67768473912497</v>
      </c>
      <c r="J19" s="41">
        <v>1858.378818984939</v>
      </c>
      <c r="K19" s="42">
        <v>294.25100119649454</v>
      </c>
      <c r="L19" s="41">
        <v>1849.7768532569278</v>
      </c>
      <c r="M19" s="42">
        <v>305.20018963586841</v>
      </c>
      <c r="N19" s="41">
        <v>1840.3268557463475</v>
      </c>
      <c r="O19" s="42">
        <v>317.67974030805317</v>
      </c>
      <c r="P19" s="41">
        <v>1829.8909504675651</v>
      </c>
      <c r="Q19" s="42">
        <v>331.8372556345289</v>
      </c>
      <c r="R19" s="41">
        <v>1818.3080053593196</v>
      </c>
      <c r="S19" s="42">
        <v>347.78846533120435</v>
      </c>
      <c r="T19" s="41">
        <v>1805.3922069258629</v>
      </c>
      <c r="U19" s="42">
        <v>365.56988079184265</v>
      </c>
      <c r="V19" s="41">
        <v>1790.9337088738389</v>
      </c>
      <c r="W19" s="42">
        <v>385.04856240132528</v>
      </c>
      <c r="X19" s="41">
        <v>1774.7038824166841</v>
      </c>
      <c r="Y19" s="42">
        <v>405.75278577310308</v>
      </c>
      <c r="Z19" s="41">
        <v>1756.4681677479214</v>
      </c>
      <c r="AA19" s="42">
        <v>426.55046152672554</v>
      </c>
      <c r="AB19" s="41">
        <v>1736.0074321025488</v>
      </c>
      <c r="AC19" s="42">
        <v>445.0438562767784</v>
      </c>
      <c r="AD19" s="41">
        <v>1713.1205761583315</v>
      </c>
      <c r="AE19" s="42">
        <v>456.48785551593267</v>
      </c>
      <c r="AF19" s="41">
        <v>1687.421547824842</v>
      </c>
      <c r="AG19" s="42">
        <v>452.25330075351786</v>
      </c>
      <c r="AH19" s="41">
        <v>1657.0460737975743</v>
      </c>
      <c r="AI19" s="42">
        <v>419.54270614934904</v>
      </c>
      <c r="AJ19" s="41">
        <v>1613.5107667511509</v>
      </c>
      <c r="AK19" s="42">
        <v>348.06210879472491</v>
      </c>
      <c r="AL19" s="41">
        <v>1527.3035924065296</v>
      </c>
      <c r="AM19" s="42">
        <v>243.24190228781208</v>
      </c>
      <c r="AN19" s="41">
        <v>1294.2665513806076</v>
      </c>
      <c r="AO19" s="42">
        <v>123.12277453822374</v>
      </c>
      <c r="AP19" s="41">
        <v>1199.8495037525063</v>
      </c>
      <c r="AQ19" s="42">
        <v>98.552816314302035</v>
      </c>
      <c r="AR19" s="41">
        <v>1069.2906422562687</v>
      </c>
      <c r="AS19" s="42">
        <v>73.936318216806669</v>
      </c>
      <c r="AT19" s="41">
        <v>878.16003357634179</v>
      </c>
      <c r="AU19" s="42">
        <v>49.297574388950082</v>
      </c>
      <c r="AV19" s="41">
        <v>572.35447417507805</v>
      </c>
      <c r="AW19" s="42">
        <v>24.650056073796712</v>
      </c>
    </row>
    <row r="20" spans="1:49" x14ac:dyDescent="0.2">
      <c r="A20" t="s">
        <v>127</v>
      </c>
      <c r="B20" s="82">
        <v>26548.356269999993</v>
      </c>
      <c r="C20" s="83">
        <v>1408.5418709999938</v>
      </c>
      <c r="D20" s="82">
        <v>26540.666228889637</v>
      </c>
      <c r="E20" s="83">
        <v>1338.1147774499941</v>
      </c>
      <c r="F20" s="82">
        <v>26528.780922740138</v>
      </c>
      <c r="G20" s="83">
        <v>1267.6876838999945</v>
      </c>
      <c r="H20" s="82">
        <v>26512.077602618469</v>
      </c>
      <c r="I20" s="83">
        <v>1197.2605903499946</v>
      </c>
      <c r="J20" s="82">
        <v>26489.796352963476</v>
      </c>
      <c r="K20" s="83">
        <v>1126.8334967999949</v>
      </c>
      <c r="L20" s="82">
        <v>26460.999038653863</v>
      </c>
      <c r="M20" s="83">
        <v>1056.4064032499953</v>
      </c>
      <c r="N20" s="82">
        <v>26424.508888374909</v>
      </c>
      <c r="O20" s="83">
        <v>985.97930969999561</v>
      </c>
      <c r="P20" s="82">
        <v>26378.826991328795</v>
      </c>
      <c r="Q20" s="83">
        <v>915.55221614999596</v>
      </c>
      <c r="R20" s="82">
        <v>26322.002762686629</v>
      </c>
      <c r="S20" s="83">
        <v>845.12512259999642</v>
      </c>
      <c r="T20" s="82">
        <v>26251.43703794312</v>
      </c>
      <c r="U20" s="83">
        <v>774.69802904999653</v>
      </c>
      <c r="V20" s="82">
        <v>26163.561651311575</v>
      </c>
      <c r="W20" s="83">
        <v>704.27093549999688</v>
      </c>
      <c r="X20" s="82">
        <v>26053.297966851573</v>
      </c>
      <c r="Y20" s="83">
        <v>633.84384194999734</v>
      </c>
      <c r="Z20" s="82">
        <v>25913.086402091001</v>
      </c>
      <c r="AA20" s="83">
        <v>563.41674839999757</v>
      </c>
      <c r="AB20" s="82">
        <v>25731.040139934306</v>
      </c>
      <c r="AC20" s="83">
        <v>492.98965484999775</v>
      </c>
      <c r="AD20" s="82">
        <v>25487.189271338382</v>
      </c>
      <c r="AE20" s="83">
        <v>422.56256129999804</v>
      </c>
      <c r="AF20" s="82">
        <v>25145.347115170462</v>
      </c>
      <c r="AG20" s="83">
        <v>352.13546774999827</v>
      </c>
      <c r="AH20" s="82">
        <v>24634.514248418989</v>
      </c>
      <c r="AI20" s="83">
        <v>281.70837419999856</v>
      </c>
      <c r="AJ20" s="82">
        <v>23802.506029793927</v>
      </c>
      <c r="AK20" s="83">
        <v>211.28128064999879</v>
      </c>
      <c r="AL20" s="82">
        <v>22266.825964479274</v>
      </c>
      <c r="AM20" s="83">
        <v>140.85418709999905</v>
      </c>
      <c r="AN20" s="82">
        <v>18660.041923339722</v>
      </c>
      <c r="AO20" s="83">
        <v>70.427093549999285</v>
      </c>
      <c r="AP20" s="82">
        <v>17273.876591452867</v>
      </c>
      <c r="AQ20" s="83">
        <v>56.341674839999335</v>
      </c>
      <c r="AR20" s="82">
        <v>15381.141576071226</v>
      </c>
      <c r="AS20" s="83">
        <v>42.256256129999379</v>
      </c>
      <c r="AT20" s="82">
        <v>12632.646424077693</v>
      </c>
      <c r="AU20" s="83">
        <v>28.170837419999433</v>
      </c>
      <c r="AV20" s="82">
        <v>8246.8901782780213</v>
      </c>
      <c r="AW20" s="83">
        <v>14.08541870999948</v>
      </c>
    </row>
    <row r="21" spans="1:49" x14ac:dyDescent="0.2">
      <c r="A21" t="s">
        <v>76</v>
      </c>
      <c r="B21" s="82">
        <v>24661.962529999968</v>
      </c>
      <c r="C21" s="83">
        <v>1145.7547579999991</v>
      </c>
      <c r="D21" s="82">
        <v>24660.490460654037</v>
      </c>
      <c r="E21" s="83">
        <v>1069.2646432640133</v>
      </c>
      <c r="F21" s="82">
        <v>24655.310658325023</v>
      </c>
      <c r="G21" s="83">
        <v>992.3263275629547</v>
      </c>
      <c r="H21" s="82">
        <v>24645.871955523457</v>
      </c>
      <c r="I21" s="83">
        <v>914.93515500837998</v>
      </c>
      <c r="J21" s="82">
        <v>24631.499411041081</v>
      </c>
      <c r="K21" s="83">
        <v>837.10100077402626</v>
      </c>
      <c r="L21" s="82">
        <v>24611.355631971222</v>
      </c>
      <c r="M21" s="83">
        <v>758.85718400051508</v>
      </c>
      <c r="N21" s="82">
        <v>24584.383098105467</v>
      </c>
      <c r="O21" s="83">
        <v>680.27357366037768</v>
      </c>
      <c r="P21" s="82">
        <v>24549.223234441532</v>
      </c>
      <c r="Q21" s="83">
        <v>601.47712230652303</v>
      </c>
      <c r="R21" s="82">
        <v>24504.089379104193</v>
      </c>
      <c r="S21" s="83">
        <v>522.68292367355753</v>
      </c>
      <c r="T21" s="82">
        <v>24446.57105677234</v>
      </c>
      <c r="U21" s="83">
        <v>444.24161561329151</v>
      </c>
      <c r="V21" s="82">
        <v>24373.312257503425</v>
      </c>
      <c r="W21" s="83">
        <v>366.7132051441863</v>
      </c>
      <c r="X21" s="82">
        <v>24279.463216867454</v>
      </c>
      <c r="Y21" s="83">
        <v>290.98057693890297</v>
      </c>
      <c r="Z21" s="82">
        <v>24157.693871210875</v>
      </c>
      <c r="AA21" s="83">
        <v>218.42310105294067</v>
      </c>
      <c r="AB21" s="82">
        <v>23996.319743947326</v>
      </c>
      <c r="AC21" s="83">
        <v>151.1658875566645</v>
      </c>
      <c r="AD21" s="82">
        <v>23775.531984675232</v>
      </c>
      <c r="AE21" s="83">
        <v>92.365287154391595</v>
      </c>
      <c r="AF21" s="82">
        <v>23459.452988426536</v>
      </c>
      <c r="AG21" s="83">
        <v>46.224531478277186</v>
      </c>
      <c r="AH21" s="82">
        <v>22978.845224885634</v>
      </c>
      <c r="AI21" s="83">
        <v>16.678538092627779</v>
      </c>
      <c r="AJ21" s="82">
        <v>22189.98061782799</v>
      </c>
      <c r="AK21" s="83">
        <v>3.5516071622681551</v>
      </c>
      <c r="AL21" s="82">
        <v>20740.04348645519</v>
      </c>
      <c r="AM21" s="83">
        <v>0.32263074608364067</v>
      </c>
      <c r="AN21" s="82">
        <v>17365.980806197826</v>
      </c>
      <c r="AO21" s="83">
        <v>5.4932262915791232E-3</v>
      </c>
      <c r="AP21" s="82">
        <v>16074.195353917043</v>
      </c>
      <c r="AQ21" s="83">
        <v>1.6197350228506619E-3</v>
      </c>
      <c r="AR21" s="82">
        <v>14311.989778734023</v>
      </c>
      <c r="AS21" s="83">
        <v>3.6945824033378204E-4</v>
      </c>
      <c r="AT21" s="82">
        <v>11754.601092131501</v>
      </c>
      <c r="AU21" s="83">
        <v>5.6833910840701185E-5</v>
      </c>
      <c r="AV21" s="82">
        <v>7674.6220117887124</v>
      </c>
      <c r="AW21" s="83">
        <v>4.2522668023121261E-6</v>
      </c>
    </row>
    <row r="22" spans="1:49" x14ac:dyDescent="0.2">
      <c r="A22" t="s">
        <v>28</v>
      </c>
      <c r="B22" s="41">
        <v>6533.6044688320644</v>
      </c>
      <c r="C22" s="42">
        <v>379.90788307663382</v>
      </c>
      <c r="D22" s="41">
        <v>6534.8523771098162</v>
      </c>
      <c r="E22" s="42">
        <v>364.47329284857693</v>
      </c>
      <c r="F22" s="41">
        <v>6534.5600887172241</v>
      </c>
      <c r="G22" s="42">
        <v>348.81450041266891</v>
      </c>
      <c r="H22" s="41">
        <v>6532.505779142155</v>
      </c>
      <c r="I22" s="42">
        <v>332.9256060817392</v>
      </c>
      <c r="J22" s="41">
        <v>6528.4199614328663</v>
      </c>
      <c r="K22" s="42">
        <v>316.7993615823134</v>
      </c>
      <c r="L22" s="41">
        <v>6521.971750617392</v>
      </c>
      <c r="M22" s="42">
        <v>300.42645852577022</v>
      </c>
      <c r="N22" s="41">
        <v>6512.7487978959962</v>
      </c>
      <c r="O22" s="42">
        <v>283.79419349012727</v>
      </c>
      <c r="P22" s="41">
        <v>6500.2303787799428</v>
      </c>
      <c r="Q22" s="42">
        <v>266.88483962961476</v>
      </c>
      <c r="R22" s="41">
        <v>6483.7454652564675</v>
      </c>
      <c r="S22" s="42">
        <v>249.6728318834476</v>
      </c>
      <c r="T22" s="41">
        <v>6462.4118593650765</v>
      </c>
      <c r="U22" s="42">
        <v>232.12074151864309</v>
      </c>
      <c r="V22" s="41">
        <v>6435.0378520319828</v>
      </c>
      <c r="W22" s="42">
        <v>214.17325444024999</v>
      </c>
      <c r="X22" s="41">
        <v>6399.9617456416454</v>
      </c>
      <c r="Y22" s="42">
        <v>195.74835493730302</v>
      </c>
      <c r="Z22" s="41">
        <v>6354.7704560652219</v>
      </c>
      <c r="AA22" s="42">
        <v>176.72504624631898</v>
      </c>
      <c r="AB22" s="41">
        <v>6295.7786810989001</v>
      </c>
      <c r="AC22" s="42">
        <v>156.92864694707714</v>
      </c>
      <c r="AD22" s="41">
        <v>6216.9880314023421</v>
      </c>
      <c r="AE22" s="42">
        <v>136.12253867506283</v>
      </c>
      <c r="AF22" s="41">
        <v>6107.8398066429809</v>
      </c>
      <c r="AG22" s="42">
        <v>114.04347668478687</v>
      </c>
      <c r="AH22" s="41">
        <v>5947.9707911959149</v>
      </c>
      <c r="AI22" s="42">
        <v>90.578920028670581</v>
      </c>
      <c r="AJ22" s="41">
        <v>5693.9006704425747</v>
      </c>
      <c r="AK22" s="42">
        <v>66.14468552945263</v>
      </c>
      <c r="AL22" s="41">
        <v>5238.7533237717262</v>
      </c>
      <c r="AM22" s="42">
        <v>41.822516783748036</v>
      </c>
      <c r="AN22" s="41">
        <v>4230.3842530250677</v>
      </c>
      <c r="AO22" s="42">
        <v>18.937415061667753</v>
      </c>
      <c r="AP22" s="41">
        <v>3863.8152541137802</v>
      </c>
      <c r="AQ22" s="42">
        <v>14.681873261137204</v>
      </c>
      <c r="AR22" s="41">
        <v>3380.1351015385058</v>
      </c>
      <c r="AS22" s="42">
        <v>10.59111831696006</v>
      </c>
      <c r="AT22" s="41">
        <v>2709.1425317527082</v>
      </c>
      <c r="AU22" s="42">
        <v>6.7135087638510003</v>
      </c>
      <c r="AV22" s="41">
        <v>1705.4681869971103</v>
      </c>
      <c r="AW22" s="42">
        <v>3.1300530353792904</v>
      </c>
    </row>
    <row r="23" spans="1:49" x14ac:dyDescent="0.2">
      <c r="A23" t="s">
        <v>7</v>
      </c>
      <c r="B23" s="116">
        <v>3278.5018080150408</v>
      </c>
      <c r="C23" s="8">
        <v>0</v>
      </c>
      <c r="D23" s="116">
        <v>3283.9467957001316</v>
      </c>
      <c r="E23" s="8">
        <v>0</v>
      </c>
      <c r="F23" s="116">
        <v>3289.0137734999694</v>
      </c>
      <c r="G23" s="8">
        <v>0</v>
      </c>
      <c r="H23" s="116">
        <v>3293.6426684219177</v>
      </c>
      <c r="I23" s="8">
        <v>0</v>
      </c>
      <c r="J23" s="116">
        <v>3297.75956378912</v>
      </c>
      <c r="K23" s="8">
        <v>0</v>
      </c>
      <c r="L23" s="116">
        <v>3301.2727758999645</v>
      </c>
      <c r="M23" s="8">
        <v>0</v>
      </c>
      <c r="N23" s="116">
        <v>3304.0669465193678</v>
      </c>
      <c r="O23" s="8">
        <v>0</v>
      </c>
      <c r="P23" s="116">
        <v>3305.9956860175362</v>
      </c>
      <c r="Q23" s="8">
        <v>0</v>
      </c>
      <c r="R23" s="116">
        <v>3306.8700137205105</v>
      </c>
      <c r="S23" s="8">
        <v>0</v>
      </c>
      <c r="T23" s="116">
        <v>3306.4422720488919</v>
      </c>
      <c r="U23" s="8">
        <v>0</v>
      </c>
      <c r="V23" s="116">
        <v>3304.3809404228164</v>
      </c>
      <c r="W23" s="8">
        <v>0</v>
      </c>
      <c r="X23" s="116">
        <v>3300.2306728673043</v>
      </c>
      <c r="Y23" s="8">
        <v>0</v>
      </c>
      <c r="Z23" s="116">
        <v>3293.3435276624509</v>
      </c>
      <c r="AA23" s="8">
        <v>0</v>
      </c>
      <c r="AB23" s="116">
        <v>3282.7504726060642</v>
      </c>
      <c r="AC23" s="8">
        <v>0</v>
      </c>
      <c r="AD23" s="116">
        <v>3266.888490178424</v>
      </c>
      <c r="AE23" s="8">
        <v>0</v>
      </c>
      <c r="AF23" s="116">
        <v>3242.9234000336064</v>
      </c>
      <c r="AG23" s="8">
        <v>0</v>
      </c>
      <c r="AH23" s="116">
        <v>3204.7925851147211</v>
      </c>
      <c r="AI23" s="8">
        <v>0</v>
      </c>
      <c r="AJ23" s="116">
        <v>3137.1123442533817</v>
      </c>
      <c r="AK23" s="8">
        <v>0</v>
      </c>
      <c r="AL23" s="116">
        <v>2994.9343086632989</v>
      </c>
      <c r="AM23" s="8">
        <v>0</v>
      </c>
      <c r="AN23" s="116">
        <v>2602.5076789616023</v>
      </c>
      <c r="AO23" s="8">
        <v>0</v>
      </c>
      <c r="AP23" s="116">
        <v>2437.0583634687878</v>
      </c>
      <c r="AQ23" s="8">
        <v>0</v>
      </c>
      <c r="AR23" s="116">
        <v>2201.2949217936984</v>
      </c>
      <c r="AS23" s="8">
        <v>0</v>
      </c>
      <c r="AT23" s="116">
        <v>1841.8135706813441</v>
      </c>
      <c r="AU23" s="8">
        <v>0</v>
      </c>
      <c r="AV23" s="116">
        <v>1233.5963293183959</v>
      </c>
      <c r="AW23" s="8">
        <v>0</v>
      </c>
    </row>
    <row r="24" spans="1:49" x14ac:dyDescent="0.2">
      <c r="A24" t="s">
        <v>8</v>
      </c>
      <c r="B24" s="97">
        <v>3196.3846373657216</v>
      </c>
      <c r="C24" s="8">
        <v>0</v>
      </c>
      <c r="D24" s="97">
        <v>3201.693243451713</v>
      </c>
      <c r="E24" s="8">
        <v>0</v>
      </c>
      <c r="F24" s="97">
        <v>3206.6333078026337</v>
      </c>
      <c r="G24" s="8">
        <v>0</v>
      </c>
      <c r="H24" s="97">
        <v>3211.1462619730587</v>
      </c>
      <c r="I24" s="8">
        <v>0</v>
      </c>
      <c r="J24" s="97">
        <v>3215.1600413225924</v>
      </c>
      <c r="K24" s="8">
        <v>0</v>
      </c>
      <c r="L24" s="97">
        <v>3218.5852567608495</v>
      </c>
      <c r="M24" s="8">
        <v>0</v>
      </c>
      <c r="N24" s="97">
        <v>3221.3094417600141</v>
      </c>
      <c r="O24" s="8">
        <v>0</v>
      </c>
      <c r="P24" s="97">
        <v>3223.1898713794917</v>
      </c>
      <c r="Q24" s="8">
        <v>0</v>
      </c>
      <c r="R24" s="97">
        <v>3224.0422997455012</v>
      </c>
      <c r="S24" s="8">
        <v>0</v>
      </c>
      <c r="T24" s="97">
        <v>3223.6252717599286</v>
      </c>
      <c r="U24" s="8">
        <v>0</v>
      </c>
      <c r="V24" s="97">
        <v>3221.6155709422746</v>
      </c>
      <c r="W24" s="8">
        <v>0</v>
      </c>
      <c r="X24" s="97">
        <v>3217.5692558058217</v>
      </c>
      <c r="Y24" s="8">
        <v>0</v>
      </c>
      <c r="Z24" s="97">
        <v>3210.854614167115</v>
      </c>
      <c r="AA24" s="8">
        <v>0</v>
      </c>
      <c r="AB24" s="97">
        <v>3200.5268849863464</v>
      </c>
      <c r="AC24" s="8">
        <v>0</v>
      </c>
      <c r="AD24" s="97">
        <v>3185.0622002180371</v>
      </c>
      <c r="AE24" s="8">
        <v>0</v>
      </c>
      <c r="AF24" s="97">
        <v>3161.6973675920226</v>
      </c>
      <c r="AG24" s="8">
        <v>0</v>
      </c>
      <c r="AH24" s="97">
        <v>3124.5216214197794</v>
      </c>
      <c r="AI24" s="8">
        <v>0</v>
      </c>
      <c r="AJ24" s="97">
        <v>3058.5365786124453</v>
      </c>
      <c r="AK24" s="8">
        <v>0</v>
      </c>
      <c r="AL24" s="97">
        <v>2919.9196995187372</v>
      </c>
      <c r="AM24" s="8">
        <v>0</v>
      </c>
      <c r="AN24" s="97">
        <v>2537.32224375245</v>
      </c>
      <c r="AO24" s="8">
        <v>0</v>
      </c>
      <c r="AP24" s="97">
        <v>2376.0169643071122</v>
      </c>
      <c r="AQ24" s="8">
        <v>0</v>
      </c>
      <c r="AR24" s="97">
        <v>2146.1587280906801</v>
      </c>
      <c r="AS24" s="8">
        <v>0</v>
      </c>
      <c r="AT24" s="97">
        <v>1795.6813651360792</v>
      </c>
      <c r="AU24" s="8">
        <v>0</v>
      </c>
      <c r="AV24" s="97">
        <v>1202.6982404288397</v>
      </c>
      <c r="AW24" s="8">
        <v>0</v>
      </c>
    </row>
    <row r="25" spans="1:49" x14ac:dyDescent="0.2">
      <c r="A25" t="s">
        <v>0</v>
      </c>
      <c r="B25" s="41">
        <v>3195.0476040000012</v>
      </c>
      <c r="C25" s="42">
        <v>91.012690000004397</v>
      </c>
      <c r="D25" s="41">
        <v>3205.2235196067081</v>
      </c>
      <c r="E25" s="42">
        <v>81.088051199131186</v>
      </c>
      <c r="F25" s="41">
        <v>3215.3197309733232</v>
      </c>
      <c r="G25" s="42">
        <v>71.537357145489324</v>
      </c>
      <c r="H25" s="41">
        <v>3225.3212842412668</v>
      </c>
      <c r="I25" s="42">
        <v>62.398651779197962</v>
      </c>
      <c r="J25" s="41">
        <v>3235.2054479997619</v>
      </c>
      <c r="K25" s="42">
        <v>53.712374058904302</v>
      </c>
      <c r="L25" s="41">
        <v>3244.9360617050388</v>
      </c>
      <c r="M25" s="42">
        <v>45.52123978863321</v>
      </c>
      <c r="N25" s="41">
        <v>3254.4535597628264</v>
      </c>
      <c r="O25" s="42">
        <v>37.870159987495299</v>
      </c>
      <c r="P25" s="41">
        <v>3263.65853243028</v>
      </c>
      <c r="Q25" s="42">
        <v>30.805803541056228</v>
      </c>
      <c r="R25" s="41">
        <v>3272.3827724278713</v>
      </c>
      <c r="S25" s="42">
        <v>24.376218246314188</v>
      </c>
      <c r="T25" s="41">
        <v>3280.3392010233001</v>
      </c>
      <c r="U25" s="42">
        <v>18.629881569663134</v>
      </c>
      <c r="V25" s="41">
        <v>3287.0325653794157</v>
      </c>
      <c r="W25" s="42">
        <v>13.614401704291769</v>
      </c>
      <c r="X25" s="41">
        <v>3291.5971304198442</v>
      </c>
      <c r="Y25" s="42">
        <v>9.3741463821360806</v>
      </c>
      <c r="Z25" s="41">
        <v>3292.4946365723536</v>
      </c>
      <c r="AA25" s="42">
        <v>5.9460586083172338</v>
      </c>
      <c r="AB25" s="41">
        <v>3286.9425451972538</v>
      </c>
      <c r="AC25" s="42">
        <v>3.3515506552733365</v>
      </c>
      <c r="AD25" s="41">
        <v>3269.8435036760598</v>
      </c>
      <c r="AE25" s="42">
        <v>1.580574911786772</v>
      </c>
      <c r="AF25" s="41">
        <v>3231.9645210250706</v>
      </c>
      <c r="AG25" s="42">
        <v>0.56219162087734209</v>
      </c>
      <c r="AH25" s="41">
        <v>3157.7389818649644</v>
      </c>
      <c r="AI25" s="42">
        <v>0.12650725186873804</v>
      </c>
      <c r="AJ25" s="41">
        <v>3024.1016884904952</v>
      </c>
      <c r="AK25" s="42">
        <v>1.3648204908151074E-2</v>
      </c>
      <c r="AL25" s="41">
        <v>2790.9262771360591</v>
      </c>
      <c r="AM25" s="42">
        <v>4.4699835541315522E-4</v>
      </c>
      <c r="AN25" s="41">
        <v>2309.0286332304909</v>
      </c>
      <c r="AO25" s="42">
        <v>1.3958491813845905E-6</v>
      </c>
      <c r="AP25" s="41">
        <v>2133.9592438226941</v>
      </c>
      <c r="AQ25" s="42">
        <v>2.4980315292180031E-7</v>
      </c>
      <c r="AR25" s="41">
        <v>1898.2730464756689</v>
      </c>
      <c r="AS25" s="42">
        <v>3.1418510203315635E-8</v>
      </c>
      <c r="AT25" s="41">
        <v>1559.1810059438155</v>
      </c>
      <c r="AU25" s="42">
        <v>2.3214802329255117E-9</v>
      </c>
      <c r="AV25" s="41">
        <v>1019.7725566488384</v>
      </c>
      <c r="AW25" s="42">
        <v>6.7187463061983763E-11</v>
      </c>
    </row>
    <row r="26" spans="1:49" x14ac:dyDescent="0.2">
      <c r="A26" t="s">
        <v>27</v>
      </c>
      <c r="B26" s="33">
        <v>5036.2953101960647</v>
      </c>
      <c r="C26" s="34">
        <v>74.905331803938267</v>
      </c>
      <c r="D26" s="33">
        <v>5041.1445589206533</v>
      </c>
      <c r="E26" s="34">
        <v>70.056083079345882</v>
      </c>
      <c r="F26" s="33">
        <v>5046.0142596990545</v>
      </c>
      <c r="G26" s="34">
        <v>65.186382300949816</v>
      </c>
      <c r="H26" s="33">
        <v>5050.9065178244045</v>
      </c>
      <c r="I26" s="34">
        <v>60.29412417559849</v>
      </c>
      <c r="J26" s="33">
        <v>5055.8233137015004</v>
      </c>
      <c r="K26" s="34">
        <v>55.377328298501226</v>
      </c>
      <c r="L26" s="33">
        <v>5060.7661885549078</v>
      </c>
      <c r="M26" s="34">
        <v>50.43445344509594</v>
      </c>
      <c r="N26" s="33">
        <v>5065.7355634501828</v>
      </c>
      <c r="O26" s="34">
        <v>45.465078549821193</v>
      </c>
      <c r="P26" s="33">
        <v>5070.7298230755196</v>
      </c>
      <c r="Q26" s="34">
        <v>40.470818924484178</v>
      </c>
      <c r="R26" s="33">
        <v>5075.743521331995</v>
      </c>
      <c r="S26" s="34">
        <v>35.457120668011868</v>
      </c>
      <c r="T26" s="33">
        <v>5080.764653969547</v>
      </c>
      <c r="U26" s="34">
        <v>30.435988030455878</v>
      </c>
      <c r="V26" s="33">
        <v>5085.769985109353</v>
      </c>
      <c r="W26" s="34">
        <v>25.430656890649974</v>
      </c>
      <c r="X26" s="33">
        <v>5090.7174298229211</v>
      </c>
      <c r="Y26" s="34">
        <v>20.483212177080617</v>
      </c>
      <c r="Z26" s="33">
        <v>5095.5334899852605</v>
      </c>
      <c r="AA26" s="34">
        <v>15.667152014742419</v>
      </c>
      <c r="AB26" s="33">
        <v>5100.093489084622</v>
      </c>
      <c r="AC26" s="34">
        <v>11.10715291538067</v>
      </c>
      <c r="AD26" s="33">
        <v>5104.1944725863432</v>
      </c>
      <c r="AE26" s="34">
        <v>7.0061694136605652</v>
      </c>
      <c r="AF26" s="33">
        <v>5107.5373248691749</v>
      </c>
      <c r="AG26" s="34">
        <v>3.6633171308329575</v>
      </c>
      <c r="AH26" s="33">
        <v>5109.792525262068</v>
      </c>
      <c r="AI26" s="34">
        <v>1.4081167379363606</v>
      </c>
      <c r="AJ26" s="33">
        <v>5110.8706430991815</v>
      </c>
      <c r="AK26" s="34">
        <v>0.32999890082243022</v>
      </c>
      <c r="AL26" s="33">
        <v>5111.1656623312911</v>
      </c>
      <c r="AM26" s="34">
        <v>3.4979668712123053E-2</v>
      </c>
      <c r="AN26" s="33">
        <v>5111.1998429702417</v>
      </c>
      <c r="AO26" s="34">
        <v>7.9902976219834831E-4</v>
      </c>
      <c r="AP26" s="33">
        <v>5111.2003816859078</v>
      </c>
      <c r="AQ26" s="34">
        <v>2.6031409317163332E-4</v>
      </c>
      <c r="AR26" s="33">
        <v>5111.200574298814</v>
      </c>
      <c r="AS26" s="34">
        <v>6.7701187785521068E-5</v>
      </c>
      <c r="AT26" s="33">
        <v>5111.2006294203566</v>
      </c>
      <c r="AU26" s="34">
        <v>1.257965022817153E-5</v>
      </c>
      <c r="AV26" s="33">
        <v>5111.2006406897844</v>
      </c>
      <c r="AW26" s="34">
        <v>1.3102182375321736E-6</v>
      </c>
    </row>
    <row r="27" spans="1:49" x14ac:dyDescent="0.2">
      <c r="A27" t="s">
        <v>2</v>
      </c>
      <c r="B27" s="35">
        <v>6425.1981590000305</v>
      </c>
      <c r="C27" s="36">
        <v>273.22915400000028</v>
      </c>
      <c r="D27" s="35">
        <v>6442.6626161089407</v>
      </c>
      <c r="E27" s="36">
        <v>255.76469721154771</v>
      </c>
      <c r="F27" s="35">
        <v>6460.2319390371886</v>
      </c>
      <c r="G27" s="36">
        <v>238.19537428179319</v>
      </c>
      <c r="H27" s="35">
        <v>6477.9141408153164</v>
      </c>
      <c r="I27" s="36">
        <v>220.51317251681667</v>
      </c>
      <c r="J27" s="35">
        <v>6495.7168120980887</v>
      </c>
      <c r="K27" s="36">
        <v>202.71050605077471</v>
      </c>
      <c r="L27" s="35">
        <v>6513.6460817578736</v>
      </c>
      <c r="M27" s="36">
        <v>184.78123125643828</v>
      </c>
      <c r="N27" s="35">
        <v>6531.7039053853705</v>
      </c>
      <c r="O27" s="36">
        <v>166.72340866836291</v>
      </c>
      <c r="P27" s="35">
        <v>6549.8849937755167</v>
      </c>
      <c r="Q27" s="36">
        <v>148.54232294392614</v>
      </c>
      <c r="R27" s="35">
        <v>6568.1699048542432</v>
      </c>
      <c r="S27" s="36">
        <v>130.25741060434586</v>
      </c>
      <c r="T27" s="35">
        <v>6586.5151429964235</v>
      </c>
      <c r="U27" s="36">
        <v>111.91217271276737</v>
      </c>
      <c r="V27" s="35">
        <v>6604.8357129379219</v>
      </c>
      <c r="W27" s="36">
        <v>93.591600621284599</v>
      </c>
      <c r="X27" s="35">
        <v>6622.9768649890812</v>
      </c>
      <c r="Y27" s="36">
        <v>75.450448603425059</v>
      </c>
      <c r="Z27" s="35">
        <v>6640.6672425692032</v>
      </c>
      <c r="AA27" s="36">
        <v>57.760075394943186</v>
      </c>
      <c r="AB27" s="35">
        <v>6657.4452219790492</v>
      </c>
      <c r="AC27" s="36">
        <v>40.982092295968727</v>
      </c>
      <c r="AD27" s="35">
        <v>6672.5577055803933</v>
      </c>
      <c r="AE27" s="36">
        <v>25.869608775217888</v>
      </c>
      <c r="AF27" s="35">
        <v>6684.8928016364916</v>
      </c>
      <c r="AG27" s="36">
        <v>13.534511838888459</v>
      </c>
      <c r="AH27" s="35">
        <v>6693.2227859998511</v>
      </c>
      <c r="AI27" s="36">
        <v>5.2045278499681391</v>
      </c>
      <c r="AJ27" s="35">
        <v>6697.2073729429612</v>
      </c>
      <c r="AK27" s="36">
        <v>1.2199403280077699</v>
      </c>
      <c r="AL27" s="35">
        <v>6698.2979933562883</v>
      </c>
      <c r="AM27" s="36">
        <v>0.12931967038397049</v>
      </c>
      <c r="AN27" s="35">
        <v>6698.4243589686539</v>
      </c>
      <c r="AO27" s="36">
        <v>2.9540270870730932E-3</v>
      </c>
      <c r="AP27" s="35">
        <v>6698.4263506143352</v>
      </c>
      <c r="AQ27" s="36">
        <v>9.6238590825208526E-4</v>
      </c>
      <c r="AR27" s="35">
        <v>6698.4270627066171</v>
      </c>
      <c r="AS27" s="36">
        <v>2.5029251707238718E-4</v>
      </c>
      <c r="AT27" s="35">
        <v>6698.4272664923492</v>
      </c>
      <c r="AU27" s="36">
        <v>4.6507193471758444E-5</v>
      </c>
      <c r="AV27" s="35">
        <v>6698.4273097300438</v>
      </c>
      <c r="AW27" s="36">
        <v>4.8439003763914097E-6</v>
      </c>
    </row>
    <row r="28" spans="1:49" x14ac:dyDescent="0.2">
      <c r="A28" t="s">
        <v>35</v>
      </c>
      <c r="B28" s="41">
        <v>13763.097676000029</v>
      </c>
      <c r="C28" s="42">
        <v>382.36647899999997</v>
      </c>
      <c r="D28" s="41">
        <v>13787.592397660947</v>
      </c>
      <c r="E28" s="42">
        <v>357.83627630783957</v>
      </c>
      <c r="F28" s="41">
        <v>13812.150882739381</v>
      </c>
      <c r="G28" s="42">
        <v>333.17075747302209</v>
      </c>
      <c r="H28" s="41">
        <v>13836.783088210386</v>
      </c>
      <c r="I28" s="42">
        <v>308.35898990940814</v>
      </c>
      <c r="J28" s="41">
        <v>13861.498247672602</v>
      </c>
      <c r="K28" s="42">
        <v>283.39065371854269</v>
      </c>
      <c r="L28" s="41">
        <v>13886.303401989175</v>
      </c>
      <c r="M28" s="42">
        <v>258.25751759247004</v>
      </c>
      <c r="N28" s="41">
        <v>13911.199792603355</v>
      </c>
      <c r="O28" s="42">
        <v>232.95719007547802</v>
      </c>
      <c r="P28" s="41">
        <v>13936.17862408498</v>
      </c>
      <c r="Q28" s="42">
        <v>207.49748064006766</v>
      </c>
      <c r="R28" s="41">
        <v>13961.211918221674</v>
      </c>
      <c r="S28" s="42">
        <v>181.90593646960878</v>
      </c>
      <c r="T28" s="41">
        <v>13986.239290937521</v>
      </c>
      <c r="U28" s="42">
        <v>156.24373025806622</v>
      </c>
      <c r="V28" s="41">
        <v>14011.144901548931</v>
      </c>
      <c r="W28" s="42">
        <v>130.62988655913392</v>
      </c>
      <c r="X28" s="41">
        <v>14035.720197565486</v>
      </c>
      <c r="Y28" s="42">
        <v>105.2806386999449</v>
      </c>
      <c r="Z28" s="41">
        <v>14059.602385591055</v>
      </c>
      <c r="AA28" s="42">
        <v>80.574541709015733</v>
      </c>
      <c r="AB28" s="41">
        <v>14082.177904533895</v>
      </c>
      <c r="AC28" s="42">
        <v>57.154858742062338</v>
      </c>
      <c r="AD28" s="41">
        <v>14102.450227537616</v>
      </c>
      <c r="AE28" s="42">
        <v>36.07018947666905</v>
      </c>
      <c r="AF28" s="41">
        <v>14118.953339536629</v>
      </c>
      <c r="AG28" s="42">
        <v>18.867696511825798</v>
      </c>
      <c r="AH28" s="41">
        <v>14130.075941374609</v>
      </c>
      <c r="AI28" s="42">
        <v>7.2544065965610107</v>
      </c>
      <c r="AJ28" s="41">
        <v>14135.390076086647</v>
      </c>
      <c r="AK28" s="42">
        <v>1.700327002962674</v>
      </c>
      <c r="AL28" s="41">
        <v>14136.843899066151</v>
      </c>
      <c r="AM28" s="42">
        <v>0.18023998763697288</v>
      </c>
      <c r="AN28" s="41">
        <v>14137.012327786308</v>
      </c>
      <c r="AO28" s="42">
        <v>4.1171832166950351E-3</v>
      </c>
      <c r="AP28" s="41">
        <v>14137.014982352975</v>
      </c>
      <c r="AQ28" s="42">
        <v>1.3413278977609134E-3</v>
      </c>
      <c r="AR28" s="41">
        <v>14137.015931466698</v>
      </c>
      <c r="AS28" s="42">
        <v>3.4884585489559613E-4</v>
      </c>
      <c r="AT28" s="41">
        <v>14137.016203082621</v>
      </c>
      <c r="AU28" s="42">
        <v>6.4819523926489559E-5</v>
      </c>
      <c r="AV28" s="41">
        <v>14137.01626003968</v>
      </c>
      <c r="AW28" s="42">
        <v>6.7511989840127855E-6</v>
      </c>
    </row>
    <row r="29" spans="1:49" x14ac:dyDescent="0.2">
      <c r="A29" t="s">
        <v>53</v>
      </c>
      <c r="B29" s="35">
        <v>14362.768558000025</v>
      </c>
      <c r="C29" s="36">
        <v>817.26650999999993</v>
      </c>
      <c r="D29" s="35">
        <v>14366.594388630749</v>
      </c>
      <c r="E29" s="36">
        <v>757.2376623699422</v>
      </c>
      <c r="F29" s="35">
        <v>14368.442193397781</v>
      </c>
      <c r="G29" s="36">
        <v>697.47900211676006</v>
      </c>
      <c r="H29" s="35">
        <v>14368.016549546806</v>
      </c>
      <c r="I29" s="36">
        <v>638.03617848160184</v>
      </c>
      <c r="J29" s="35">
        <v>14364.953696374465</v>
      </c>
      <c r="K29" s="36">
        <v>578.96688896535022</v>
      </c>
      <c r="L29" s="35">
        <v>14358.798738858788</v>
      </c>
      <c r="M29" s="36">
        <v>520.34571592805298</v>
      </c>
      <c r="N29" s="35">
        <v>14348.970905871274</v>
      </c>
      <c r="O29" s="36">
        <v>462.27360798276106</v>
      </c>
      <c r="P29" s="35">
        <v>14334.713748113467</v>
      </c>
      <c r="Q29" s="36">
        <v>404.8885206124553</v>
      </c>
      <c r="R29" s="35">
        <v>14315.015546311906</v>
      </c>
      <c r="S29" s="36">
        <v>348.38575943358819</v>
      </c>
      <c r="T29" s="35">
        <v>14288.484091318935</v>
      </c>
      <c r="U29" s="36">
        <v>293.0453550271734</v>
      </c>
      <c r="V29" s="35">
        <v>14253.137836755688</v>
      </c>
      <c r="W29" s="36">
        <v>239.27625631212399</v>
      </c>
      <c r="X29" s="35">
        <v>14206.045253641541</v>
      </c>
      <c r="Y29" s="36">
        <v>187.68238413374448</v>
      </c>
      <c r="Z29" s="35">
        <v>14142.671420543167</v>
      </c>
      <c r="AA29" s="36">
        <v>139.16240743827589</v>
      </c>
      <c r="AB29" s="35">
        <v>14055.637523782711</v>
      </c>
      <c r="AC29" s="36">
        <v>95.047549957926591</v>
      </c>
      <c r="AD29" s="35">
        <v>13932.261452952831</v>
      </c>
      <c r="AE29" s="36">
        <v>57.246207394663486</v>
      </c>
      <c r="AF29" s="35">
        <v>13749.572596992461</v>
      </c>
      <c r="AG29" s="36">
        <v>28.196674696188968</v>
      </c>
      <c r="AH29" s="35">
        <v>13464.261758554319</v>
      </c>
      <c r="AI29" s="36">
        <v>9.994523911421787</v>
      </c>
      <c r="AJ29" s="35">
        <v>12990.615453747016</v>
      </c>
      <c r="AK29" s="36">
        <v>2.0868222279038471</v>
      </c>
      <c r="AL29" s="35">
        <v>12125.692152051595</v>
      </c>
      <c r="AM29" s="36">
        <v>0.18561558529242694</v>
      </c>
      <c r="AN29" s="35">
        <v>10140.446432130851</v>
      </c>
      <c r="AO29" s="36">
        <v>3.0925384012198583E-3</v>
      </c>
      <c r="AP29" s="35">
        <v>9384.6432403345789</v>
      </c>
      <c r="AQ29" s="36">
        <v>9.0793397424491216E-4</v>
      </c>
      <c r="AR29" s="35">
        <v>8355.0226525621438</v>
      </c>
      <c r="AS29" s="36">
        <v>2.0621196465128795E-4</v>
      </c>
      <c r="AT29" s="35">
        <v>6862.1244191895757</v>
      </c>
      <c r="AU29" s="36">
        <v>3.1587747061174689E-5</v>
      </c>
      <c r="AV29" s="35">
        <v>4481.1095799227487</v>
      </c>
      <c r="AW29" s="36">
        <v>2.3535868364663191E-6</v>
      </c>
    </row>
    <row r="30" spans="1:49" x14ac:dyDescent="0.2">
      <c r="A30" t="s">
        <v>48</v>
      </c>
      <c r="B30" s="119">
        <v>2924829.9599999995</v>
      </c>
      <c r="D30" s="119">
        <v>2992599.4178900709</v>
      </c>
      <c r="F30" s="119">
        <v>3061267.0638975105</v>
      </c>
      <c r="H30" s="119">
        <v>3130965.983518105</v>
      </c>
      <c r="J30" s="119">
        <v>3201855.2718999716</v>
      </c>
      <c r="L30" s="119">
        <v>3274130.7752743936</v>
      </c>
      <c r="N30" s="119">
        <v>3348042.6003248659</v>
      </c>
      <c r="P30" s="119">
        <v>3423925.4895376279</v>
      </c>
      <c r="R30" s="119">
        <v>3502249.3962092875</v>
      </c>
      <c r="T30" s="119">
        <v>3583713.3069057902</v>
      </c>
      <c r="V30" s="119">
        <v>3669412.5652672946</v>
      </c>
      <c r="X30" s="119">
        <v>3761156.5647812025</v>
      </c>
      <c r="Z30" s="119">
        <v>3862078.4184541786</v>
      </c>
      <c r="AB30" s="119">
        <v>3977837.7007072261</v>
      </c>
      <c r="AD30" s="119">
        <v>4118971.1500110403</v>
      </c>
      <c r="AF30" s="119">
        <v>4305070.0856537549</v>
      </c>
      <c r="AH30" s="119">
        <v>4569715.3223584993</v>
      </c>
      <c r="AJ30" s="119">
        <v>4958183.0023014257</v>
      </c>
      <c r="AL30" s="119">
        <v>5507840.7453218754</v>
      </c>
      <c r="AN30" s="119">
        <v>6132354.3815866681</v>
      </c>
      <c r="AP30" s="119">
        <v>6180854.7060800716</v>
      </c>
      <c r="AR30" s="119">
        <v>6100001.4156105723</v>
      </c>
      <c r="AT30" s="119">
        <v>5701232.8183293687</v>
      </c>
      <c r="AV30" s="119">
        <v>4419836.1547471173</v>
      </c>
    </row>
    <row r="31" spans="1:49" x14ac:dyDescent="0.2">
      <c r="A31" t="s">
        <v>47</v>
      </c>
      <c r="B31" s="80">
        <v>1</v>
      </c>
      <c r="D31" s="80">
        <v>0.9978963757772612</v>
      </c>
      <c r="F31" s="80">
        <v>0.99537870438636677</v>
      </c>
      <c r="H31" s="80">
        <v>0.99239112808957597</v>
      </c>
      <c r="J31" s="80">
        <v>0.98886639420612921</v>
      </c>
      <c r="L31" s="80">
        <v>0.98472260304840498</v>
      </c>
      <c r="N31" s="80">
        <v>0.97985847119586977</v>
      </c>
      <c r="P31" s="80">
        <v>0.97414683523188705</v>
      </c>
      <c r="R31" s="80">
        <v>0.96742460868266722</v>
      </c>
      <c r="T31" s="80">
        <v>0.95947781396255749</v>
      </c>
      <c r="V31" s="80">
        <v>0.95001741429540343</v>
      </c>
      <c r="X31" s="80">
        <v>0.93863942316403937</v>
      </c>
      <c r="Z31" s="80">
        <v>0.92475521499811197</v>
      </c>
      <c r="AB31" s="80">
        <v>0.90746428639717291</v>
      </c>
      <c r="AD31" s="80">
        <v>0.88531041115248466</v>
      </c>
      <c r="AF31" s="80">
        <v>0.85580120179529517</v>
      </c>
      <c r="AH31" s="80">
        <v>0.8144640218437329</v>
      </c>
      <c r="AJ31" s="80">
        <v>0.75293630995913874</v>
      </c>
      <c r="AL31" s="80">
        <v>0.65386697430316643</v>
      </c>
      <c r="AN31" s="80">
        <v>0.47078231890322431</v>
      </c>
      <c r="AP31" s="80">
        <v>0.4135289459099718</v>
      </c>
      <c r="AR31" s="80">
        <v>0.34410505167532562</v>
      </c>
      <c r="AT31" s="80">
        <v>0.25786215612821467</v>
      </c>
      <c r="AV31" s="80">
        <v>0.14733318232448125</v>
      </c>
    </row>
    <row r="32" spans="1:49" x14ac:dyDescent="0.2">
      <c r="A32" t="s">
        <v>64</v>
      </c>
      <c r="B32" s="86">
        <v>14734457.915000005</v>
      </c>
      <c r="D32" s="86">
        <v>14736737.181163151</v>
      </c>
      <c r="F32" s="86">
        <v>14736489.144633822</v>
      </c>
      <c r="H32" s="86">
        <v>14733328.84639743</v>
      </c>
      <c r="J32" s="86">
        <v>14726793.00660827</v>
      </c>
      <c r="L32" s="86">
        <v>14716324.06447364</v>
      </c>
      <c r="N32" s="86">
        <v>14701249.168812256</v>
      </c>
      <c r="P32" s="86">
        <v>14680759.627371384</v>
      </c>
      <c r="R32" s="86">
        <v>14653884.516406087</v>
      </c>
      <c r="T32" s="86">
        <v>14619467.888637872</v>
      </c>
      <c r="V32" s="86">
        <v>14576149.439782221</v>
      </c>
      <c r="X32" s="86">
        <v>14522362.502474908</v>
      </c>
      <c r="Z32" s="86">
        <v>14456361.002647523</v>
      </c>
      <c r="AB32" s="86">
        <v>14376275.006225536</v>
      </c>
      <c r="AD32" s="86">
        <v>14280015.698869333</v>
      </c>
      <c r="AF32" s="86">
        <v>14163841.189359104</v>
      </c>
      <c r="AH32" s="86">
        <v>14013822.036174916</v>
      </c>
      <c r="AJ32" s="86">
        <v>13771017.938892031</v>
      </c>
      <c r="AL32" s="86">
        <v>13224589.820375204</v>
      </c>
      <c r="AN32" s="86">
        <v>11556037.866208849</v>
      </c>
      <c r="AP32" s="86">
        <v>10829185.477678627</v>
      </c>
      <c r="AR32" s="86">
        <v>9785729.5834004246</v>
      </c>
      <c r="AT32" s="86">
        <v>8187413.2698556855</v>
      </c>
      <c r="AV32" s="86">
        <v>5479259.6894013025</v>
      </c>
    </row>
    <row r="33" spans="1:49 16319:16321" x14ac:dyDescent="0.2">
      <c r="A33" t="s">
        <v>54</v>
      </c>
      <c r="B33" s="117">
        <v>7019665.6909999885</v>
      </c>
      <c r="D33" s="117">
        <v>7020751.5652718581</v>
      </c>
      <c r="F33" s="117">
        <v>7020633.3987335907</v>
      </c>
      <c r="H33" s="117">
        <v>7019127.7986151651</v>
      </c>
      <c r="J33" s="117">
        <v>7016014.0709863463</v>
      </c>
      <c r="L33" s="117">
        <v>7011026.5288526295</v>
      </c>
      <c r="N33" s="117">
        <v>7003844.6622730922</v>
      </c>
      <c r="P33" s="117">
        <v>6994083.27321955</v>
      </c>
      <c r="R33" s="117">
        <v>6981279.6437694542</v>
      </c>
      <c r="T33" s="117">
        <v>6964883.1766786668</v>
      </c>
      <c r="V33" s="117">
        <v>6944245.7073976714</v>
      </c>
      <c r="X33" s="117">
        <v>6918620.991609659</v>
      </c>
      <c r="Z33" s="117">
        <v>6887177.1230748501</v>
      </c>
      <c r="AB33" s="117">
        <v>6849023.2240560818</v>
      </c>
      <c r="AD33" s="117">
        <v>6803164.1769214226</v>
      </c>
      <c r="AF33" s="117">
        <v>6747817.3054282544</v>
      </c>
      <c r="AH33" s="117">
        <v>6676346.4466505116</v>
      </c>
      <c r="AJ33" s="117">
        <v>6560671.7744966997</v>
      </c>
      <c r="AL33" s="117">
        <v>6300347.116613782</v>
      </c>
      <c r="AN33" s="117">
        <v>5505429.7213568706</v>
      </c>
      <c r="AP33" s="117">
        <v>5159148.8602881562</v>
      </c>
      <c r="AR33" s="117">
        <v>4662034.4375254558</v>
      </c>
      <c r="AT33" s="117">
        <v>3900578.1115255952</v>
      </c>
      <c r="AV33" s="117">
        <v>2610382.5112291845</v>
      </c>
    </row>
    <row r="34" spans="1:49 16319:16321" x14ac:dyDescent="0.2">
      <c r="A34" t="s">
        <v>75</v>
      </c>
      <c r="B34" s="117">
        <v>1136879.4410000162</v>
      </c>
      <c r="D34" s="117">
        <v>1137055.2988507668</v>
      </c>
      <c r="F34" s="117">
        <v>1137036.1599825248</v>
      </c>
      <c r="H34" s="117">
        <v>1136792.3157442887</v>
      </c>
      <c r="J34" s="117">
        <v>1136288.0018772327</v>
      </c>
      <c r="L34" s="117">
        <v>1135480.258600876</v>
      </c>
      <c r="N34" s="117">
        <v>1134317.1236959214</v>
      </c>
      <c r="P34" s="117">
        <v>1132736.1298692422</v>
      </c>
      <c r="R34" s="117">
        <v>1130662.5199836614</v>
      </c>
      <c r="T34" s="117">
        <v>1128006.9948752578</v>
      </c>
      <c r="V34" s="117">
        <v>1124664.6958085434</v>
      </c>
      <c r="X34" s="117">
        <v>1120514.6086121933</v>
      </c>
      <c r="Z34" s="117">
        <v>1115422.0659060238</v>
      </c>
      <c r="AB34" s="117">
        <v>1109242.8074732001</v>
      </c>
      <c r="AD34" s="117">
        <v>1101815.6469135822</v>
      </c>
      <c r="AF34" s="117">
        <v>1092851.864067588</v>
      </c>
      <c r="AH34" s="117">
        <v>1081276.7091699101</v>
      </c>
      <c r="AJ34" s="117">
        <v>1062542.4611495275</v>
      </c>
      <c r="AL34" s="117">
        <v>1020381.2294400729</v>
      </c>
      <c r="AN34" s="117">
        <v>891639.30870750896</v>
      </c>
      <c r="AP34" s="117">
        <v>835556.9240056891</v>
      </c>
      <c r="AR34" s="117">
        <v>755046.08603401203</v>
      </c>
      <c r="AT34" s="117">
        <v>631723.39798084507</v>
      </c>
      <c r="AV34" s="117">
        <v>422768.02640003082</v>
      </c>
    </row>
    <row r="35" spans="1:49 16319:16321" x14ac:dyDescent="0.2">
      <c r="A35" t="s">
        <v>78</v>
      </c>
      <c r="B35" s="233">
        <v>1</v>
      </c>
      <c r="D35" s="233">
        <v>1.0022642867107237</v>
      </c>
      <c r="F35" s="233">
        <v>1.0047918713035702</v>
      </c>
      <c r="H35" s="233">
        <v>1.0076294689271885</v>
      </c>
      <c r="J35" s="233">
        <v>1.0108364133191983</v>
      </c>
      <c r="L35" s="233">
        <v>1.0144895098254432</v>
      </c>
      <c r="N35" s="233">
        <v>1.0186904352206625</v>
      </c>
      <c r="P35" s="233">
        <v>1.0235771292896823</v>
      </c>
      <c r="R35" s="233">
        <v>1.0293421628166872</v>
      </c>
      <c r="T35" s="233">
        <v>1.0362632866135975</v>
      </c>
      <c r="V35" s="233">
        <v>1.044756360751389</v>
      </c>
      <c r="X35" s="233">
        <v>1.0554716016842356</v>
      </c>
      <c r="Z35" s="233">
        <v>1.0694779264919565</v>
      </c>
      <c r="AB35" s="233">
        <v>1.0886372046388408</v>
      </c>
      <c r="AD35" s="233">
        <v>1.1164088503265193</v>
      </c>
      <c r="AF35" s="233">
        <v>1.1596576713197131</v>
      </c>
      <c r="AH35" s="233">
        <v>1.2327950213718875</v>
      </c>
      <c r="AJ35" s="233">
        <v>1.3678985884156485</v>
      </c>
      <c r="AL35" s="233">
        <v>1.6490821399632289</v>
      </c>
      <c r="AN35" s="233">
        <v>2.4044487481875065</v>
      </c>
      <c r="AP35" s="233">
        <v>2.71909618463825</v>
      </c>
      <c r="AR35" s="233">
        <v>3.1650628659109965</v>
      </c>
      <c r="AT35" s="233">
        <v>3.8407630194166265</v>
      </c>
      <c r="AV35" s="233">
        <v>4.9756795201412984</v>
      </c>
    </row>
    <row r="36" spans="1:49 16319:16321" x14ac:dyDescent="0.2">
      <c r="A36" t="s">
        <v>21</v>
      </c>
      <c r="B36" s="37">
        <v>0.47195767671988198</v>
      </c>
      <c r="C36" s="38">
        <v>0.31738834428178964</v>
      </c>
      <c r="D36" s="37">
        <v>0.47198119063101884</v>
      </c>
      <c r="E36" s="38">
        <v>0.31995787525416935</v>
      </c>
      <c r="F36" s="37">
        <v>0.47200588379734881</v>
      </c>
      <c r="G36" s="38">
        <v>0.32279159007050601</v>
      </c>
      <c r="H36" s="37">
        <v>0.47203192943394345</v>
      </c>
      <c r="I36" s="38">
        <v>0.32592996145832553</v>
      </c>
      <c r="J36" s="37">
        <v>0.47205953174159831</v>
      </c>
      <c r="K36" s="38">
        <v>0.32942238948438513</v>
      </c>
      <c r="L36" s="37">
        <v>0.47208892728597179</v>
      </c>
      <c r="M36" s="38">
        <v>0.33332997529418051</v>
      </c>
      <c r="N36" s="37">
        <v>0.47212038464127132</v>
      </c>
      <c r="O36" s="38">
        <v>0.33772955495689172</v>
      </c>
      <c r="P36" s="37">
        <v>0.47215419464202968</v>
      </c>
      <c r="Q36" s="38">
        <v>0.34271957998017688</v>
      </c>
      <c r="R36" s="37">
        <v>0.4721906452976759</v>
      </c>
      <c r="S36" s="38">
        <v>0.34842917736537982</v>
      </c>
      <c r="T36" s="37">
        <v>0.47222996905358672</v>
      </c>
      <c r="U36" s="38">
        <v>0.35503250212592219</v>
      </c>
      <c r="V36" s="37">
        <v>0.47227222595029344</v>
      </c>
      <c r="W36" s="38">
        <v>0.36277245523992124</v>
      </c>
      <c r="X36" s="37">
        <v>0.4723170707983308</v>
      </c>
      <c r="Y36" s="38">
        <v>0.372001776450608</v>
      </c>
      <c r="Z36" s="37">
        <v>0.47236328098294467</v>
      </c>
      <c r="AA36" s="38">
        <v>0.38325778551278333</v>
      </c>
      <c r="AB36" s="37">
        <v>0.4724078312951514</v>
      </c>
      <c r="AC36" s="38">
        <v>0.39740551682463987</v>
      </c>
      <c r="AD36" s="37">
        <v>0.47244420267257076</v>
      </c>
      <c r="AE36" s="38">
        <v>0.41592462137326208</v>
      </c>
      <c r="AF36" s="37">
        <v>0.47245999991675153</v>
      </c>
      <c r="AG36" s="38">
        <v>0.44149762517578695</v>
      </c>
      <c r="AH36" s="37">
        <v>0.47243691042587216</v>
      </c>
      <c r="AI36" s="38">
        <v>0.4791943206459191</v>
      </c>
      <c r="AJ36" s="37">
        <v>0.47236267000993354</v>
      </c>
      <c r="AK36" s="38">
        <v>0.53892308557345847</v>
      </c>
      <c r="AL36" s="37">
        <v>0.47225377017129078</v>
      </c>
      <c r="AM36" s="38">
        <v>0.64288226266283865</v>
      </c>
      <c r="AN36" s="37">
        <v>0.47215535766777161</v>
      </c>
      <c r="AO36" s="38">
        <v>0.86333289801979674</v>
      </c>
      <c r="AP36" s="37">
        <v>0.47214297104447533</v>
      </c>
      <c r="AQ36" s="38">
        <v>0.94192944179543736</v>
      </c>
      <c r="AR36" s="37">
        <v>0.4721356787492007</v>
      </c>
      <c r="AS36" s="38">
        <v>1.0451936797419543</v>
      </c>
      <c r="AT36" s="37">
        <v>0.47213622677105271</v>
      </c>
      <c r="AU36" s="38">
        <v>1.1883176379985299</v>
      </c>
      <c r="AV36" s="37">
        <v>0.47215012832618941</v>
      </c>
      <c r="AW36" s="38">
        <v>1.4035939406340703</v>
      </c>
    </row>
    <row r="37" spans="1:49 16319:16321" x14ac:dyDescent="0.2">
      <c r="B37" s="39">
        <v>2.1403217525954466E-2</v>
      </c>
      <c r="C37" s="40">
        <v>0.3496246130199252</v>
      </c>
      <c r="D37" s="39">
        <v>2.0685039978744948E-2</v>
      </c>
      <c r="E37" s="40">
        <v>0.34530612970041763</v>
      </c>
      <c r="F37" s="39">
        <v>1.9954937185701058E-2</v>
      </c>
      <c r="G37" s="40">
        <v>0.34089103808045917</v>
      </c>
      <c r="H37" s="39">
        <v>1.9212189926286011E-2</v>
      </c>
      <c r="I37" s="40">
        <v>0.33637437632383976</v>
      </c>
      <c r="J37" s="39">
        <v>1.8455952979340474E-2</v>
      </c>
      <c r="K37" s="40">
        <v>0.33175056652065738</v>
      </c>
      <c r="L37" s="39">
        <v>1.7685206089429105E-2</v>
      </c>
      <c r="M37" s="40">
        <v>0.32701317481650638</v>
      </c>
      <c r="N37" s="39">
        <v>1.6898670787190807E-2</v>
      </c>
      <c r="O37" s="40">
        <v>0.32215448470535729</v>
      </c>
      <c r="P37" s="39">
        <v>1.6094699552767492E-2</v>
      </c>
      <c r="Q37" s="40">
        <v>0.31716492139652674</v>
      </c>
      <c r="R37" s="39">
        <v>1.5271095431232787E-2</v>
      </c>
      <c r="S37" s="40">
        <v>0.31203209507415519</v>
      </c>
      <c r="T37" s="39">
        <v>1.4424839786246962E-2</v>
      </c>
      <c r="U37" s="40">
        <v>0.30673933999333869</v>
      </c>
      <c r="V37" s="39">
        <v>1.355167685897494E-2</v>
      </c>
      <c r="W37" s="40">
        <v>0.30126349159096177</v>
      </c>
      <c r="X37" s="39">
        <v>1.2645470568366618E-2</v>
      </c>
      <c r="Y37" s="40">
        <v>0.2955714840736815</v>
      </c>
      <c r="Z37" s="39">
        <v>1.1697233388417719E-2</v>
      </c>
      <c r="AA37" s="40">
        <v>0.28961539379504542</v>
      </c>
      <c r="AB37" s="39">
        <v>1.0693745627103101E-2</v>
      </c>
      <c r="AC37" s="40">
        <v>0.28332597770973761</v>
      </c>
      <c r="AD37" s="39">
        <v>9.6160130692256474E-3</v>
      </c>
      <c r="AE37" s="40">
        <v>0.27660753487025874</v>
      </c>
      <c r="AF37" s="39">
        <v>8.4393138379017622E-3</v>
      </c>
      <c r="AG37" s="40">
        <v>0.26934771365547372</v>
      </c>
      <c r="AH37" s="39">
        <v>7.1406302674201557E-3</v>
      </c>
      <c r="AI37" s="40">
        <v>0.26148235239285944</v>
      </c>
      <c r="AJ37" s="39">
        <v>5.7191884338069557E-3</v>
      </c>
      <c r="AK37" s="40">
        <v>0.25315047897704701</v>
      </c>
      <c r="AL37" s="39">
        <v>4.2049664977024184E-3</v>
      </c>
      <c r="AM37" s="40">
        <v>0.24477826413262216</v>
      </c>
      <c r="AN37" s="39">
        <v>2.6168956647540185E-3</v>
      </c>
      <c r="AO37" s="40">
        <v>0.23691324663156774</v>
      </c>
      <c r="AP37" s="39">
        <v>2.2879182700381489E-3</v>
      </c>
      <c r="AQ37" s="40">
        <v>0.23545711836248839</v>
      </c>
      <c r="AR37" s="39">
        <v>1.9533673535486241E-3</v>
      </c>
      <c r="AS37" s="40">
        <v>0.23405812526226319</v>
      </c>
      <c r="AT37" s="39">
        <v>1.6116387940214741E-3</v>
      </c>
      <c r="AU37" s="40">
        <v>0.23272977673290776</v>
      </c>
      <c r="AV37" s="39">
        <v>1.2600283278116173E-3</v>
      </c>
      <c r="AW37" s="40">
        <v>0.23149414189842019</v>
      </c>
    </row>
    <row r="38" spans="1:49 16319:16321" x14ac:dyDescent="0.2">
      <c r="A38" t="s">
        <v>22</v>
      </c>
      <c r="B38" s="37">
        <v>0.18079094942242827</v>
      </c>
      <c r="C38" s="38">
        <v>6.0565413429233668E-2</v>
      </c>
      <c r="D38" s="37">
        <v>0.18090845318998464</v>
      </c>
      <c r="E38" s="38">
        <v>6.0897498089516527E-2</v>
      </c>
      <c r="F38" s="37">
        <v>0.18105111348806566</v>
      </c>
      <c r="G38" s="38">
        <v>6.1264077978604364E-2</v>
      </c>
      <c r="H38" s="37">
        <v>0.18122271816057584</v>
      </c>
      <c r="I38" s="38">
        <v>6.1670534727536426E-2</v>
      </c>
      <c r="J38" s="37">
        <v>0.18142794219315517</v>
      </c>
      <c r="K38" s="38">
        <v>6.2123447478988028E-2</v>
      </c>
      <c r="L38" s="37">
        <v>0.18167264467925556</v>
      </c>
      <c r="M38" s="38">
        <v>6.2630998097475604E-2</v>
      </c>
      <c r="N38" s="37">
        <v>0.18196431645700231</v>
      </c>
      <c r="O38" s="38">
        <v>6.3203458727998957E-2</v>
      </c>
      <c r="P38" s="37">
        <v>0.18231273412614787</v>
      </c>
      <c r="Q38" s="38">
        <v>6.3854076975058766E-2</v>
      </c>
      <c r="R38" s="37">
        <v>0.18273100247481272</v>
      </c>
      <c r="S38" s="38">
        <v>6.4600237339174055E-2</v>
      </c>
      <c r="T38" s="37">
        <v>0.18323722118937302</v>
      </c>
      <c r="U38" s="38">
        <v>6.5465477349030896E-2</v>
      </c>
      <c r="V38" s="37">
        <v>0.18385730254814858</v>
      </c>
      <c r="W38" s="38">
        <v>6.6482724940320037E-2</v>
      </c>
      <c r="X38" s="37">
        <v>0.18462993945397604</v>
      </c>
      <c r="Y38" s="38">
        <v>6.7699999961875187E-2</v>
      </c>
      <c r="Z38" s="37">
        <v>0.18561584792541247</v>
      </c>
      <c r="AA38" s="38">
        <v>6.9190788841197629E-2</v>
      </c>
      <c r="AB38" s="37">
        <v>0.18691595466454483</v>
      </c>
      <c r="AC38" s="38">
        <v>7.1074172178748604E-2</v>
      </c>
      <c r="AD38" s="37">
        <v>0.18870930455429444</v>
      </c>
      <c r="AE38" s="38">
        <v>7.3555619740044209E-2</v>
      </c>
      <c r="AF38" s="37">
        <v>0.19133594928131542</v>
      </c>
      <c r="AG38" s="38">
        <v>7.7012631019574063E-2</v>
      </c>
      <c r="AH38" s="37">
        <v>0.19548555253527425</v>
      </c>
      <c r="AI38" s="38">
        <v>8.2174551053604522E-2</v>
      </c>
      <c r="AJ38" s="37">
        <v>0.20268542912743351</v>
      </c>
      <c r="AK38" s="38">
        <v>9.0526859277016605E-2</v>
      </c>
      <c r="AL38" s="37">
        <v>0.21720201434924627</v>
      </c>
      <c r="AM38" s="38">
        <v>0.10567968124923451</v>
      </c>
      <c r="AN38" s="37">
        <v>0.25977679235072332</v>
      </c>
      <c r="AO38" s="38">
        <v>0.14179661608020358</v>
      </c>
      <c r="AP38" s="37">
        <v>0.28070509483755507</v>
      </c>
      <c r="AQ38" s="38">
        <v>0.15667015901997899</v>
      </c>
      <c r="AR38" s="37">
        <v>0.31530196923659254</v>
      </c>
      <c r="AS38" s="38">
        <v>0.17863423023252639</v>
      </c>
      <c r="AT38" s="37">
        <v>0.38389748133313295</v>
      </c>
      <c r="AU38" s="38">
        <v>0.21577211698991688</v>
      </c>
      <c r="AV38" s="37">
        <v>0.58786337041847114</v>
      </c>
      <c r="AW38" s="38">
        <v>0.30037075742621194</v>
      </c>
    </row>
    <row r="39" spans="1:49 16319:16321" x14ac:dyDescent="0.2">
      <c r="A39" t="s">
        <v>23</v>
      </c>
      <c r="B39" s="39">
        <v>0.23064923795098732</v>
      </c>
      <c r="C39" s="40">
        <v>0.22092201281804777</v>
      </c>
      <c r="D39" s="39">
        <v>0.23120386941547208</v>
      </c>
      <c r="E39" s="40">
        <v>0.22232801885548165</v>
      </c>
      <c r="F39" s="39">
        <v>0.2317932779729413</v>
      </c>
      <c r="G39" s="40">
        <v>0.2238630135473863</v>
      </c>
      <c r="H39" s="39">
        <v>0.23242267590314472</v>
      </c>
      <c r="I39" s="40">
        <v>0.22554710677895978</v>
      </c>
      <c r="J39" s="39">
        <v>0.23309844137445226</v>
      </c>
      <c r="K39" s="40">
        <v>0.2274048940787419</v>
      </c>
      <c r="L39" s="39">
        <v>0.23382848882720803</v>
      </c>
      <c r="M39" s="40">
        <v>0.22946680597758126</v>
      </c>
      <c r="N39" s="39">
        <v>0.23462279496355903</v>
      </c>
      <c r="O39" s="40">
        <v>0.2317712058325174</v>
      </c>
      <c r="P39" s="39">
        <v>0.23549419572561142</v>
      </c>
      <c r="Q39" s="40">
        <v>0.23436721013760384</v>
      </c>
      <c r="R39" s="39">
        <v>0.236459597711105</v>
      </c>
      <c r="S39" s="40">
        <v>0.23731931645026078</v>
      </c>
      <c r="T39" s="39">
        <v>0.2375419477817097</v>
      </c>
      <c r="U39" s="40">
        <v>0.24071450548861217</v>
      </c>
      <c r="V39" s="39">
        <v>0.23877353508120433</v>
      </c>
      <c r="W39" s="40">
        <v>0.24467416109557355</v>
      </c>
      <c r="X39" s="39">
        <v>0.24020186436286894</v>
      </c>
      <c r="Y39" s="40">
        <v>0.24937472323266063</v>
      </c>
      <c r="Z39" s="39">
        <v>0.24190069272286518</v>
      </c>
      <c r="AA39" s="40">
        <v>0.25508561966735177</v>
      </c>
      <c r="AB39" s="39">
        <v>0.24399214091984647</v>
      </c>
      <c r="AC39" s="40">
        <v>0.26224256623455516</v>
      </c>
      <c r="AD39" s="39">
        <v>0.24669391634297186</v>
      </c>
      <c r="AE39" s="40">
        <v>0.27159707302873209</v>
      </c>
      <c r="AF39" s="39">
        <v>0.25042603287832305</v>
      </c>
      <c r="AG39" s="40">
        <v>0.28453129473979538</v>
      </c>
      <c r="AH39" s="39">
        <v>0.25606291216212596</v>
      </c>
      <c r="AI39" s="40">
        <v>0.30372463304703806</v>
      </c>
      <c r="AJ39" s="39">
        <v>0.26559591215112927</v>
      </c>
      <c r="AK39" s="40">
        <v>0.33465980075897989</v>
      </c>
      <c r="AL39" s="39">
        <v>0.28464814349314249</v>
      </c>
      <c r="AM39" s="40">
        <v>0.39069728355367839</v>
      </c>
      <c r="AN39" s="39">
        <v>0.34044749711167932</v>
      </c>
      <c r="AO39" s="40">
        <v>0.52422458408031924</v>
      </c>
      <c r="AP39" s="39">
        <v>0.36787491461866184</v>
      </c>
      <c r="AQ39" s="40">
        <v>0.57921241008272628</v>
      </c>
      <c r="AR39" s="39">
        <v>0.41321548879909131</v>
      </c>
      <c r="AS39" s="40">
        <v>0.66041398360442716</v>
      </c>
      <c r="AT39" s="39">
        <v>0.50311258409576876</v>
      </c>
      <c r="AU39" s="40">
        <v>0.79771340288843284</v>
      </c>
      <c r="AV39" s="39">
        <v>0.770417819925303</v>
      </c>
      <c r="AW39" s="40">
        <v>1.1104760896125696</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0.1080000000000008</v>
      </c>
      <c r="E42" s="135"/>
      <c r="F42" s="177">
        <f>10.8%+(1-10.8%)*(1-SUM(F26:G26)/SUM($B$26:$C$26))</f>
        <v>0.10799999999999982</v>
      </c>
      <c r="G42" s="135"/>
      <c r="H42" s="177">
        <f>10.8%+(1-10.8%)*(1-SUM(H26:I26)/SUM($B$26:$C$26))</f>
        <v>0.10800000000000001</v>
      </c>
      <c r="I42" s="135"/>
      <c r="J42" s="177">
        <f>10.8%+(1-10.8%)*(1-SUM(J26:K26)/SUM($B$26:$C$26))</f>
        <v>0.1080000000000003</v>
      </c>
      <c r="K42" s="135"/>
      <c r="L42" s="177">
        <f>10.8%+(1-10.8%)*(1-SUM(L26:M26)/SUM($B$26:$C$26))</f>
        <v>0.10800000000000001</v>
      </c>
      <c r="M42" s="135"/>
      <c r="N42" s="177">
        <f>10.8%+(1-10.8%)*(1-SUM(N26:O26)/SUM($B$26:$C$26))</f>
        <v>0.10799999999999982</v>
      </c>
      <c r="O42" s="135"/>
      <c r="P42" s="177">
        <f>10.8%+(1-10.8%)*(1-SUM(P26:Q26)/SUM($B$26:$C$26))</f>
        <v>0.10800000000000001</v>
      </c>
      <c r="Q42" s="135"/>
      <c r="R42" s="177">
        <f>10.8%+(1-10.8%)*(1-SUM(R26:S26)/SUM($B$26:$C$26))</f>
        <v>0.10799999999999942</v>
      </c>
      <c r="S42" s="135"/>
      <c r="T42" s="177">
        <f>10.8%+(1-10.8%)*(1-SUM(T26:U26)/SUM($B$26:$C$26))</f>
        <v>0.10800000000000021</v>
      </c>
      <c r="U42" s="135"/>
      <c r="V42" s="177">
        <f>10.8%+(1-10.8%)*(1-SUM(V26:W26)/SUM($B$26:$C$26))</f>
        <v>0.10800000000000001</v>
      </c>
      <c r="W42" s="135"/>
      <c r="X42" s="177">
        <f>10.8%+(1-10.8%)*(1-SUM(X26:Y26)/SUM($B$26:$C$26))</f>
        <v>0.1080000000000003</v>
      </c>
      <c r="Y42" s="162"/>
      <c r="Z42" s="177">
        <f>10.8%+(1-10.8%)*(1-SUM(Z26:AA26)/SUM($B$26:$C$26))</f>
        <v>0.10800000000000021</v>
      </c>
      <c r="AA42" s="135"/>
      <c r="AB42" s="177">
        <f>10.8%+(1-10.8%)*(1-SUM(AB26:AC26)/SUM($B$26:$C$26))</f>
        <v>0.10800000000000021</v>
      </c>
      <c r="AC42" s="135"/>
      <c r="AD42" s="177">
        <f>10.8%+(1-10.8%)*(1-SUM(AD26:AE26)/SUM($B$26:$C$26))</f>
        <v>0.10800000000000001</v>
      </c>
      <c r="AE42" s="135"/>
      <c r="AF42" s="177">
        <f>10.8%+(1-10.8%)*(1-SUM(AF26:AG26)/SUM($B$26:$C$26))</f>
        <v>0.10799999999999922</v>
      </c>
      <c r="AG42" s="135"/>
      <c r="AH42" s="177">
        <f>10.8%+(1-10.8%)*(1-SUM(AH26:AI26)/SUM($B$26:$C$26))</f>
        <v>0.10799999999999982</v>
      </c>
      <c r="AI42" s="135"/>
      <c r="AJ42" s="177">
        <f>10.8%+(1-10.8%)*(1-SUM(AJ26:AK26)/SUM($B$26:$C$26))</f>
        <v>0.10799999999999982</v>
      </c>
      <c r="AK42" s="135"/>
      <c r="AL42" s="177">
        <f>10.8%+(1-10.8%)*(1-SUM(AL26:AM26)/SUM($B$26:$C$26))</f>
        <v>0.10800000000000001</v>
      </c>
      <c r="AM42" s="135"/>
      <c r="AN42" s="177">
        <f>10.8%+(1-10.8%)*(1-SUM(AN26:AO26)/SUM($B$26:$C$26))</f>
        <v>0.10800000000000001</v>
      </c>
      <c r="AO42" s="135"/>
      <c r="AP42" s="177">
        <f>10.8%+(1-10.8%)*(1-SUM(AP26:AQ26)/SUM($B$26:$C$26))</f>
        <v>0.10800000000000051</v>
      </c>
      <c r="AQ42" s="135"/>
      <c r="AR42" s="177">
        <f>10.8%+(1-10.8%)*(1-SUM(AR26:AS26)/SUM($B$26:$C$26))</f>
        <v>0.1080000000000003</v>
      </c>
      <c r="AS42" s="135"/>
      <c r="AT42" s="177">
        <f>10.8%+(1-10.8%)*(1-SUM(AT26:AU26)/SUM($B$26:$C$26))</f>
        <v>0.10799999999999942</v>
      </c>
      <c r="AU42" s="135"/>
      <c r="AV42" s="177">
        <f>10.8%+(1-10.8%)*(1-SUM(AV26:AW26)/SUM($B$26:$C$26))</f>
        <v>0.10800000000000021</v>
      </c>
    </row>
    <row r="43" spans="1:49 16319:16321" x14ac:dyDescent="0.2">
      <c r="A43" t="s">
        <v>108</v>
      </c>
      <c r="B43" s="162">
        <f>SUM(B15:C15*B27:C27)/SUM(B15:C15*B27:C27,B13:C13*B26:C26)</f>
        <v>0.56058995943839174</v>
      </c>
      <c r="C43" s="135"/>
      <c r="D43" s="162">
        <f t="array" ref="D43">SUM(D15:E15*D27:E27)/SUM(D15:E15*D27:E27,D13:E13*D26:E26)</f>
        <v>0.56433100521565016</v>
      </c>
      <c r="E43" s="135"/>
      <c r="F43" s="162">
        <f t="array" ref="F43">SUM(F15:G15*F27:G27)/SUM(F15:G15*F27:G27,F13:G13*F26:G26)</f>
        <v>0.56144770878138517</v>
      </c>
      <c r="G43" s="135"/>
      <c r="H43" s="162">
        <f t="array" ref="H43">SUM(H15:I15*H27:I27)/SUM(H15:I15*H27:I27,H13:I13*H26:I26)</f>
        <v>0.55854958152609091</v>
      </c>
      <c r="I43" s="135"/>
      <c r="J43" s="162">
        <f t="array" ref="J43">SUM(J15:K15*J27:K27)/SUM(J15:K15*J27:K27,J13:K13*J26:K26)</f>
        <v>0.55563564185859571</v>
      </c>
      <c r="K43" s="135"/>
      <c r="L43" s="162">
        <f t="array" ref="L43">SUM(L15:M15*L27:M27)/SUM(L15:M15*L27:M27,L13:M13*L26:M26)</f>
        <v>0.55270515008716714</v>
      </c>
      <c r="M43" s="135"/>
      <c r="N43" s="162">
        <f t="array" ref="N43">SUM(N15:O15*N27:O27)/SUM(N15:O15*N27:O27,N13:O13*N26:O26)</f>
        <v>0.54975807575616387</v>
      </c>
      <c r="O43" s="135"/>
      <c r="P43" s="162">
        <f t="array" ref="P43">SUM(P15:Q15*P27:Q27)/SUM(P15:Q15*P27:Q27,P13:Q13*P26:Q26)</f>
        <v>0.54679555882732933</v>
      </c>
      <c r="Q43" s="135"/>
      <c r="R43" s="162">
        <f t="array" ref="R43">SUM(R15:S15*R27:S27)/SUM(R15:S15*R27:S27,R13:S13*R26:S26)</f>
        <v>0.54382105373328204</v>
      </c>
      <c r="S43" s="135"/>
      <c r="T43" s="162">
        <f t="array" ref="T43">SUM(T15:U15*T27:U27)/SUM(T15:U15*T27:U27,T13:U13*T26:U26)</f>
        <v>0.54084189364487889</v>
      </c>
      <c r="U43" s="135"/>
      <c r="V43" s="162">
        <f t="array" ref="V43">SUM(V15:W15*V27:W27)/SUM(V15:W15*V27:W27,V13:W13*V26:W26)</f>
        <v>0.53787208885938476</v>
      </c>
      <c r="W43" s="135"/>
      <c r="X43" s="162">
        <f t="array" ref="X43">SUM(X15:Y15*X27:Y27)/SUM(X15:Y15*X27:Y27,X13:Y13*X26:Y26)</f>
        <v>0.53493681878838861</v>
      </c>
      <c r="Y43" s="135"/>
      <c r="Z43" s="162">
        <f t="array" ref="Z43">SUM(Z15:AA15*Z27:AA27)/SUM(Z15:AA15*Z27:AA27,Z13:AA13*Z26:AA26)</f>
        <v>0.53207988324681743</v>
      </c>
      <c r="AA43" s="135"/>
      <c r="AB43" s="162">
        <f t="array" ref="AB43">SUM(AB15:AC15*AB27:AC27)/SUM(AB15:AC15*AB27:AC27,AB13:AC13*AB26:AC26)</f>
        <v>0.52937537067480478</v>
      </c>
      <c r="AC43" s="135"/>
      <c r="AD43" s="162">
        <f t="array" ref="AD43">SUM(AD15:AE15*AD27:AE27)/SUM(AD15:AE15*AD27:AE27,AD13:AE13*AD26:AE26)</f>
        <v>0.52694367420348776</v>
      </c>
      <c r="AE43" s="135"/>
      <c r="AF43" s="162">
        <f t="array" ref="AF43">SUM(AF15:AG15*AF27:AG27)/SUM(AF15:AG15*AF27:AG27,AF13:AG13*AF26:AG26)</f>
        <v>0.52496200337354804</v>
      </c>
      <c r="AG43" s="135"/>
      <c r="AH43" s="162">
        <f t="array" ref="AH43">SUM(AH15:AI15*AH27:AI27)/SUM(AH15:AI15*AH27:AI27,AH13:AI13*AH26:AI26)</f>
        <v>0.52362538536160308</v>
      </c>
      <c r="AI43" s="135"/>
      <c r="AJ43" s="162">
        <f t="array" ref="AJ43">SUM(AJ15:AK15*AJ27:AK27)/SUM(AJ15:AK15*AJ27:AK27,AJ13:AK13*AJ26:AK26)</f>
        <v>0.52298649101916139</v>
      </c>
      <c r="AK43" s="135"/>
      <c r="AL43" s="162">
        <f t="array" ref="AL43">SUM(AL15:AM15*AL27:AM27)/SUM(AL15:AM15*AL27:AM27,AL13:AM13*AL26:AM26)</f>
        <v>0.52281167243310278</v>
      </c>
      <c r="AM43" s="135"/>
      <c r="AN43" s="162">
        <f t="array" ref="AN43">SUM(AN15:AO15*AN27:AO27)/SUM(AN15:AO15*AN27:AO27,AN13:AO13*AN26:AO26)</f>
        <v>0.52279141841484145</v>
      </c>
      <c r="AO43" s="135"/>
      <c r="AP43" s="162">
        <f t="array" ref="AP43">SUM(AP15:AQ15*AP27:AQ27)/SUM(AP15:AQ15*AP27:AQ27,AP13:AQ13*AP26:AQ26)</f>
        <v>0.52279109919515476</v>
      </c>
      <c r="AQ43" s="135"/>
      <c r="AR43" s="162">
        <f t="array" ref="AR43">SUM(AR15:AS15*AR27:AS27)/SUM(AR15:AS15*AR27:AS27,AR13:AS13*AR26:AS26)</f>
        <v>0.52279098506093902</v>
      </c>
      <c r="AS43" s="135"/>
      <c r="AT43" s="162">
        <f t="array" ref="AT43">SUM(AT15:AU15*AT27:AU27)/SUM(AT15:AU15*AT27:AU27,AT13:AU13*AT26:AU26)</f>
        <v>0.5227909523982861</v>
      </c>
      <c r="AU43" s="135"/>
      <c r="AV43" s="162">
        <f t="array" ref="AV43">SUM(AV15:AW15*AV27:AW27)/SUM(AV15:AW15*AV27:AW27,AV13:AW13*AV26:AW26)</f>
        <v>0.52279094578632934</v>
      </c>
    </row>
    <row r="44" spans="1:49 16319:16321" x14ac:dyDescent="0.2">
      <c r="A44" t="s">
        <v>142</v>
      </c>
      <c r="B44" s="193">
        <f>(SUM(B11:C11*B24:C24)+B34)/B32</f>
        <v>0.29754226190682465</v>
      </c>
      <c r="D44" s="193">
        <f>(SUM(D11:E11*D24:E24)+D34)/D32</f>
        <v>0.29754226152792368</v>
      </c>
      <c r="F44" s="193">
        <f>(SUM(F11:G11*F24:G24)+F34)/F32</f>
        <v>0.29754226146514506</v>
      </c>
      <c r="H44" s="193">
        <f>(SUM(H11:I11*H24:I24)+H34)/H32</f>
        <v>0.29754226130142253</v>
      </c>
      <c r="J44" s="193">
        <f>(SUM(J11:K11*J24:K24)+J34)/J32</f>
        <v>0.29754225981895521</v>
      </c>
      <c r="L44" s="193">
        <f>(SUM(L11:M11*L24:M24)+L34)/L32</f>
        <v>0.29754226099690395</v>
      </c>
      <c r="N44" s="193">
        <f>(SUM(N11:O11*N24:O24)+N34)/N32</f>
        <v>0.29754226184077753</v>
      </c>
      <c r="P44" s="193">
        <f>(SUM(P11:Q11*P24:Q24)+P34)/P32</f>
        <v>0.29754225742636298</v>
      </c>
      <c r="R44" s="193">
        <f>(SUM(R11:S11*R24:S24)+R34)/R32</f>
        <v>0.29754225855240912</v>
      </c>
      <c r="T44" s="193">
        <f>(SUM(T11:U11*T24:U24)+T34)/T32</f>
        <v>0.29754225776998644</v>
      </c>
      <c r="V44" s="193">
        <f>(SUM(V11:W11*V24:W24)+V34)/V32</f>
        <v>0.29754226191733602</v>
      </c>
      <c r="X44" s="193">
        <f>(SUM(X11:Y11*X24:Y24)+X34)/X32</f>
        <v>0.29754226181419757</v>
      </c>
      <c r="Z44" s="193">
        <f>(SUM(Z11:AA11*Z24:AA24)+Z34)/Z32</f>
        <v>0.29754226131481409</v>
      </c>
      <c r="AB44" s="193">
        <f>(SUM(AB11:AC11*AB24:AC24)+AB34)/AB32</f>
        <v>0.29754226177402759</v>
      </c>
      <c r="AD44" s="193">
        <f>(SUM(AD11:AE11*AD24:AE24)+AD34)/AD32</f>
        <v>0.29754226197626071</v>
      </c>
      <c r="AF44" s="193">
        <f>(SUM(AF11:AG11*AF24:AG24)+AF34)/AF32</f>
        <v>0.29754226164220704</v>
      </c>
      <c r="AH44" s="193">
        <f>(SUM(AH11:AI11*AH24:AI24)+AH34)/AH32</f>
        <v>0.29754226192128014</v>
      </c>
      <c r="AJ44" s="193">
        <f>(SUM(AJ11:AK11*AJ24:AK24)+AJ34)/AJ32</f>
        <v>0.29754226190847927</v>
      </c>
      <c r="AL44" s="193">
        <f>(SUM(AL11:AM11*AL24:AM24)+AL34)/AL32</f>
        <v>0.29754226190681504</v>
      </c>
      <c r="AN44" s="193">
        <f>(SUM(AN11:AO11*AN24:AO24)+AN34)/AN32</f>
        <v>0.29754226190682431</v>
      </c>
      <c r="AP44" s="193">
        <f>(SUM(AP11:AQ11*AP24:AQ24)+AP34)/AP32</f>
        <v>0.29754226190682392</v>
      </c>
      <c r="AR44" s="193">
        <f>(SUM(AR11:AS11*AR24:AS24)+AR34)/AR32</f>
        <v>0.29754226190682481</v>
      </c>
      <c r="AT44" s="193">
        <f>(SUM(AT11:AU11*AT24:AU24)+AT34)/AT32</f>
        <v>0.29754226190682387</v>
      </c>
      <c r="AV44" s="193">
        <f>(SUM(AV11:AW11*AV24:AW24)+AV34)/AV32</f>
        <v>0.29754226190696254</v>
      </c>
    </row>
    <row r="45" spans="1:49 16319:16321" x14ac:dyDescent="0.2">
      <c r="A45" t="s">
        <v>82</v>
      </c>
      <c r="B45" s="193">
        <f>SUM(B11:C11*B24:C24)/B32</f>
        <v>0.22038438833194082</v>
      </c>
      <c r="D45" s="193">
        <f>SUM(D11:E11*D24:E24)/D32</f>
        <v>0.22038438832487986</v>
      </c>
      <c r="F45" s="193">
        <f>SUM(F11:G11*F24:G24)/F32</f>
        <v>0.22038438832298163</v>
      </c>
      <c r="H45" s="193">
        <f>SUM(H11:I11*H24:I24)/H32</f>
        <v>0.22038438831861348</v>
      </c>
      <c r="J45" s="193">
        <f>SUM(J11:K11*J24:K24)/J32</f>
        <v>0.22038438835519847</v>
      </c>
      <c r="L45" s="193">
        <f>SUM(L11:M11*L24:M24)/L32</f>
        <v>0.22038438830898086</v>
      </c>
      <c r="N45" s="193">
        <f>SUM(N11:O11*N24:O24)/N32</f>
        <v>0.22038438833827939</v>
      </c>
      <c r="P45" s="193">
        <f>SUM(P11:Q11*P24:Q24)/P32</f>
        <v>0.2203843883092006</v>
      </c>
      <c r="R45" s="193">
        <f>SUM(R11:S11*R24:S24)/R32</f>
        <v>0.22038438831548987</v>
      </c>
      <c r="T45" s="193">
        <f>SUM(T11:U11*T24:U24)/T32</f>
        <v>0.22038438831346982</v>
      </c>
      <c r="V45" s="193">
        <f>SUM(V11:W11*V24:W24)/V32</f>
        <v>0.2203843883338619</v>
      </c>
      <c r="X45" s="193">
        <f>SUM(X11:Y11*X24:Y24)/X32</f>
        <v>0.2203843883331276</v>
      </c>
      <c r="Z45" s="193">
        <f>SUM(Z11:AA11*Z24:AA24)/Z32</f>
        <v>0.22038438834098986</v>
      </c>
      <c r="AB45" s="193">
        <f>SUM(AB11:AC11*AB24:AC24)/AB32</f>
        <v>0.22038438833373439</v>
      </c>
      <c r="AD45" s="193">
        <f>SUM(AD11:AE11*AD24:AE24)/AD32</f>
        <v>0.22038438833324908</v>
      </c>
      <c r="AF45" s="193">
        <f>SUM(AF11:AG11*AF24:AG24)/AF32</f>
        <v>0.2203843883324853</v>
      </c>
      <c r="AH45" s="193">
        <f>SUM(AH11:AI11*AH24:AI24)/AH32</f>
        <v>0.22038438833199592</v>
      </c>
      <c r="AJ45" s="193">
        <f>SUM(AJ11:AK11*AJ24:AK24)/AJ32</f>
        <v>0.22038438833192245</v>
      </c>
      <c r="AL45" s="193">
        <f>SUM(AL11:AM11*AL24:AM24)/AL32</f>
        <v>0.22038438833194121</v>
      </c>
      <c r="AN45" s="193">
        <f>SUM(AN11:AO11*AN24:AO24)/AN32</f>
        <v>0.22038438833194082</v>
      </c>
      <c r="AP45" s="193">
        <f>SUM(AP11:AQ11*AP24:AQ24)/AP32</f>
        <v>0.22038438833194071</v>
      </c>
      <c r="AR45" s="193">
        <f>SUM(AR11:AS11*AR24:AS24)/AR32</f>
        <v>0.22038438833194082</v>
      </c>
      <c r="AT45" s="193">
        <f>SUM(AT11:AU11*AT24:AU24)/AT32</f>
        <v>0.22038438833194077</v>
      </c>
      <c r="AV45" s="193">
        <f>SUM(AV11:AW11*AV24:AW24)/AV32</f>
        <v>0.22038438833185098</v>
      </c>
      <c r="XCQ45" s="193"/>
    </row>
    <row r="46" spans="1:49 16319:16321" x14ac:dyDescent="0.2">
      <c r="A46" t="s">
        <v>139</v>
      </c>
      <c r="B46" s="193">
        <f>B34/B32</f>
        <v>7.7157873574883795E-2</v>
      </c>
      <c r="D46" s="193">
        <f>D34/D32</f>
        <v>7.715787320304375E-2</v>
      </c>
      <c r="F46" s="193">
        <f>F34/F32</f>
        <v>7.7157873142163422E-2</v>
      </c>
      <c r="H46" s="193">
        <f>H34/H32</f>
        <v>7.7157872982809003E-2</v>
      </c>
      <c r="J46" s="193">
        <f>J34/J32</f>
        <v>7.7157871463756744E-2</v>
      </c>
      <c r="L46" s="193">
        <f>L34/L32</f>
        <v>7.7157872687923082E-2</v>
      </c>
      <c r="N46" s="193">
        <f>N34/N32</f>
        <v>7.7157873502498101E-2</v>
      </c>
      <c r="P46" s="193">
        <f>P34/P32</f>
        <v>7.7157869117162339E-2</v>
      </c>
      <c r="R46" s="193">
        <f>R34/R32</f>
        <v>7.7157870236919265E-2</v>
      </c>
      <c r="T46" s="193">
        <f>T34/T32</f>
        <v>7.7157869456516634E-2</v>
      </c>
      <c r="V46" s="193">
        <f>V34/V32</f>
        <v>7.715787358347409E-2</v>
      </c>
      <c r="X46" s="193">
        <f>X34/X32</f>
        <v>7.715787348106995E-2</v>
      </c>
      <c r="Z46" s="193">
        <f>Z34/Z32</f>
        <v>7.7157872973824232E-2</v>
      </c>
      <c r="AB46" s="193">
        <f>AB34/AB32</f>
        <v>7.7157873440293193E-2</v>
      </c>
      <c r="AD46" s="193">
        <f>AD34/AD32</f>
        <v>7.7157873643011618E-2</v>
      </c>
      <c r="AF46" s="193">
        <f>AF34/AF32</f>
        <v>7.7157873309721722E-2</v>
      </c>
      <c r="AH46" s="193">
        <f>AH34/AH32</f>
        <v>7.7157873589284248E-2</v>
      </c>
      <c r="AJ46" s="193">
        <f>AJ34/AJ32</f>
        <v>7.7157873576556818E-2</v>
      </c>
      <c r="AL46" s="193">
        <f>AL34/AL32</f>
        <v>7.7157873574873789E-2</v>
      </c>
      <c r="AN46" s="193">
        <f>AN34/AN32</f>
        <v>7.7157873574883504E-2</v>
      </c>
      <c r="AP46" s="193">
        <f>AP34/AP32</f>
        <v>7.715787357488324E-2</v>
      </c>
      <c r="AR46" s="193">
        <f>AR34/AR32</f>
        <v>7.7157873574883976E-2</v>
      </c>
      <c r="AT46" s="193">
        <f>AT34/AT32</f>
        <v>7.7157873574883074E-2</v>
      </c>
      <c r="AV46" s="193">
        <f>AV34/AV32</f>
        <v>7.7157873575111571E-2</v>
      </c>
      <c r="XCS46" s="193"/>
    </row>
    <row r="48" spans="1:49 16319:16321" x14ac:dyDescent="0.2">
      <c r="A48" t="s">
        <v>159</v>
      </c>
      <c r="B48" s="191">
        <f>B24/$B$24</f>
        <v>1</v>
      </c>
      <c r="C48" s="191"/>
      <c r="D48" s="191">
        <f>D24/$B$24</f>
        <v>1.0016608157929223</v>
      </c>
      <c r="E48" s="191"/>
      <c r="F48" s="191">
        <f>F24/$B$24</f>
        <v>1.0032063320280999</v>
      </c>
      <c r="G48" s="191"/>
      <c r="H48" s="191">
        <f>H24/$B$24</f>
        <v>1.0046182253646117</v>
      </c>
      <c r="I48" s="191"/>
      <c r="J48" s="191">
        <f>J24/$B$24</f>
        <v>1.0058739501302147</v>
      </c>
      <c r="K48" s="191"/>
      <c r="L48" s="191">
        <f>L24/$B$24</f>
        <v>1.0069455406385086</v>
      </c>
      <c r="M48" s="191"/>
      <c r="N48" s="191">
        <f>N24/$B$24</f>
        <v>1.0077978113468955</v>
      </c>
      <c r="O48" s="191"/>
      <c r="P48" s="191">
        <f>P24/$B$24</f>
        <v>1.0083861102635825</v>
      </c>
      <c r="Q48" s="191"/>
      <c r="R48" s="191">
        <f>R24/$B$24</f>
        <v>1.00865279542908</v>
      </c>
      <c r="S48" s="191"/>
      <c r="T48" s="191">
        <f>T24/$B$24</f>
        <v>1.0085223267800014</v>
      </c>
      <c r="U48" s="191"/>
      <c r="V48" s="191">
        <f>V24/$B$24</f>
        <v>1.0078935849214152</v>
      </c>
      <c r="W48" s="191"/>
      <c r="X48" s="191">
        <f>X24/$B$24</f>
        <v>1.0066276812222321</v>
      </c>
      <c r="Y48" s="191"/>
      <c r="Z48" s="191">
        <f>Z24/$B$24</f>
        <v>1.0045269823388085</v>
      </c>
      <c r="AA48" s="191"/>
      <c r="AB48" s="191">
        <f>AB24/$B$24</f>
        <v>1.0012959165089839</v>
      </c>
      <c r="AC48" s="191"/>
      <c r="AD48" s="191">
        <f>AD24/$B$24</f>
        <v>0.9964577363389483</v>
      </c>
      <c r="AE48" s="191"/>
      <c r="AF48" s="191">
        <f>AF24/$B$24</f>
        <v>0.98914796756053547</v>
      </c>
      <c r="AG48" s="191"/>
      <c r="AH48" s="191">
        <f>AH24/$B$24</f>
        <v>0.97751740666443465</v>
      </c>
      <c r="AI48" s="191"/>
      <c r="AJ48" s="191">
        <f>AJ24/$B$24</f>
        <v>0.95687375757540782</v>
      </c>
      <c r="AK48" s="191"/>
      <c r="AL48" s="191">
        <f>AL24/$B$24</f>
        <v>0.91350698704557942</v>
      </c>
      <c r="AM48" s="191"/>
      <c r="AN48" s="191">
        <f>AN24/$B$24</f>
        <v>0.79381004841881819</v>
      </c>
      <c r="AO48" s="191"/>
      <c r="AP48" s="191">
        <f>AP24/$B$24</f>
        <v>0.7433451332894937</v>
      </c>
      <c r="AQ48" s="191"/>
      <c r="AR48" s="191">
        <f>AR24/$B$24</f>
        <v>0.67143318829720755</v>
      </c>
      <c r="AS48" s="191"/>
      <c r="AT48" s="191">
        <f>AT24/$B$24</f>
        <v>0.56178513190952439</v>
      </c>
      <c r="AU48" s="191"/>
      <c r="AV48" s="191">
        <f>AV24/$B$24</f>
        <v>0.37626830837856706</v>
      </c>
    </row>
    <row r="49" spans="1:48 16321:16384" x14ac:dyDescent="0.2">
      <c r="A49" t="s">
        <v>160</v>
      </c>
      <c r="B49" s="191">
        <f>B13/B35/$B$13*$B$35</f>
        <v>1</v>
      </c>
      <c r="C49" s="191"/>
      <c r="D49" s="191">
        <f>D13/D35/$B$13*$B$35</f>
        <v>0.99878636508054108</v>
      </c>
      <c r="E49" s="191"/>
      <c r="F49" s="191">
        <f>F13/F35/$B$13*$B$35</f>
        <v>0.99698239917984455</v>
      </c>
      <c r="G49" s="191"/>
      <c r="H49" s="191">
        <f>H13/H35/$B$13*$B$35</f>
        <v>0.99449953816610037</v>
      </c>
      <c r="I49" s="191"/>
      <c r="J49" s="191">
        <f>J13/J35/$B$13*$B$35</f>
        <v>0.99122900515722223</v>
      </c>
      <c r="K49" s="191"/>
      <c r="L49" s="191">
        <f>L13/L35/$B$13*$B$35</f>
        <v>0.9870353015496629</v>
      </c>
      <c r="M49" s="191"/>
      <c r="N49" s="191">
        <f>N13/N35/$B$13*$B$35</f>
        <v>0.9817463934989592</v>
      </c>
      <c r="O49" s="191"/>
      <c r="P49" s="191">
        <f>P13/P35/$B$13*$B$35</f>
        <v>0.97513989205240781</v>
      </c>
      <c r="Q49" s="191"/>
      <c r="R49" s="191">
        <f>R13/R35/$B$13*$B$35</f>
        <v>0.96692123594057389</v>
      </c>
      <c r="S49" s="191"/>
      <c r="T49" s="191">
        <f>T13/T35/$B$13*$B$35</f>
        <v>0.95669003543788689</v>
      </c>
      <c r="U49" s="191"/>
      <c r="V49" s="191">
        <f>V13/V35/$B$13*$B$35</f>
        <v>0.94388499489955202</v>
      </c>
      <c r="W49" s="191"/>
      <c r="X49" s="191">
        <f>X13/X35/$B$13*$B$35</f>
        <v>0.9276911606852708</v>
      </c>
      <c r="Y49" s="191"/>
      <c r="Z49" s="191">
        <f>Z13/Z35/$B$13*$B$35</f>
        <v>0.90687727069769353</v>
      </c>
      <c r="AA49" s="191"/>
      <c r="AB49" s="191">
        <f>AB13/AB35/$B$13*$B$35</f>
        <v>0.87950158756572461</v>
      </c>
      <c r="AC49" s="191"/>
      <c r="AD49" s="191">
        <f>AD13/AD35/$B$13*$B$35</f>
        <v>0.84237410907824894</v>
      </c>
      <c r="AE49" s="191"/>
      <c r="AF49" s="191">
        <f>AF13/AF35/$B$13*$B$35</f>
        <v>0.79012971981549474</v>
      </c>
      <c r="AG49" s="191"/>
      <c r="AH49" s="191">
        <f>AH13/AH35/$B$13*$B$35</f>
        <v>0.71399586244419966</v>
      </c>
      <c r="AI49" s="191"/>
      <c r="AJ49" s="191">
        <f>AJ13/AJ35/$B$13*$B$35</f>
        <v>0.60126992776664245</v>
      </c>
      <c r="AK49" s="191"/>
      <c r="AL49" s="191">
        <f>AL13/AL35/$B$13*$B$35</f>
        <v>0.43687679012300412</v>
      </c>
      <c r="AM49" s="191"/>
      <c r="AN49" s="191">
        <f>AN13/AN35/$B$13*$B$35</f>
        <v>0.2106027937176784</v>
      </c>
      <c r="AO49" s="191"/>
      <c r="AP49" s="191">
        <f>AP13/AP35/$B$13*$B$35</f>
        <v>0.15960925109038832</v>
      </c>
      <c r="AQ49" s="191"/>
      <c r="AR49" s="191">
        <f>AR13/AR35/$B$13*$B$35</f>
        <v>0.1087243126475954</v>
      </c>
      <c r="AS49" s="191"/>
      <c r="AT49" s="191">
        <f>AT13/AT35/$B$13*$B$35</f>
        <v>6.0436718451769934E-2</v>
      </c>
      <c r="AU49" s="191"/>
      <c r="AV49" s="191">
        <f>AV13/AV35/$B$13*$B$35</f>
        <v>1.9879385777809386E-2</v>
      </c>
    </row>
    <row r="51" spans="1:48 16321:16384" x14ac:dyDescent="0.2">
      <c r="A51" t="s">
        <v>166</v>
      </c>
      <c r="B51" s="29">
        <f>B30-B10*B23</f>
        <v>-405838.32800000021</v>
      </c>
      <c r="D51" s="29">
        <f>D30-D10*D23</f>
        <v>-338584.08957529999</v>
      </c>
      <c r="F51" s="29">
        <f>F30-F10*F23</f>
        <v>-269860.37585181231</v>
      </c>
      <c r="H51" s="29">
        <f>H30-H10*H23</f>
        <v>-199447.0828095898</v>
      </c>
      <c r="J51" s="29">
        <f>J30-J10*J23</f>
        <v>-127080.39264974231</v>
      </c>
      <c r="L51" s="29">
        <f>L30-L10*L23</f>
        <v>-52438.424639983103</v>
      </c>
      <c r="N51" s="29">
        <f>N30-N10*N23</f>
        <v>24881.023358949926</v>
      </c>
      <c r="P51" s="29">
        <f>P30-P10*P23</f>
        <v>105395.49564768653</v>
      </c>
      <c r="R51" s="29">
        <f>R30-R10*R23</f>
        <v>189794.41915029939</v>
      </c>
      <c r="T51" s="29">
        <f>T30-T10*T23</f>
        <v>279038.07792771375</v>
      </c>
      <c r="V51" s="29">
        <f>V30-V10*V23</f>
        <v>374529.30724065611</v>
      </c>
      <c r="X51" s="29">
        <f>X30-X10*X23</f>
        <v>478431.63978802692</v>
      </c>
      <c r="Z51" s="29">
        <f>Z30-Z10*Z23</f>
        <v>594272.88199254265</v>
      </c>
      <c r="AB51" s="29">
        <f>AB30-AB10*AB23</f>
        <v>728135.29977554083</v>
      </c>
      <c r="AD51" s="29">
        <f>AD30-AD10*AD23</f>
        <v>891027.80016122479</v>
      </c>
      <c r="AF51" s="29">
        <f>AF30-AF10*AF23</f>
        <v>1103387.5427458603</v>
      </c>
      <c r="AH51" s="29">
        <f>AH30-AH10*AH23</f>
        <v>1401944.0396398595</v>
      </c>
      <c r="AJ51" s="29">
        <f>AJ30-AJ10*AJ23</f>
        <v>1845296.6642262735</v>
      </c>
      <c r="AL51" s="29">
        <f>AL30-AL10*AL23</f>
        <v>2518472.4095047317</v>
      </c>
      <c r="AN51" s="29">
        <f>AN30-AN10*AN23</f>
        <v>3520155.8821273828</v>
      </c>
      <c r="AP51" s="29">
        <f>AP30-AP10*AP23</f>
        <v>3732958.4303266299</v>
      </c>
      <c r="AQ51" s="29"/>
      <c r="AR51" s="29">
        <f>AR30-AR10*AR23</f>
        <v>3887974.3843890959</v>
      </c>
      <c r="AT51" s="29">
        <f>AT30-AT10*AT23</f>
        <v>3850499.1234780839</v>
      </c>
      <c r="AV51" s="29">
        <f>AV30-AV10*AV23</f>
        <v>3181270.2981351037</v>
      </c>
      <c r="XFD51" s="29"/>
    </row>
    <row r="52" spans="1:48 16321:16384" x14ac:dyDescent="0.2">
      <c r="A52" t="s">
        <v>167</v>
      </c>
      <c r="B52" s="29">
        <f t="array" ref="B52">Calibration!sL*SUM(B13:C13*B26:C26)</f>
        <v>2049247.8195702801</v>
      </c>
      <c r="D52" s="29">
        <f t="array" ref="D52">Calibration!sL*SUM(D13:E13*D26:E26)</f>
        <v>2051395.2340939499</v>
      </c>
      <c r="F52" s="29">
        <f t="array" ref="F52">Calibration!sL*SUM(F13:G13*F26:G26)</f>
        <v>2052854.1074589507</v>
      </c>
      <c r="H52" s="29">
        <f t="array" ref="H52">Calibration!sL*SUM(H13:I13*H26:I26)</f>
        <v>2053524.684794331</v>
      </c>
      <c r="J52" s="29">
        <f t="array" ref="J52">Calibration!sL*SUM(J13:K13*J26:K26)</f>
        <v>2053285.6008144794</v>
      </c>
      <c r="L52" s="29">
        <f t="array" ref="L52">Calibration!sL*SUM(L13:M13*L26:M26)</f>
        <v>2051987.5803972257</v>
      </c>
      <c r="N52" s="29">
        <f t="array" ref="N52">Calibration!sL*SUM(N13:O13*N26:O26)</f>
        <v>2049443.8523990756</v>
      </c>
      <c r="P52" s="29">
        <f t="array" ref="P52">Calibration!sL*SUM(P13:Q13*P26:Q26)</f>
        <v>2045417.5527710698</v>
      </c>
      <c r="R52" s="29">
        <f t="array" ref="R52">Calibration!sL*SUM(R13:S13*R26:S26)</f>
        <v>2039601.5926035333</v>
      </c>
      <c r="T52" s="29">
        <f t="array" ref="T52">Calibration!sL*SUM(T13:U13*T26:U26)</f>
        <v>2031588.9600956251</v>
      </c>
      <c r="V52" s="29">
        <f t="array" ref="V52">Calibration!sL*SUM(V13:W13*V26:W26)</f>
        <v>2020824.4495141369</v>
      </c>
      <c r="X52" s="29">
        <f t="array" ref="X52">Calibration!sL*SUM(X13:Y13*X26:Y26)</f>
        <v>2006524.435507579</v>
      </c>
      <c r="Z52" s="29">
        <f t="array" ref="Z52">Calibration!sL*SUM(Z13:AA13*Z26:AA26)</f>
        <v>1987535.1785654793</v>
      </c>
      <c r="AB52" s="29">
        <f t="array" ref="AB52">Calibration!sL*SUM(AB13:AC13*AB26:AC26)</f>
        <v>1962069.0257315675</v>
      </c>
      <c r="AD52" s="29">
        <f t="array" ref="AD52">Calibration!sL*SUM(AD13:AE13*AD26:AE26)</f>
        <v>1927182.1408717476</v>
      </c>
      <c r="AF52" s="29">
        <f t="array" ref="AF52">Calibration!sL*SUM(AF13:AG13*AF26:AG26)</f>
        <v>1877684.7735122414</v>
      </c>
      <c r="AH52" s="29">
        <f t="array" ref="AH52">Calibration!sL*SUM(AH13:AI13*AH26:AI26)</f>
        <v>1803769.5390821327</v>
      </c>
      <c r="AJ52" s="29">
        <f t="array" ref="AJ52">Calibration!sL*SUM(AJ13:AK13*AJ26:AK26)</f>
        <v>1685457.734604154</v>
      </c>
      <c r="AL52" s="29">
        <f t="array" ref="AL52">Calibration!sL*SUM(AL13:AM13*AL26:AM26)</f>
        <v>1476371.8043452266</v>
      </c>
      <c r="AN52" s="29">
        <f t="array" ref="AN52">Calibration!sL*SUM(AN13:AO13*AN26:AO26)</f>
        <v>1037705.5367727982</v>
      </c>
      <c r="AP52" s="29">
        <f t="array" ref="AP52">Calibration!sL*SUM(AP13:AQ13*AP26:AQ26)</f>
        <v>889359.01565904415</v>
      </c>
      <c r="AQ52" s="29"/>
      <c r="AR52" s="29">
        <f t="array" ref="AR52">Calibration!sL*SUM(AR13:AS13*AR26:AS26)</f>
        <v>705185.6936029807</v>
      </c>
      <c r="AT52" s="29">
        <f t="array" ref="AT52">Calibration!sL*SUM(AT13:AU13*AT26:AU26)</f>
        <v>475677.78368805978</v>
      </c>
      <c r="AV52" s="29">
        <f t="array" ref="AV52">Calibration!sL*SUM(AV13:AW13*AV26:AW26)</f>
        <v>202698.17724630277</v>
      </c>
    </row>
    <row r="53" spans="1:48 16321:16384" x14ac:dyDescent="0.2">
      <c r="A53" t="s">
        <v>168</v>
      </c>
      <c r="B53" s="29">
        <f t="array" ref="B53">Calibration!sK*SUM(B15:C15*B27:C27)</f>
        <v>2740714.4444297408</v>
      </c>
      <c r="D53" s="29">
        <f t="array" ref="D53">Calibration!sK*SUM(D15:E15*D27:E27)</f>
        <v>2711727.1413268959</v>
      </c>
      <c r="F53" s="29">
        <f t="array" ref="F53">Calibration!sK*SUM(F15:G15*F27:G27)</f>
        <v>2682040.9416904082</v>
      </c>
      <c r="H53" s="29">
        <f t="array" ref="H53">Calibration!sK*SUM(H15:I15*H27:I27)</f>
        <v>2651545.6793143624</v>
      </c>
      <c r="J53" s="29">
        <f t="array" ref="J53">Calibration!sK*SUM(J15:K15*J27:K27)</f>
        <v>2620110.6230723453</v>
      </c>
      <c r="L53" s="29">
        <f t="array" ref="L53">Calibration!sK*SUM(L15:M15*L27:M27)</f>
        <v>2587579.6624462702</v>
      </c>
      <c r="N53" s="29">
        <f t="array" ref="N53">Calibration!sK*SUM(N15:O15*N27:O27)</f>
        <v>2553765.9855873366</v>
      </c>
      <c r="P53" s="29">
        <f t="array" ref="P53">Calibration!sK*SUM(P15:Q15*P27:Q27)</f>
        <v>2518443.3576345146</v>
      </c>
      <c r="R53" s="29">
        <f t="array" ref="R53">Calibration!sK*SUM(R15:S15*R27:S27)</f>
        <v>2481335.616796087</v>
      </c>
      <c r="T53" s="29">
        <f t="array" ref="T53">Calibration!sK*SUM(T15:U15*T27:U27)</f>
        <v>2442099.1945557608</v>
      </c>
      <c r="V53" s="29">
        <f t="array" ref="V53">Calibration!sK*SUM(V15:W15*V27:W27)</f>
        <v>2400295.9064302989</v>
      </c>
      <c r="X53" s="29">
        <f t="array" ref="X53">Calibration!sK*SUM(X15:Y15*X27:Y27)</f>
        <v>2355344.1521439981</v>
      </c>
      <c r="Z53" s="29">
        <f t="array" ref="Z53">Calibration!sK*SUM(Z15:AA15*Z27:AA27)</f>
        <v>2306424.9884613832</v>
      </c>
      <c r="AB53" s="29">
        <f t="array" ref="AB53">Calibration!sK*SUM(AB15:AC15*AB27:AC27)</f>
        <v>2252281.915647273</v>
      </c>
      <c r="AD53" s="29">
        <f t="array" ref="AD53">Calibration!sK*SUM(AD15:AE15*AD27:AE27)</f>
        <v>2190753.3831067737</v>
      </c>
      <c r="AF53" s="29">
        <f t="array" ref="AF53">Calibration!sK*SUM(AF15:AG15*AF27:AG27)</f>
        <v>2117588.6173760467</v>
      </c>
      <c r="AH53" s="29">
        <f t="array" ref="AH53">Calibration!sK*SUM(AH15:AI15*AH27:AI27)</f>
        <v>2023357.0116909146</v>
      </c>
      <c r="AJ53" s="29">
        <f t="array" ref="AJ53">Calibration!sK*SUM(AJ15:AK15*AJ27:AK27)</f>
        <v>1885806.1452193598</v>
      </c>
      <c r="AL53" s="29">
        <f t="array" ref="AL53">Calibration!sK*SUM(AL15:AM15*AL27:AM27)</f>
        <v>1650709.2821314072</v>
      </c>
      <c r="AN53" s="29">
        <f t="array" ref="AN53">Calibration!sK*SUM(AN15:AO15*AN27:AO27)</f>
        <v>1160148.884292877</v>
      </c>
      <c r="AP53" s="29">
        <f t="array" ref="AP53">Calibration!sK*SUM(AP15:AQ15*AP27:AQ27)</f>
        <v>994297.04572062113</v>
      </c>
      <c r="AQ53" s="29"/>
      <c r="AR53" s="29">
        <f t="array" ref="AR53">Calibration!sK*SUM(AR15:AS15*AR27:AS27)</f>
        <v>788392.2226173894</v>
      </c>
      <c r="AT53" s="29">
        <f t="array" ref="AT53">Calibration!sK*SUM(AT15:AU15*AT27:AU27)</f>
        <v>531804.06158947211</v>
      </c>
      <c r="AV53" s="29">
        <f t="array" ref="AV53">Calibration!sK*SUM(AV15:AW15*AV27:AW27)</f>
        <v>226614.97924855517</v>
      </c>
      <c r="XFD53" s="29"/>
    </row>
    <row r="55" spans="1:48 16321:16384" x14ac:dyDescent="0.2">
      <c r="A55" t="s">
        <v>169</v>
      </c>
      <c r="B55" s="193">
        <f>B30/B32</f>
        <v>0.19850271905982084</v>
      </c>
      <c r="D55" s="193">
        <f>D30/D32</f>
        <v>0.20307069204676345</v>
      </c>
      <c r="F55" s="193">
        <f>F30/F32</f>
        <v>0.20773381189048323</v>
      </c>
      <c r="H55" s="193">
        <f>H30/H32</f>
        <v>0.21250906812438955</v>
      </c>
      <c r="J55" s="193">
        <f>J30/J32</f>
        <v>0.21741700792991531</v>
      </c>
      <c r="L55" s="193">
        <f>L30/L32</f>
        <v>0.22248292174935194</v>
      </c>
      <c r="N55" s="193">
        <f>N30/N32</f>
        <v>0.22773864736797472</v>
      </c>
      <c r="P55" s="193">
        <f>P30/P32</f>
        <v>0.23322536274988978</v>
      </c>
      <c r="R55" s="193">
        <f>R30/R32</f>
        <v>0.23899802078338103</v>
      </c>
      <c r="T55" s="193">
        <f>T30/T32</f>
        <v>0.24513295108989719</v>
      </c>
      <c r="V55" s="193">
        <f>V30/V32</f>
        <v>0.25174087164971592</v>
      </c>
      <c r="X55" s="193">
        <f>X30/X32</f>
        <v>0.25899068172552669</v>
      </c>
      <c r="Z55" s="193">
        <f>Z30/Z32</f>
        <v>0.26715425948112959</v>
      </c>
      <c r="AB55" s="193">
        <f>AB30/AB32</f>
        <v>0.27669460266895657</v>
      </c>
      <c r="AD55" s="193">
        <f>AD30/AD32</f>
        <v>0.28844304074099675</v>
      </c>
      <c r="AF55" s="193">
        <f>AF30/AF32</f>
        <v>0.30394792119584291</v>
      </c>
      <c r="AH55" s="193">
        <f>AH30/AH32</f>
        <v>0.32608629612694917</v>
      </c>
      <c r="AJ55" s="193">
        <f>AJ30/AJ32</f>
        <v>0.36004477114931011</v>
      </c>
      <c r="AL55" s="193">
        <f>AL30/AL32</f>
        <v>0.41648480747855882</v>
      </c>
      <c r="AN55" s="193">
        <f>AN30/AN32</f>
        <v>0.53066236478147588</v>
      </c>
      <c r="AP55" s="193">
        <f>AP30/AP32</f>
        <v>0.57075896602013099</v>
      </c>
      <c r="AR55" s="193">
        <f>AR30/AR32</f>
        <v>0.62335683442121992</v>
      </c>
      <c r="AT55" s="193">
        <f>AT30/AT32</f>
        <v>0.69634115567612731</v>
      </c>
      <c r="AV55" s="193">
        <f>AV30/AV32</f>
        <v>0.8066484169926349</v>
      </c>
      <c r="XCS55" s="193"/>
      <c r="XFD55" s="193"/>
    </row>
    <row r="56" spans="1:48 16321:16384" x14ac:dyDescent="0.2">
      <c r="A56" t="s">
        <v>170</v>
      </c>
      <c r="B56" s="193">
        <f>(Model!$C$52*B5*B20+B2*C5*C20)/B32</f>
        <v>2.9221206744340551E-2</v>
      </c>
      <c r="D56" s="193">
        <f>(Model!$C$52*D5*D20+D2*E5*E20)/D32</f>
        <v>3.3729458786335646E-2</v>
      </c>
      <c r="F56" s="193">
        <f>(Model!$C$52*F5*F20+F2*G5*G20)/F32</f>
        <v>3.835984237662577E-2</v>
      </c>
      <c r="H56" s="193">
        <f>(Model!$C$52*H5*H20+H2*I5*I20)/H32</f>
        <v>4.3133102861514706E-2</v>
      </c>
      <c r="J56" s="193">
        <f>(Model!$C$52*J5*J20+J2*K5*K20)/J32</f>
        <v>4.8074447480183406E-2</v>
      </c>
      <c r="L56" s="193">
        <f>(Model!$C$52*L5*L20+L2*M5*M20)/L32</f>
        <v>5.3215077445969858E-2</v>
      </c>
      <c r="N56" s="193">
        <f>(Model!$C$52*N5*N20+N2*O5*O20)/N32</f>
        <v>5.8594547171298264E-2</v>
      </c>
      <c r="P56" s="193">
        <f>(Model!$C$52*P5*P20+P2*Q5*Q20)/P32</f>
        <v>6.4264380047304032E-2</v>
      </c>
      <c r="R56" s="193">
        <f>(Model!$C$52*R5*R20+R2*S5*S20)/R32</f>
        <v>7.0293874588408772E-2</v>
      </c>
      <c r="T56" s="193">
        <f>(Model!$C$52*T5*T20+T2*U5*U20)/T32</f>
        <v>7.6779927222328584E-2</v>
      </c>
      <c r="V56" s="193">
        <f>(Model!$C$52*V5*V20+V2*W5*W20)/V32</f>
        <v>8.3863851568921829E-2</v>
      </c>
      <c r="X56" s="193">
        <f>(Model!$C$52*X5*X20+X2*Y5*Y20)/X32</f>
        <v>9.176186177748305E-2</v>
      </c>
      <c r="Z56" s="193">
        <f>(Model!$C$52*Z5*Z20+Z2*AA5*AA20)/Z32</f>
        <v>0.10082206805801575</v>
      </c>
      <c r="AB56" s="193">
        <f>(Model!$C$52*AB5*AB20+AB2*AC5*AC20)/AB32</f>
        <v>0.11163550081188446</v>
      </c>
      <c r="AD56" s="193">
        <f>(Model!$C$52*AD5*AD20+AD2*AE5*AE20)/AD32</f>
        <v>0.12525667244986033</v>
      </c>
      <c r="AF56" s="193">
        <f>(Model!$C$52*AF5*AF20+AF2*AG5*AG20)/AF32</f>
        <v>0.14363045327832533</v>
      </c>
      <c r="AH56" s="193">
        <f>(Model!$C$52*AH5*AH20+AH2*AI5*AI20)/AH32</f>
        <v>0.17032255250924891</v>
      </c>
      <c r="AJ56" s="193">
        <f>(Model!$C$52*AJ5*AJ20+AJ2*AK5*AK20)/AJ32</f>
        <v>0.21166444246553173</v>
      </c>
      <c r="AL56" s="193">
        <f>(Model!$C$52*AL5*AL20+AL2*AM5*AM20)/AL32</f>
        <v>0.28058000938763322</v>
      </c>
      <c r="AN56" s="193">
        <f>(Model!$C$52*AN5*AN20+AN2*AO5*AO20)/AN32</f>
        <v>0.41998518394328294</v>
      </c>
      <c r="AP56" s="193">
        <f>(Model!$C$52*AP5*AP20+AP2*AQ5*AQ20)/AP32</f>
        <v>0.4689242157911942</v>
      </c>
      <c r="AR56" s="193">
        <f>(Model!$C$52*AR5*AR20+AR2*AS5*AS20)/AR32</f>
        <v>0.53311136053161334</v>
      </c>
      <c r="AT56" s="193">
        <f>(Model!$C$52*AT5*AT20+AT2*AU5*AU20)/AT32</f>
        <v>0.62216150354114397</v>
      </c>
      <c r="AV56" s="193">
        <f>(Model!$C$52*AV5*AV20+AV2*AW5*AW20)/AV32</f>
        <v>0.75672370427434854</v>
      </c>
      <c r="XFD56" s="193"/>
    </row>
    <row r="57" spans="1:48 16321:16384" x14ac:dyDescent="0.2">
      <c r="A57" t="s">
        <v>171</v>
      </c>
      <c r="B57" s="193">
        <f t="array" ref="B57">SUM(Model!tauL*B13:C13*B26:C26)/B32</f>
        <v>0.15852881819439493</v>
      </c>
      <c r="D57" s="193">
        <f t="array" ref="D57">SUM(Model!tauL*D13:E13*D26:E26)/D32</f>
        <v>0.15867039649440934</v>
      </c>
      <c r="F57" s="193">
        <f t="array" ref="F57">SUM(Model!tauL*F13:G13*F26:G26)/F32</f>
        <v>0.15878590932834288</v>
      </c>
      <c r="H57" s="193">
        <f t="array" ref="H57">SUM(Model!tauL*H13:I13*H26:I26)/H32</f>
        <v>0.15887184841035359</v>
      </c>
      <c r="J57" s="193">
        <f t="array" ref="J57">SUM(Model!tauL*J13:K13*J26:K26)/J32</f>
        <v>0.15892385165018119</v>
      </c>
      <c r="L57" s="193">
        <f t="array" ref="L57">SUM(Model!tauL*L13:M13*L26:M26)/L32</f>
        <v>0.15893636940622952</v>
      </c>
      <c r="N57" s="193">
        <f t="array" ref="N57">SUM(Model!tauL*N13:O13*N26:O26)/N32</f>
        <v>0.15890211922115649</v>
      </c>
      <c r="P57" s="193">
        <f t="array" ref="P57">SUM(Model!tauL*P13:Q13*P26:Q26)/P32</f>
        <v>0.15881128276473772</v>
      </c>
      <c r="R57" s="193">
        <f t="array" ref="R57">SUM(Model!tauL*R13:S13*R26:S26)/R32</f>
        <v>0.15865014771605035</v>
      </c>
      <c r="T57" s="193">
        <f t="array" ref="T57">SUM(Model!tauL*T13:U13*T26:U26)/T32</f>
        <v>0.15839890736258919</v>
      </c>
      <c r="V57" s="193">
        <f t="array" ref="V57">SUM(Model!tauL*V13:W13*V26:W26)/V32</f>
        <v>0.15802786711791245</v>
      </c>
      <c r="X57" s="193">
        <f t="array" ref="X57">SUM(Model!tauL*X13:Y13*X26:Y26)/X32</f>
        <v>0.15749076143216792</v>
      </c>
      <c r="Y57" s="193"/>
      <c r="Z57" s="193">
        <f t="array" ref="Z57">SUM(Model!tauL*Z13:AA13*Z26:AA26)/Z32</f>
        <v>0.15671253736861945</v>
      </c>
      <c r="AB57" s="193">
        <f t="array" ref="AB57">SUM(Model!tauL*AB13:AC13*AB26:AC26)/AB32</f>
        <v>0.15556640403949487</v>
      </c>
      <c r="AD57" s="193">
        <f t="array" ref="AD57">SUM(Model!tauL*AD13:AE13*AD26:AE26)/AD32</f>
        <v>0.15383033314194222</v>
      </c>
      <c r="AF57" s="193">
        <f t="array" ref="AF57">SUM(Model!tauL*AF13:AG13*AF26:AG26)/AF32</f>
        <v>0.15110872421660523</v>
      </c>
      <c r="AH57" s="193">
        <f t="array" ref="AH57">SUM(Model!tauL*AH13:AI13*AH26:AI26)/AH32</f>
        <v>0.14671426882406213</v>
      </c>
      <c r="AJ57" s="193">
        <f t="array" ref="AJ57">SUM(Model!tauL*AJ13:AK13*AJ26:AK26)/AJ32</f>
        <v>0.13950819683176877</v>
      </c>
      <c r="AL57" s="193">
        <f t="array" ref="AL57">SUM(Model!tauL*AL13:AM13*AL26:AM26)/AL32</f>
        <v>0.12725106766862099</v>
      </c>
      <c r="AN57" s="193">
        <f t="array" ref="AN57">SUM(Model!tauL*AN13:AO13*AN26:AO26)/AN32</f>
        <v>0.10235594700060296</v>
      </c>
      <c r="AP57" s="193">
        <f t="array" ref="AP57">SUM(Model!tauL*AP13:AQ13*AP26:AQ26)/AP32</f>
        <v>9.3611503995692874E-2</v>
      </c>
      <c r="AR57" s="193">
        <f t="array" ref="AR57">SUM(Model!tauL*AR13:AS13*AR26:AS26)/AR32</f>
        <v>8.2140659538522509E-2</v>
      </c>
      <c r="AT57" s="193">
        <f t="array" ref="AT57">SUM(Model!tauL*AT13:AU13*AT26:AU26)/AT32</f>
        <v>6.6223794121809204E-2</v>
      </c>
      <c r="AV57" s="193">
        <f t="array" ref="AV57">SUM(Model!tauL*AV13:AW13*AV26:AW26)/AV32</f>
        <v>4.2167306634814564E-2</v>
      </c>
      <c r="XFD57" s="193"/>
    </row>
    <row r="58" spans="1:48 16321:16384" x14ac:dyDescent="0.2">
      <c r="A58" t="s">
        <v>172</v>
      </c>
      <c r="B58" s="193">
        <f t="array" ref="B58">SUM(Model!tauY/(1+Model!tauY)*B3:C3*B18:C18)/B32</f>
        <v>1.075269412108535E-2</v>
      </c>
      <c r="D58" s="193">
        <f t="array" ref="D58">SUM(Model!tauY/(1+Model!tauY)*D3:E3*D18:E18)/D32</f>
        <v>1.0670836766018484E-2</v>
      </c>
      <c r="F58" s="193">
        <f t="array" ref="F58">SUM(Model!tauY/(1+Model!tauY)*F3:G3*F18:G18)/F32</f>
        <v>1.0588060185514591E-2</v>
      </c>
      <c r="H58" s="193">
        <f t="array" ref="H58">SUM(Model!tauY/(1+Model!tauY)*H3:I3*H18:I18)/H32</f>
        <v>1.0504116852521206E-2</v>
      </c>
      <c r="J58" s="193">
        <f t="array" ref="J58">SUM(Model!tauY/(1+Model!tauY)*J3:K3*J18:K18)/J32</f>
        <v>1.0418708799550735E-2</v>
      </c>
      <c r="L58" s="193">
        <f t="array" ref="L58">SUM(Model!tauY/(1+Model!tauY)*L3:M3*L18:M18)/L32</f>
        <v>1.0331474897152587E-2</v>
      </c>
      <c r="N58" s="193">
        <f t="array" ref="N58">SUM(Model!tauY/(1+Model!tauY)*N3:O3*N18:O18)/N32</f>
        <v>1.0241980975519944E-2</v>
      </c>
      <c r="P58" s="193">
        <f t="array" ref="P58">SUM(Model!tauY/(1+Model!tauY)*P3:Q3*P18:Q18)/P32</f>
        <v>1.0149699937848096E-2</v>
      </c>
      <c r="R58" s="193">
        <f t="array" ref="R58">SUM(Model!tauY/(1+Model!tauY)*R3:S3*R18:S18)/R32</f>
        <v>1.005399847892193E-2</v>
      </c>
      <c r="T58" s="193">
        <f t="array" ref="T58">SUM(Model!tauY/(1+Model!tauY)*T3:U3*T18:U18)/T32</f>
        <v>9.9541165049794392E-3</v>
      </c>
      <c r="V58" s="193">
        <f t="array" ref="V58">SUM(Model!tauY/(1+Model!tauY)*V3:W3*V18:W18)/V32</f>
        <v>9.8491529628816216E-3</v>
      </c>
      <c r="X58" s="193">
        <f t="array" ref="X58">SUM(Model!tauY/(1+Model!tauY)*X3:Y3*X18:Y18)/X32</f>
        <v>9.7380585158757388E-3</v>
      </c>
      <c r="Y58" s="193"/>
      <c r="Z58" s="193">
        <f t="array" ref="Z58">SUM(Model!tauY/(1+Model!tauY)*Z3:AA3*Z18:AA18)/Z32</f>
        <v>9.6196540544943882E-3</v>
      </c>
      <c r="AB58" s="193">
        <f t="array" ref="AB58">SUM(Model!tauY/(1+Model!tauY)*AB3:AC3*AB18:AC18)/AB32</f>
        <v>9.4926978175772381E-3</v>
      </c>
      <c r="AD58" s="193">
        <f t="array" ref="AD58">SUM(Model!tauY/(1+Model!tauY)*AD3:AE3*AD18:AE18)/AD32</f>
        <v>9.3560351491941956E-3</v>
      </c>
      <c r="AF58" s="193">
        <f t="array" ref="AF58">SUM(Model!tauY/(1+Model!tauY)*AF3:AG3*AF18:AG18)/AF32</f>
        <v>9.2087437009123699E-3</v>
      </c>
      <c r="AH58" s="193">
        <f t="array" ref="AH58">SUM(Model!tauY/(1+Model!tauY)*AH3:AI3*AH18:AI18)/AH32</f>
        <v>9.0494747936381483E-3</v>
      </c>
      <c r="AJ58" s="193">
        <f t="array" ref="AJ58">SUM(Model!tauY/(1+Model!tauY)*AJ3:AK3*AJ18:AK18)/AJ32</f>
        <v>8.87213185200964E-3</v>
      </c>
      <c r="AL58" s="193">
        <f t="array" ref="AL58">SUM(Model!tauY/(1+Model!tauY)*AL3:AM3*AL18:AM18)/AL32</f>
        <v>8.6537304223045682E-3</v>
      </c>
      <c r="AN58" s="193">
        <f t="array" ref="AN58">SUM(Model!tauY/(1+Model!tauY)*AN3:AO3*AN18:AO18)/AN32</f>
        <v>8.3212338375898594E-3</v>
      </c>
      <c r="AP58" s="193">
        <f t="array" ref="AP58">SUM(Model!tauY/(1+Model!tauY)*AP3:AQ3*AP18:AQ18)/AP32</f>
        <v>8.2232462332439259E-3</v>
      </c>
      <c r="AR58" s="193">
        <f t="array" ref="AR58">SUM(Model!tauY/(1+Model!tauY)*AR3:AS3*AR18:AS18)/AR32</f>
        <v>8.1048143510840977E-3</v>
      </c>
      <c r="AT58" s="193">
        <f t="array" ref="AT58">SUM(Model!tauY/(1+Model!tauY)*AT3:AU3*AT18:AU18)/AT32</f>
        <v>7.955858013174175E-3</v>
      </c>
      <c r="AV58" s="193">
        <f t="array" ref="AV58">SUM(Model!tauY/(1+Model!tauY)*AV3:AW3*AV18:AW18)/AV32</f>
        <v>7.7574060834718133E-3</v>
      </c>
      <c r="XFD58" s="193"/>
    </row>
    <row r="59" spans="1:48 16321:16384" x14ac:dyDescent="0.2">
      <c r="A59" t="s">
        <v>173</v>
      </c>
      <c r="B59" s="193">
        <f>(B2*C5*C20)/B32</f>
        <v>5.5174232040962052E-4</v>
      </c>
      <c r="D59" s="193">
        <f>(D2*E5*E20)/D32</f>
        <v>5.1158207900325057E-3</v>
      </c>
      <c r="F59" s="193">
        <f>(F2*G5*G20)/F32</f>
        <v>9.8030797561752085E-3</v>
      </c>
      <c r="H59" s="193">
        <f>(H2*I5*I20)/H32</f>
        <v>1.4634428926859719E-2</v>
      </c>
      <c r="J59" s="193">
        <f>(J2*K5*K20)/J32</f>
        <v>1.9635271973574887E-2</v>
      </c>
      <c r="L59" s="193">
        <f>(L2*M5*M20)/L32</f>
        <v>2.4837050491413333E-2</v>
      </c>
      <c r="N59" s="193">
        <f>(N2*O5*O20)/N32</f>
        <v>3.0279619505987725E-2</v>
      </c>
      <c r="P59" s="193">
        <f>(P2*Q5*Q20)/P32</f>
        <v>3.6014892934401896E-2</v>
      </c>
      <c r="R59" s="193">
        <f>(R2*S5*S20)/R32</f>
        <v>4.211269440660606E-2</v>
      </c>
      <c r="T59" s="193">
        <f>(T2*U5*U20)/T32</f>
        <v>4.8670661051271373E-2</v>
      </c>
      <c r="V59" s="193">
        <f>(V2*W5*W20)/V32</f>
        <v>5.5831203412955076E-2</v>
      </c>
      <c r="X59" s="193">
        <f>(X2*Y5*Y20)/X32</f>
        <v>6.3812249964822862E-2</v>
      </c>
      <c r="Z59" s="193">
        <f>(Z2*AA5*AA20)/Z32</f>
        <v>7.2964738676631807E-2</v>
      </c>
      <c r="AB59" s="193">
        <f>(AB2*AC5*AC20)/AB32</f>
        <v>8.3884615658507009E-2</v>
      </c>
      <c r="AD59" s="193">
        <f>(AD2*AE5*AE20)/AD32</f>
        <v>9.7635315922693186E-2</v>
      </c>
      <c r="AF59" s="193">
        <f>(AF2*AG5*AG20)/AF32</f>
        <v>0.1161781799033986</v>
      </c>
      <c r="AH59" s="193">
        <f>(AH2*AI5*AI20)/AH32</f>
        <v>0.14310798441080844</v>
      </c>
      <c r="AJ59" s="193">
        <f>(AJ2*AK5*AK20)/AJ32</f>
        <v>0.18480172263550096</v>
      </c>
      <c r="AL59" s="193">
        <f>(AL2*AM5*AM20)/AL32</f>
        <v>0.25425743363919834</v>
      </c>
      <c r="AN59" s="193">
        <f>(AN2*AO5*AO20)/AN32</f>
        <v>0.39460013729149407</v>
      </c>
      <c r="AP59" s="193">
        <f>(AP2*AQ5*AQ20)/AP32</f>
        <v>0.44382955942827224</v>
      </c>
      <c r="AR59" s="193">
        <f>(AR2*AS5*AS20)/AR32</f>
        <v>0.50837318263438236</v>
      </c>
      <c r="AT59" s="193">
        <f>(AT2*AU5*AU20)/AT32</f>
        <v>0.59787829650675239</v>
      </c>
      <c r="AV59" s="193">
        <f>(AV2*AW5*AW20)/AV32</f>
        <v>0.73305499838200872</v>
      </c>
      <c r="XFD59" s="193"/>
    </row>
    <row r="60" spans="1:48 16321:16384" x14ac:dyDescent="0.2">
      <c r="A60" t="s">
        <v>174</v>
      </c>
      <c r="B60" s="193">
        <f>Model!$C$52*B5*B20/B32</f>
        <v>2.8669464423930927E-2</v>
      </c>
      <c r="D60" s="193">
        <f>Model!$C$52*D5*D20/D32</f>
        <v>2.8613637996303145E-2</v>
      </c>
      <c r="F60" s="193">
        <f>Model!$C$52*F5*F20/F32</f>
        <v>2.8556762620450562E-2</v>
      </c>
      <c r="H60" s="193">
        <f>Model!$C$52*H5*H20/H32</f>
        <v>2.8498673934654987E-2</v>
      </c>
      <c r="J60" s="193">
        <f>Model!$C$52*J5*J20/J32</f>
        <v>2.8439175506608516E-2</v>
      </c>
      <c r="L60" s="193">
        <f>Model!$C$52*L5*L20/L32</f>
        <v>2.8378026954556521E-2</v>
      </c>
      <c r="N60" s="193">
        <f>Model!$C$52*N5*N20/N32</f>
        <v>2.8314927665310543E-2</v>
      </c>
      <c r="P60" s="193">
        <f>Model!$C$52*P5*P20/P32</f>
        <v>2.8249487112902125E-2</v>
      </c>
      <c r="R60" s="193">
        <f>Model!$C$52*R5*R20/R32</f>
        <v>2.8181180181802712E-2</v>
      </c>
      <c r="T60" s="193">
        <f>Model!$C$52*T5*T20/T32</f>
        <v>2.8109266171057211E-2</v>
      </c>
      <c r="V60" s="193">
        <f>Model!$C$52*V5*V20/V32</f>
        <v>2.8032648155966761E-2</v>
      </c>
      <c r="X60" s="193">
        <f>Model!$C$52*X5*X20/X32</f>
        <v>2.7949611812660188E-2</v>
      </c>
      <c r="Z60" s="193">
        <f>Model!$C$52*Z5*Z20/Z32</f>
        <v>2.7857329381383928E-2</v>
      </c>
      <c r="AB60" s="193">
        <f>Model!$C$52*AB5*AB20/AB32</f>
        <v>2.7750885153377459E-2</v>
      </c>
      <c r="AD60" s="193">
        <f>Model!$C$52*AD5*AD20/AD32</f>
        <v>2.7621356527167143E-2</v>
      </c>
      <c r="AF60" s="193">
        <f>Model!$C$52*AF5*AF20/AF32</f>
        <v>2.7452273374926724E-2</v>
      </c>
      <c r="AH60" s="193">
        <f>Model!$C$52*AH5*AH20/AH32</f>
        <v>2.7214568098440473E-2</v>
      </c>
      <c r="AJ60" s="193">
        <f>Model!$C$52*AJ5*AJ20/AJ32</f>
        <v>2.6862719830030763E-2</v>
      </c>
      <c r="AL60" s="193">
        <f>Model!$C$52*AL5*AL20/AL32</f>
        <v>2.6322575748434853E-2</v>
      </c>
      <c r="AN60" s="193">
        <f>Model!$C$52*AN5*AN20/AN32</f>
        <v>2.5385046651788926E-2</v>
      </c>
      <c r="AP60" s="193">
        <f>Model!$C$52*AP5*AP20/AP32</f>
        <v>2.5094656362921981E-2</v>
      </c>
      <c r="AR60" s="193">
        <f>Model!$C$52*AR5*AR20/AR32</f>
        <v>2.4738177897230946E-2</v>
      </c>
      <c r="AT60" s="193">
        <f>Model!$C$52*AT5*AT20/AT32</f>
        <v>2.4283207034391519E-2</v>
      </c>
      <c r="AV60" s="193">
        <f>Model!$C$52*AV5*AV20/AV32</f>
        <v>2.3668705892339933E-2</v>
      </c>
      <c r="XFD60" s="193"/>
    </row>
    <row r="62" spans="1:48 16321:16384" x14ac:dyDescent="0.2">
      <c r="A62" t="s">
        <v>175</v>
      </c>
      <c r="B62">
        <f>B13/B15</f>
        <v>1</v>
      </c>
      <c r="D62">
        <f>D13/D15</f>
        <v>1.0117487145951785</v>
      </c>
      <c r="F62">
        <f>F13/F15</f>
        <v>1.0236747470996261</v>
      </c>
      <c r="H62">
        <f>H13/H15</f>
        <v>1.0357862022711246</v>
      </c>
      <c r="J62">
        <f>J13/J15</f>
        <v>1.0480911188719197</v>
      </c>
      <c r="L62">
        <f>L13/L15</f>
        <v>1.0605967838562602</v>
      </c>
      <c r="N62">
        <f>N13/N15</f>
        <v>1.0733076716730041</v>
      </c>
      <c r="P62">
        <f>P13/P15</f>
        <v>1.0862232595447907</v>
      </c>
      <c r="R62">
        <f>R13/R15</f>
        <v>1.0993326842723177</v>
      </c>
      <c r="T62">
        <f>T13/T15</f>
        <v>1.1126071612999535</v>
      </c>
      <c r="V62">
        <f>V13/V15</f>
        <v>1.125986309896315</v>
      </c>
      <c r="X62">
        <f>X13/X15</f>
        <v>1.1393558505680093</v>
      </c>
      <c r="Z62">
        <f>Z13/Z15</f>
        <v>1.1525102509364815</v>
      </c>
      <c r="AB62">
        <f>AB13/AB15</f>
        <v>1.165093660461106</v>
      </c>
      <c r="AD62">
        <f>AD13/AD15</f>
        <v>1.1765180067170491</v>
      </c>
      <c r="AF62">
        <f>AF13/AF15</f>
        <v>1.1859063586916712</v>
      </c>
      <c r="AH62">
        <f>AH13/AH15</f>
        <v>1.1922788414606997</v>
      </c>
      <c r="AJ62">
        <f>AJ13/AJ15</f>
        <v>1.1953363507357373</v>
      </c>
      <c r="AL62">
        <f>AL13/AL15</f>
        <v>1.19617426918715</v>
      </c>
      <c r="AN62">
        <f>AN13/AN15</f>
        <v>1.1962713844224246</v>
      </c>
      <c r="AP62">
        <f>AP13/AP15</f>
        <v>1.1962729150980973</v>
      </c>
      <c r="AR62">
        <f>AR13/AR15</f>
        <v>1.1962734623778057</v>
      </c>
      <c r="AT62">
        <f>AT13/AT15</f>
        <v>1.1962736189971572</v>
      </c>
      <c r="AV62">
        <f>AV13/AV15</f>
        <v>1.1962736509830421</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0.9986325646360743</v>
      </c>
      <c r="E65" s="191"/>
      <c r="F65" s="191">
        <f t="array" ref="F65">SQRT((F9:G9*$B$22:$C$22+F10:G10*$B$23:$C$23+F11:G11*$B$24:$C$24+F4:G4*($B$25:$C$25-$B$19:$C$19))/($B$9:$C$9*$B$22:$C$22+$B$10:$C$10*$B$23:$C$23+$B$11:$C$11*$B$24:$C$24+$B$4:$C$4*($B$25:$C$25-$B$19:$C$19))*(F9:G9*F22:G22+F10:G10*F23:G23+F11:G11*F24:G24+F4:G4*(F25:G25-F19:G19))/($B$9:$C$9*F22:G22+$B$10:$C$10*F23:G23+$B$11:$C$11*F24:G24+$B$4:$C$4*(F25:G25-F19:G19)))</f>
        <v>0.99721988115697624</v>
      </c>
      <c r="G65" s="191"/>
      <c r="H65" s="191">
        <f t="array" ref="H65">SQRT((H9:I9*$B$22:$C$22+H10:I10*$B$23:$C$23+H11:I11*$B$24:$C$24+H4:I4*($B$25:$C$25-$B$19:$C$19))/($B$9:$C$9*$B$22:$C$22+$B$10:$C$10*$B$23:$C$23+$B$11:$C$11*$B$24:$C$24+$B$4:$C$4*($B$25:$C$25-$B$19:$C$19))*(H9:I9*H22:I22+H10:I10*H23:I23+H11:I11*H24:I24+H4:I4*(H25:I25-H19:I19))/($B$9:$C$9*H22:I22+$B$10:$C$10*H23:I23+$B$11:$C$11*H24:I24+$B$4:$C$4*(H25:I25-H19:I19)))</f>
        <v>0.99575471842573848</v>
      </c>
      <c r="I65" s="191"/>
      <c r="J65" s="191">
        <f t="array" ref="J65">SQRT((J9:K9*$B$22:$C$22+J10:K10*$B$23:$C$23+J11:K11*$B$24:$C$24+J4:K4*($B$25:$C$25-$B$19:$C$19))/($B$9:$C$9*$B$22:$C$22+$B$10:$C$10*$B$23:$C$23+$B$11:$C$11*$B$24:$C$24+$B$4:$C$4*($B$25:$C$25-$B$19:$C$19))*(J9:K9*J22:K22+J10:K10*J23:K23+J11:K11*J24:K24+J4:K4*(J25:K25-J19:K19))/($B$9:$C$9*J22:K22+$B$10:$C$10*J23:K23+$B$11:$C$11*J24:K24+$B$4:$C$4*(J25:K25-J19:K19)))</f>
        <v>0.99422877517943553</v>
      </c>
      <c r="K65" s="191"/>
      <c r="L65" s="191">
        <f t="array" ref="L65">SQRT((L9:M9*$B$22:$C$22+L10:M10*$B$23:$C$23+L11:M11*$B$24:$C$24+L4:M4*($B$25:$C$25-$B$19:$C$19))/($B$9:$C$9*$B$22:$C$22+$B$10:$C$10*$B$23:$C$23+$B$11:$C$11*$B$24:$C$24+$B$4:$C$4*($B$25:$C$25-$B$19:$C$19))*(L9:M9*L22:M22+L10:M10*L23:M23+L11:M11*L24:M24+L4:M4*(L25:M25-L19:M19))/($B$9:$C$9*L22:M22+$B$10:$C$10*L23:M23+$B$11:$C$11*L24:M24+$B$4:$C$4*(L25:M25-L19:M19)))</f>
        <v>0.99263273603787894</v>
      </c>
      <c r="M65" s="191"/>
      <c r="N65" s="191">
        <f t="array" ref="N65">SQRT((N9:O9*$B$22:$C$22+N10:O10*$B$23:$C$23+N11:O11*$B$24:$C$24+N4:O4*($B$25:$C$25-$B$19:$C$19))/($B$9:$C$9*$B$22:$C$22+$B$10:$C$10*$B$23:$C$23+$B$11:$C$11*$B$24:$C$24+$B$4:$C$4*($B$25:$C$25-$B$19:$C$19))*(N9:O9*N22:O22+N10:O10*N23:O23+N11:O11*N24:O24+N4:O4*(N25:O25-N19:O19))/($B$9:$C$9*N22:O22+$B$10:$C$10*N23:O23+$B$11:$C$11*N24:O24+$B$4:$C$4*(N25:O25-N19:O19)))</f>
        <v>0.99095653559878016</v>
      </c>
      <c r="O65" s="191"/>
      <c r="P65" s="191">
        <f t="array" ref="P65">SQRT((P9:Q9*$B$22:$C$22+P10:Q10*$B$23:$C$23+P11:Q11*$B$24:$C$24+P4:Q4*($B$25:$C$25-$B$19:$C$19))/($B$9:$C$9*$B$22:$C$22+$B$10:$C$10*$B$23:$C$23+$B$11:$C$11*$B$24:$C$24+$B$4:$C$4*($B$25:$C$25-$B$19:$C$19))*(P9:Q9*P22:Q22+P10:Q10*P23:Q23+P11:Q11*P24:Q24+P4:Q4*(P25:Q25-P19:Q19))/($B$9:$C$9*P22:Q22+$B$10:$C$10*P23:Q23+$B$11:$C$11*P24:Q24+$B$4:$C$4*(P25:Q25-P19:Q19)))</f>
        <v>0.98919000612500374</v>
      </c>
      <c r="Q65" s="191"/>
      <c r="R65" s="191">
        <f t="array" ref="R65">SQRT((R9:S9*$B$22:$C$22+R10:S10*$B$23:$C$23+R11:S11*$B$24:$C$24+R4:S4*($B$25:$C$25-$B$19:$C$19))/($B$9:$C$9*$B$22:$C$22+$B$10:$C$10*$B$23:$C$23+$B$11:$C$11*$B$24:$C$24+$B$4:$C$4*($B$25:$C$25-$B$19:$C$19))*(R9:S9*R22:S22+R10:S10*R23:S23+R11:S11*R24:S24+R4:S4*(R25:S25-R19:S19))/($B$9:$C$9*R22:S22+$B$10:$C$10*R23:S23+$B$11:$C$11*R24:S24+$B$4:$C$4*(R25:S25-R19:S19)))</f>
        <v>0.98732425029771154</v>
      </c>
      <c r="S65" s="191"/>
      <c r="T65" s="191">
        <f t="array" ref="T65">SQRT((T9:U9*$B$22:$C$22+T10:U10*$B$23:$C$23+T11:U11*$B$24:$C$24+T4:U4*($B$25:$C$25-$B$19:$C$19))/($B$9:$C$9*$B$22:$C$22+$B$10:$C$10*$B$23:$C$23+$B$11:$C$11*$B$24:$C$24+$B$4:$C$4*($B$25:$C$25-$B$19:$C$19))*(T9:U9*T22:U22+T10:U10*T23:U23+T11:U11*T24:U24+T4:U4*(T25:U25-T19:U19))/($B$9:$C$9*T22:U22+$B$10:$C$10*T23:U23+$B$11:$C$11*T24:U24+$B$4:$C$4*(T25:U25-T19:U19)))</f>
        <v>0.98535436566754886</v>
      </c>
      <c r="U65" s="191"/>
      <c r="V65" s="191">
        <f t="array" ref="V65">SQRT((V9:W9*$B$22:$C$22+V10:W10*$B$23:$C$23+V11:W11*$B$24:$C$24+V4:W4*($B$25:$C$25-$B$19:$C$19))/($B$9:$C$9*$B$22:$C$22+$B$10:$C$10*$B$23:$C$23+$B$11:$C$11*$B$24:$C$24+$B$4:$C$4*($B$25:$C$25-$B$19:$C$19))*(V9:W9*V22:W22+V10:W10*V23:W23+V11:W11*V24:W24+V4:W4*(V25:W25-V19:W19))/($B$9:$C$9*V22:W22+$B$10:$C$10*V23:W23+$B$11:$C$11*V24:W24+$B$4:$C$4*(V25:W25-V19:W19)))</f>
        <v>0.98328469883249059</v>
      </c>
      <c r="W65" s="191"/>
      <c r="X65" s="191">
        <f t="array" ref="X65">SQRT((X9:Y9*$B$22:$C$22+X10:Y10*$B$23:$C$23+X11:Y11*$B$24:$C$24+X4:Y4*($B$25:$C$25-$B$19:$C$19))/($B$9:$C$9*$B$22:$C$22+$B$10:$C$10*$B$23:$C$23+$B$11:$C$11*$B$24:$C$24+$B$4:$C$4*($B$25:$C$25-$B$19:$C$19))*(X9:Y9*X22:Y22+X10:Y10*X23:Y23+X11:Y11*X24:Y24+X4:Y4*(X25:Y25-X19:Y19))/($B$9:$C$9*X22:Y22+$B$10:$C$10*X23:Y23+$B$11:$C$11*X24:Y24+$B$4:$C$4*(X25:Y25-X19:Y19)))</f>
        <v>0.98113893865309698</v>
      </c>
      <c r="Y65" s="191"/>
      <c r="Z65" s="191">
        <f t="array" ref="Z65">SQRT((Z9:AA9*$B$22:$C$22+Z10:AA10*$B$23:$C$23+Z11:AA11*$B$24:$C$24+Z4:AA4*($B$25:$C$25-$B$19:$C$19))/($B$9:$C$9*$B$22:$C$22+$B$10:$C$10*$B$23:$C$23+$B$11:$C$11*$B$24:$C$24+$B$4:$C$4*($B$25:$C$25-$B$19:$C$19))*(Z9:AA9*Z22:AA22+Z10:AA10*Z23:AA23+Z11:AA11*Z24:AA24+Z4:AA4*(Z25:AA25-Z19:AA19))/($B$9:$C$9*Z22:AA22+$B$10:$C$10*Z23:AA23+$B$11:$C$11*Z24:AA24+$B$4:$C$4*(Z25:AA25-Z19:AA19)))</f>
        <v>0.97897948620254338</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0.97694450821662815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0.97531539119521549</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0.97461562888742925</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0.97563611383983362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0.97900050706684327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0.984173674136256</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0.98912119284751898</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0.98976404669283702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0.99014473014322579</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0.99011606375563577</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0.98939201513192931</v>
      </c>
    </row>
    <row r="66" spans="1:48 16384:16384" x14ac:dyDescent="0.2">
      <c r="A66" t="s">
        <v>182</v>
      </c>
      <c r="B66" s="191">
        <f t="array" ref="B66">SQRT((B9:C9*$B$22:$C$22)/($B$9:$C$9*$B$22:$C$22)*(B9:C9*B22:C22)/($B$9:$C$9*B22:C22))</f>
        <v>1</v>
      </c>
      <c r="C66" s="191"/>
      <c r="D66" s="191">
        <f t="array" ref="D66">SQRT((D9:E9*$B$22:$C$22)/($B$9:$C$9*$B$22:$C$22)*(D9:E9*D22:E22)/($B$9:$C$9*D22:E22))</f>
        <v>0.99849637094190302</v>
      </c>
      <c r="E66" s="191"/>
      <c r="F66" s="191">
        <f t="array" ref="F66">SQRT((F9:G9*$B$22:$C$22)/($B$9:$C$9*$B$22:$C$22)*(F9:G9*F22:G22)/($B$9:$C$9*F22:G22))</f>
        <v>0.99694133078265468</v>
      </c>
      <c r="G66" s="191"/>
      <c r="H66" s="191">
        <f t="array" ref="H66">SQRT((H9:I9*$B$22:$C$22)/($B$9:$C$9*$B$22:$C$22)*(H9:I9*H22:I22)/($B$9:$C$9*H22:I22))</f>
        <v>0.99532672902683084</v>
      </c>
      <c r="I66" s="191"/>
      <c r="J66" s="191">
        <f t="array" ref="J66">SQRT((J9:K9*$B$22:$C$22)/($B$9:$C$9*$B$22:$C$22)*(J9:K9*J22:K22)/($B$9:$C$9*J22:K22))</f>
        <v>0.99364318663553797</v>
      </c>
      <c r="K66" s="191"/>
      <c r="L66" s="191">
        <f t="array" ref="L66">SQRT((L9:M9*$B$22:$C$22)/($B$9:$C$9*$B$22:$C$22)*(L9:M9*L22:M22)/($B$9:$C$9*L22:M22))</f>
        <v>0.99188014564048543</v>
      </c>
      <c r="M66" s="191"/>
      <c r="N66" s="191">
        <f t="array" ref="N66">SQRT((N9:O9*$B$22:$C$22)/($B$9:$C$9*$B$22:$C$22)*(N9:O9*N22:O22)/($B$9:$C$9*N22:O22))</f>
        <v>0.99002614763476482</v>
      </c>
      <c r="O66" s="191"/>
      <c r="P66" s="191">
        <f t="array" ref="P66">SQRT((P9:Q9*$B$22:$C$22)/($B$9:$C$9*$B$22:$C$22)*(P9:Q9*P22:Q22)/($B$9:$C$9*P22:Q22))</f>
        <v>0.98806953782295559</v>
      </c>
      <c r="Q66" s="191"/>
      <c r="R66" s="191">
        <f t="array" ref="R66">SQRT((R9:S9*$B$22:$C$22)/($B$9:$C$9*$B$22:$C$22)*(R9:S9*R22:S22)/($B$9:$C$9*R22:S22))</f>
        <v>0.98599997850394727</v>
      </c>
      <c r="S66" s="191"/>
      <c r="T66" s="191">
        <f t="array" ref="T66">SQRT((T9:U9*$B$22:$C$22)/($B$9:$C$9*$B$22:$C$22)*(T9:U9*T22:U22)/($B$9:$C$9*T22:U22))</f>
        <v>0.98381147975998606</v>
      </c>
      <c r="U66" s="191"/>
      <c r="V66" s="191">
        <f t="array" ref="V66">SQRT((V9:W9*$B$22:$C$22)/($B$9:$C$9*$B$22:$C$22)*(V9:W9*V22:W22)/($B$9:$C$9*V22:W22))</f>
        <v>0.98150828198836104</v>
      </c>
      <c r="W66" s="191"/>
      <c r="X66" s="191">
        <f t="array" ref="X66">SQRT((X9:Y9*$B$22:$C$22)/($B$9:$C$9*$B$22:$C$22)*(X9:Y9*X22:Y22)/($B$9:$C$9*X22:Y22))</f>
        <v>0.97911621235572888</v>
      </c>
      <c r="Y66" s="191"/>
      <c r="Z66" s="191">
        <f t="array" ref="Z66">SQRT((Z9:AA9*$B$22:$C$22)/($B$9:$C$9*$B$22:$C$22)*(Z9:AA9*Z22:AA22)/($B$9:$C$9*Z22:AA22))</f>
        <v>0.9767045603318617</v>
      </c>
      <c r="AA66" s="191"/>
      <c r="AB66" s="191">
        <f t="array" ref="AB66">SQRT((AB9:AC9*$B$22:$C$22)/($B$9:$C$9*$B$22:$C$22)*(AB9:AC9*AB22:AC22)/($B$9:$C$9*AB22:AC22))</f>
        <v>0.97442802099089709</v>
      </c>
      <c r="AC66" s="191"/>
      <c r="AD66" s="191">
        <f t="array" ref="AD66">SQRT((AD9:AE9*$B$22:$C$22)/($B$9:$C$9*$B$22:$C$22)*(AD9:AE9*AD22:AE22)/($B$9:$C$9*AD22:AE22))</f>
        <v>0.97260307638429344</v>
      </c>
      <c r="AE66" s="191"/>
      <c r="AF66" s="191">
        <f t="array" ref="AF66">SQRT((AF9:AG9*$B$22:$C$22)/($B$9:$C$9*$B$22:$C$22)*(AF9:AG9*AF22:AG22)/($B$9:$C$9*AF22:AG22))</f>
        <v>0.97181953103870899</v>
      </c>
      <c r="AG66" s="191"/>
      <c r="AH66" s="191">
        <f t="array" ref="AH66">SQRT((AH9:AI9*$B$22:$C$22)/($B$9:$C$9*$B$22:$C$22)*(AH9:AI9*AH22:AI22)/($B$9:$C$9*AH22:AI22))</f>
        <v>0.97296660822305669</v>
      </c>
      <c r="AI66" s="191"/>
      <c r="AJ66" s="191">
        <f t="array" ref="AJ66">SQRT((AJ9:AK9*$B$22:$C$22)/($B$9:$C$9*$B$22:$C$22)*(AJ9:AK9*AJ22:AK22)/($B$9:$C$9*AJ22:AK22))</f>
        <v>0.97673609495226821</v>
      </c>
      <c r="AK66" s="191"/>
      <c r="AL66" s="191">
        <f t="array" ref="AL66">SQRT((AL9:AM9*$B$22:$C$22)/($B$9:$C$9*$B$22:$C$22)*(AL9:AM9*AL22:AM22)/($B$9:$C$9*AL22:AM22))</f>
        <v>0.9825081793403152</v>
      </c>
      <c r="AM66" s="191"/>
      <c r="AN66" s="191">
        <f t="array" ref="AN66">SQRT((AN9:AO9*$B$22:$C$22)/($B$9:$C$9*$B$22:$C$22)*(AN9:AO9*AN22:AO22)/($B$9:$C$9*AN22:AO22))</f>
        <v>0.98800285937562504</v>
      </c>
      <c r="AO66" s="191"/>
      <c r="AP66" s="191">
        <f t="array" ref="AP66">SQRT((AP9:AQ9*$B$22:$C$22)/($B$9:$C$9*$B$22:$C$22)*(AP9:AQ9*AP22:AQ22)/($B$9:$C$9*AP22:AQ22))</f>
        <v>0.98871500938355772</v>
      </c>
      <c r="AQ66" s="191"/>
      <c r="AR66" s="191">
        <f t="array" ref="AR66">SQRT((AR9:AS9*$B$22:$C$22)/($B$9:$C$9*$B$22:$C$22)*(AR9:AS9*AR22:AS22)/($B$9:$C$9*AR22:AS22))</f>
        <v>0.98913653537378143</v>
      </c>
      <c r="AS66" s="191"/>
      <c r="AT66" s="191">
        <f t="array" ref="AT66">SQRT((AT9:AU9*$B$22:$C$22)/($B$9:$C$9*$B$22:$C$22)*(AT9:AU9*AT22:AU22)/($B$9:$C$9*AT22:AU22))</f>
        <v>0.98910479846139221</v>
      </c>
      <c r="AU66" s="191"/>
      <c r="AV66" s="191">
        <f t="array" ref="AV66">SQRT((AV9:AW9*$B$22:$C$22)/($B$9:$C$9*$B$22:$C$22)*(AV9:AW9*AV22:AW22)/($B$9:$C$9*AV22:AW22))</f>
        <v>0.98830292502067829</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0.99849637094190302</v>
      </c>
      <c r="E68" s="191"/>
      <c r="F68" s="191">
        <f>F66/F67</f>
        <v>0.99694133078265468</v>
      </c>
      <c r="G68" s="191"/>
      <c r="H68" s="191">
        <f>H66/H67</f>
        <v>0.99532672902683084</v>
      </c>
      <c r="I68" s="191"/>
      <c r="J68" s="191">
        <f>J66/J67</f>
        <v>0.99364318663553797</v>
      </c>
      <c r="K68" s="191"/>
      <c r="L68" s="191">
        <f>L66/L67</f>
        <v>0.99188014564048543</v>
      </c>
      <c r="M68" s="191"/>
      <c r="N68" s="191">
        <f>N66/N67</f>
        <v>0.99002614763476482</v>
      </c>
      <c r="O68" s="191"/>
      <c r="P68" s="191">
        <f>P66/P67</f>
        <v>0.98806953782295559</v>
      </c>
      <c r="Q68" s="191"/>
      <c r="R68" s="191">
        <f>R66/R67</f>
        <v>0.98599997850394727</v>
      </c>
      <c r="S68" s="191"/>
      <c r="T68" s="191">
        <f>T66/T67</f>
        <v>0.98381147975998606</v>
      </c>
      <c r="U68" s="191"/>
      <c r="V68" s="191">
        <f>V66/V67</f>
        <v>0.98150828198836104</v>
      </c>
      <c r="W68" s="191"/>
      <c r="X68" s="191">
        <f>X66/X67</f>
        <v>0.97911621235572888</v>
      </c>
      <c r="Y68" s="191"/>
      <c r="Z68" s="191">
        <f>Z66/Z67</f>
        <v>0.9767045603318617</v>
      </c>
      <c r="AA68" s="191"/>
      <c r="AB68" s="191">
        <f>AB66/AB67</f>
        <v>0.97442802099089709</v>
      </c>
      <c r="AC68" s="191"/>
      <c r="AD68" s="191">
        <f>AD66/AD67</f>
        <v>0.97260307638429344</v>
      </c>
      <c r="AE68" s="191"/>
      <c r="AF68" s="191">
        <f>AF66/AF67</f>
        <v>0.97181953103870899</v>
      </c>
      <c r="AG68" s="191"/>
      <c r="AH68" s="191">
        <f>AH66/AH67</f>
        <v>0.97296660822305669</v>
      </c>
      <c r="AI68" s="191"/>
      <c r="AJ68" s="191">
        <f>AJ66/AJ67</f>
        <v>0.97673609495226821</v>
      </c>
      <c r="AK68" s="191"/>
      <c r="AL68" s="191">
        <f>AL66/AL67</f>
        <v>0.9825081793403152</v>
      </c>
      <c r="AM68" s="191"/>
      <c r="AN68" s="191">
        <f>AN66/AN67</f>
        <v>0.98800285937562504</v>
      </c>
      <c r="AO68" s="191"/>
      <c r="AP68" s="191">
        <f>AP66/AP67</f>
        <v>0.98871500938355772</v>
      </c>
      <c r="AQ68" s="191"/>
      <c r="AR68" s="191">
        <f>AR66/AR67</f>
        <v>0.98913653537378143</v>
      </c>
      <c r="AS68" s="191"/>
      <c r="AT68" s="191">
        <f>AT66/AT67</f>
        <v>0.98910479846139221</v>
      </c>
      <c r="AU68" s="191"/>
      <c r="AV68" s="191">
        <f>AV66/AV67</f>
        <v>0.98830292502067829</v>
      </c>
      <c r="XFD68" s="191"/>
    </row>
    <row r="69" spans="1:48 16384:16384" x14ac:dyDescent="0.2">
      <c r="A69" t="s">
        <v>177</v>
      </c>
      <c r="B69" s="191">
        <f>B32/B65/($B$32)</f>
        <v>1</v>
      </c>
      <c r="C69" s="191"/>
      <c r="D69" s="191">
        <f>D32/D65/($B$32)</f>
        <v>1.0015242091373855</v>
      </c>
      <c r="E69" s="191"/>
      <c r="F69" s="191">
        <f>F32/F65/($B$32)</f>
        <v>1.0029261095175681</v>
      </c>
      <c r="G69" s="191"/>
      <c r="H69" s="191">
        <f>H32/H65/($B$32)</f>
        <v>1.0041864263663436</v>
      </c>
      <c r="I69" s="191"/>
      <c r="J69" s="191">
        <f>J32/J65/($B$32)</f>
        <v>1.0052815026151323</v>
      </c>
      <c r="K69" s="191"/>
      <c r="L69" s="191">
        <f>L32/L65/($B$32)</f>
        <v>1.0061820987198442</v>
      </c>
      <c r="M69" s="191"/>
      <c r="N69" s="191">
        <f>N32/N65/($B$32)</f>
        <v>1.0068516114391788</v>
      </c>
      <c r="O69" s="191"/>
      <c r="P69" s="191">
        <f>P32/P65/($B$32)</f>
        <v>1.0072438983902601</v>
      </c>
      <c r="Q69" s="191"/>
      <c r="R69" s="191">
        <f>R32/R65/($B$32)</f>
        <v>1.007299916299405</v>
      </c>
      <c r="S69" s="191"/>
      <c r="T69" s="191">
        <f>T32/T65/($B$32)</f>
        <v>1.0069431641391189</v>
      </c>
      <c r="U69" s="191"/>
      <c r="V69" s="191">
        <f>V32/V65/($B$32)</f>
        <v>1.0060727092868267</v>
      </c>
      <c r="W69" s="191"/>
      <c r="X69" s="191">
        <f>X32/X65/($B$32)</f>
        <v>1.0045524070611946</v>
      </c>
      <c r="Y69" s="191"/>
      <c r="Z69" s="191">
        <f>Z32/Z65/($B$32)</f>
        <v>1.0021926898511588</v>
      </c>
      <c r="AA69" s="191"/>
      <c r="AB69" s="191">
        <f>AB32/AB65/($B$32)</f>
        <v>0.99871670308404548</v>
      </c>
      <c r="AC69" s="191"/>
      <c r="AD69" s="191">
        <f>AD32/AD65/($B$32)</f>
        <v>0.99368662546867792</v>
      </c>
      <c r="AE69" s="191"/>
      <c r="AF69" s="191">
        <f>AF32/AF65/($B$32)</f>
        <v>0.98631017753895089</v>
      </c>
      <c r="AG69" s="191"/>
      <c r="AH69" s="191">
        <f>AH32/AH65/($B$32)</f>
        <v>0.97484275351167704</v>
      </c>
      <c r="AI69" s="191"/>
      <c r="AJ69" s="191">
        <f>AJ32/AJ65/($B$32)</f>
        <v>0.95466052426954706</v>
      </c>
      <c r="AK69" s="191"/>
      <c r="AL69" s="191">
        <f>AL32/AL65/($B$32)</f>
        <v>0.91196107988207287</v>
      </c>
      <c r="AM69" s="191"/>
      <c r="AN69" s="191">
        <f>AN32/AN65/($B$32)</f>
        <v>0.79291254025309288</v>
      </c>
      <c r="AO69" s="191"/>
      <c r="AP69" s="191">
        <f>AP32/AP65/($B$32)</f>
        <v>0.74255727199962651</v>
      </c>
      <c r="AQ69" s="191"/>
      <c r="AR69" s="191">
        <f>AR32/AR65/($B$32)</f>
        <v>0.67074951508473224</v>
      </c>
      <c r="AS69" s="191"/>
      <c r="AT69" s="191">
        <f>AT32/AT65/($B$32)</f>
        <v>0.56121134684783469</v>
      </c>
      <c r="AU69" s="191"/>
      <c r="AV69" s="191">
        <f>AV32/AV65/($B$32)</f>
        <v>0.37585412462994844</v>
      </c>
    </row>
    <row r="70" spans="1:48 16384:16384" x14ac:dyDescent="0.2">
      <c r="A70" t="s">
        <v>178</v>
      </c>
      <c r="B70" s="138">
        <f>B18/$B$18</f>
        <v>1</v>
      </c>
      <c r="C70" s="138"/>
      <c r="D70" s="138">
        <f>D18/$B$18</f>
        <v>1.0003127142820636</v>
      </c>
      <c r="E70" s="138"/>
      <c r="F70" s="138">
        <f>F18/$B$18</f>
        <v>1.0004900437322466</v>
      </c>
      <c r="G70" s="138"/>
      <c r="H70" s="138">
        <f>H18/$B$18</f>
        <v>1.0005117385446478</v>
      </c>
      <c r="I70" s="138"/>
      <c r="J70" s="138">
        <f>J18/$B$18</f>
        <v>1.0003528443438219</v>
      </c>
      <c r="K70" s="138"/>
      <c r="L70" s="138">
        <f>L18/$B$18</f>
        <v>0.99998211461991693</v>
      </c>
      <c r="M70" s="138"/>
      <c r="N70" s="138">
        <f>N18/$B$18</f>
        <v>0.9993595865516689</v>
      </c>
      <c r="O70" s="138"/>
      <c r="P70" s="138">
        <f>P18/$B$18</f>
        <v>0.99843308753521864</v>
      </c>
      <c r="Q70" s="138"/>
      <c r="R70" s="138">
        <f>R18/$B$18</f>
        <v>0.99713263393792484</v>
      </c>
      <c r="S70" s="138"/>
      <c r="T70" s="138">
        <f>T18/$B$18</f>
        <v>0.99536159335822216</v>
      </c>
      <c r="U70" s="138"/>
      <c r="V70" s="138">
        <f>V18/$B$18</f>
        <v>0.99298189043963336</v>
      </c>
      <c r="W70" s="138"/>
      <c r="X70" s="138">
        <f>X18/$B$18</f>
        <v>0.98978840496546605</v>
      </c>
      <c r="Y70" s="138"/>
      <c r="Z70" s="138">
        <f>Z18/$B$18</f>
        <v>0.98546250419941239</v>
      </c>
      <c r="AA70" s="138"/>
      <c r="AB70" s="138">
        <f>AB18/$B$18</f>
        <v>0.97948380971282756</v>
      </c>
      <c r="AC70" s="138"/>
      <c r="AD70" s="138">
        <f>AD18/$B$18</f>
        <v>0.97095565741956846</v>
      </c>
      <c r="AE70" s="138"/>
      <c r="AF70" s="138">
        <f>AF18/$B$18</f>
        <v>0.95825362641289602</v>
      </c>
      <c r="AG70" s="138"/>
      <c r="AH70" s="138">
        <f>AH18/$B$18</f>
        <v>0.93832675192774284</v>
      </c>
      <c r="AI70" s="138"/>
      <c r="AJ70" s="138">
        <f>AJ18/$B$18</f>
        <v>0.90518606196507856</v>
      </c>
      <c r="AK70" s="138"/>
      <c r="AL70" s="138">
        <f>AL18/$B$18</f>
        <v>0.8447371744857437</v>
      </c>
      <c r="AM70" s="138"/>
      <c r="AN70" s="138">
        <f>AN18/$B$18</f>
        <v>0.7062980539440209</v>
      </c>
      <c r="AO70" s="138"/>
      <c r="AP70" s="138">
        <f>AP18/$B$18</f>
        <v>0.65363923067345631</v>
      </c>
      <c r="AQ70" s="138"/>
      <c r="AR70" s="138">
        <f>AR18/$B$18</f>
        <v>0.58191792964161315</v>
      </c>
      <c r="AS70" s="138"/>
      <c r="AT70" s="138">
        <f>AT18/$B$18</f>
        <v>0.47793976269824884</v>
      </c>
      <c r="AU70" s="138"/>
      <c r="AV70" s="138">
        <f>AV18/$B$18</f>
        <v>0.31211312146009051</v>
      </c>
    </row>
    <row r="71" spans="1:48 16384:16384" x14ac:dyDescent="0.2">
      <c r="A71" t="s">
        <v>179</v>
      </c>
      <c r="B71" s="138">
        <f>C18/$C$18</f>
        <v>1</v>
      </c>
      <c r="D71" s="138">
        <f>E18/$C$18</f>
        <v>0.93016149027722872</v>
      </c>
      <c r="E71" s="138"/>
      <c r="F71" s="138">
        <f>G18/$C$18</f>
        <v>0.86032576940310779</v>
      </c>
      <c r="G71" s="138"/>
      <c r="H71" s="138">
        <f>I18/$C$18</f>
        <v>0.79051339071091387</v>
      </c>
      <c r="I71" s="138"/>
      <c r="J71" s="138">
        <f>K18/$C$18</f>
        <v>0.72075622959210706</v>
      </c>
      <c r="K71" s="138"/>
      <c r="L71" s="138">
        <f>M18/$C$18</f>
        <v>0.65110336526921353</v>
      </c>
      <c r="M71" s="138"/>
      <c r="N71" s="138">
        <f>O18/$C$18</f>
        <v>0.58163302087217561</v>
      </c>
      <c r="O71" s="138"/>
      <c r="P71" s="138">
        <f>Q18/$C$18</f>
        <v>0.51246630433505913</v>
      </c>
      <c r="Q71" s="138"/>
      <c r="R71" s="138">
        <f>S18/$C$18</f>
        <v>0.44379387678452531</v>
      </c>
      <c r="S71" s="138"/>
      <c r="T71" s="138">
        <f>U18/$C$18</f>
        <v>0.37591271847801944</v>
      </c>
      <c r="U71" s="138"/>
      <c r="V71" s="138">
        <f>W18/$C$18</f>
        <v>0.30928632681964013</v>
      </c>
      <c r="W71" s="138"/>
      <c r="X71" s="138">
        <f>Y18/$C$18</f>
        <v>0.24463655327478812</v>
      </c>
      <c r="Y71" s="138"/>
      <c r="Z71" s="138">
        <f>AA18/$C$18</f>
        <v>0.18308540678379809</v>
      </c>
      <c r="AA71" s="138"/>
      <c r="AB71" s="138">
        <f>AC18/$C$18</f>
        <v>0.12635804413014326</v>
      </c>
      <c r="AC71" s="138"/>
      <c r="AD71" s="138">
        <f>AE18/$C$18</f>
        <v>7.7015250025277052E-2</v>
      </c>
      <c r="AE71" s="138"/>
      <c r="AF71" s="138">
        <f>AG18/$C$18</f>
        <v>3.8461348780784423E-2</v>
      </c>
      <c r="AG71" s="138"/>
      <c r="AH71" s="138">
        <f>AI18/$C$18</f>
        <v>1.385521517291277E-2</v>
      </c>
      <c r="AI71" s="138"/>
      <c r="AJ71" s="138">
        <f>AK18/$C$18</f>
        <v>2.9474537156223401E-3</v>
      </c>
      <c r="AK71" s="138"/>
      <c r="AL71" s="138">
        <f>AM18/$C$18</f>
        <v>2.6763083638852765E-4</v>
      </c>
      <c r="AM71" s="138"/>
      <c r="AN71" s="138">
        <f>AO18/$C$18</f>
        <v>4.5562657138774392E-6</v>
      </c>
      <c r="AO71" s="138"/>
      <c r="AP71" s="138">
        <f>AQ18/$C$18</f>
        <v>1.3434557016679082E-6</v>
      </c>
      <c r="AQ71" s="138"/>
      <c r="AR71" s="138">
        <f>AS18/$C$18</f>
        <v>3.0643866338833655E-7</v>
      </c>
      <c r="AS71" s="138"/>
      <c r="AT71" s="138">
        <f>AU18/$C$18</f>
        <v>4.7139524489807645E-8</v>
      </c>
      <c r="AU71" s="138"/>
      <c r="AV71" s="138">
        <f>AW18/$C$18</f>
        <v>3.5269389690808328E-9</v>
      </c>
      <c r="XFD71" s="138"/>
    </row>
    <row r="72" spans="1:48 16384:16384" x14ac:dyDescent="0.2">
      <c r="A72" t="s">
        <v>180</v>
      </c>
      <c r="B72" s="138">
        <f>C19/$C$19</f>
        <v>1</v>
      </c>
      <c r="D72" s="138">
        <f>E19/$C$19</f>
        <v>1.0239311616288713</v>
      </c>
      <c r="E72" s="138"/>
      <c r="F72" s="138">
        <f>G19/$C$19</f>
        <v>1.0515419747828487</v>
      </c>
      <c r="G72" s="138"/>
      <c r="H72" s="138">
        <f>I19/$C$19</f>
        <v>1.0833015420323431</v>
      </c>
      <c r="I72" s="138"/>
      <c r="J72" s="138">
        <f>K19/$C$19</f>
        <v>1.1197314732724251</v>
      </c>
      <c r="K72" s="138"/>
      <c r="L72" s="138">
        <f>M19/$C$19</f>
        <v>1.1613970949780601</v>
      </c>
      <c r="M72" s="138"/>
      <c r="N72" s="138">
        <f>O19/$C$19</f>
        <v>1.2088862984238351</v>
      </c>
      <c r="O72" s="138"/>
      <c r="P72" s="138">
        <f>Q19/$C$19</f>
        <v>1.2627607642028167</v>
      </c>
      <c r="Q72" s="138"/>
      <c r="R72" s="138">
        <f>S19/$C$19</f>
        <v>1.3234608857368417</v>
      </c>
      <c r="S72" s="138"/>
      <c r="T72" s="138">
        <f>U19/$C$19</f>
        <v>1.3911256020832574</v>
      </c>
      <c r="U72" s="138"/>
      <c r="V72" s="138">
        <f>W19/$C$19</f>
        <v>1.4652490299298992</v>
      </c>
      <c r="W72" s="138"/>
      <c r="X72" s="138">
        <f>Y19/$C$19</f>
        <v>1.5440360873902779</v>
      </c>
      <c r="Y72" s="138"/>
      <c r="Z72" s="138">
        <f>AA19/$C$19</f>
        <v>1.6231787649599447</v>
      </c>
      <c r="AA72" s="138"/>
      <c r="AB72" s="138">
        <f>AC19/$C$19</f>
        <v>1.693552819984679</v>
      </c>
      <c r="AC72" s="138"/>
      <c r="AD72" s="138">
        <f>AE19/$C$19</f>
        <v>1.7371013757281806</v>
      </c>
      <c r="AE72" s="138"/>
      <c r="AF72" s="138">
        <f>AG19/$C$19</f>
        <v>1.7209873634614723</v>
      </c>
      <c r="AG72" s="138"/>
      <c r="AH72" s="138">
        <f>AI19/$C$19</f>
        <v>1.5965117214456133</v>
      </c>
      <c r="AI72" s="138"/>
      <c r="AJ72" s="138">
        <f>AK19/$C$19</f>
        <v>1.3245021980766922</v>
      </c>
      <c r="AK72" s="138"/>
      <c r="AL72" s="138">
        <f>AM19/$C$19</f>
        <v>0.92562340485781092</v>
      </c>
      <c r="AM72" s="138"/>
      <c r="AN72" s="138">
        <f>AO19/$C$19</f>
        <v>0.46852668356771693</v>
      </c>
      <c r="AO72" s="138"/>
      <c r="AP72" s="138">
        <f>AQ19/$C$19</f>
        <v>0.37502910698023056</v>
      </c>
      <c r="AQ72" s="138"/>
      <c r="AR72" s="138">
        <f>AS19/$C$19</f>
        <v>0.28135442934299199</v>
      </c>
      <c r="AS72" s="138"/>
      <c r="AT72" s="138">
        <f>AU19/$C$19</f>
        <v>0.18759509865672344</v>
      </c>
      <c r="AU72" s="138"/>
      <c r="AV72" s="138">
        <f>AW19/$C$19</f>
        <v>9.3802377873061601E-2</v>
      </c>
      <c r="XFD72" s="138"/>
    </row>
    <row r="73" spans="1:48 16384:16384" x14ac:dyDescent="0.2">
      <c r="A73" t="s">
        <v>184</v>
      </c>
      <c r="B73" s="193">
        <f t="array" ref="B73">SUM(B9:C9*B22:C22)/B32</f>
        <v>0.47641153352875065</v>
      </c>
      <c r="D73" s="193">
        <f t="array" ref="D73">SUM(D9:E9*D22:E22)/D32</f>
        <v>0.47641153390765173</v>
      </c>
      <c r="E73" s="138"/>
      <c r="F73" s="193">
        <f t="array" ref="F73">SUM(F9:G9*F22:G22)/F32</f>
        <v>0.4764115339704304</v>
      </c>
      <c r="G73" s="138"/>
      <c r="H73" s="193">
        <f t="array" ref="H73">SUM(H9:I9*H22:I22)/H32</f>
        <v>0.47641153413415283</v>
      </c>
      <c r="I73" s="138"/>
      <c r="J73" s="193">
        <f t="array" ref="J73">SUM(J9:K9*J22:K22)/J32</f>
        <v>0.47641153561662031</v>
      </c>
      <c r="K73" s="138"/>
      <c r="L73" s="193">
        <f t="array" ref="L73">SUM(L9:M9*L22:M22)/L32</f>
        <v>0.47641153443867129</v>
      </c>
      <c r="M73" s="138"/>
      <c r="N73" s="193">
        <f t="array" ref="N73">SUM(N9:O9*N22:O22)/N32</f>
        <v>0.47641153359479765</v>
      </c>
      <c r="O73" s="138"/>
      <c r="P73" s="193">
        <f t="array" ref="P73">SUM(P9:Q9*P22:Q22)/P32</f>
        <v>0.47641153800921232</v>
      </c>
      <c r="Q73" s="138"/>
      <c r="R73" s="193">
        <f t="array" ref="R73">SUM(R9:S9*R22:S22)/R32</f>
        <v>0.47641153688316623</v>
      </c>
      <c r="S73" s="138"/>
      <c r="T73" s="193">
        <f t="array" ref="T73">SUM(T9:U9*T22:U22)/T32</f>
        <v>0.47641153766558886</v>
      </c>
      <c r="U73" s="138"/>
      <c r="V73" s="193">
        <f t="array" ref="V73">SUM(V9:W9*V22:W22)/V32</f>
        <v>0.47641153351823934</v>
      </c>
      <c r="W73" s="138"/>
      <c r="X73" s="193">
        <f t="array" ref="X73">SUM(X9:Y9*X22:Y22)/X32</f>
        <v>0.47641153362137806</v>
      </c>
      <c r="Y73" s="138"/>
      <c r="Z73" s="193">
        <f t="array" ref="Z73">SUM(Z9:AA9*Z22:AA22)/Z32</f>
        <v>0.47641153412076115</v>
      </c>
      <c r="AA73" s="138"/>
      <c r="AB73" s="193">
        <f t="array" ref="AB73">SUM(AB9:AC9*AB22:AC22)/AB32</f>
        <v>0.47641153366154765</v>
      </c>
      <c r="AC73" s="138"/>
      <c r="AD73" s="193">
        <f t="array" ref="AD73">SUM(AD9:AE9*AD22:AE22)/AD32</f>
        <v>0.47641153345931458</v>
      </c>
      <c r="AE73" s="138"/>
      <c r="AF73" s="193">
        <f t="array" ref="AF73">SUM(AF9:AG9*AF22:AG22)/AF32</f>
        <v>0.4764115337933682</v>
      </c>
      <c r="AG73" s="138"/>
      <c r="AH73" s="193">
        <f t="array" ref="AH73">SUM(AH9:AI9*AH22:AI22)/AH32</f>
        <v>0.47641153351429499</v>
      </c>
      <c r="AI73" s="138"/>
      <c r="AJ73" s="193">
        <f t="array" ref="AJ73">SUM(AJ9:AK9*AJ22:AK22)/AJ32</f>
        <v>0.47641153352709598</v>
      </c>
      <c r="AK73" s="138"/>
      <c r="AL73" s="193">
        <f t="array" ref="AL73">SUM(AL9:AM9*AL22:AM22)/AL32</f>
        <v>0.47641153352876031</v>
      </c>
      <c r="AM73" s="138"/>
      <c r="AN73" s="193">
        <f t="array" ref="AN73">SUM(AN9:AO9*AN22:AO22)/AN32</f>
        <v>0.47641153352875076</v>
      </c>
      <c r="AO73" s="138"/>
      <c r="AP73" s="193">
        <f t="array" ref="AP73">SUM(AP9:AQ9*AP22:AQ22)/AP32</f>
        <v>0.47641153352875115</v>
      </c>
      <c r="AQ73" s="138"/>
      <c r="AR73" s="193">
        <f t="array" ref="AR73">SUM(AR9:AS9*AR22:AS22)/AR32</f>
        <v>0.47641153352875049</v>
      </c>
      <c r="AS73" s="138"/>
      <c r="AT73" s="193">
        <f t="array" ref="AT73">SUM(AT9:AU9*AT22:AU22)/AT32</f>
        <v>0.47641153352875143</v>
      </c>
      <c r="AU73" s="138"/>
      <c r="AV73" s="193">
        <f t="array" ref="AV73">SUM(AV9:AW9*AV22:AW22)/AV32</f>
        <v>0.47641153352861276</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0.22604620456442481</v>
      </c>
      <c r="K74" s="138"/>
      <c r="L74" s="193">
        <f t="array" ref="L74">SUM(L10:M10*L23:M23)/L32</f>
        <v>0.22604620456442487</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0.22604620456442487</v>
      </c>
      <c r="AA74" s="138"/>
      <c r="AB74" s="193">
        <f t="array" ref="AB74">SUM(AB10:AC10*AB23:AC23)/AB32</f>
        <v>0.22604620456442481</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0.22604620456442481</v>
      </c>
      <c r="XFD74" s="193"/>
    </row>
    <row r="75" spans="1:48 16384:16384" x14ac:dyDescent="0.2">
      <c r="A75" t="s">
        <v>186</v>
      </c>
      <c r="B75" s="193">
        <f t="array" ref="B75">SUM(B11:C11*B24:C24)/B32</f>
        <v>0.22038438833194082</v>
      </c>
      <c r="D75" s="193">
        <f t="array" ref="D75">SUM(D11:E11*D24:E24)/D32</f>
        <v>0.22038438832487986</v>
      </c>
      <c r="E75" s="138"/>
      <c r="F75" s="193">
        <f t="array" ref="F75">SUM(F11:G11*F24:G24)/F32</f>
        <v>0.22038438832298163</v>
      </c>
      <c r="G75" s="138"/>
      <c r="H75" s="193">
        <f t="array" ref="H75">SUM(H11:I11*H24:I24)/H32</f>
        <v>0.22038438831861348</v>
      </c>
      <c r="I75" s="138"/>
      <c r="J75" s="193">
        <f t="array" ref="J75">SUM(J11:K11*J24:K24)/J32</f>
        <v>0.22038438835519847</v>
      </c>
      <c r="K75" s="138"/>
      <c r="L75" s="193">
        <f t="array" ref="L75">SUM(L11:M11*L24:M24)/L32</f>
        <v>0.22038438830898086</v>
      </c>
      <c r="M75" s="138"/>
      <c r="N75" s="193">
        <f t="array" ref="N75">SUM(N11:O11*N24:O24)/N32</f>
        <v>0.22038438833827939</v>
      </c>
      <c r="O75" s="138"/>
      <c r="P75" s="193">
        <f t="array" ref="P75">SUM(P11:Q11*P24:Q24)/P32</f>
        <v>0.2203843883092006</v>
      </c>
      <c r="Q75" s="138"/>
      <c r="R75" s="193">
        <f t="array" ref="R75">SUM(R11:S11*R24:S24)/R32</f>
        <v>0.22038438831548987</v>
      </c>
      <c r="S75" s="138"/>
      <c r="T75" s="193">
        <f t="array" ref="T75">SUM(T11:U11*T24:U24)/T32</f>
        <v>0.22038438831346982</v>
      </c>
      <c r="U75" s="138"/>
      <c r="V75" s="193">
        <f t="array" ref="V75">SUM(V11:W11*V24:W24)/V32</f>
        <v>0.2203843883338619</v>
      </c>
      <c r="W75" s="138"/>
      <c r="X75" s="193">
        <f t="array" ref="X75">SUM(X11:Y11*X24:Y24)/X32</f>
        <v>0.2203843883331276</v>
      </c>
      <c r="Y75" s="138"/>
      <c r="Z75" s="193">
        <f t="array" ref="Z75">SUM(Z11:AA11*Z24:AA24)/Z32</f>
        <v>0.22038438834098986</v>
      </c>
      <c r="AA75" s="138"/>
      <c r="AB75" s="193">
        <f t="array" ref="AB75">SUM(AB11:AC11*AB24:AC24)/AB32</f>
        <v>0.22038438833373439</v>
      </c>
      <c r="AC75" s="138"/>
      <c r="AD75" s="193">
        <f t="array" ref="AD75">SUM(AD11:AE11*AD24:AE24)/AD32</f>
        <v>0.22038438833324908</v>
      </c>
      <c r="AE75" s="138"/>
      <c r="AF75" s="193">
        <f t="array" ref="AF75">SUM(AF11:AG11*AF24:AG24)/AF32</f>
        <v>0.2203843883324853</v>
      </c>
      <c r="AG75" s="138"/>
      <c r="AH75" s="193">
        <f t="array" ref="AH75">SUM(AH11:AI11*AH24:AI24)/AH32</f>
        <v>0.22038438833199592</v>
      </c>
      <c r="AI75" s="138"/>
      <c r="AJ75" s="193">
        <f t="array" ref="AJ75">SUM(AJ11:AK11*AJ24:AK24)/AJ32</f>
        <v>0.22038438833192245</v>
      </c>
      <c r="AK75" s="138"/>
      <c r="AL75" s="193">
        <f t="array" ref="AL75">SUM(AL11:AM11*AL24:AM24)/AL32</f>
        <v>0.22038438833194121</v>
      </c>
      <c r="AM75" s="138"/>
      <c r="AN75" s="193">
        <f t="array" ref="AN75">SUM(AN11:AO11*AN24:AO24)/AN32</f>
        <v>0.22038438833194082</v>
      </c>
      <c r="AO75" s="138"/>
      <c r="AP75" s="193">
        <f t="array" ref="AP75">SUM(AP11:AQ11*AP24:AQ24)/AP32</f>
        <v>0.22038438833194071</v>
      </c>
      <c r="AQ75" s="138"/>
      <c r="AR75" s="193">
        <f t="array" ref="AR75">SUM(AR11:AS11*AR24:AS24)/AR32</f>
        <v>0.22038438833194082</v>
      </c>
      <c r="AS75" s="138"/>
      <c r="AT75" s="193">
        <f t="array" ref="AT75">SUM(AT11:AU11*AT24:AU24)/AT32</f>
        <v>0.22038438833194077</v>
      </c>
      <c r="AU75" s="138"/>
      <c r="AV75" s="193">
        <f t="array" ref="AV75">SUM(AV11:AW11*AV24:AW24)/AV32</f>
        <v>0.22038438833185098</v>
      </c>
      <c r="XFD75" s="193"/>
    </row>
    <row r="76" spans="1:48 16384:16384" x14ac:dyDescent="0.2">
      <c r="A76" t="s">
        <v>187</v>
      </c>
      <c r="B76" s="193">
        <f t="array" ref="B76">SUM(B12:C12*B25:C25)/B32</f>
        <v>0.22301874374724867</v>
      </c>
      <c r="D76" s="193">
        <f t="array" ref="D76">SUM(D12:E12*D25:E25)/D32</f>
        <v>0.22300130146899011</v>
      </c>
      <c r="E76" s="138"/>
      <c r="F76" s="193">
        <f t="array" ref="F76">SUM(F12:G12*F25:G25)/F32</f>
        <v>0.22304207303784401</v>
      </c>
      <c r="G76" s="138"/>
      <c r="H76" s="193">
        <f t="array" ref="H76">SUM(H12:I12*H25:I25)/H32</f>
        <v>0.22314847990543377</v>
      </c>
      <c r="I76" s="138"/>
      <c r="J76" s="193">
        <f t="array" ref="J76">SUM(J12:K12*J25:K25)/J32</f>
        <v>0.22332885514061673</v>
      </c>
      <c r="K76" s="138"/>
      <c r="L76" s="193">
        <f t="array" ref="L76">SUM(L12:M12*L25:M25)/L32</f>
        <v>0.22359233780649707</v>
      </c>
      <c r="M76" s="138"/>
      <c r="N76" s="193">
        <f t="array" ref="N76">SUM(N12:O12*N25:O25)/N32</f>
        <v>0.22394856940012775</v>
      </c>
      <c r="O76" s="138"/>
      <c r="P76" s="193">
        <f t="array" ref="P76">SUM(P12:Q12*P25:Q25)/P32</f>
        <v>0.22440693939494846</v>
      </c>
      <c r="Q76" s="138"/>
      <c r="R76" s="193">
        <f t="array" ref="R76">SUM(R12:S12*R25:S25)/R32</f>
        <v>0.22497509018739875</v>
      </c>
      <c r="S76" s="138"/>
      <c r="T76" s="193">
        <f t="array" ref="T76">SUM(T12:U12*T25:U25)/T32</f>
        <v>0.22565589306823503</v>
      </c>
      <c r="U76" s="138"/>
      <c r="V76" s="193">
        <f t="array" ref="V76">SUM(V12:W12*V25:W25)/V32</f>
        <v>0.22644162511639437</v>
      </c>
      <c r="W76" s="138"/>
      <c r="X76" s="193">
        <f t="array" ref="X76">SUM(X12:Y12*X25:Y25)/X32</f>
        <v>0.22730263593402433</v>
      </c>
      <c r="Y76" s="138"/>
      <c r="Z76" s="193">
        <f t="array" ref="Z76">SUM(Z12:AA12*Z25:AA25)/Z32</f>
        <v>0.2281653518874216</v>
      </c>
      <c r="AA76" s="138"/>
      <c r="AB76" s="193">
        <f t="array" ref="AB76">SUM(AB12:AC12*AB25:AC25)/AB32</f>
        <v>0.22886972421073545</v>
      </c>
      <c r="AC76" s="138"/>
      <c r="AD76" s="193">
        <f t="array" ref="AD76">SUM(AD12:AE12*AD25:AE25)/AD32</f>
        <v>0.22909107017626543</v>
      </c>
      <c r="AE76" s="138"/>
      <c r="AF76" s="193">
        <f t="array" ref="AF76">SUM(AF12:AG12*AF25:AG25)/AF32</f>
        <v>0.22822387440170216</v>
      </c>
      <c r="AG76" s="138"/>
      <c r="AH76" s="193">
        <f t="array" ref="AH76">SUM(AH12:AI12*AH25:AI25)/AH32</f>
        <v>0.22533934575201553</v>
      </c>
      <c r="AI76" s="138"/>
      <c r="AJ76" s="193">
        <f t="array" ref="AJ76">SUM(AJ12:AK12*AJ25:AK25)/AJ32</f>
        <v>0.21959998528174987</v>
      </c>
      <c r="AK76" s="138"/>
      <c r="AL76" s="193">
        <f t="array" ref="AL76">SUM(AL12:AM12*AL25:AM25)/AL32</f>
        <v>0.21104070236147643</v>
      </c>
      <c r="AM76" s="138"/>
      <c r="AN76" s="193">
        <f t="array" ref="AN76">SUM(AN12:AO12*AN25:AO25)/AN32</f>
        <v>0.19981144587438562</v>
      </c>
      <c r="AO76" s="138"/>
      <c r="AP76" s="193">
        <f t="array" ref="AP76">SUM(AP12:AQ12*AP25:AQ25)/AP32</f>
        <v>0.19705630201561</v>
      </c>
      <c r="AQ76" s="138"/>
      <c r="AR76" s="193">
        <f t="array" ref="AR76">SUM(AR12:AS12*AR25:AS25)/AR32</f>
        <v>0.1939838036938131</v>
      </c>
      <c r="AS76" s="138"/>
      <c r="AT76" s="193">
        <f t="array" ref="AT76">SUM(AT12:AU12*AT25:AU25)/AT32</f>
        <v>0.19043633862806339</v>
      </c>
      <c r="AU76" s="138"/>
      <c r="AV76" s="193">
        <f t="array" ref="AV76">SUM(AV12:AW12*AV25:AW25)/AV32</f>
        <v>0.18611502546986092</v>
      </c>
      <c r="XFD76" s="193"/>
    </row>
    <row r="77" spans="1:48 16384:16384" x14ac:dyDescent="0.2">
      <c r="A77" t="s">
        <v>188</v>
      </c>
      <c r="B77" s="193">
        <f t="array" ref="B77">SUM(B4:C4*B19:C19)/B32</f>
        <v>0.14586087017236485</v>
      </c>
      <c r="D77" s="193">
        <f t="array" ref="D77">SUM(D4:E4*D19:E19)/D32</f>
        <v>0.14584342826594635</v>
      </c>
      <c r="E77" s="138"/>
      <c r="F77" s="193">
        <f t="array" ref="F77">SUM(F4:G4*F19:G19)/F32</f>
        <v>0.14588419989568061</v>
      </c>
      <c r="G77" s="138"/>
      <c r="H77" s="193">
        <f t="array" ref="H77">SUM(H4:I4*H19:I19)/H32</f>
        <v>0.14599060692262475</v>
      </c>
      <c r="I77" s="138"/>
      <c r="J77" s="193">
        <f t="array" ref="J77">SUM(J4:K4*J19:K19)/J32</f>
        <v>0.14617098367686002</v>
      </c>
      <c r="K77" s="138"/>
      <c r="L77" s="193">
        <f t="array" ref="L77">SUM(L4:M4*L19:M19)/L32</f>
        <v>0.14643446511857397</v>
      </c>
      <c r="M77" s="138"/>
      <c r="N77" s="193">
        <f t="array" ref="N77">SUM(N4:O4*N19:O19)/N32</f>
        <v>0.14679069589762966</v>
      </c>
      <c r="O77" s="138"/>
      <c r="P77" s="193">
        <f t="array" ref="P77">SUM(P4:Q4*P19:Q19)/P32</f>
        <v>0.14724907027778614</v>
      </c>
      <c r="Q77" s="138"/>
      <c r="R77" s="193">
        <f t="array" ref="R77">SUM(R4:S4*R19:S19)/R32</f>
        <v>0.14781721995047947</v>
      </c>
      <c r="S77" s="138"/>
      <c r="T77" s="193">
        <f t="array" ref="T77">SUM(T4:U4*T19:U19)/T32</f>
        <v>0.14849802361171838</v>
      </c>
      <c r="U77" s="138"/>
      <c r="V77" s="193">
        <f t="array" ref="V77">SUM(V4:W4*V19:W19)/V32</f>
        <v>0.14928375153292028</v>
      </c>
      <c r="W77" s="138"/>
      <c r="X77" s="193">
        <f t="array" ref="X77">SUM(X4:Y4*X19:Y19)/X32</f>
        <v>0.15014476245295438</v>
      </c>
      <c r="Y77" s="138"/>
      <c r="Z77" s="193">
        <f t="array" ref="Z77">SUM(Z4:AA4*Z19:AA19)/Z32</f>
        <v>0.15100747891359734</v>
      </c>
      <c r="AA77" s="138"/>
      <c r="AB77" s="193">
        <f t="array" ref="AB77">SUM(AB4:AC4*AB19:AC19)/AB32</f>
        <v>0.15171185077044227</v>
      </c>
      <c r="AC77" s="138"/>
      <c r="AD77" s="193">
        <f t="array" ref="AD77">SUM(AD4:AE4*AD19:AE19)/AD32</f>
        <v>0.15193319653325382</v>
      </c>
      <c r="AE77" s="138"/>
      <c r="AF77" s="193">
        <f t="array" ref="AF77">SUM(AF4:AG4*AF19:AG19)/AF32</f>
        <v>0.15106600109198043</v>
      </c>
      <c r="AG77" s="138"/>
      <c r="AH77" s="193">
        <f t="array" ref="AH77">SUM(AH4:AI4*AH19:AI19)/AH32</f>
        <v>0.14818147216273125</v>
      </c>
      <c r="AI77" s="138"/>
      <c r="AJ77" s="193">
        <f t="array" ref="AJ77">SUM(AJ4:AK4*AJ19:AK19)/AJ32</f>
        <v>0.14244211170519303</v>
      </c>
      <c r="AK77" s="138"/>
      <c r="AL77" s="193">
        <f t="array" ref="AL77">SUM(AL4:AM4*AL19:AM19)/AL32</f>
        <v>0.13388282878660263</v>
      </c>
      <c r="AM77" s="138"/>
      <c r="AN77" s="193">
        <f t="array" ref="AN77">SUM(AN4:AO4*AN19:AO19)/AN32</f>
        <v>0.12265357229950211</v>
      </c>
      <c r="AO77" s="138"/>
      <c r="AP77" s="193">
        <f t="array" ref="AP77">SUM(AP4:AQ4*AP19:AQ19)/AP32</f>
        <v>0.11989842844072676</v>
      </c>
      <c r="AQ77" s="138"/>
      <c r="AR77" s="193">
        <f t="array" ref="AR77">SUM(AR4:AS4*AR19:AS19)/AR32</f>
        <v>0.11682593011892914</v>
      </c>
      <c r="AS77" s="138"/>
      <c r="AT77" s="193">
        <f t="array" ref="AT77">SUM(AT4:AU4*AT19:AU19)/AT32</f>
        <v>0.1132784650531803</v>
      </c>
      <c r="AU77" s="138"/>
      <c r="AV77" s="193">
        <f t="array" ref="AV77">SUM(AV4:AW4*AV19:AW19)/AV32</f>
        <v>0.10895715189474933</v>
      </c>
      <c r="XFD77" s="193"/>
    </row>
    <row r="78" spans="1:48 16384:16384" x14ac:dyDescent="0.2">
      <c r="A78" t="s">
        <v>189</v>
      </c>
      <c r="B78" s="193">
        <f t="array" ref="B78">SUM(B13:C13*B26:C26)/B32</f>
        <v>0.346887593115773</v>
      </c>
      <c r="D78" s="193">
        <f t="array" ref="D78">SUM(D13:E13*D26:E26)/D32</f>
        <v>0.34719739013746775</v>
      </c>
      <c r="E78" s="138"/>
      <c r="F78" s="193">
        <f t="array" ref="F78">SUM(F13:G13*F26:G26)/F32</f>
        <v>0.34745015155582437</v>
      </c>
      <c r="G78" s="138"/>
      <c r="H78" s="193">
        <f t="array" ref="H78">SUM(H13:I13*H26:I26)/H32</f>
        <v>0.347638200654107</v>
      </c>
      <c r="I78" s="138"/>
      <c r="J78" s="193">
        <f t="array" ref="J78">SUM(J13:K13*J26:K26)/J32</f>
        <v>0.34775199244857996</v>
      </c>
      <c r="K78" s="138"/>
      <c r="L78" s="193">
        <f t="array" ref="L78">SUM(L13:M13*L26:M26)/L32</f>
        <v>0.34777938339437925</v>
      </c>
      <c r="M78" s="138"/>
      <c r="N78" s="193">
        <f t="array" ref="N78">SUM(N13:O13*N26:O26)/N32</f>
        <v>0.34770443825570319</v>
      </c>
      <c r="O78" s="138"/>
      <c r="P78" s="193">
        <f t="array" ref="P78">SUM(P13:Q13*P26:Q26)/P32</f>
        <v>0.34750567288235862</v>
      </c>
      <c r="Q78" s="138"/>
      <c r="R78" s="193">
        <f t="array" ref="R78">SUM(R13:S13*R26:S26)/R32</f>
        <v>0.34715308242062187</v>
      </c>
      <c r="S78" s="138"/>
      <c r="T78" s="193">
        <f t="array" ref="T78">SUM(T13:U13*T26:U26)/T32</f>
        <v>0.34660332646774</v>
      </c>
      <c r="U78" s="138"/>
      <c r="V78" s="193">
        <f t="array" ref="V78">SUM(V13:W13*V26:W26)/V32</f>
        <v>0.34579142829748311</v>
      </c>
      <c r="W78" s="138"/>
      <c r="X78" s="193">
        <f t="array" ref="X78">SUM(X13:Y13*X26:Y26)/X32</f>
        <v>0.34461615114157673</v>
      </c>
      <c r="Y78" s="138"/>
      <c r="Z78" s="193">
        <f t="array" ref="Z78">SUM(Z13:AA13*Z26:AA26)/Z32</f>
        <v>0.34291326661002058</v>
      </c>
      <c r="AA78" s="138"/>
      <c r="AB78" s="193">
        <f t="array" ref="AB78">SUM(AB13:AC13*AB26:AC26)/AB32</f>
        <v>0.34040533501462916</v>
      </c>
      <c r="AC78" s="138"/>
      <c r="AD78" s="193">
        <f t="array" ref="AD78">SUM(AD13:AE13*AD26:AE26)/AD32</f>
        <v>0.33660652125956853</v>
      </c>
      <c r="AE78" s="138"/>
      <c r="AF78" s="193">
        <f t="array" ref="AF78">SUM(AF13:AG13*AF26:AG26)/AF32</f>
        <v>0.33065118531329996</v>
      </c>
      <c r="AG78" s="138"/>
      <c r="AH78" s="193">
        <f t="array" ref="AH78">SUM(AH13:AI13*AH26:AI26)/AH32</f>
        <v>0.32103538124981001</v>
      </c>
      <c r="AI78" s="138"/>
      <c r="AJ78" s="193">
        <f t="array" ref="AJ78">SUM(AJ13:AK13*AJ26:AK26)/AJ32</f>
        <v>0.30526728938047948</v>
      </c>
      <c r="AK78" s="138"/>
      <c r="AL78" s="193">
        <f t="array" ref="AL78">SUM(AL13:AM13*AL26:AM26)/AL32</f>
        <v>0.27844663883667942</v>
      </c>
      <c r="AM78" s="138"/>
      <c r="AN78" s="193">
        <f t="array" ref="AN78">SUM(AN13:AO13*AN26:AO26)/AN32</f>
        <v>0.22397194718619415</v>
      </c>
      <c r="AO78" s="138"/>
      <c r="AP78" s="193">
        <f t="array" ref="AP78">SUM(AP13:AQ13*AP26:AQ26)/AP32</f>
        <v>0.20483764200647778</v>
      </c>
      <c r="AQ78" s="138"/>
      <c r="AR78" s="193">
        <f t="array" ref="AR78">SUM(AR13:AS13*AR26:AS26)/AR32</f>
        <v>0.17973751402927998</v>
      </c>
      <c r="AS78" s="138"/>
      <c r="AT78" s="193">
        <f t="array" ref="AT78">SUM(AT13:AU13*AT26:AU26)/AT32</f>
        <v>0.14490874789553626</v>
      </c>
      <c r="AU78" s="138"/>
      <c r="AV78" s="193">
        <f t="array" ref="AV78">SUM(AV13:AW13*AV26:AW26)/AV32</f>
        <v>9.2269126038578925E-2</v>
      </c>
      <c r="XFD78" s="193"/>
    </row>
    <row r="79" spans="1:48 16384:16384" x14ac:dyDescent="0.2">
      <c r="A79" t="s">
        <v>190</v>
      </c>
      <c r="B79" s="193">
        <f t="array" ref="B79">SUM(B15:C15*B27:C27)/B32</f>
        <v>0.45460968782440808</v>
      </c>
      <c r="D79" s="193">
        <f t="array" ref="D79">SUM(D15:E15*D27:E27)/D32</f>
        <v>0.44973191696028814</v>
      </c>
      <c r="F79" s="193">
        <f t="array" ref="F79">SUM(F15:G15*F27:G27)/F32</f>
        <v>0.44481603542579412</v>
      </c>
      <c r="H79" s="193">
        <f t="array" ref="H79">SUM(H15:I15*H27:I27)/H32</f>
        <v>0.43985272948452503</v>
      </c>
      <c r="J79" s="193">
        <f t="array" ref="J79">SUM(J15:K15*J27:K27)/J32</f>
        <v>0.4348310074641164</v>
      </c>
      <c r="L79" s="193">
        <f t="array" ref="L79">SUM(L15:M15*L27:M27)/L32</f>
        <v>0.42973769166730147</v>
      </c>
      <c r="N79" s="193">
        <f t="array" ref="N79">SUM(N15:O15*N27:O27)/N32</f>
        <v>0.42455691621425029</v>
      </c>
      <c r="P79" s="193">
        <f t="array" ref="P79">SUM(P15:Q15*P27:Q27)/P32</f>
        <v>0.41926896856463269</v>
      </c>
      <c r="R79" s="193">
        <f t="array" ref="R79">SUM(R15:S15*R27:S27)/R32</f>
        <v>0.41384889994103008</v>
      </c>
      <c r="T79" s="193">
        <f t="array" ref="T79">SUM(T15:U15*T27:U27)/T32</f>
        <v>0.40826372623255763</v>
      </c>
      <c r="V79" s="193">
        <f t="array" ref="V79">SUM(V15:W15*V27:W27)/V32</f>
        <v>0.40246770074756272</v>
      </c>
      <c r="X79" s="193">
        <f t="array" ref="X79">SUM(X15:Y15*X27:Y27)/X32</f>
        <v>0.39639316772938055</v>
      </c>
      <c r="Z79" s="193">
        <f t="array" ref="Z79">SUM(Z15:AA15*Z27:AA27)/Z32</f>
        <v>0.38993247849159396</v>
      </c>
      <c r="AB79" s="193">
        <f t="array" ref="AB79">SUM(AB15:AC15*AB27:AC27)/AB32</f>
        <v>0.38290006339326782</v>
      </c>
      <c r="AD79" s="193">
        <f t="array" ref="AD79">SUM(AD15:AE15*AD27:AE27)/AD32</f>
        <v>0.37495043909352394</v>
      </c>
      <c r="AF79" s="193">
        <f t="array" ref="AF79">SUM(AF15:AG15*AF27:AG27)/AF32</f>
        <v>0.36540089401817494</v>
      </c>
      <c r="AH79" s="193">
        <f t="array" ref="AH79">SUM(AH15:AI15*AH27:AI27)/AH32</f>
        <v>0.35287832318530005</v>
      </c>
      <c r="AJ79" s="193">
        <f t="array" ref="AJ79">SUM(AJ15:AK15*AJ27:AK27)/AJ32</f>
        <v>0.33468793962906584</v>
      </c>
      <c r="AL79" s="193">
        <f t="array" ref="AL79">SUM(AL15:AM15*AL27:AM27)/AL32</f>
        <v>0.30506855370047231</v>
      </c>
      <c r="AN79" s="193">
        <f t="array" ref="AN79">SUM(AN15:AO15*AN27:AO27)/AN32</f>
        <v>0.24536568803029668</v>
      </c>
      <c r="AP79" s="193">
        <f t="array" ref="AP79">SUM(AP15:AQ15*AP27:AQ27)/AP32</f>
        <v>0.22440339197466794</v>
      </c>
      <c r="AR79" s="193">
        <f t="array" ref="AR79">SUM(AR15:AS15*AR27:AS27)/AR32</f>
        <v>0.19690565154929196</v>
      </c>
      <c r="AT79" s="193">
        <f t="array" ref="AT79">SUM(AT15:AU15*AT27:AU27)/AT32</f>
        <v>0.15875009642813492</v>
      </c>
      <c r="AV79" s="193">
        <f t="array" ref="AV79">SUM(AV15:AW15*AV27:AW27)/AV32</f>
        <v>0.1010824569287999</v>
      </c>
      <c r="XFD79" s="193"/>
    </row>
    <row r="80" spans="1:48 16384:16384" x14ac:dyDescent="0.2">
      <c r="A80" t="s">
        <v>169</v>
      </c>
      <c r="B80" s="236">
        <f>B55</f>
        <v>0.19850271905982084</v>
      </c>
      <c r="D80" s="236">
        <f>D55</f>
        <v>0.20307069204676345</v>
      </c>
      <c r="F80" s="236">
        <f>F55</f>
        <v>0.20773381189048323</v>
      </c>
      <c r="H80" s="236">
        <f>H55</f>
        <v>0.21250906812438955</v>
      </c>
      <c r="J80" s="236">
        <f>J55</f>
        <v>0.21741700792991531</v>
      </c>
      <c r="L80" s="236">
        <f>L55</f>
        <v>0.22248292174935194</v>
      </c>
      <c r="N80" s="236">
        <f>N55</f>
        <v>0.22773864736797472</v>
      </c>
      <c r="P80" s="236">
        <f>P55</f>
        <v>0.23322536274988978</v>
      </c>
      <c r="R80" s="236">
        <f>R55</f>
        <v>0.23899802078338103</v>
      </c>
      <c r="T80" s="236">
        <f>T55</f>
        <v>0.24513295108989719</v>
      </c>
      <c r="V80" s="236">
        <f>V55</f>
        <v>0.25174087164971592</v>
      </c>
      <c r="X80" s="236">
        <f>X55</f>
        <v>0.25899068172552669</v>
      </c>
      <c r="Z80" s="236">
        <f>Z55</f>
        <v>0.26715425948112959</v>
      </c>
      <c r="AB80" s="236">
        <f>AB55</f>
        <v>0.27669460266895657</v>
      </c>
      <c r="AD80" s="236">
        <f>AD55</f>
        <v>0.28844304074099675</v>
      </c>
      <c r="AF80" s="236">
        <f>AF55</f>
        <v>0.30394792119584291</v>
      </c>
      <c r="AH80" s="236">
        <f>AH55</f>
        <v>0.32608629612694917</v>
      </c>
      <c r="AJ80" s="236">
        <f>AJ55</f>
        <v>0.36004477114931011</v>
      </c>
      <c r="AL80" s="236">
        <f>AL55</f>
        <v>0.41648480747855882</v>
      </c>
      <c r="AN80" s="236">
        <f>AN55</f>
        <v>0.53066236478147588</v>
      </c>
      <c r="AP80" s="236">
        <f>AP55</f>
        <v>0.57075896602013099</v>
      </c>
      <c r="AR80" s="236">
        <f>AR55</f>
        <v>0.62335683442121992</v>
      </c>
      <c r="AT80" s="236">
        <f>AT55</f>
        <v>0.69634115567612731</v>
      </c>
      <c r="AV80" s="236">
        <f>AV55</f>
        <v>0.8066484169926349</v>
      </c>
      <c r="XFD80" s="236"/>
    </row>
    <row r="81" spans="1:48 16384:16384" x14ac:dyDescent="0.2">
      <c r="A81" t="s">
        <v>191</v>
      </c>
      <c r="B81" s="236">
        <f>B51/B$32</f>
        <v>-2.7543485504603994E-2</v>
      </c>
      <c r="D81" s="236">
        <f>D51/D$32</f>
        <v>-2.2975512517661389E-2</v>
      </c>
      <c r="F81" s="236">
        <f>F51/F$32</f>
        <v>-1.8312392673941601E-2</v>
      </c>
      <c r="H81" s="236">
        <f>H51/H$32</f>
        <v>-1.3537136440035295E-2</v>
      </c>
      <c r="J81" s="236">
        <f>J51/J$32</f>
        <v>-8.6291966345095131E-3</v>
      </c>
      <c r="L81" s="236">
        <f>L51/L$32</f>
        <v>-3.5632828150729276E-3</v>
      </c>
      <c r="N81" s="236">
        <f>N51/N$32</f>
        <v>1.6924428035498778E-3</v>
      </c>
      <c r="P81" s="236">
        <f>P51/P$32</f>
        <v>7.1791581854649426E-3</v>
      </c>
      <c r="R81" s="236">
        <f>R51/R$32</f>
        <v>1.2951816218956193E-2</v>
      </c>
      <c r="T81" s="236">
        <f>T51/T$32</f>
        <v>1.9086746525472365E-2</v>
      </c>
      <c r="V81" s="236">
        <f>V51/V$32</f>
        <v>2.569466708529107E-2</v>
      </c>
      <c r="X81" s="236">
        <f>X51/X$32</f>
        <v>3.2944477161101882E-2</v>
      </c>
      <c r="Z81" s="236">
        <f>Z51/Z$32</f>
        <v>4.1108054916704703E-2</v>
      </c>
      <c r="AB81" s="236">
        <f>AB51/AB$32</f>
        <v>5.0648398104531769E-2</v>
      </c>
      <c r="AD81" s="236">
        <f>AD51/AD$32</f>
        <v>6.2396836176571907E-2</v>
      </c>
      <c r="AF81" s="236">
        <f>AF51/AF$32</f>
        <v>7.7901716631418066E-2</v>
      </c>
      <c r="AH81" s="236">
        <f>AH51/AH$32</f>
        <v>0.10004009156252432</v>
      </c>
      <c r="AJ81" s="236">
        <f>AJ51/AJ$32</f>
        <v>0.13399856658488529</v>
      </c>
      <c r="AL81" s="236">
        <f>AL51/AL$32</f>
        <v>0.19043860291413395</v>
      </c>
      <c r="AN81" s="236">
        <f>AN51/AN$32</f>
        <v>0.30461616021705096</v>
      </c>
      <c r="AP81" s="236">
        <f>AP51/AP$32</f>
        <v>0.34471276145570617</v>
      </c>
      <c r="AR81" s="236">
        <f>AR51/AR$32</f>
        <v>0.39731062985679511</v>
      </c>
      <c r="AT81" s="236">
        <f>AT51/AT$32</f>
        <v>0.4702949511117025</v>
      </c>
      <c r="AV81" s="236">
        <f>AV51/AV$32</f>
        <v>0.58060221242821008</v>
      </c>
      <c r="XFD81" s="236"/>
    </row>
    <row r="82" spans="1:48 16384:16384" x14ac:dyDescent="0.2">
      <c r="A82" t="s">
        <v>192</v>
      </c>
      <c r="B82" s="236">
        <f>B52/B$32</f>
        <v>0.13907860278212886</v>
      </c>
      <c r="D82" s="236">
        <f>D52/D$32</f>
        <v>0.1392028105594563</v>
      </c>
      <c r="F82" s="236">
        <f>F52/F$32</f>
        <v>0.13930415089448098</v>
      </c>
      <c r="H82" s="236">
        <f>H52/H$32</f>
        <v>0.13937954593991539</v>
      </c>
      <c r="J82" s="236">
        <f>J52/J$32</f>
        <v>0.13942516879901282</v>
      </c>
      <c r="L82" s="236">
        <f>L52/L$32</f>
        <v>0.13943615072672152</v>
      </c>
      <c r="N82" s="236">
        <f>N52/N$32</f>
        <v>0.13940610276484786</v>
      </c>
      <c r="P82" s="236">
        <f>P52/P$32</f>
        <v>0.13932641121359368</v>
      </c>
      <c r="R82" s="236">
        <f>R52/R$32</f>
        <v>0.13918504614391161</v>
      </c>
      <c r="T82" s="236">
        <f>T52/T$32</f>
        <v>0.13896463096817355</v>
      </c>
      <c r="V82" s="236">
        <f>V52/V$32</f>
        <v>0.13863911438769727</v>
      </c>
      <c r="X82" s="236">
        <f>X52/X$32</f>
        <v>0.13816790726478739</v>
      </c>
      <c r="Z82" s="236">
        <f>Z52/Z$32</f>
        <v>0.13748516505650932</v>
      </c>
      <c r="AB82" s="236">
        <f>AB52/AB$32</f>
        <v>0.13647965310081425</v>
      </c>
      <c r="AD82" s="236">
        <f>AD52/AD$32</f>
        <v>0.13495658418809292</v>
      </c>
      <c r="AF82" s="236">
        <f>AF52/AF$32</f>
        <v>0.13256889486468496</v>
      </c>
      <c r="AH82" s="236">
        <f>AH52/AH$32</f>
        <v>0.12871360392803113</v>
      </c>
      <c r="AJ82" s="236">
        <f>AJ52/AJ$32</f>
        <v>0.12239165921381119</v>
      </c>
      <c r="AL82" s="236">
        <f>AL52/AL$32</f>
        <v>0.11163838156027886</v>
      </c>
      <c r="AN82" s="236">
        <f>AN52/AN$32</f>
        <v>8.9797692668277376E-2</v>
      </c>
      <c r="AP82" s="236">
        <f>AP52/AP$32</f>
        <v>8.2126122734919635E-2</v>
      </c>
      <c r="AR82" s="236">
        <f>AR52/AR$32</f>
        <v>7.2062658955872869E-2</v>
      </c>
      <c r="AT82" s="236">
        <f>AT52/AT$32</f>
        <v>5.8098665354954566E-2</v>
      </c>
      <c r="AV82" s="236">
        <f>AV52/AV$32</f>
        <v>3.699371607416016E-2</v>
      </c>
    </row>
    <row r="83" spans="1:48 16384:16384" x14ac:dyDescent="0.2">
      <c r="A83" t="s">
        <v>193</v>
      </c>
      <c r="B83" s="236">
        <f>B53/B$32</f>
        <v>0.18600714462930004</v>
      </c>
      <c r="D83" s="236">
        <f>D53/D$32</f>
        <v>0.18401136615187047</v>
      </c>
      <c r="F83" s="236">
        <f>F53/F$32</f>
        <v>0.18199999439262998</v>
      </c>
      <c r="H83" s="236">
        <f>H53/H$32</f>
        <v>0.17996921856276316</v>
      </c>
      <c r="J83" s="236">
        <f>J53/J$32</f>
        <v>0.17791454133270143</v>
      </c>
      <c r="L83" s="236">
        <f>L53/L$32</f>
        <v>0.1758305709435205</v>
      </c>
      <c r="N83" s="236">
        <f>N53/N$32</f>
        <v>0.17371081574516709</v>
      </c>
      <c r="P83" s="236">
        <f>P53/P$32</f>
        <v>0.17154721019606028</v>
      </c>
      <c r="R83" s="236">
        <f>R53/R$32</f>
        <v>0.16932954630685479</v>
      </c>
      <c r="T83" s="236">
        <f>T53/T$32</f>
        <v>0.16704432836804819</v>
      </c>
      <c r="V83" s="236">
        <f>V53/V$32</f>
        <v>0.16467283875940841</v>
      </c>
      <c r="X83" s="236">
        <f>X53/X$32</f>
        <v>0.16218739559369896</v>
      </c>
      <c r="Z83" s="236">
        <f>Z53/Z$32</f>
        <v>0.15954395356058049</v>
      </c>
      <c r="AB83" s="236">
        <f>AB53/AB$32</f>
        <v>0.15666658537569292</v>
      </c>
      <c r="AD83" s="236">
        <f>AD53/AD$32</f>
        <v>0.15341393380122362</v>
      </c>
      <c r="AF83" s="236">
        <f>AF53/AF$32</f>
        <v>0.14950666200401425</v>
      </c>
      <c r="AH83" s="236">
        <f>AH53/AH$32</f>
        <v>0.14438295323487579</v>
      </c>
      <c r="AJ83" s="236">
        <f>AJ53/AJ$32</f>
        <v>0.13694021412124349</v>
      </c>
      <c r="AL83" s="236">
        <f>AL53/AL$32</f>
        <v>0.12482120841193499</v>
      </c>
      <c r="AN83" s="236">
        <f>AN53/AN$32</f>
        <v>0.1003933093439649</v>
      </c>
      <c r="AP83" s="236">
        <f>AP53/AP$32</f>
        <v>9.1816420336514659E-2</v>
      </c>
      <c r="AR83" s="236">
        <f>AR53/AR$32</f>
        <v>8.0565502643230869E-2</v>
      </c>
      <c r="AT83" s="236">
        <f>AT53/AT$32</f>
        <v>6.4953855883574552E-2</v>
      </c>
      <c r="AV83" s="236">
        <f>AV53/AV$32</f>
        <v>4.1358685679180961E-2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workbookViewId="0">
      <pane ySplit="1" topLeftCell="A2" activePane="bottomLeft" state="frozen"/>
      <selection pane="bottomLeft" activeCell="J42" sqref="J42"/>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5.6360007483831819E-2</v>
      </c>
      <c r="E2" s="227"/>
      <c r="F2" s="226">
        <v>0.11184029325818903</v>
      </c>
      <c r="G2" s="227"/>
      <c r="H2" s="226">
        <v>0.17300297800585213</v>
      </c>
      <c r="I2" s="227"/>
      <c r="J2" s="226">
        <v>0.24083815515781312</v>
      </c>
      <c r="K2" s="227"/>
      <c r="L2" s="226">
        <v>0.31660683013151864</v>
      </c>
      <c r="M2" s="227"/>
      <c r="N2" s="226">
        <v>0.40196336915716474</v>
      </c>
      <c r="O2" s="227"/>
      <c r="P2" s="226">
        <v>0.49912178505960902</v>
      </c>
      <c r="Q2" s="227"/>
      <c r="R2" s="226">
        <v>0.61114936546286369</v>
      </c>
      <c r="S2" s="227"/>
      <c r="T2" s="226">
        <v>0.74245261492886516</v>
      </c>
      <c r="U2" s="227"/>
      <c r="V2" s="226">
        <v>0.89963996709003236</v>
      </c>
      <c r="W2" s="227"/>
      <c r="X2" s="226">
        <v>1.0931386943301522</v>
      </c>
      <c r="Y2" s="227"/>
      <c r="Z2" s="226">
        <v>1.340418928254578</v>
      </c>
      <c r="AA2" s="227"/>
      <c r="AB2" s="226">
        <v>1.6729007564682898</v>
      </c>
      <c r="AC2" s="227"/>
      <c r="AD2" s="226">
        <v>2.1519867854023644</v>
      </c>
      <c r="AE2" s="227"/>
      <c r="AF2" s="226">
        <v>2.9093529968655476</v>
      </c>
      <c r="AG2" s="227"/>
      <c r="AH2" s="226">
        <v>4.2554470357960099</v>
      </c>
      <c r="AI2" s="227"/>
      <c r="AJ2" s="226">
        <v>6.9995228816815427</v>
      </c>
      <c r="AK2" s="227"/>
      <c r="AL2" s="226">
        <v>13.690338031997086</v>
      </c>
      <c r="AM2" s="227"/>
      <c r="AN2" s="226"/>
      <c r="AO2" s="227"/>
      <c r="AP2" s="226"/>
      <c r="AQ2" s="227"/>
      <c r="AR2" s="226"/>
      <c r="AS2" s="227"/>
      <c r="AT2" s="226"/>
      <c r="AU2" s="227"/>
      <c r="AV2" s="226"/>
      <c r="AW2" s="227"/>
    </row>
    <row r="3" spans="1:49" x14ac:dyDescent="0.2">
      <c r="A3" t="s">
        <v>12</v>
      </c>
      <c r="B3" s="84">
        <v>1000</v>
      </c>
      <c r="C3" s="85">
        <v>1000</v>
      </c>
      <c r="D3" s="84">
        <v>998.63076317828256</v>
      </c>
      <c r="E3" s="85">
        <v>1021.0305729924934</v>
      </c>
      <c r="F3" s="84">
        <v>997.21178057455813</v>
      </c>
      <c r="G3" s="85">
        <v>1044.6840033274718</v>
      </c>
      <c r="H3" s="84">
        <v>995.73551406607714</v>
      </c>
      <c r="I3" s="85">
        <v>1071.4312491028065</v>
      </c>
      <c r="J3" s="84">
        <v>994.19320461088989</v>
      </c>
      <c r="K3" s="85">
        <v>1101.8633840592684</v>
      </c>
      <c r="L3" s="84">
        <v>992.57494592582327</v>
      </c>
      <c r="M3" s="85">
        <v>1136.7319270476653</v>
      </c>
      <c r="N3" s="84">
        <v>990.86979800572738</v>
      </c>
      <c r="O3" s="85">
        <v>1177.0159917978019</v>
      </c>
      <c r="P3" s="84">
        <v>989.06646294681536</v>
      </c>
      <c r="Q3" s="85">
        <v>1224.0108694734424</v>
      </c>
      <c r="R3" s="84">
        <v>987.15455823313721</v>
      </c>
      <c r="S3" s="85">
        <v>1279.4802869257189</v>
      </c>
      <c r="T3" s="84">
        <v>985.12730244368186</v>
      </c>
      <c r="U3" s="85">
        <v>1345.9000682238795</v>
      </c>
      <c r="V3" s="84">
        <v>982.98676543336092</v>
      </c>
      <c r="W3" s="85">
        <v>1426.879700361101</v>
      </c>
      <c r="X3" s="84">
        <v>980.75406708933031</v>
      </c>
      <c r="Y3" s="85">
        <v>1527.9280717771887</v>
      </c>
      <c r="Z3" s="84">
        <v>978.48913793708539</v>
      </c>
      <c r="AA3" s="85">
        <v>1657.9360710068877</v>
      </c>
      <c r="AB3" s="84">
        <v>976.32881861344322</v>
      </c>
      <c r="AC3" s="85">
        <v>1832.2545299968908</v>
      </c>
      <c r="AD3" s="84">
        <v>974.55719037168944</v>
      </c>
      <c r="AE3" s="85">
        <v>2079.6065448574891</v>
      </c>
      <c r="AF3" s="84">
        <v>973.71274746324002</v>
      </c>
      <c r="AG3" s="85">
        <v>2458.8689369043427</v>
      </c>
      <c r="AH3" s="84">
        <v>974.63331485042863</v>
      </c>
      <c r="AI3" s="85">
        <v>3102.9603627067909</v>
      </c>
      <c r="AJ3" s="84">
        <v>978.03099421076502</v>
      </c>
      <c r="AK3" s="85">
        <v>4347.176693651787</v>
      </c>
      <c r="AL3" s="84">
        <v>983.40587772177525</v>
      </c>
      <c r="AM3" s="85">
        <v>7233.6597729296518</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998.56285569349791</v>
      </c>
      <c r="E5" s="42">
        <v>1018.2791075910371</v>
      </c>
      <c r="F5" s="41">
        <v>997.07262349235043</v>
      </c>
      <c r="G5" s="42">
        <v>1038.3950989591051</v>
      </c>
      <c r="H5" s="41">
        <v>995.52128138498426</v>
      </c>
      <c r="I5" s="42">
        <v>1060.5831023962173</v>
      </c>
      <c r="J5" s="41">
        <v>993.89949809187726</v>
      </c>
      <c r="K5" s="42">
        <v>1085.11361270926</v>
      </c>
      <c r="L5" s="41">
        <v>992.19670456930714</v>
      </c>
      <c r="M5" s="42">
        <v>1112.2993762738922</v>
      </c>
      <c r="N5" s="41">
        <v>990.40120402531591</v>
      </c>
      <c r="O5" s="42">
        <v>1142.4975573167826</v>
      </c>
      <c r="P5" s="41">
        <v>988.50087787789698</v>
      </c>
      <c r="Q5" s="42">
        <v>1176.1173311438931</v>
      </c>
      <c r="R5" s="41">
        <v>986.48452108672211</v>
      </c>
      <c r="S5" s="42">
        <v>1213.6207968907438</v>
      </c>
      <c r="T5" s="41">
        <v>984.34467641363017</v>
      </c>
      <c r="U5" s="42">
        <v>1255.518410605069</v>
      </c>
      <c r="V5" s="41">
        <v>982.0831951417191</v>
      </c>
      <c r="W5" s="42">
        <v>1302.3520031981948</v>
      </c>
      <c r="X5" s="41">
        <v>979.72206975947927</v>
      </c>
      <c r="Y5" s="42">
        <v>1354.6434964560221</v>
      </c>
      <c r="Z5" s="41">
        <v>977.32446757250716</v>
      </c>
      <c r="AA5" s="42">
        <v>1412.7709509437097</v>
      </c>
      <c r="AB5" s="41">
        <v>975.03534078981352</v>
      </c>
      <c r="AC5" s="42">
        <v>1476.6757943583577</v>
      </c>
      <c r="AD5" s="41">
        <v>973.15642035627411</v>
      </c>
      <c r="AE5" s="42">
        <v>1545.2034861698401</v>
      </c>
      <c r="AF5" s="41">
        <v>972.26030742049022</v>
      </c>
      <c r="AG5" s="42">
        <v>1614.7559758223442</v>
      </c>
      <c r="AH5" s="41">
        <v>973.23718593279739</v>
      </c>
      <c r="AI5" s="42">
        <v>1677.473760990496</v>
      </c>
      <c r="AJ5" s="41">
        <v>976.83919245784762</v>
      </c>
      <c r="AK5" s="42">
        <v>1722.2690862214674</v>
      </c>
      <c r="AL5" s="41">
        <v>982.52615567502414</v>
      </c>
      <c r="AM5" s="42">
        <v>1743.8868026216805</v>
      </c>
      <c r="AN5" s="41"/>
      <c r="AO5" s="42"/>
      <c r="AP5" s="41"/>
      <c r="AQ5" s="42"/>
      <c r="AR5" s="41"/>
      <c r="AS5" s="42"/>
      <c r="AT5" s="41"/>
      <c r="AU5" s="42"/>
      <c r="AV5" s="41"/>
      <c r="AW5" s="42"/>
    </row>
    <row r="6" spans="1:49" x14ac:dyDescent="0.2">
      <c r="A6" t="s">
        <v>77</v>
      </c>
      <c r="B6" s="41">
        <v>999.99999999999943</v>
      </c>
      <c r="C6" s="42">
        <v>999.99999999999909</v>
      </c>
      <c r="D6" s="41">
        <v>998.45309859258657</v>
      </c>
      <c r="E6" s="42">
        <v>1022.6643418276103</v>
      </c>
      <c r="F6" s="41">
        <v>996.84941394227337</v>
      </c>
      <c r="G6" s="42">
        <v>1048.0728036634791</v>
      </c>
      <c r="H6" s="41">
        <v>995.18035531471924</v>
      </c>
      <c r="I6" s="42">
        <v>1076.7094433317197</v>
      </c>
      <c r="J6" s="41">
        <v>993.43593385831582</v>
      </c>
      <c r="K6" s="42">
        <v>1109.181185921037</v>
      </c>
      <c r="L6" s="41">
        <v>991.60484128019789</v>
      </c>
      <c r="M6" s="42">
        <v>1146.2590500392653</v>
      </c>
      <c r="N6" s="41">
        <v>989.67457308170731</v>
      </c>
      <c r="O6" s="42">
        <v>1188.9471459452391</v>
      </c>
      <c r="P6" s="41">
        <v>987.63218825044771</v>
      </c>
      <c r="Q6" s="42">
        <v>1238.5732433855455</v>
      </c>
      <c r="R6" s="41">
        <v>985.46574748921296</v>
      </c>
      <c r="S6" s="42">
        <v>1296.9450266133322</v>
      </c>
      <c r="T6" s="41">
        <v>983.16735726078775</v>
      </c>
      <c r="U6" s="42">
        <v>1366.5999571364928</v>
      </c>
      <c r="V6" s="41">
        <v>980.73913475750101</v>
      </c>
      <c r="W6" s="42">
        <v>1451.237661893073</v>
      </c>
      <c r="X6" s="41">
        <v>978.20481631221253</v>
      </c>
      <c r="Y6" s="42">
        <v>1556.5052599913129</v>
      </c>
      <c r="Z6" s="41">
        <v>975.63228050175815</v>
      </c>
      <c r="AA6" s="42">
        <v>1691.5176805668132</v>
      </c>
      <c r="AB6" s="41">
        <v>973.17701353360678</v>
      </c>
      <c r="AC6" s="42">
        <v>1872.0133129311937</v>
      </c>
      <c r="AD6" s="41">
        <v>971.16236602437209</v>
      </c>
      <c r="AE6" s="42">
        <v>2127.4397345531788</v>
      </c>
      <c r="AF6" s="41">
        <v>970.2017243403036</v>
      </c>
      <c r="AG6" s="42">
        <v>2518.1550641906374</v>
      </c>
      <c r="AH6" s="41">
        <v>971.24895395768829</v>
      </c>
      <c r="AI6" s="42">
        <v>3180.4214516415846</v>
      </c>
      <c r="AJ6" s="41">
        <v>975.11171342792045</v>
      </c>
      <c r="AK6" s="42">
        <v>4458.0303295030863</v>
      </c>
      <c r="AL6" s="41">
        <v>981.21468913014371</v>
      </c>
      <c r="AM6" s="42">
        <v>7419.8545057039346</v>
      </c>
      <c r="AN6" s="41"/>
      <c r="AO6" s="42"/>
      <c r="AP6" s="41"/>
      <c r="AQ6" s="42"/>
      <c r="AR6" s="41"/>
      <c r="AS6" s="42"/>
      <c r="AT6" s="41"/>
      <c r="AU6" s="42"/>
      <c r="AV6" s="41"/>
      <c r="AW6" s="42"/>
    </row>
    <row r="7" spans="1:49" x14ac:dyDescent="0.2">
      <c r="A7" t="s">
        <v>13</v>
      </c>
      <c r="B7" s="33">
        <v>1015.9116825427475</v>
      </c>
      <c r="C7" s="34">
        <v>1015.9116825427475</v>
      </c>
      <c r="D7" s="33">
        <v>1014.4516708522722</v>
      </c>
      <c r="E7" s="34">
        <v>1014.4516708522722</v>
      </c>
      <c r="F7" s="33">
        <v>1012.9377265494251</v>
      </c>
      <c r="G7" s="34">
        <v>1012.9377265494251</v>
      </c>
      <c r="H7" s="33">
        <v>1011.3616999789313</v>
      </c>
      <c r="I7" s="34">
        <v>1011.3616999789313</v>
      </c>
      <c r="J7" s="33">
        <v>1009.7141113849112</v>
      </c>
      <c r="K7" s="34">
        <v>1009.7141113849112</v>
      </c>
      <c r="L7" s="33">
        <v>1007.9842235523741</v>
      </c>
      <c r="M7" s="34">
        <v>1007.9842235523741</v>
      </c>
      <c r="N7" s="33">
        <v>1006.1601535737216</v>
      </c>
      <c r="O7" s="34">
        <v>1006.1601535737216</v>
      </c>
      <c r="P7" s="33">
        <v>1004.2295900399172</v>
      </c>
      <c r="Q7" s="34">
        <v>1004.2295900399172</v>
      </c>
      <c r="R7" s="33">
        <v>1002.1811496195883</v>
      </c>
      <c r="S7" s="34">
        <v>1002.1811496195883</v>
      </c>
      <c r="T7" s="33">
        <v>1000.0072564173673</v>
      </c>
      <c r="U7" s="34">
        <v>1000.0072564173673</v>
      </c>
      <c r="V7" s="33">
        <v>997.70979117338118</v>
      </c>
      <c r="W7" s="34">
        <v>997.70979117338118</v>
      </c>
      <c r="X7" s="33">
        <v>995.31109631361562</v>
      </c>
      <c r="Y7" s="34">
        <v>995.31109631361562</v>
      </c>
      <c r="Z7" s="33">
        <v>992.87534424178057</v>
      </c>
      <c r="AA7" s="34">
        <v>992.87534424178057</v>
      </c>
      <c r="AB7" s="33">
        <v>990.54979360042057</v>
      </c>
      <c r="AC7" s="34">
        <v>990.54979360042057</v>
      </c>
      <c r="AD7" s="33">
        <v>988.64097638141959</v>
      </c>
      <c r="AE7" s="34">
        <v>988.64097638141959</v>
      </c>
      <c r="AF7" s="33">
        <v>987.73060478107914</v>
      </c>
      <c r="AG7" s="34">
        <v>987.73060478107914</v>
      </c>
      <c r="AH7" s="33">
        <v>988.7230270741569</v>
      </c>
      <c r="AI7" s="34">
        <v>988.7230270741569</v>
      </c>
      <c r="AJ7" s="33">
        <v>992.38234758355065</v>
      </c>
      <c r="AK7" s="34">
        <v>992.38234758355065</v>
      </c>
      <c r="AL7" s="33">
        <v>998.15979995407122</v>
      </c>
      <c r="AM7" s="34">
        <v>998.15979995407122</v>
      </c>
      <c r="AN7" s="33"/>
      <c r="AO7" s="34"/>
      <c r="AP7" s="33"/>
      <c r="AQ7" s="34"/>
      <c r="AR7" s="33"/>
      <c r="AS7" s="34"/>
      <c r="AT7" s="33"/>
      <c r="AU7" s="34"/>
      <c r="AV7" s="33"/>
      <c r="AW7" s="34"/>
    </row>
    <row r="8" spans="1:49" x14ac:dyDescent="0.2">
      <c r="B8" s="35">
        <v>1005.7716594496609</v>
      </c>
      <c r="C8" s="36">
        <v>1005.7716594496609</v>
      </c>
      <c r="D8" s="35">
        <v>1075.6693257154975</v>
      </c>
      <c r="E8" s="36">
        <v>1075.6693257154975</v>
      </c>
      <c r="F8" s="35">
        <v>1154.5295113445577</v>
      </c>
      <c r="G8" s="36">
        <v>1154.5295113445577</v>
      </c>
      <c r="H8" s="35">
        <v>1244.0671375334487</v>
      </c>
      <c r="I8" s="36">
        <v>1244.0671375334487</v>
      </c>
      <c r="J8" s="35">
        <v>1346.4503733307879</v>
      </c>
      <c r="K8" s="36">
        <v>1346.4503733307879</v>
      </c>
      <c r="L8" s="35">
        <v>1464.4609559532346</v>
      </c>
      <c r="M8" s="36">
        <v>1464.4609559532346</v>
      </c>
      <c r="N8" s="35">
        <v>1601.7397247096674</v>
      </c>
      <c r="O8" s="36">
        <v>1601.7397247096674</v>
      </c>
      <c r="P8" s="35">
        <v>1763.1431129039763</v>
      </c>
      <c r="Q8" s="36">
        <v>1763.1431129039763</v>
      </c>
      <c r="R8" s="35">
        <v>1955.3243768230568</v>
      </c>
      <c r="S8" s="36">
        <v>1955.3243768230568</v>
      </c>
      <c r="T8" s="35">
        <v>2187.6813376501354</v>
      </c>
      <c r="U8" s="36">
        <v>2187.6813376501354</v>
      </c>
      <c r="V8" s="35">
        <v>2473.9999164950564</v>
      </c>
      <c r="W8" s="36">
        <v>2473.9999164950564</v>
      </c>
      <c r="X8" s="35">
        <v>2835.4567194547903</v>
      </c>
      <c r="Y8" s="36">
        <v>2835.4567194547903</v>
      </c>
      <c r="Z8" s="35">
        <v>3306.4758748768777</v>
      </c>
      <c r="AA8" s="36">
        <v>3306.4758748768777</v>
      </c>
      <c r="AB8" s="35">
        <v>3947.0078477988677</v>
      </c>
      <c r="AC8" s="36">
        <v>3947.0078477988677</v>
      </c>
      <c r="AD8" s="35">
        <v>4870.4609691650012</v>
      </c>
      <c r="AE8" s="36">
        <v>4870.4609691650012</v>
      </c>
      <c r="AF8" s="35">
        <v>6312.6511132876331</v>
      </c>
      <c r="AG8" s="36">
        <v>6312.6511132876331</v>
      </c>
      <c r="AH8" s="35">
        <v>8815.8745048230867</v>
      </c>
      <c r="AI8" s="36">
        <v>8815.8745048230867</v>
      </c>
      <c r="AJ8" s="35">
        <v>13777.330963641391</v>
      </c>
      <c r="AK8" s="36">
        <v>13777.330963641391</v>
      </c>
      <c r="AL8" s="35">
        <v>25618.286620051069</v>
      </c>
      <c r="AM8" s="36">
        <v>25618.286620051069</v>
      </c>
      <c r="AN8" s="35"/>
      <c r="AO8" s="36"/>
      <c r="AP8" s="35"/>
      <c r="AQ8" s="36"/>
      <c r="AR8" s="35"/>
      <c r="AS8" s="36"/>
      <c r="AT8" s="35"/>
      <c r="AU8" s="36"/>
      <c r="AV8" s="35"/>
      <c r="AW8" s="36"/>
    </row>
    <row r="9" spans="1:49" x14ac:dyDescent="0.2">
      <c r="A9" t="s">
        <v>14</v>
      </c>
      <c r="B9" s="41">
        <v>1015.9116825427475</v>
      </c>
      <c r="C9" s="42">
        <v>1005.7716594496609</v>
      </c>
      <c r="D9" s="41">
        <v>1014.4516708522722</v>
      </c>
      <c r="E9" s="42">
        <v>1075.6693257154975</v>
      </c>
      <c r="F9" s="41">
        <v>1012.9377265494251</v>
      </c>
      <c r="G9" s="42">
        <v>1154.5295113445577</v>
      </c>
      <c r="H9" s="41">
        <v>1011.3616999789313</v>
      </c>
      <c r="I9" s="42">
        <v>1244.0671375334487</v>
      </c>
      <c r="J9" s="41">
        <v>1009.7141113849112</v>
      </c>
      <c r="K9" s="42">
        <v>1346.4503733307879</v>
      </c>
      <c r="L9" s="41">
        <v>1007.9842235523741</v>
      </c>
      <c r="M9" s="42">
        <v>1464.4609559532346</v>
      </c>
      <c r="N9" s="41">
        <v>1006.1601535737216</v>
      </c>
      <c r="O9" s="42">
        <v>1601.7397247096674</v>
      </c>
      <c r="P9" s="41">
        <v>1004.2295900399172</v>
      </c>
      <c r="Q9" s="42">
        <v>1763.1431129039763</v>
      </c>
      <c r="R9" s="41">
        <v>1002.1811496195883</v>
      </c>
      <c r="S9" s="42">
        <v>1955.3243768230568</v>
      </c>
      <c r="T9" s="41">
        <v>1000.0072564173673</v>
      </c>
      <c r="U9" s="42">
        <v>2187.6813376501354</v>
      </c>
      <c r="V9" s="41">
        <v>997.70979117338118</v>
      </c>
      <c r="W9" s="42">
        <v>2473.9999164950564</v>
      </c>
      <c r="X9" s="41">
        <v>995.31109631361562</v>
      </c>
      <c r="Y9" s="42">
        <v>2835.4567194547903</v>
      </c>
      <c r="Z9" s="41">
        <v>992.87534424178057</v>
      </c>
      <c r="AA9" s="42">
        <v>3306.4758748768777</v>
      </c>
      <c r="AB9" s="41">
        <v>990.54979360042057</v>
      </c>
      <c r="AC9" s="42">
        <v>3947.0078477988677</v>
      </c>
      <c r="AD9" s="41">
        <v>988.64097638141959</v>
      </c>
      <c r="AE9" s="42">
        <v>4870.4609691650012</v>
      </c>
      <c r="AF9" s="41">
        <v>987.73060478107914</v>
      </c>
      <c r="AG9" s="42">
        <v>6312.6511132876331</v>
      </c>
      <c r="AH9" s="41">
        <v>988.7230270741569</v>
      </c>
      <c r="AI9" s="42">
        <v>8815.8745048230867</v>
      </c>
      <c r="AJ9" s="41">
        <v>992.38234758355065</v>
      </c>
      <c r="AK9" s="42">
        <v>13777.330963641391</v>
      </c>
      <c r="AL9" s="41">
        <v>998.15979995407122</v>
      </c>
      <c r="AM9" s="42">
        <v>25618.286620051069</v>
      </c>
      <c r="AN9" s="41"/>
      <c r="AO9" s="42"/>
      <c r="AP9" s="41"/>
      <c r="AQ9" s="42"/>
      <c r="AR9" s="41"/>
      <c r="AS9" s="42"/>
      <c r="AT9" s="41"/>
      <c r="AU9" s="42"/>
      <c r="AV9" s="41"/>
      <c r="AW9" s="42"/>
    </row>
    <row r="10" spans="1:49" x14ac:dyDescent="0.2">
      <c r="A10" t="s">
        <v>15</v>
      </c>
      <c r="B10" s="41">
        <v>1015.9116825427475</v>
      </c>
      <c r="C10" s="42">
        <v>1005.7716594496609</v>
      </c>
      <c r="D10" s="41">
        <v>1014.4516708522722</v>
      </c>
      <c r="E10" s="42">
        <v>1075.6693257154975</v>
      </c>
      <c r="F10" s="41">
        <v>1012.9377265494251</v>
      </c>
      <c r="G10" s="42">
        <v>1154.5295113445577</v>
      </c>
      <c r="H10" s="41">
        <v>1011.3616999789313</v>
      </c>
      <c r="I10" s="42">
        <v>1244.0671375334487</v>
      </c>
      <c r="J10" s="41">
        <v>1009.7141113849112</v>
      </c>
      <c r="K10" s="42">
        <v>1346.4503733307879</v>
      </c>
      <c r="L10" s="41">
        <v>1007.9842235523741</v>
      </c>
      <c r="M10" s="42">
        <v>1464.4609559532346</v>
      </c>
      <c r="N10" s="41">
        <v>1006.1601535737216</v>
      </c>
      <c r="O10" s="42">
        <v>1601.7397247096674</v>
      </c>
      <c r="P10" s="41">
        <v>1004.2295900399172</v>
      </c>
      <c r="Q10" s="42">
        <v>1763.1431129039763</v>
      </c>
      <c r="R10" s="41">
        <v>1002.1811496195883</v>
      </c>
      <c r="S10" s="42">
        <v>1955.3243768230568</v>
      </c>
      <c r="T10" s="41">
        <v>1000.0072564173673</v>
      </c>
      <c r="U10" s="42">
        <v>2187.6813376501354</v>
      </c>
      <c r="V10" s="41">
        <v>997.70979117338118</v>
      </c>
      <c r="W10" s="42">
        <v>2473.9999164950564</v>
      </c>
      <c r="X10" s="41">
        <v>995.31109631361562</v>
      </c>
      <c r="Y10" s="42">
        <v>2835.4567194547903</v>
      </c>
      <c r="Z10" s="41">
        <v>992.87534424178057</v>
      </c>
      <c r="AA10" s="42">
        <v>3306.4758748768777</v>
      </c>
      <c r="AB10" s="41">
        <v>990.54979360042057</v>
      </c>
      <c r="AC10" s="42">
        <v>3947.0078477988677</v>
      </c>
      <c r="AD10" s="41">
        <v>988.64097638141959</v>
      </c>
      <c r="AE10" s="42">
        <v>4870.4609691650012</v>
      </c>
      <c r="AF10" s="41">
        <v>987.73060478107914</v>
      </c>
      <c r="AG10" s="42">
        <v>6312.6511132876331</v>
      </c>
      <c r="AH10" s="41">
        <v>988.7230270741569</v>
      </c>
      <c r="AI10" s="42">
        <v>8815.8745048230867</v>
      </c>
      <c r="AJ10" s="41">
        <v>992.38234758355065</v>
      </c>
      <c r="AK10" s="42">
        <v>13777.330963641391</v>
      </c>
      <c r="AL10" s="41">
        <v>998.15979995407122</v>
      </c>
      <c r="AM10" s="42">
        <v>25618.286620051069</v>
      </c>
      <c r="AN10" s="41"/>
      <c r="AO10" s="42"/>
      <c r="AP10" s="41"/>
      <c r="AQ10" s="42"/>
      <c r="AR10" s="41"/>
      <c r="AS10" s="42"/>
      <c r="AT10" s="41"/>
      <c r="AU10" s="42"/>
      <c r="AV10" s="41"/>
      <c r="AW10" s="42"/>
    </row>
    <row r="11" spans="1:49" x14ac:dyDescent="0.2">
      <c r="A11" t="s">
        <v>29</v>
      </c>
      <c r="B11" s="41">
        <v>1015.9116825427475</v>
      </c>
      <c r="C11" s="42">
        <v>1005.7716594496609</v>
      </c>
      <c r="D11" s="41">
        <v>1014.4516708522722</v>
      </c>
      <c r="E11" s="42">
        <v>1075.6693257154975</v>
      </c>
      <c r="F11" s="41">
        <v>1012.9377265494251</v>
      </c>
      <c r="G11" s="42">
        <v>1154.5295113445577</v>
      </c>
      <c r="H11" s="41">
        <v>1011.3616999789313</v>
      </c>
      <c r="I11" s="42">
        <v>1244.0671375334487</v>
      </c>
      <c r="J11" s="41">
        <v>1009.7141113849112</v>
      </c>
      <c r="K11" s="42">
        <v>1346.4503733307879</v>
      </c>
      <c r="L11" s="41">
        <v>1007.9842235523741</v>
      </c>
      <c r="M11" s="42">
        <v>1464.4609559532346</v>
      </c>
      <c r="N11" s="41">
        <v>1006.1601535737216</v>
      </c>
      <c r="O11" s="42">
        <v>1601.7397247096674</v>
      </c>
      <c r="P11" s="41">
        <v>1004.2295900399172</v>
      </c>
      <c r="Q11" s="42">
        <v>1763.1431129039763</v>
      </c>
      <c r="R11" s="41">
        <v>1002.1811496195883</v>
      </c>
      <c r="S11" s="42">
        <v>1955.3243768230568</v>
      </c>
      <c r="T11" s="41">
        <v>1000.0072564173673</v>
      </c>
      <c r="U11" s="42">
        <v>2187.6813376501354</v>
      </c>
      <c r="V11" s="41">
        <v>997.70979117338118</v>
      </c>
      <c r="W11" s="42">
        <v>2473.9999164950564</v>
      </c>
      <c r="X11" s="41">
        <v>995.31109631361562</v>
      </c>
      <c r="Y11" s="42">
        <v>2835.4567194547903</v>
      </c>
      <c r="Z11" s="41">
        <v>992.87534424178057</v>
      </c>
      <c r="AA11" s="42">
        <v>3306.4758748768777</v>
      </c>
      <c r="AB11" s="41">
        <v>990.54979360042057</v>
      </c>
      <c r="AC11" s="42">
        <v>3947.0078477988677</v>
      </c>
      <c r="AD11" s="41">
        <v>988.64097638141959</v>
      </c>
      <c r="AE11" s="42">
        <v>4870.4609691650012</v>
      </c>
      <c r="AF11" s="41">
        <v>987.73060478107914</v>
      </c>
      <c r="AG11" s="42">
        <v>6312.6511132876331</v>
      </c>
      <c r="AH11" s="41">
        <v>988.7230270741569</v>
      </c>
      <c r="AI11" s="42">
        <v>8815.8745048230867</v>
      </c>
      <c r="AJ11" s="41">
        <v>992.38234758355065</v>
      </c>
      <c r="AK11" s="42">
        <v>13777.330963641391</v>
      </c>
      <c r="AL11" s="41">
        <v>998.15979995407122</v>
      </c>
      <c r="AM11" s="42">
        <v>25618.286620051069</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1006.573736224218</v>
      </c>
      <c r="E13" s="98">
        <v>1006.573736224218</v>
      </c>
      <c r="F13" s="97">
        <v>1013.1406358910154</v>
      </c>
      <c r="G13" s="98">
        <v>1013.1406358910154</v>
      </c>
      <c r="H13" s="97">
        <v>1019.699682861984</v>
      </c>
      <c r="I13" s="98">
        <v>1019.699682861984</v>
      </c>
      <c r="J13" s="97">
        <v>1026.2495335557264</v>
      </c>
      <c r="K13" s="98">
        <v>1026.2495335557264</v>
      </c>
      <c r="L13" s="97">
        <v>1032.7890396973949</v>
      </c>
      <c r="M13" s="98">
        <v>1032.7890396973949</v>
      </c>
      <c r="N13" s="97">
        <v>1039.318753066729</v>
      </c>
      <c r="O13" s="98">
        <v>1039.318753066729</v>
      </c>
      <c r="P13" s="97">
        <v>1045.8432133174576</v>
      </c>
      <c r="Q13" s="98">
        <v>1045.8432133174576</v>
      </c>
      <c r="R13" s="97">
        <v>1052.3762881825219</v>
      </c>
      <c r="S13" s="98">
        <v>1052.3762881825219</v>
      </c>
      <c r="T13" s="97">
        <v>1058.9508983405417</v>
      </c>
      <c r="U13" s="98">
        <v>1058.9508983405417</v>
      </c>
      <c r="V13" s="97">
        <v>1065.6383523696231</v>
      </c>
      <c r="W13" s="98">
        <v>1065.6383523696231</v>
      </c>
      <c r="X13" s="97">
        <v>1072.585279205088</v>
      </c>
      <c r="Y13" s="98">
        <v>1072.585279205088</v>
      </c>
      <c r="Z13" s="97">
        <v>1080.0862006364737</v>
      </c>
      <c r="AA13" s="98">
        <v>1080.0862006364737</v>
      </c>
      <c r="AB13" s="97">
        <v>1088.7257463566514</v>
      </c>
      <c r="AC13" s="98">
        <v>1088.7257463566514</v>
      </c>
      <c r="AD13" s="97">
        <v>1099.6479589470141</v>
      </c>
      <c r="AE13" s="98">
        <v>1099.6479589470141</v>
      </c>
      <c r="AF13" s="97">
        <v>1114.9869471306463</v>
      </c>
      <c r="AG13" s="98">
        <v>1114.9869471306463</v>
      </c>
      <c r="AH13" s="97">
        <v>1138.1111231906407</v>
      </c>
      <c r="AI13" s="98">
        <v>1138.1111231906407</v>
      </c>
      <c r="AJ13" s="97">
        <v>1171.9134956713376</v>
      </c>
      <c r="AK13" s="98">
        <v>1171.9134956713376</v>
      </c>
      <c r="AL13" s="97">
        <v>1211.7445140868645</v>
      </c>
      <c r="AM13" s="98">
        <v>1211.7445140868645</v>
      </c>
      <c r="AN13" s="97"/>
      <c r="AO13" s="98"/>
      <c r="AP13" s="97"/>
      <c r="AQ13" s="98"/>
      <c r="AR13" s="97"/>
      <c r="AS13" s="98"/>
      <c r="AT13" s="97"/>
      <c r="AU13" s="98"/>
      <c r="AV13" s="97"/>
      <c r="AW13" s="98"/>
    </row>
    <row r="14" spans="1:49" x14ac:dyDescent="0.2">
      <c r="A14" t="s">
        <v>36</v>
      </c>
      <c r="B14" s="41">
        <v>1457.0034251455234</v>
      </c>
      <c r="C14" s="42">
        <v>1457.0034251455236</v>
      </c>
      <c r="D14" s="41">
        <v>1466.5813813402121</v>
      </c>
      <c r="E14" s="42">
        <v>1466.5813813402124</v>
      </c>
      <c r="F14" s="41">
        <v>1476.1493766473229</v>
      </c>
      <c r="G14" s="42">
        <v>1476.1493766473232</v>
      </c>
      <c r="H14" s="41">
        <v>1485.7059305497146</v>
      </c>
      <c r="I14" s="42">
        <v>1485.7059305497148</v>
      </c>
      <c r="J14" s="41">
        <v>1495.2490854446889</v>
      </c>
      <c r="K14" s="42">
        <v>1495.2490854446892</v>
      </c>
      <c r="L14" s="41">
        <v>1504.7771682918601</v>
      </c>
      <c r="M14" s="42">
        <v>1504.7771682918603</v>
      </c>
      <c r="N14" s="41">
        <v>1514.2909830361984</v>
      </c>
      <c r="O14" s="42">
        <v>1514.2909830361987</v>
      </c>
      <c r="P14" s="41">
        <v>1523.797143968736</v>
      </c>
      <c r="Q14" s="42">
        <v>1523.7971439687362</v>
      </c>
      <c r="R14" s="41">
        <v>1533.3158564238665</v>
      </c>
      <c r="S14" s="42">
        <v>1533.315856423867</v>
      </c>
      <c r="T14" s="41">
        <v>1542.8950859430981</v>
      </c>
      <c r="U14" s="42">
        <v>1542.8950859430984</v>
      </c>
      <c r="V14" s="41">
        <v>1552.6387293689729</v>
      </c>
      <c r="W14" s="42">
        <v>1552.6387293689731</v>
      </c>
      <c r="X14" s="41">
        <v>1562.7604255624806</v>
      </c>
      <c r="Y14" s="42">
        <v>1562.7604255624808</v>
      </c>
      <c r="Z14" s="41">
        <v>1573.689293779757</v>
      </c>
      <c r="AA14" s="42">
        <v>1573.6892937797572</v>
      </c>
      <c r="AB14" s="41">
        <v>1586.2771414857573</v>
      </c>
      <c r="AC14" s="42">
        <v>1586.2771414857575</v>
      </c>
      <c r="AD14" s="41">
        <v>1602.1908426400832</v>
      </c>
      <c r="AE14" s="42">
        <v>1602.1908426400835</v>
      </c>
      <c r="AF14" s="41">
        <v>1624.5398009619021</v>
      </c>
      <c r="AG14" s="42">
        <v>1624.5398009619023</v>
      </c>
      <c r="AH14" s="41">
        <v>1658.2318046849821</v>
      </c>
      <c r="AI14" s="42">
        <v>1658.2318046849823</v>
      </c>
      <c r="AJ14" s="41">
        <v>1707.4819771674022</v>
      </c>
      <c r="AK14" s="42">
        <v>1707.4819771674024</v>
      </c>
      <c r="AL14" s="41">
        <v>1765.5159074258593</v>
      </c>
      <c r="AM14" s="42">
        <v>1765.5159074258595</v>
      </c>
      <c r="AN14" s="41"/>
      <c r="AO14" s="42"/>
      <c r="AP14" s="41"/>
      <c r="AQ14" s="42"/>
      <c r="AR14" s="41"/>
      <c r="AS14" s="42"/>
      <c r="AT14" s="41"/>
      <c r="AU14" s="42"/>
      <c r="AV14" s="41"/>
      <c r="AW14" s="42"/>
    </row>
    <row r="15" spans="1:49" x14ac:dyDescent="0.2">
      <c r="A15" t="s">
        <v>18</v>
      </c>
      <c r="B15" s="154">
        <v>1000</v>
      </c>
      <c r="C15" s="155">
        <v>1000</v>
      </c>
      <c r="D15" s="154">
        <v>983.22090540142676</v>
      </c>
      <c r="E15" s="155">
        <v>983.22090540142676</v>
      </c>
      <c r="F15" s="154">
        <v>965.82639183104538</v>
      </c>
      <c r="G15" s="155">
        <v>965.82639183104538</v>
      </c>
      <c r="H15" s="154">
        <v>947.72382384264642</v>
      </c>
      <c r="I15" s="155">
        <v>947.72382384264642</v>
      </c>
      <c r="J15" s="154">
        <v>928.80166902200631</v>
      </c>
      <c r="K15" s="155">
        <v>928.80166902200631</v>
      </c>
      <c r="L15" s="154">
        <v>908.92387985295625</v>
      </c>
      <c r="M15" s="155">
        <v>908.92387985295625</v>
      </c>
      <c r="N15" s="154">
        <v>887.92061850764878</v>
      </c>
      <c r="O15" s="155">
        <v>887.92061850764878</v>
      </c>
      <c r="P15" s="154">
        <v>865.57610552191795</v>
      </c>
      <c r="Q15" s="155">
        <v>865.57610552191795</v>
      </c>
      <c r="R15" s="154">
        <v>841.60761300436718</v>
      </c>
      <c r="S15" s="155">
        <v>841.60761300436718</v>
      </c>
      <c r="T15" s="154">
        <v>815.63221985042514</v>
      </c>
      <c r="U15" s="155">
        <v>815.63221985042514</v>
      </c>
      <c r="V15" s="154">
        <v>787.10907349485603</v>
      </c>
      <c r="W15" s="155">
        <v>787.10907349485603</v>
      </c>
      <c r="X15" s="154">
        <v>755.23704846699002</v>
      </c>
      <c r="Y15" s="155">
        <v>755.23704846699002</v>
      </c>
      <c r="Z15" s="154">
        <v>718.76303355567666</v>
      </c>
      <c r="AA15" s="155">
        <v>718.76303355567666</v>
      </c>
      <c r="AB15" s="154">
        <v>675.60816266583379</v>
      </c>
      <c r="AC15" s="155">
        <v>675.60816266583379</v>
      </c>
      <c r="AD15" s="154">
        <v>622.11549299016951</v>
      </c>
      <c r="AE15" s="155">
        <v>622.11549299016951</v>
      </c>
      <c r="AF15" s="154">
        <v>551.55038953800306</v>
      </c>
      <c r="AG15" s="155">
        <v>551.55038953800306</v>
      </c>
      <c r="AH15" s="154">
        <v>451.414031992991</v>
      </c>
      <c r="AI15" s="155">
        <v>451.414031992991</v>
      </c>
      <c r="AJ15" s="154">
        <v>299.52570281664225</v>
      </c>
      <c r="AK15" s="155">
        <v>299.52570281664225</v>
      </c>
      <c r="AL15" s="154">
        <v>56.074246141352361</v>
      </c>
      <c r="AM15" s="155">
        <v>56.074246141352361</v>
      </c>
      <c r="AN15" s="154"/>
      <c r="AO15" s="155"/>
      <c r="AP15" s="154"/>
      <c r="AQ15" s="155"/>
      <c r="AR15" s="154"/>
      <c r="AS15" s="155"/>
      <c r="AT15" s="154"/>
      <c r="AU15" s="155"/>
      <c r="AV15" s="154"/>
      <c r="AW15" s="155"/>
    </row>
    <row r="16" spans="1:49" s="29" customFormat="1" x14ac:dyDescent="0.2">
      <c r="A16" t="s">
        <v>61</v>
      </c>
      <c r="B16" s="41">
        <v>1000</v>
      </c>
      <c r="C16" s="42">
        <v>1000</v>
      </c>
      <c r="D16" s="41">
        <v>995.66410730175983</v>
      </c>
      <c r="E16" s="42">
        <v>989.88277387556957</v>
      </c>
      <c r="F16" s="41">
        <v>991.02157711216057</v>
      </c>
      <c r="G16" s="42">
        <v>979.31620553233211</v>
      </c>
      <c r="H16" s="41">
        <v>986.02754998948978</v>
      </c>
      <c r="I16" s="42">
        <v>968.23321509224547</v>
      </c>
      <c r="J16" s="41">
        <v>980.62794760059012</v>
      </c>
      <c r="K16" s="42">
        <v>956.55296200036969</v>
      </c>
      <c r="L16" s="41">
        <v>974.75706590453217</v>
      </c>
      <c r="M16" s="42">
        <v>944.17710783335053</v>
      </c>
      <c r="N16" s="41">
        <v>968.33395868648063</v>
      </c>
      <c r="O16" s="42">
        <v>930.9832857732024</v>
      </c>
      <c r="P16" s="41">
        <v>961.25787169343005</v>
      </c>
      <c r="Q16" s="42">
        <v>916.81726069580202</v>
      </c>
      <c r="R16" s="41">
        <v>953.40109092155978</v>
      </c>
      <c r="S16" s="42">
        <v>901.47922833388259</v>
      </c>
      <c r="T16" s="41">
        <v>944.59831770249696</v>
      </c>
      <c r="U16" s="42">
        <v>884.7026440695621</v>
      </c>
      <c r="V16" s="41">
        <v>934.62953149587588</v>
      </c>
      <c r="W16" s="42">
        <v>866.11826371805819</v>
      </c>
      <c r="X16" s="41">
        <v>923.19104841377293</v>
      </c>
      <c r="Y16" s="42">
        <v>845.19102275360751</v>
      </c>
      <c r="Z16" s="41">
        <v>909.84314135443719</v>
      </c>
      <c r="AA16" s="42">
        <v>821.10289972048292</v>
      </c>
      <c r="AB16" s="41">
        <v>893.908377257712</v>
      </c>
      <c r="AC16" s="42">
        <v>792.52464851250431</v>
      </c>
      <c r="AD16" s="41">
        <v>874.25819375920969</v>
      </c>
      <c r="AE16" s="42">
        <v>757.15201406133303</v>
      </c>
      <c r="AF16" s="41">
        <v>848.83167790108587</v>
      </c>
      <c r="AG16" s="42">
        <v>710.75090849735068</v>
      </c>
      <c r="AH16" s="41">
        <v>813.49490861735546</v>
      </c>
      <c r="AI16" s="42">
        <v>645.29866270281104</v>
      </c>
      <c r="AJ16" s="41">
        <v>759.28241573270054</v>
      </c>
      <c r="AK16" s="42">
        <v>545.68708731351774</v>
      </c>
      <c r="AL16" s="41">
        <v>664.89074972596973</v>
      </c>
      <c r="AM16" s="42">
        <v>382.01001029518494</v>
      </c>
      <c r="AN16" s="41"/>
      <c r="AO16" s="42"/>
      <c r="AP16" s="41"/>
      <c r="AQ16" s="42"/>
      <c r="AR16" s="41"/>
      <c r="AS16" s="42"/>
      <c r="AT16" s="41"/>
      <c r="AU16" s="42"/>
      <c r="AV16" s="41"/>
      <c r="AW16" s="42"/>
    </row>
    <row r="17" spans="1:49" x14ac:dyDescent="0.2">
      <c r="A17" t="s">
        <v>62</v>
      </c>
      <c r="B17" s="35">
        <v>1000.0000000000002</v>
      </c>
      <c r="C17" s="36">
        <v>999.99999999999977</v>
      </c>
      <c r="D17" s="35">
        <v>998.69392157203379</v>
      </c>
      <c r="E17" s="36">
        <v>1032.0568843497308</v>
      </c>
      <c r="F17" s="35">
        <v>997.34120757641256</v>
      </c>
      <c r="G17" s="36">
        <v>1068.1965308593544</v>
      </c>
      <c r="H17" s="35">
        <v>995.93477677702685</v>
      </c>
      <c r="I17" s="36">
        <v>1109.1746221515775</v>
      </c>
      <c r="J17" s="35">
        <v>994.4664070231297</v>
      </c>
      <c r="K17" s="36">
        <v>1155.943419856442</v>
      </c>
      <c r="L17" s="35">
        <v>992.92677913037494</v>
      </c>
      <c r="M17" s="36">
        <v>1209.7209314166282</v>
      </c>
      <c r="N17" s="35">
        <v>991.30570296863948</v>
      </c>
      <c r="O17" s="36">
        <v>1272.0968382290021</v>
      </c>
      <c r="P17" s="35">
        <v>989.59262825897304</v>
      </c>
      <c r="Q17" s="36">
        <v>1345.1857266868813</v>
      </c>
      <c r="R17" s="35">
        <v>987.77794035898069</v>
      </c>
      <c r="S17" s="36">
        <v>1431.8772473661706</v>
      </c>
      <c r="T17" s="35">
        <v>985.85549066743829</v>
      </c>
      <c r="U17" s="36">
        <v>1536.2430887406331</v>
      </c>
      <c r="V17" s="35">
        <v>983.82755582813445</v>
      </c>
      <c r="W17" s="36">
        <v>1664.2415340495268</v>
      </c>
      <c r="X17" s="35">
        <v>981.71444557645907</v>
      </c>
      <c r="Y17" s="36">
        <v>1825.0015172154513</v>
      </c>
      <c r="Z17" s="35">
        <v>979.57308857847534</v>
      </c>
      <c r="AA17" s="36">
        <v>2033.3199599449431</v>
      </c>
      <c r="AB17" s="35">
        <v>977.53275373941165</v>
      </c>
      <c r="AC17" s="36">
        <v>2314.8783906626622</v>
      </c>
      <c r="AD17" s="35">
        <v>975.86109125438134</v>
      </c>
      <c r="AE17" s="36">
        <v>2718.0602856019796</v>
      </c>
      <c r="AF17" s="35">
        <v>975.06479402848936</v>
      </c>
      <c r="AG17" s="36">
        <v>3342.9832725054289</v>
      </c>
      <c r="AH17" s="35">
        <v>975.93288867165325</v>
      </c>
      <c r="AI17" s="36">
        <v>4418.6548859280165</v>
      </c>
      <c r="AJ17" s="35">
        <v>979.14021206757081</v>
      </c>
      <c r="AK17" s="36">
        <v>6532.3811428395265</v>
      </c>
      <c r="AL17" s="35">
        <v>984.22446185417743</v>
      </c>
      <c r="AM17" s="36">
        <v>11539.034610028748</v>
      </c>
      <c r="AN17" s="35"/>
      <c r="AO17" s="36"/>
      <c r="AP17" s="35"/>
      <c r="AQ17" s="36"/>
      <c r="AR17" s="35"/>
      <c r="AS17" s="36"/>
      <c r="AT17" s="35"/>
      <c r="AU17" s="36"/>
      <c r="AV17" s="35"/>
      <c r="AW17" s="36"/>
    </row>
    <row r="18" spans="1:49" x14ac:dyDescent="0.2">
      <c r="A18" t="s">
        <v>19</v>
      </c>
      <c r="B18" s="33">
        <v>27857.010133999996</v>
      </c>
      <c r="C18" s="34">
        <v>1236.7674480000003</v>
      </c>
      <c r="D18" s="33">
        <v>27864.523302741891</v>
      </c>
      <c r="E18" s="34">
        <v>1151.2196915435552</v>
      </c>
      <c r="F18" s="33">
        <v>27868.300905228723</v>
      </c>
      <c r="G18" s="34">
        <v>1065.6210273287622</v>
      </c>
      <c r="H18" s="33">
        <v>27867.77792348716</v>
      </c>
      <c r="I18" s="34">
        <v>979.99541011349504</v>
      </c>
      <c r="J18" s="33">
        <v>27862.261021686867</v>
      </c>
      <c r="K18" s="34">
        <v>894.3768833523759</v>
      </c>
      <c r="L18" s="33">
        <v>27850.878742174868</v>
      </c>
      <c r="M18" s="34">
        <v>808.82683505633918</v>
      </c>
      <c r="N18" s="33">
        <v>27832.52455634459</v>
      </c>
      <c r="O18" s="34">
        <v>723.43026757064854</v>
      </c>
      <c r="P18" s="33">
        <v>27805.752435644634</v>
      </c>
      <c r="Q18" s="34">
        <v>638.32879575472782</v>
      </c>
      <c r="R18" s="33">
        <v>27768.626989514865</v>
      </c>
      <c r="S18" s="34">
        <v>553.74427980006737</v>
      </c>
      <c r="T18" s="33">
        <v>27718.480489658534</v>
      </c>
      <c r="U18" s="34">
        <v>470.02443745868931</v>
      </c>
      <c r="V18" s="33">
        <v>27651.504750434626</v>
      </c>
      <c r="W18" s="34">
        <v>387.71731211823788</v>
      </c>
      <c r="X18" s="33">
        <v>27562.04784178035</v>
      </c>
      <c r="Y18" s="34">
        <v>307.68255028167334</v>
      </c>
      <c r="Z18" s="33">
        <v>27441.334441112554</v>
      </c>
      <c r="AA18" s="34">
        <v>231.2658651430803</v>
      </c>
      <c r="AB18" s="33">
        <v>27275.032595867073</v>
      </c>
      <c r="AC18" s="34">
        <v>160.5516283430531</v>
      </c>
      <c r="AD18" s="33">
        <v>27038.414814863234</v>
      </c>
      <c r="AE18" s="34">
        <v>98.666753819484001</v>
      </c>
      <c r="AF18" s="33">
        <v>26686.526556618854</v>
      </c>
      <c r="AG18" s="34">
        <v>49.846153943183481</v>
      </c>
      <c r="AH18" s="33">
        <v>26134.359212718489</v>
      </c>
      <c r="AI18" s="34">
        <v>18.221541001872794</v>
      </c>
      <c r="AJ18" s="33">
        <v>25214.032236212548</v>
      </c>
      <c r="AK18" s="34">
        <v>3.9295213795402444</v>
      </c>
      <c r="AL18" s="33">
        <v>23531.553452840199</v>
      </c>
      <c r="AM18" s="34">
        <v>0.3586781102127351</v>
      </c>
      <c r="AN18" s="33"/>
      <c r="AO18" s="34"/>
      <c r="AP18" s="33"/>
      <c r="AQ18" s="34"/>
      <c r="AR18" s="33"/>
      <c r="AS18" s="34"/>
      <c r="AT18" s="33"/>
      <c r="AU18" s="34"/>
      <c r="AV18" s="33"/>
      <c r="AW18" s="34"/>
    </row>
    <row r="19" spans="1:49" x14ac:dyDescent="0.2">
      <c r="A19" t="s">
        <v>3</v>
      </c>
      <c r="B19" s="41">
        <v>1886.3937399999918</v>
      </c>
      <c r="C19" s="42">
        <v>262.78711299999759</v>
      </c>
      <c r="D19" s="41">
        <v>1880.4000643147144</v>
      </c>
      <c r="E19" s="42">
        <v>268.40784280141395</v>
      </c>
      <c r="F19" s="41">
        <v>1873.9231056529943</v>
      </c>
      <c r="G19" s="42">
        <v>274.97761313896854</v>
      </c>
      <c r="H19" s="41">
        <v>1866.8927509661255</v>
      </c>
      <c r="I19" s="42">
        <v>282.61951537192715</v>
      </c>
      <c r="J19" s="41">
        <v>1859.2255540807989</v>
      </c>
      <c r="K19" s="42">
        <v>291.4716307539012</v>
      </c>
      <c r="L19" s="41">
        <v>1850.8221275703415</v>
      </c>
      <c r="M19" s="42">
        <v>301.68393658892455</v>
      </c>
      <c r="N19" s="41">
        <v>1841.5644075262546</v>
      </c>
      <c r="O19" s="42">
        <v>313.41762230763345</v>
      </c>
      <c r="P19" s="41">
        <v>1831.312613828987</v>
      </c>
      <c r="Q19" s="42">
        <v>326.82880975114176</v>
      </c>
      <c r="R19" s="41">
        <v>1819.9023083934594</v>
      </c>
      <c r="S19" s="42">
        <v>342.04835973116138</v>
      </c>
      <c r="T19" s="41">
        <v>1807.1423161094253</v>
      </c>
      <c r="U19" s="42">
        <v>359.13628232478868</v>
      </c>
      <c r="V19" s="41">
        <v>1792.8142465492281</v>
      </c>
      <c r="W19" s="42">
        <v>377.99649637901177</v>
      </c>
      <c r="X19" s="41">
        <v>1776.6761735810871</v>
      </c>
      <c r="Y19" s="42">
        <v>398.2141967081991</v>
      </c>
      <c r="Z19" s="41">
        <v>1758.4729750641479</v>
      </c>
      <c r="AA19" s="42">
        <v>418.74636345549243</v>
      </c>
      <c r="AB19" s="41">
        <v>1737.9539886253151</v>
      </c>
      <c r="AC19" s="42">
        <v>437.33369009894659</v>
      </c>
      <c r="AD19" s="41">
        <v>1714.872313526372</v>
      </c>
      <c r="AE19" s="42">
        <v>449.43605088279344</v>
      </c>
      <c r="AF19" s="41">
        <v>1688.7927373378216</v>
      </c>
      <c r="AG19" s="42">
        <v>446.65440564641546</v>
      </c>
      <c r="AH19" s="41">
        <v>1657.866103510625</v>
      </c>
      <c r="AI19" s="42">
        <v>416.15693378642271</v>
      </c>
      <c r="AJ19" s="41">
        <v>1613.8100128080575</v>
      </c>
      <c r="AK19" s="42">
        <v>346.81619360601292</v>
      </c>
      <c r="AL19" s="41">
        <v>1527.351542547374</v>
      </c>
      <c r="AM19" s="42">
        <v>243.03970665171994</v>
      </c>
      <c r="AN19" s="41"/>
      <c r="AO19" s="42"/>
      <c r="AP19" s="41"/>
      <c r="AQ19" s="42"/>
      <c r="AR19" s="41"/>
      <c r="AS19" s="42"/>
      <c r="AT19" s="41"/>
      <c r="AU19" s="42"/>
      <c r="AV19" s="41"/>
      <c r="AW19" s="42"/>
    </row>
    <row r="20" spans="1:49" x14ac:dyDescent="0.2">
      <c r="A20" t="s">
        <v>127</v>
      </c>
      <c r="B20" s="82">
        <v>26548.356269999993</v>
      </c>
      <c r="C20" s="83">
        <v>1408.5418709999938</v>
      </c>
      <c r="D20" s="82">
        <v>26540.233131385499</v>
      </c>
      <c r="E20" s="83">
        <v>1338.1147774499941</v>
      </c>
      <c r="F20" s="82">
        <v>26527.936698480753</v>
      </c>
      <c r="G20" s="83">
        <v>1267.6876838999945</v>
      </c>
      <c r="H20" s="82">
        <v>26510.844539781636</v>
      </c>
      <c r="I20" s="83">
        <v>1197.2605903499943</v>
      </c>
      <c r="J20" s="82">
        <v>26488.198827028777</v>
      </c>
      <c r="K20" s="83">
        <v>1126.8334967999951</v>
      </c>
      <c r="L20" s="82">
        <v>26459.060121100869</v>
      </c>
      <c r="M20" s="83">
        <v>1056.4064032499953</v>
      </c>
      <c r="N20" s="82">
        <v>26422.255260601549</v>
      </c>
      <c r="O20" s="83">
        <v>985.97930969999561</v>
      </c>
      <c r="P20" s="82">
        <v>26376.286934941232</v>
      </c>
      <c r="Q20" s="83">
        <v>915.55221614999596</v>
      </c>
      <c r="R20" s="82">
        <v>26319.207989325285</v>
      </c>
      <c r="S20" s="83">
        <v>845.12512259999642</v>
      </c>
      <c r="T20" s="82">
        <v>26248.425181673079</v>
      </c>
      <c r="U20" s="83">
        <v>774.69802904999653</v>
      </c>
      <c r="V20" s="82">
        <v>26160.378652218838</v>
      </c>
      <c r="W20" s="83">
        <v>704.27093549999688</v>
      </c>
      <c r="X20" s="82">
        <v>26050.003507741516</v>
      </c>
      <c r="Y20" s="83">
        <v>633.84384194999734</v>
      </c>
      <c r="Z20" s="82">
        <v>25909.763312219533</v>
      </c>
      <c r="AA20" s="83">
        <v>563.41674839999757</v>
      </c>
      <c r="AB20" s="82">
        <v>25727.811821731102</v>
      </c>
      <c r="AC20" s="83">
        <v>492.98965484999775</v>
      </c>
      <c r="AD20" s="82">
        <v>25484.245187992838</v>
      </c>
      <c r="AE20" s="83">
        <v>422.56256129999804</v>
      </c>
      <c r="AF20" s="82">
        <v>25142.967333662826</v>
      </c>
      <c r="AG20" s="83">
        <v>352.13546774999827</v>
      </c>
      <c r="AH20" s="82">
        <v>24633.002676148</v>
      </c>
      <c r="AI20" s="83">
        <v>281.70837419999856</v>
      </c>
      <c r="AJ20" s="82">
        <v>23801.895514669119</v>
      </c>
      <c r="AK20" s="83">
        <v>211.28128064999879</v>
      </c>
      <c r="AL20" s="82">
        <v>22266.71023050023</v>
      </c>
      <c r="AM20" s="83">
        <v>140.85418709999905</v>
      </c>
      <c r="AN20" s="82"/>
      <c r="AO20" s="83"/>
      <c r="AP20" s="82"/>
      <c r="AQ20" s="83"/>
      <c r="AR20" s="82"/>
      <c r="AS20" s="83"/>
      <c r="AT20" s="82"/>
      <c r="AU20" s="83"/>
      <c r="AV20" s="82"/>
      <c r="AW20" s="83"/>
    </row>
    <row r="21" spans="1:49" x14ac:dyDescent="0.2">
      <c r="A21" t="s">
        <v>76</v>
      </c>
      <c r="B21" s="82">
        <v>24661.962529999968</v>
      </c>
      <c r="C21" s="83">
        <v>1145.7547579999991</v>
      </c>
      <c r="D21" s="82">
        <v>24659.837259929052</v>
      </c>
      <c r="E21" s="83">
        <v>1069.9176556405296</v>
      </c>
      <c r="F21" s="82">
        <v>24654.030981456704</v>
      </c>
      <c r="G21" s="83">
        <v>993.61728271523032</v>
      </c>
      <c r="H21" s="82">
        <v>24643.992464589097</v>
      </c>
      <c r="I21" s="83">
        <v>916.84445920512064</v>
      </c>
      <c r="J21" s="82">
        <v>24629.048675881702</v>
      </c>
      <c r="K21" s="83">
        <v>839.60287851468388</v>
      </c>
      <c r="L21" s="82">
        <v>24608.361228858539</v>
      </c>
      <c r="M21" s="83">
        <v>761.91878614637335</v>
      </c>
      <c r="N21" s="82">
        <v>24580.87706526991</v>
      </c>
      <c r="O21" s="83">
        <v>683.84995465043471</v>
      </c>
      <c r="P21" s="82">
        <v>24545.241097718987</v>
      </c>
      <c r="Q21" s="83">
        <v>605.50978090596948</v>
      </c>
      <c r="R21" s="82">
        <v>24499.673420538296</v>
      </c>
      <c r="S21" s="83">
        <v>527.09493792125897</v>
      </c>
      <c r="T21" s="82">
        <v>24441.774941425883</v>
      </c>
      <c r="U21" s="83">
        <v>448.93273820107652</v>
      </c>
      <c r="V21" s="82">
        <v>24368.206752914492</v>
      </c>
      <c r="W21" s="83">
        <v>371.55338149256329</v>
      </c>
      <c r="X21" s="82">
        <v>24274.146665841854</v>
      </c>
      <c r="Y21" s="83">
        <v>295.80259117934258</v>
      </c>
      <c r="Z21" s="82">
        <v>24152.309358182858</v>
      </c>
      <c r="AA21" s="83">
        <v>223.01418508778571</v>
      </c>
      <c r="AB21" s="82">
        <v>23991.084308521429</v>
      </c>
      <c r="AC21" s="83">
        <v>155.26186857777824</v>
      </c>
      <c r="AD21" s="82">
        <v>23770.777489610908</v>
      </c>
      <c r="AE21" s="83">
        <v>95.659134242418475</v>
      </c>
      <c r="AF21" s="82">
        <v>23455.654469614637</v>
      </c>
      <c r="AG21" s="83">
        <v>48.431659308114675</v>
      </c>
      <c r="AH21" s="82">
        <v>22976.486112200106</v>
      </c>
      <c r="AI21" s="83">
        <v>17.733973061223868</v>
      </c>
      <c r="AJ21" s="82">
        <v>22189.062117451307</v>
      </c>
      <c r="AK21" s="83">
        <v>3.8283787582976494</v>
      </c>
      <c r="AL21" s="82">
        <v>20739.878729084765</v>
      </c>
      <c r="AM21" s="83">
        <v>0.34960954445075521</v>
      </c>
      <c r="AN21" s="82"/>
      <c r="AO21" s="83"/>
      <c r="AP21" s="82"/>
      <c r="AQ21" s="83"/>
      <c r="AR21" s="82"/>
      <c r="AS21" s="83"/>
      <c r="AT21" s="82"/>
      <c r="AU21" s="83"/>
      <c r="AV21" s="82"/>
      <c r="AW21" s="83"/>
    </row>
    <row r="22" spans="1:49" x14ac:dyDescent="0.2">
      <c r="A22" t="s">
        <v>28</v>
      </c>
      <c r="B22" s="41">
        <v>6533.6044688320644</v>
      </c>
      <c r="C22" s="42">
        <v>379.90788307663382</v>
      </c>
      <c r="D22" s="41">
        <v>6534.8292126051565</v>
      </c>
      <c r="E22" s="42">
        <v>364.40076307760137</v>
      </c>
      <c r="F22" s="41">
        <v>6534.5147349384615</v>
      </c>
      <c r="G22" s="42">
        <v>348.67411492497354</v>
      </c>
      <c r="H22" s="41">
        <v>6532.4393625397488</v>
      </c>
      <c r="I22" s="42">
        <v>332.72205402735091</v>
      </c>
      <c r="J22" s="41">
        <v>6528.3346519270817</v>
      </c>
      <c r="K22" s="42">
        <v>316.53759485230324</v>
      </c>
      <c r="L22" s="41">
        <v>6521.8673126972017</v>
      </c>
      <c r="M22" s="42">
        <v>300.11191930407551</v>
      </c>
      <c r="N22" s="41">
        <v>6512.6279746499767</v>
      </c>
      <c r="O22" s="42">
        <v>283.43278635153104</v>
      </c>
      <c r="P22" s="41">
        <v>6500.0951316368364</v>
      </c>
      <c r="Q22" s="42">
        <v>266.48354691121733</v>
      </c>
      <c r="R22" s="41">
        <v>6483.5983484854787</v>
      </c>
      <c r="S22" s="42">
        <v>249.2400271002459</v>
      </c>
      <c r="T22" s="41">
        <v>6462.2561744400818</v>
      </c>
      <c r="U22" s="42">
        <v>231.66678854712563</v>
      </c>
      <c r="V22" s="41">
        <v>6434.8776815033998</v>
      </c>
      <c r="W22" s="42">
        <v>213.71107914488408</v>
      </c>
      <c r="X22" s="41">
        <v>6399.8019137302272</v>
      </c>
      <c r="Y22" s="42">
        <v>195.29420104564932</v>
      </c>
      <c r="Z22" s="41">
        <v>6354.6169581083532</v>
      </c>
      <c r="AA22" s="42">
        <v>176.29916502017778</v>
      </c>
      <c r="AB22" s="41">
        <v>6295.6389075117868</v>
      </c>
      <c r="AC22" s="42">
        <v>156.55568786402893</v>
      </c>
      <c r="AD22" s="41">
        <v>6216.8700788050637</v>
      </c>
      <c r="AE22" s="42">
        <v>135.82995731115551</v>
      </c>
      <c r="AF22" s="41">
        <v>6107.7521983170864</v>
      </c>
      <c r="AG22" s="42">
        <v>113.85436184978848</v>
      </c>
      <c r="AH22" s="41">
        <v>5947.918769930151</v>
      </c>
      <c r="AI22" s="42">
        <v>90.493343513240688</v>
      </c>
      <c r="AJ22" s="41">
        <v>5693.8797654346417</v>
      </c>
      <c r="AK22" s="42">
        <v>66.124097668956395</v>
      </c>
      <c r="AL22" s="41">
        <v>5238.748904054477</v>
      </c>
      <c r="AM22" s="42">
        <v>41.820771800384158</v>
      </c>
      <c r="AN22" s="41"/>
      <c r="AO22" s="42"/>
      <c r="AP22" s="41"/>
      <c r="AQ22" s="42"/>
      <c r="AR22" s="41"/>
      <c r="AS22" s="42"/>
      <c r="AT22" s="41"/>
      <c r="AU22" s="42"/>
      <c r="AV22" s="41"/>
      <c r="AW22" s="42"/>
    </row>
    <row r="23" spans="1:49" x14ac:dyDescent="0.2">
      <c r="A23" t="s">
        <v>7</v>
      </c>
      <c r="B23" s="116">
        <v>3278.5018080150408</v>
      </c>
      <c r="C23" s="8">
        <v>0</v>
      </c>
      <c r="D23" s="116">
        <v>3283.9579686609186</v>
      </c>
      <c r="E23" s="8">
        <v>0</v>
      </c>
      <c r="F23" s="116">
        <v>3289.0385224747088</v>
      </c>
      <c r="G23" s="8">
        <v>0</v>
      </c>
      <c r="H23" s="116">
        <v>3293.6836952405802</v>
      </c>
      <c r="I23" s="8">
        <v>0</v>
      </c>
      <c r="J23" s="116">
        <v>3297.8202974566193</v>
      </c>
      <c r="K23" s="8">
        <v>0</v>
      </c>
      <c r="L23" s="116">
        <v>3301.356303542464</v>
      </c>
      <c r="M23" s="8">
        <v>0</v>
      </c>
      <c r="N23" s="116">
        <v>3304.1774498114523</v>
      </c>
      <c r="O23" s="8">
        <v>0</v>
      </c>
      <c r="P23" s="116">
        <v>3306.1374296709646</v>
      </c>
      <c r="Q23" s="8">
        <v>0</v>
      </c>
      <c r="R23" s="116">
        <v>3307.0474328486484</v>
      </c>
      <c r="S23" s="8">
        <v>0</v>
      </c>
      <c r="T23" s="116">
        <v>3306.6596953842923</v>
      </c>
      <c r="U23" s="8">
        <v>0</v>
      </c>
      <c r="V23" s="116">
        <v>3304.6417140384451</v>
      </c>
      <c r="W23" s="8">
        <v>0</v>
      </c>
      <c r="X23" s="116">
        <v>3300.5357750939902</v>
      </c>
      <c r="Y23" s="8">
        <v>0</v>
      </c>
      <c r="Z23" s="116">
        <v>3293.689060635937</v>
      </c>
      <c r="AA23" s="8">
        <v>0</v>
      </c>
      <c r="AB23" s="116">
        <v>3283.12332898668</v>
      </c>
      <c r="AC23" s="8">
        <v>0</v>
      </c>
      <c r="AD23" s="116">
        <v>3267.259143368351</v>
      </c>
      <c r="AE23" s="8">
        <v>0</v>
      </c>
      <c r="AF23" s="116">
        <v>3243.2398736406844</v>
      </c>
      <c r="AG23" s="8">
        <v>0</v>
      </c>
      <c r="AH23" s="116">
        <v>3204.9937049509922</v>
      </c>
      <c r="AI23" s="8">
        <v>0</v>
      </c>
      <c r="AJ23" s="116">
        <v>3137.1864875374513</v>
      </c>
      <c r="AK23" s="8">
        <v>0</v>
      </c>
      <c r="AL23" s="116">
        <v>2994.9450927723115</v>
      </c>
      <c r="AM23" s="8">
        <v>0</v>
      </c>
      <c r="AN23" s="116"/>
      <c r="AO23" s="8"/>
      <c r="AP23" s="116"/>
      <c r="AQ23" s="8"/>
      <c r="AR23" s="116"/>
      <c r="AS23" s="8"/>
      <c r="AT23" s="116"/>
      <c r="AU23" s="8"/>
      <c r="AV23" s="116"/>
      <c r="AW23" s="8"/>
    </row>
    <row r="24" spans="1:49" x14ac:dyDescent="0.2">
      <c r="A24" t="s">
        <v>8</v>
      </c>
      <c r="B24" s="97">
        <v>3196.3846373657216</v>
      </c>
      <c r="C24" s="8">
        <v>0</v>
      </c>
      <c r="D24" s="97">
        <v>3201.7041385336115</v>
      </c>
      <c r="E24" s="8">
        <v>0</v>
      </c>
      <c r="F24" s="97">
        <v>3206.6574392508542</v>
      </c>
      <c r="G24" s="8">
        <v>0</v>
      </c>
      <c r="H24" s="97">
        <v>3211.1862643872832</v>
      </c>
      <c r="I24" s="8">
        <v>0</v>
      </c>
      <c r="J24" s="97">
        <v>3215.2192504761106</v>
      </c>
      <c r="K24" s="8">
        <v>0</v>
      </c>
      <c r="L24" s="97">
        <v>3218.6666923000912</v>
      </c>
      <c r="M24" s="8">
        <v>0</v>
      </c>
      <c r="N24" s="97">
        <v>3221.4171765536262</v>
      </c>
      <c r="O24" s="8">
        <v>0</v>
      </c>
      <c r="P24" s="97">
        <v>3223.3280641703741</v>
      </c>
      <c r="Q24" s="8">
        <v>0</v>
      </c>
      <c r="R24" s="97">
        <v>3224.2152750071623</v>
      </c>
      <c r="S24" s="8">
        <v>0</v>
      </c>
      <c r="T24" s="97">
        <v>3223.8372492549092</v>
      </c>
      <c r="U24" s="8">
        <v>0</v>
      </c>
      <c r="V24" s="97">
        <v>3221.8698126813651</v>
      </c>
      <c r="W24" s="8">
        <v>0</v>
      </c>
      <c r="X24" s="97">
        <v>3217.8667158393569</v>
      </c>
      <c r="Y24" s="8">
        <v>0</v>
      </c>
      <c r="Z24" s="97">
        <v>3211.1914928069018</v>
      </c>
      <c r="AA24" s="8">
        <v>0</v>
      </c>
      <c r="AB24" s="97">
        <v>3200.8904022040429</v>
      </c>
      <c r="AC24" s="8">
        <v>0</v>
      </c>
      <c r="AD24" s="97">
        <v>3185.4235696814967</v>
      </c>
      <c r="AE24" s="8">
        <v>0</v>
      </c>
      <c r="AF24" s="97">
        <v>3162.0059144439533</v>
      </c>
      <c r="AG24" s="8">
        <v>0</v>
      </c>
      <c r="AH24" s="97">
        <v>3124.7177037850042</v>
      </c>
      <c r="AI24" s="8">
        <v>0</v>
      </c>
      <c r="AJ24" s="97">
        <v>3058.6088648183168</v>
      </c>
      <c r="AK24" s="8">
        <v>0</v>
      </c>
      <c r="AL24" s="97">
        <v>2919.9302135172652</v>
      </c>
      <c r="AM24" s="8">
        <v>0</v>
      </c>
      <c r="AN24" s="97"/>
      <c r="AO24" s="8"/>
      <c r="AP24" s="97"/>
      <c r="AQ24" s="8"/>
      <c r="AR24" s="97"/>
      <c r="AS24" s="8"/>
      <c r="AT24" s="97"/>
      <c r="AU24" s="8"/>
      <c r="AV24" s="97"/>
      <c r="AW24" s="8"/>
    </row>
    <row r="25" spans="1:49" x14ac:dyDescent="0.2">
      <c r="A25" t="s">
        <v>0</v>
      </c>
      <c r="B25" s="41">
        <v>3195.0476040000012</v>
      </c>
      <c r="C25" s="42">
        <v>91.012690000004397</v>
      </c>
      <c r="D25" s="41">
        <v>3204.6792450909934</v>
      </c>
      <c r="E25" s="42">
        <v>81.263331215750426</v>
      </c>
      <c r="F25" s="41">
        <v>3214.2416279090849</v>
      </c>
      <c r="G25" s="42">
        <v>71.853312954584794</v>
      </c>
      <c r="H25" s="41">
        <v>3223.7189934762569</v>
      </c>
      <c r="I25" s="42">
        <v>62.82164854935413</v>
      </c>
      <c r="J25" s="41">
        <v>3233.0886041640929</v>
      </c>
      <c r="K25" s="42">
        <v>54.20994513557357</v>
      </c>
      <c r="L25" s="41">
        <v>3242.3143317523231</v>
      </c>
      <c r="M25" s="42">
        <v>46.063118892657073</v>
      </c>
      <c r="N25" s="41">
        <v>3251.3389709542771</v>
      </c>
      <c r="O25" s="42">
        <v>38.427829303142865</v>
      </c>
      <c r="P25" s="41">
        <v>3260.0670364730649</v>
      </c>
      <c r="Q25" s="42">
        <v>31.353627344541671</v>
      </c>
      <c r="R25" s="41">
        <v>3268.3377285082311</v>
      </c>
      <c r="S25" s="42">
        <v>24.891780323481218</v>
      </c>
      <c r="T25" s="41">
        <v>3275.8766373788976</v>
      </c>
      <c r="U25" s="42">
        <v>19.094518559328829</v>
      </c>
      <c r="V25" s="41">
        <v>3282.2092081991191</v>
      </c>
      <c r="W25" s="42">
        <v>14.013750435139167</v>
      </c>
      <c r="X25" s="41">
        <v>3286.503337959261</v>
      </c>
      <c r="Y25" s="42">
        <v>9.6986425028941063</v>
      </c>
      <c r="Z25" s="41">
        <v>3287.2750225470977</v>
      </c>
      <c r="AA25" s="42">
        <v>6.1914144937234754</v>
      </c>
      <c r="AB25" s="41">
        <v>3281.8285734349911</v>
      </c>
      <c r="AC25" s="42">
        <v>3.5193058476024293</v>
      </c>
      <c r="AD25" s="41">
        <v>3265.1970647871999</v>
      </c>
      <c r="AE25" s="42">
        <v>1.6788905845954425</v>
      </c>
      <c r="AF25" s="41">
        <v>3228.2946816571507</v>
      </c>
      <c r="AG25" s="42">
        <v>0.60670112198994486</v>
      </c>
      <c r="AH25" s="41">
        <v>3155.5290488724813</v>
      </c>
      <c r="AI25" s="42">
        <v>0.13926646481638327</v>
      </c>
      <c r="AJ25" s="41">
        <v>3023.2906353434873</v>
      </c>
      <c r="AK25" s="42">
        <v>1.5301675061886127E-2</v>
      </c>
      <c r="AL25" s="41">
        <v>2790.7943176890103</v>
      </c>
      <c r="AM25" s="42">
        <v>5.0443199011734332E-4</v>
      </c>
      <c r="AN25" s="41"/>
      <c r="AO25" s="42"/>
      <c r="AP25" s="41"/>
      <c r="AQ25" s="42"/>
      <c r="AR25" s="41"/>
      <c r="AS25" s="42"/>
      <c r="AT25" s="41"/>
      <c r="AU25" s="42"/>
      <c r="AV25" s="41"/>
      <c r="AW25" s="42"/>
    </row>
    <row r="26" spans="1:49" x14ac:dyDescent="0.2">
      <c r="A26" t="s">
        <v>27</v>
      </c>
      <c r="B26" s="33">
        <v>5036.2953101960647</v>
      </c>
      <c r="C26" s="34">
        <v>74.905331803938267</v>
      </c>
      <c r="D26" s="33">
        <v>5041.0658382207585</v>
      </c>
      <c r="E26" s="34">
        <v>70.134803779240528</v>
      </c>
      <c r="F26" s="33">
        <v>5045.8600014191234</v>
      </c>
      <c r="G26" s="34">
        <v>65.340640580891872</v>
      </c>
      <c r="H26" s="33">
        <v>5050.680234716926</v>
      </c>
      <c r="I26" s="34">
        <v>60.520407283090606</v>
      </c>
      <c r="J26" s="33">
        <v>5055.5290969400085</v>
      </c>
      <c r="K26" s="34">
        <v>55.671545059998373</v>
      </c>
      <c r="L26" s="33">
        <v>5060.4085598952961</v>
      </c>
      <c r="M26" s="34">
        <v>50.792082104708577</v>
      </c>
      <c r="N26" s="33">
        <v>5065.3201714972311</v>
      </c>
      <c r="O26" s="34">
        <v>45.8804705027745</v>
      </c>
      <c r="P26" s="33">
        <v>5070.2634778999918</v>
      </c>
      <c r="Q26" s="34">
        <v>40.93716410001344</v>
      </c>
      <c r="R26" s="33">
        <v>5075.2347103289394</v>
      </c>
      <c r="S26" s="34">
        <v>35.965931671068098</v>
      </c>
      <c r="T26" s="33">
        <v>5080.2241202240621</v>
      </c>
      <c r="U26" s="34">
        <v>30.97652177594129</v>
      </c>
      <c r="V26" s="33">
        <v>5085.2114206901397</v>
      </c>
      <c r="W26" s="34">
        <v>25.989221309866949</v>
      </c>
      <c r="X26" s="33">
        <v>5090.1583778818303</v>
      </c>
      <c r="Y26" s="34">
        <v>21.042264118177719</v>
      </c>
      <c r="Z26" s="33">
        <v>5094.9964154831514</v>
      </c>
      <c r="AA26" s="34">
        <v>16.204226516846159</v>
      </c>
      <c r="AB26" s="33">
        <v>5099.6067639311223</v>
      </c>
      <c r="AC26" s="34">
        <v>11.593878068879549</v>
      </c>
      <c r="AD26" s="33">
        <v>5103.7920700203003</v>
      </c>
      <c r="AE26" s="34">
        <v>7.4085719797077472</v>
      </c>
      <c r="AF26" s="33">
        <v>5107.2532937773594</v>
      </c>
      <c r="AG26" s="34">
        <v>3.9473482226432171</v>
      </c>
      <c r="AH26" s="33">
        <v>5109.6416751696634</v>
      </c>
      <c r="AI26" s="34">
        <v>1.5589668303388624</v>
      </c>
      <c r="AJ26" s="33">
        <v>5110.8213362381239</v>
      </c>
      <c r="AK26" s="34">
        <v>0.37930576187599663</v>
      </c>
      <c r="AL26" s="33">
        <v>5111.1579110686271</v>
      </c>
      <c r="AM26" s="34">
        <v>4.2730931375469877E-2</v>
      </c>
      <c r="AN26" s="33"/>
      <c r="AO26" s="34"/>
      <c r="AP26" s="33"/>
      <c r="AQ26" s="34"/>
      <c r="AR26" s="33"/>
      <c r="AS26" s="34"/>
      <c r="AT26" s="33"/>
      <c r="AU26" s="34"/>
      <c r="AV26" s="33"/>
      <c r="AW26" s="34"/>
    </row>
    <row r="27" spans="1:49" x14ac:dyDescent="0.2">
      <c r="A27" t="s">
        <v>2</v>
      </c>
      <c r="B27" s="35">
        <v>6425.1981590000305</v>
      </c>
      <c r="C27" s="36">
        <v>273.22915400000028</v>
      </c>
      <c r="D27" s="35">
        <v>6442.3130362162756</v>
      </c>
      <c r="E27" s="36">
        <v>256.11430383706556</v>
      </c>
      <c r="F27" s="35">
        <v>6459.5520241529957</v>
      </c>
      <c r="G27" s="36">
        <v>238.87532267883054</v>
      </c>
      <c r="H27" s="35">
        <v>6476.9244491753243</v>
      </c>
      <c r="I27" s="36">
        <v>221.50291247560762</v>
      </c>
      <c r="J27" s="35">
        <v>6494.4404013967578</v>
      </c>
      <c r="K27" s="36">
        <v>203.98696682409016</v>
      </c>
      <c r="L27" s="35">
        <v>6512.1072543428118</v>
      </c>
      <c r="M27" s="36">
        <v>186.32005862766653</v>
      </c>
      <c r="N27" s="35">
        <v>6529.9317923891122</v>
      </c>
      <c r="O27" s="36">
        <v>168.49551977883303</v>
      </c>
      <c r="P27" s="35">
        <v>6547.9130404101625</v>
      </c>
      <c r="Q27" s="36">
        <v>150.51427002442668</v>
      </c>
      <c r="R27" s="35">
        <v>6566.0379752751314</v>
      </c>
      <c r="S27" s="36">
        <v>132.3893406482685</v>
      </c>
      <c r="T27" s="35">
        <v>6584.2717310155622</v>
      </c>
      <c r="U27" s="36">
        <v>114.15558485488069</v>
      </c>
      <c r="V27" s="35">
        <v>6602.5403189239169</v>
      </c>
      <c r="W27" s="36">
        <v>95.886996538053026</v>
      </c>
      <c r="X27" s="35">
        <v>6620.7031441510726</v>
      </c>
      <c r="Y27" s="36">
        <v>77.724164392695684</v>
      </c>
      <c r="Z27" s="35">
        <v>6638.5065108130375</v>
      </c>
      <c r="AA27" s="36">
        <v>59.920819121362953</v>
      </c>
      <c r="AB27" s="35">
        <v>6655.509244217742</v>
      </c>
      <c r="AC27" s="36">
        <v>42.918065487187278</v>
      </c>
      <c r="AD27" s="35">
        <v>6670.9758635072667</v>
      </c>
      <c r="AE27" s="36">
        <v>27.451455868197883</v>
      </c>
      <c r="AF27" s="35">
        <v>6683.7892919381184</v>
      </c>
      <c r="AG27" s="36">
        <v>14.638023915545022</v>
      </c>
      <c r="AH27" s="35">
        <v>6692.6429891872067</v>
      </c>
      <c r="AI27" s="36">
        <v>5.7843199434880255</v>
      </c>
      <c r="AJ27" s="35">
        <v>6697.0195705626838</v>
      </c>
      <c r="AK27" s="36">
        <v>1.4077413230384475</v>
      </c>
      <c r="AL27" s="35">
        <v>6698.268710579001</v>
      </c>
      <c r="AM27" s="36">
        <v>0.15860227989728926</v>
      </c>
      <c r="AN27" s="35"/>
      <c r="AO27" s="36"/>
      <c r="AP27" s="35"/>
      <c r="AQ27" s="36"/>
      <c r="AR27" s="35"/>
      <c r="AS27" s="36"/>
      <c r="AT27" s="35"/>
      <c r="AU27" s="36"/>
      <c r="AV27" s="35"/>
      <c r="AW27" s="36"/>
    </row>
    <row r="28" spans="1:49" x14ac:dyDescent="0.2">
      <c r="A28" t="s">
        <v>35</v>
      </c>
      <c r="B28" s="41">
        <v>13763.097676000029</v>
      </c>
      <c r="C28" s="42">
        <v>382.36647899999997</v>
      </c>
      <c r="D28" s="41">
        <v>13787.129654126702</v>
      </c>
      <c r="E28" s="42">
        <v>358.30034210485383</v>
      </c>
      <c r="F28" s="41">
        <v>13811.25216206892</v>
      </c>
      <c r="G28" s="42">
        <v>334.07456867026008</v>
      </c>
      <c r="H28" s="41">
        <v>13835.476662169976</v>
      </c>
      <c r="I28" s="42">
        <v>309.67654690757581</v>
      </c>
      <c r="J28" s="41">
        <v>13859.815399266008</v>
      </c>
      <c r="K28" s="42">
        <v>285.09268769065415</v>
      </c>
      <c r="L28" s="41">
        <v>13884.276943907118</v>
      </c>
      <c r="M28" s="42">
        <v>260.31293612191297</v>
      </c>
      <c r="N28" s="41">
        <v>13908.868546675672</v>
      </c>
      <c r="O28" s="42">
        <v>235.32863614950506</v>
      </c>
      <c r="P28" s="41">
        <v>13933.58689139466</v>
      </c>
      <c r="Q28" s="42">
        <v>210.14164364688406</v>
      </c>
      <c r="R28" s="41">
        <v>13958.412183125271</v>
      </c>
      <c r="S28" s="42">
        <v>184.77076837303977</v>
      </c>
      <c r="T28" s="41">
        <v>13983.295068877671</v>
      </c>
      <c r="U28" s="42">
        <v>159.26537192179234</v>
      </c>
      <c r="V28" s="41">
        <v>14008.133865114854</v>
      </c>
      <c r="W28" s="42">
        <v>133.72930795322205</v>
      </c>
      <c r="X28" s="41">
        <v>14032.738291286953</v>
      </c>
      <c r="Y28" s="42">
        <v>108.35915454742062</v>
      </c>
      <c r="Z28" s="41">
        <v>14056.768476569941</v>
      </c>
      <c r="AA28" s="42">
        <v>83.508764647080611</v>
      </c>
      <c r="AB28" s="41">
        <v>14079.637614543368</v>
      </c>
      <c r="AC28" s="42">
        <v>59.792332856049306</v>
      </c>
      <c r="AD28" s="41">
        <v>14100.372685661632</v>
      </c>
      <c r="AE28" s="42">
        <v>38.232644655256067</v>
      </c>
      <c r="AF28" s="41">
        <v>14117.50191381207</v>
      </c>
      <c r="AG28" s="42">
        <v>20.381588462038817</v>
      </c>
      <c r="AH28" s="41">
        <v>14129.311897889063</v>
      </c>
      <c r="AI28" s="42">
        <v>8.0524743025402117</v>
      </c>
      <c r="AJ28" s="41">
        <v>14135.142064340296</v>
      </c>
      <c r="AK28" s="42">
        <v>1.9595705463568005</v>
      </c>
      <c r="AL28" s="41">
        <v>14136.80513598606</v>
      </c>
      <c r="AM28" s="42">
        <v>0.22076810646939515</v>
      </c>
      <c r="AN28" s="41"/>
      <c r="AO28" s="42"/>
      <c r="AP28" s="41"/>
      <c r="AQ28" s="42"/>
      <c r="AR28" s="41"/>
      <c r="AS28" s="42"/>
      <c r="AT28" s="41"/>
      <c r="AU28" s="42"/>
      <c r="AV28" s="41"/>
      <c r="AW28" s="42"/>
    </row>
    <row r="29" spans="1:49" x14ac:dyDescent="0.2">
      <c r="A29" t="s">
        <v>53</v>
      </c>
      <c r="B29" s="35">
        <v>14362.768558000025</v>
      </c>
      <c r="C29" s="36">
        <v>817.26650999999993</v>
      </c>
      <c r="D29" s="35">
        <v>14366.006295719282</v>
      </c>
      <c r="E29" s="36">
        <v>757.88122173820682</v>
      </c>
      <c r="F29" s="35">
        <v>14367.284717680523</v>
      </c>
      <c r="G29" s="36">
        <v>698.70725329588913</v>
      </c>
      <c r="H29" s="35">
        <v>14366.30797417657</v>
      </c>
      <c r="I29" s="36">
        <v>639.78966403378456</v>
      </c>
      <c r="J29" s="35">
        <v>14362.713274724198</v>
      </c>
      <c r="K29" s="36">
        <v>581.18323774907446</v>
      </c>
      <c r="L29" s="35">
        <v>14356.045369644802</v>
      </c>
      <c r="M29" s="36">
        <v>522.96389837255822</v>
      </c>
      <c r="N29" s="35">
        <v>14345.726663892852</v>
      </c>
      <c r="O29" s="36">
        <v>465.22612677014001</v>
      </c>
      <c r="P29" s="35">
        <v>14331.004401555718</v>
      </c>
      <c r="Q29" s="36">
        <v>408.1042789033819</v>
      </c>
      <c r="R29" s="35">
        <v>14310.873724314992</v>
      </c>
      <c r="S29" s="36">
        <v>351.78688115752863</v>
      </c>
      <c r="T29" s="35">
        <v>14283.954113761556</v>
      </c>
      <c r="U29" s="36">
        <v>296.54431096137</v>
      </c>
      <c r="V29" s="35">
        <v>14248.282326599257</v>
      </c>
      <c r="W29" s="36">
        <v>242.77317498021915</v>
      </c>
      <c r="X29" s="35">
        <v>14200.956516546001</v>
      </c>
      <c r="Y29" s="36">
        <v>191.06115998347704</v>
      </c>
      <c r="Z29" s="35">
        <v>14137.489720011323</v>
      </c>
      <c r="AA29" s="36">
        <v>142.28657171455029</v>
      </c>
      <c r="AB29" s="35">
        <v>14050.581287720512</v>
      </c>
      <c r="AC29" s="36">
        <v>97.75760168628571</v>
      </c>
      <c r="AD29" s="35">
        <v>13927.66833648337</v>
      </c>
      <c r="AE29" s="36">
        <v>59.367564185737173</v>
      </c>
      <c r="AF29" s="35">
        <v>13745.922055120873</v>
      </c>
      <c r="AG29" s="36">
        <v>29.58133188949332</v>
      </c>
      <c r="AH29" s="35">
        <v>13462.025999754118</v>
      </c>
      <c r="AI29" s="36">
        <v>10.63973739328128</v>
      </c>
      <c r="AJ29" s="35">
        <v>12989.767432612609</v>
      </c>
      <c r="AK29" s="36">
        <v>2.2517119575363798</v>
      </c>
      <c r="AL29" s="35">
        <v>12125.546179956425</v>
      </c>
      <c r="AM29" s="36">
        <v>0.20127810752605482</v>
      </c>
      <c r="AN29" s="35"/>
      <c r="AO29" s="36"/>
      <c r="AP29" s="35"/>
      <c r="AQ29" s="36"/>
      <c r="AR29" s="35"/>
      <c r="AS29" s="36"/>
      <c r="AT29" s="35"/>
      <c r="AU29" s="36"/>
      <c r="AV29" s="35"/>
      <c r="AW29" s="36"/>
    </row>
    <row r="30" spans="1:49" x14ac:dyDescent="0.2">
      <c r="A30" t="s">
        <v>48</v>
      </c>
      <c r="B30" s="119">
        <v>2924829.9599999995</v>
      </c>
      <c r="D30" s="119">
        <v>3006935.0010017585</v>
      </c>
      <c r="F30" s="119">
        <v>3090658.4950747918</v>
      </c>
      <c r="H30" s="119">
        <v>3176244.4109889092</v>
      </c>
      <c r="J30" s="119">
        <v>3263985.9090572568</v>
      </c>
      <c r="L30" s="119">
        <v>3354240.6661112648</v>
      </c>
      <c r="N30" s="119">
        <v>3447471.8951073377</v>
      </c>
      <c r="P30" s="119">
        <v>3544284.9366219514</v>
      </c>
      <c r="R30" s="119">
        <v>3645518.6272815419</v>
      </c>
      <c r="T30" s="119">
        <v>3752389.4727981645</v>
      </c>
      <c r="V30" s="119">
        <v>3866754.0317132897</v>
      </c>
      <c r="X30" s="119">
        <v>3991592.9491202305</v>
      </c>
      <c r="Z30" s="119">
        <v>4131935.0385058448</v>
      </c>
      <c r="AB30" s="119">
        <v>4296661.0758838654</v>
      </c>
      <c r="AD30" s="119">
        <v>4502044.4357102113</v>
      </c>
      <c r="AF30" s="119">
        <v>4778206.004225499</v>
      </c>
      <c r="AH30" s="119">
        <v>5177720.5059816502</v>
      </c>
      <c r="AJ30" s="119">
        <v>5776560.8464868814</v>
      </c>
      <c r="AL30" s="119">
        <v>6655800.8021620363</v>
      </c>
      <c r="AN30" s="119"/>
      <c r="AP30" s="119"/>
      <c r="AR30" s="119"/>
      <c r="AT30" s="119"/>
      <c r="AV30" s="119"/>
    </row>
    <row r="31" spans="1:49" x14ac:dyDescent="0.2">
      <c r="A31" t="s">
        <v>47</v>
      </c>
      <c r="B31" s="80">
        <v>1</v>
      </c>
      <c r="D31" s="80">
        <v>0.99788194945239517</v>
      </c>
      <c r="F31" s="80">
        <v>0.99534922342675092</v>
      </c>
      <c r="H31" s="80">
        <v>0.99234585601006309</v>
      </c>
      <c r="J31" s="80">
        <v>0.98880462846509753</v>
      </c>
      <c r="L31" s="80">
        <v>0.98464320438238773</v>
      </c>
      <c r="N31" s="80">
        <v>0.97976060342419247</v>
      </c>
      <c r="P31" s="80">
        <v>0.97402955191556562</v>
      </c>
      <c r="R31" s="80">
        <v>0.9672871515079341</v>
      </c>
      <c r="T31" s="80">
        <v>0.95931987778591643</v>
      </c>
      <c r="V31" s="80">
        <v>0.94983952616234069</v>
      </c>
      <c r="X31" s="80">
        <v>0.93844361510143082</v>
      </c>
      <c r="Z31" s="80">
        <v>0.92454621117684987</v>
      </c>
      <c r="AB31" s="80">
        <v>0.90725144542552882</v>
      </c>
      <c r="AD31" s="80">
        <v>0.8851102687462189</v>
      </c>
      <c r="AF31" s="80">
        <v>0.85563912056876235</v>
      </c>
      <c r="AH31" s="80">
        <v>0.81436581913806816</v>
      </c>
      <c r="AJ31" s="80">
        <v>0.75290138954358221</v>
      </c>
      <c r="AL31" s="80">
        <v>0.65386187728702505</v>
      </c>
      <c r="AN31" s="80"/>
      <c r="AP31" s="80"/>
      <c r="AR31" s="80"/>
      <c r="AT31" s="80"/>
      <c r="AV31" s="80"/>
    </row>
    <row r="32" spans="1:49" x14ac:dyDescent="0.2">
      <c r="A32" t="s">
        <v>64</v>
      </c>
      <c r="B32" s="86">
        <v>14734457.915000005</v>
      </c>
      <c r="D32" s="86">
        <v>14737768.566988807</v>
      </c>
      <c r="F32" s="86">
        <v>14738540.77713339</v>
      </c>
      <c r="H32" s="86">
        <v>14736392.268254217</v>
      </c>
      <c r="J32" s="86">
        <v>14730863.088676637</v>
      </c>
      <c r="L32" s="86">
        <v>14721393.251031399</v>
      </c>
      <c r="N32" s="86">
        <v>14707310.378173603</v>
      </c>
      <c r="P32" s="86">
        <v>14687798.196000408</v>
      </c>
      <c r="R32" s="86">
        <v>14661872.356959561</v>
      </c>
      <c r="T32" s="86">
        <v>14628353.067280564</v>
      </c>
      <c r="V32" s="86">
        <v>14585838.327917825</v>
      </c>
      <c r="X32" s="86">
        <v>14532692.053207388</v>
      </c>
      <c r="Z32" s="86">
        <v>14467054.052979045</v>
      </c>
      <c r="AB32" s="86">
        <v>14386869.012727041</v>
      </c>
      <c r="AD32" s="86">
        <v>14289761.138945341</v>
      </c>
      <c r="AF32" s="86">
        <v>14171648.172611622</v>
      </c>
      <c r="AH32" s="86">
        <v>14018598.913522638</v>
      </c>
      <c r="AJ32" s="86">
        <v>13772797.014260415</v>
      </c>
      <c r="AL32" s="86">
        <v>13224879.402135801</v>
      </c>
      <c r="AN32" s="86"/>
      <c r="AP32" s="86"/>
      <c r="AR32" s="86"/>
      <c r="AT32" s="86"/>
      <c r="AV32" s="86"/>
    </row>
    <row r="33" spans="1:49 16319:16321" x14ac:dyDescent="0.2">
      <c r="A33" t="s">
        <v>54</v>
      </c>
      <c r="B33" s="117">
        <v>7019665.6909999885</v>
      </c>
      <c r="D33" s="117">
        <v>7021243.1365714325</v>
      </c>
      <c r="F33" s="117">
        <v>7021611.0552351102</v>
      </c>
      <c r="H33" s="117">
        <v>7020587.5520555414</v>
      </c>
      <c r="J33" s="117">
        <v>7017953.7846559901</v>
      </c>
      <c r="L33" s="117">
        <v>7013441.5475377012</v>
      </c>
      <c r="N33" s="117">
        <v>7006732.3163267318</v>
      </c>
      <c r="P33" s="117">
        <v>6997436.4997028578</v>
      </c>
      <c r="R33" s="117">
        <v>6985085.1472259881</v>
      </c>
      <c r="T33" s="117">
        <v>6969116.1771259038</v>
      </c>
      <c r="V33" s="117">
        <v>6948861.6597975194</v>
      </c>
      <c r="X33" s="117">
        <v>6923542.1135702468</v>
      </c>
      <c r="Z33" s="117">
        <v>6892271.4357066415</v>
      </c>
      <c r="AB33" s="117">
        <v>6854070.3490354456</v>
      </c>
      <c r="AD33" s="117">
        <v>6807807.0102736019</v>
      </c>
      <c r="AF33" s="117">
        <v>6751536.6367804194</v>
      </c>
      <c r="AH33" s="117">
        <v>6678622.2109311083</v>
      </c>
      <c r="AJ33" s="117">
        <v>6561519.3467378663</v>
      </c>
      <c r="AL33" s="117">
        <v>6300485.0767346146</v>
      </c>
      <c r="AN33" s="117"/>
      <c r="AP33" s="117"/>
      <c r="AR33" s="117"/>
      <c r="AT33" s="117"/>
      <c r="AV33" s="117"/>
    </row>
    <row r="34" spans="1:49 16319:16321" x14ac:dyDescent="0.2">
      <c r="A34" t="s">
        <v>75</v>
      </c>
      <c r="B34" s="117">
        <v>1136879.4410000162</v>
      </c>
      <c r="D34" s="117">
        <v>1137134.6691906156</v>
      </c>
      <c r="F34" s="117">
        <v>1137194.2220717068</v>
      </c>
      <c r="H34" s="117">
        <v>1137028.3756875582</v>
      </c>
      <c r="J34" s="117">
        <v>1136601.3644649661</v>
      </c>
      <c r="L34" s="117">
        <v>1135871.386485714</v>
      </c>
      <c r="N34" s="117">
        <v>1134784.7704235318</v>
      </c>
      <c r="P34" s="117">
        <v>1133279.2402374782</v>
      </c>
      <c r="R34" s="117">
        <v>1131278.8407070916</v>
      </c>
      <c r="T34" s="117">
        <v>1128692.5575040122</v>
      </c>
      <c r="V34" s="117">
        <v>1125412.2157060187</v>
      </c>
      <c r="X34" s="117">
        <v>1121311.6101728692</v>
      </c>
      <c r="Z34" s="117">
        <v>1116247.0985211809</v>
      </c>
      <c r="AB34" s="117">
        <v>1110060.2005583323</v>
      </c>
      <c r="AD34" s="117">
        <v>1102567.5909626298</v>
      </c>
      <c r="AF34" s="117">
        <v>1093454.2397949037</v>
      </c>
      <c r="AH34" s="117">
        <v>1081645.2780402498</v>
      </c>
      <c r="AJ34" s="117">
        <v>1062679.7306044789</v>
      </c>
      <c r="AL34" s="117">
        <v>1020403.5729219066</v>
      </c>
      <c r="AN34" s="117"/>
      <c r="AP34" s="117"/>
      <c r="AR34" s="117"/>
      <c r="AT34" s="117"/>
      <c r="AV34" s="117"/>
    </row>
    <row r="35" spans="1:49 16319:16321" x14ac:dyDescent="0.2">
      <c r="A35" t="s">
        <v>78</v>
      </c>
      <c r="B35" s="233">
        <v>1</v>
      </c>
      <c r="D35" s="233">
        <v>1.002348970041957</v>
      </c>
      <c r="F35" s="233">
        <v>1.0049617073048327</v>
      </c>
      <c r="H35" s="233">
        <v>1.0078855513318556</v>
      </c>
      <c r="J35" s="233">
        <v>1.0111804635412949</v>
      </c>
      <c r="L35" s="233">
        <v>1.0149238571977586</v>
      </c>
      <c r="N35" s="233">
        <v>1.0192180872955863</v>
      </c>
      <c r="P35" s="233">
        <v>1.0242014980145071</v>
      </c>
      <c r="R35" s="233">
        <v>1.030066777118696</v>
      </c>
      <c r="T35" s="233">
        <v>1.0370910847816075</v>
      </c>
      <c r="V35" s="233">
        <v>1.0456884206715851</v>
      </c>
      <c r="X35" s="233">
        <v>1.0565046231875739</v>
      </c>
      <c r="Z35" s="233">
        <v>1.0705994226689293</v>
      </c>
      <c r="AB35" s="233">
        <v>1.0898159616272538</v>
      </c>
      <c r="AD35" s="233">
        <v>1.117577575100916</v>
      </c>
      <c r="AF35" s="233">
        <v>1.1606894873290998</v>
      </c>
      <c r="AH35" s="233">
        <v>1.2335135986301107</v>
      </c>
      <c r="AJ35" s="233">
        <v>1.3682181197247092</v>
      </c>
      <c r="AL35" s="233">
        <v>1.6491493293444948</v>
      </c>
      <c r="AN35" s="233"/>
      <c r="AP35" s="233"/>
      <c r="AR35" s="233"/>
      <c r="AT35" s="233"/>
      <c r="AV35" s="233"/>
    </row>
    <row r="36" spans="1:49 16319:16321" x14ac:dyDescent="0.2">
      <c r="A36" t="s">
        <v>21</v>
      </c>
      <c r="B36" s="37">
        <v>0.47195767671988198</v>
      </c>
      <c r="C36" s="38">
        <v>0.31738834428178964</v>
      </c>
      <c r="D36" s="37">
        <v>0.47198014435060365</v>
      </c>
      <c r="E36" s="38">
        <v>0.31986972263791319</v>
      </c>
      <c r="F36" s="37">
        <v>0.47200378529982123</v>
      </c>
      <c r="G36" s="38">
        <v>0.32261259387419716</v>
      </c>
      <c r="H36" s="37">
        <v>0.47202877069139065</v>
      </c>
      <c r="I36" s="38">
        <v>0.32565726907963732</v>
      </c>
      <c r="J36" s="37">
        <v>0.47205530303476034</v>
      </c>
      <c r="K36" s="38">
        <v>0.32905293471711833</v>
      </c>
      <c r="L36" s="37">
        <v>0.47208361211614502</v>
      </c>
      <c r="M36" s="38">
        <v>0.33286035333980563</v>
      </c>
      <c r="N36" s="37">
        <v>0.47211397575871206</v>
      </c>
      <c r="O36" s="38">
        <v>0.33715600013806474</v>
      </c>
      <c r="P36" s="37">
        <v>0.47214668692610789</v>
      </c>
      <c r="Q36" s="38">
        <v>0.34203759637144981</v>
      </c>
      <c r="R36" s="37">
        <v>0.47218204730558538</v>
      </c>
      <c r="S36" s="38">
        <v>0.34763310965874339</v>
      </c>
      <c r="T36" s="37">
        <v>0.47222031428110506</v>
      </c>
      <c r="U36" s="38">
        <v>0.35411468428361764</v>
      </c>
      <c r="V36" s="37">
        <v>0.47226159385149691</v>
      </c>
      <c r="W36" s="38">
        <v>0.36172177109214626</v>
      </c>
      <c r="X36" s="37">
        <v>0.47230561966789059</v>
      </c>
      <c r="Y36" s="38">
        <v>0.37080107025693509</v>
      </c>
      <c r="Z36" s="37">
        <v>0.47235130711087076</v>
      </c>
      <c r="AA36" s="38">
        <v>0.38187931090775573</v>
      </c>
      <c r="AB36" s="37">
        <v>0.47239585748124435</v>
      </c>
      <c r="AC36" s="38">
        <v>0.39580281533005213</v>
      </c>
      <c r="AD36" s="37">
        <v>0.47243311244431435</v>
      </c>
      <c r="AE36" s="38">
        <v>0.41401917820537343</v>
      </c>
      <c r="AF36" s="37">
        <v>0.47245109997796703</v>
      </c>
      <c r="AG36" s="38">
        <v>0.43916170577345115</v>
      </c>
      <c r="AH36" s="37">
        <v>0.47243149776878623</v>
      </c>
      <c r="AI36" s="38">
        <v>0.47625122890846189</v>
      </c>
      <c r="AJ36" s="37">
        <v>0.47236067437828272</v>
      </c>
      <c r="AK36" s="38">
        <v>0.53521151581410864</v>
      </c>
      <c r="AL36" s="37">
        <v>0.47225343991852026</v>
      </c>
      <c r="AM36" s="38">
        <v>0.63833088663382409</v>
      </c>
      <c r="AN36" s="37"/>
      <c r="AO36" s="38"/>
      <c r="AP36" s="37"/>
      <c r="AQ36" s="38"/>
      <c r="AR36" s="37"/>
      <c r="AS36" s="38"/>
      <c r="AT36" s="37"/>
      <c r="AU36" s="38"/>
      <c r="AV36" s="37"/>
      <c r="AW36" s="38"/>
    </row>
    <row r="37" spans="1:49 16319:16321" x14ac:dyDescent="0.2">
      <c r="B37" s="39">
        <v>2.1403217525954466E-2</v>
      </c>
      <c r="C37" s="40">
        <v>0.3496246130199252</v>
      </c>
      <c r="D37" s="39">
        <v>2.0681705427045366E-2</v>
      </c>
      <c r="E37" s="40">
        <v>0.34522349113899597</v>
      </c>
      <c r="F37" s="39">
        <v>1.9948427732551937E-2</v>
      </c>
      <c r="G37" s="40">
        <v>0.34072593476714447</v>
      </c>
      <c r="H37" s="39">
        <v>1.9202663571491769E-2</v>
      </c>
      <c r="I37" s="40">
        <v>0.33612699663303763</v>
      </c>
      <c r="J37" s="39">
        <v>1.8443575567578203E-2</v>
      </c>
      <c r="K37" s="40">
        <v>0.33142118161826384</v>
      </c>
      <c r="L37" s="39">
        <v>1.76701702975482E-2</v>
      </c>
      <c r="M37" s="40">
        <v>0.32660226893540384</v>
      </c>
      <c r="N37" s="39">
        <v>1.6881183163333122E-2</v>
      </c>
      <c r="O37" s="40">
        <v>0.32166267422543099</v>
      </c>
      <c r="P37" s="39">
        <v>1.6075020040269616E-2</v>
      </c>
      <c r="Q37" s="40">
        <v>0.31659319353452409</v>
      </c>
      <c r="R37" s="39">
        <v>1.5249552494653925E-2</v>
      </c>
      <c r="S37" s="40">
        <v>0.31138186862690642</v>
      </c>
      <c r="T37" s="39">
        <v>1.4401864764804879E-2</v>
      </c>
      <c r="U37" s="40">
        <v>0.30601260708822126</v>
      </c>
      <c r="V37" s="39">
        <v>1.3527841158527114E-2</v>
      </c>
      <c r="W37" s="40">
        <v>0.30046290655715535</v>
      </c>
      <c r="X37" s="39">
        <v>1.2621538519912741E-2</v>
      </c>
      <c r="Y37" s="40">
        <v>0.29470044099977055</v>
      </c>
      <c r="Z37" s="39">
        <v>1.1674221284751034E-2</v>
      </c>
      <c r="AA37" s="40">
        <v>0.28867798267875633</v>
      </c>
      <c r="AB37" s="39">
        <v>1.0672982069701071E-2</v>
      </c>
      <c r="AC37" s="40">
        <v>0.28232677152742336</v>
      </c>
      <c r="AD37" s="39">
        <v>9.5991164320703669E-3</v>
      </c>
      <c r="AE37" s="40">
        <v>0.27555090094902035</v>
      </c>
      <c r="AF37" s="39">
        <v>8.4278689229417367E-3</v>
      </c>
      <c r="AG37" s="40">
        <v>0.26823649406312883</v>
      </c>
      <c r="AH37" s="39">
        <v>7.1351145253965966E-3</v>
      </c>
      <c r="AI37" s="40">
        <v>0.2603173818290635</v>
      </c>
      <c r="AJ37" s="39">
        <v>5.7177356396904324E-3</v>
      </c>
      <c r="AK37" s="40">
        <v>0.25194223333279164</v>
      </c>
      <c r="AL37" s="39">
        <v>4.2048242771617348E-3</v>
      </c>
      <c r="AM37" s="40">
        <v>0.24358341048999257</v>
      </c>
      <c r="AN37" s="39"/>
      <c r="AO37" s="40"/>
      <c r="AP37" s="39"/>
      <c r="AQ37" s="40"/>
      <c r="AR37" s="39"/>
      <c r="AS37" s="40"/>
      <c r="AT37" s="39"/>
      <c r="AU37" s="40"/>
      <c r="AV37" s="39"/>
      <c r="AW37" s="40"/>
    </row>
    <row r="38" spans="1:49 16319:16321" x14ac:dyDescent="0.2">
      <c r="A38" t="s">
        <v>22</v>
      </c>
      <c r="B38" s="37">
        <v>0.18079094942242827</v>
      </c>
      <c r="C38" s="38">
        <v>6.0565413429233668E-2</v>
      </c>
      <c r="D38" s="37">
        <v>0.18091340675204423</v>
      </c>
      <c r="E38" s="38">
        <v>6.0922171757854311E-2</v>
      </c>
      <c r="F38" s="37">
        <v>0.18106091284784448</v>
      </c>
      <c r="G38" s="38">
        <v>6.1316958754731074E-2</v>
      </c>
      <c r="H38" s="37">
        <v>0.18123727871608225</v>
      </c>
      <c r="I38" s="38">
        <v>6.1755806872688952E-2</v>
      </c>
      <c r="J38" s="37">
        <v>0.1814471945763837</v>
      </c>
      <c r="K38" s="38">
        <v>6.2246180660803507E-2</v>
      </c>
      <c r="L38" s="37">
        <v>0.18169654920913744</v>
      </c>
      <c r="M38" s="38">
        <v>6.2797226678527093E-2</v>
      </c>
      <c r="N38" s="37">
        <v>0.18199283939345565</v>
      </c>
      <c r="O38" s="38">
        <v>6.3420722852591899E-2</v>
      </c>
      <c r="P38" s="37">
        <v>0.18234584694785461</v>
      </c>
      <c r="Q38" s="38">
        <v>6.4131783451209345E-2</v>
      </c>
      <c r="R38" s="37">
        <v>0.18276865875454676</v>
      </c>
      <c r="S38" s="38">
        <v>6.4950434673661656E-2</v>
      </c>
      <c r="T38" s="37">
        <v>0.18327931511683834</v>
      </c>
      <c r="U38" s="38">
        <v>6.590406648518958E-2</v>
      </c>
      <c r="V38" s="37">
        <v>0.18390360548498577</v>
      </c>
      <c r="W38" s="38">
        <v>6.7031366662165706E-2</v>
      </c>
      <c r="X38" s="37">
        <v>0.18467997759461965</v>
      </c>
      <c r="Y38" s="38">
        <v>6.8389527124350119E-2</v>
      </c>
      <c r="Z38" s="37">
        <v>0.18566868263701627</v>
      </c>
      <c r="AA38" s="38">
        <v>7.0067523829428421E-2</v>
      </c>
      <c r="AB38" s="37">
        <v>0.18696977706651227</v>
      </c>
      <c r="AC38" s="38">
        <v>7.2212771608312395E-2</v>
      </c>
      <c r="AD38" s="37">
        <v>0.18876077258843979</v>
      </c>
      <c r="AE38" s="38">
        <v>7.508681184811368E-2</v>
      </c>
      <c r="AF38" s="37">
        <v>0.19137946944656412</v>
      </c>
      <c r="AG38" s="38">
        <v>7.9190627769246805E-2</v>
      </c>
      <c r="AH38" s="37">
        <v>0.19551432784634781</v>
      </c>
      <c r="AI38" s="38">
        <v>8.5556256201307732E-2</v>
      </c>
      <c r="AJ38" s="37">
        <v>0.20269750146896104</v>
      </c>
      <c r="AK38" s="38">
        <v>9.6527216737112023E-2</v>
      </c>
      <c r="AL38" s="37">
        <v>0.21720444089303095</v>
      </c>
      <c r="AM38" s="38">
        <v>0.11913448342338424</v>
      </c>
      <c r="AN38" s="37"/>
      <c r="AO38" s="38"/>
      <c r="AP38" s="37"/>
      <c r="AQ38" s="38"/>
      <c r="AR38" s="37"/>
      <c r="AS38" s="38"/>
      <c r="AT38" s="37"/>
      <c r="AU38" s="38"/>
      <c r="AV38" s="37"/>
      <c r="AW38" s="38"/>
    </row>
    <row r="39" spans="1:49 16319:16321" x14ac:dyDescent="0.2">
      <c r="A39" t="s">
        <v>23</v>
      </c>
      <c r="B39" s="39">
        <v>0.23064923795098732</v>
      </c>
      <c r="C39" s="40">
        <v>0.22092201281804777</v>
      </c>
      <c r="D39" s="39">
        <v>0.23120126500001337</v>
      </c>
      <c r="E39" s="40">
        <v>0.22247213604700206</v>
      </c>
      <c r="F39" s="39">
        <v>0.23178851291005825</v>
      </c>
      <c r="G39" s="40">
        <v>0.2241653613739488</v>
      </c>
      <c r="H39" s="39">
        <v>0.23241625030019084</v>
      </c>
      <c r="I39" s="40">
        <v>0.22602443867564131</v>
      </c>
      <c r="J39" s="39">
        <v>0.23309093243874737</v>
      </c>
      <c r="K39" s="40">
        <v>0.22807719052340628</v>
      </c>
      <c r="L39" s="39">
        <v>0.23382053092929747</v>
      </c>
      <c r="M39" s="40">
        <v>0.23035840374248751</v>
      </c>
      <c r="N39" s="39">
        <v>0.23461514528334712</v>
      </c>
      <c r="O39" s="40">
        <v>0.2329119022689746</v>
      </c>
      <c r="P39" s="39">
        <v>0.2354877126797795</v>
      </c>
      <c r="Q39" s="40">
        <v>0.23579426625500449</v>
      </c>
      <c r="R39" s="39">
        <v>0.23645526218326879</v>
      </c>
      <c r="S39" s="40">
        <v>0.23908028575224011</v>
      </c>
      <c r="T39" s="39">
        <v>0.2375408613568151</v>
      </c>
      <c r="U39" s="40">
        <v>0.24287159508576378</v>
      </c>
      <c r="V39" s="39">
        <v>0.23877689039039143</v>
      </c>
      <c r="W39" s="40">
        <v>0.24731161993821782</v>
      </c>
      <c r="X39" s="39">
        <v>0.24021085741368531</v>
      </c>
      <c r="Y39" s="40">
        <v>0.25261154498863114</v>
      </c>
      <c r="Z39" s="39">
        <v>0.24191631515073989</v>
      </c>
      <c r="AA39" s="40">
        <v>0.25909927988849951</v>
      </c>
      <c r="AB39" s="39">
        <v>0.2440147127533126</v>
      </c>
      <c r="AC39" s="40">
        <v>0.26731628903497384</v>
      </c>
      <c r="AD39" s="39">
        <v>0.24672215102788414</v>
      </c>
      <c r="AE39" s="40">
        <v>0.2782239691235992</v>
      </c>
      <c r="AF39" s="39">
        <v>0.25045557269349428</v>
      </c>
      <c r="AG39" s="40">
        <v>0.29366405946244101</v>
      </c>
      <c r="AH39" s="39">
        <v>0.25608597994360544</v>
      </c>
      <c r="AI39" s="40">
        <v>0.31744405936322939</v>
      </c>
      <c r="AJ39" s="39">
        <v>0.26560684573665228</v>
      </c>
      <c r="AK39" s="40">
        <v>0.35824752866038706</v>
      </c>
      <c r="AL39" s="39">
        <v>0.28465051081319653</v>
      </c>
      <c r="AM39" s="40">
        <v>0.44218555685826733</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0.1080000000000008</v>
      </c>
      <c r="E42" s="135"/>
      <c r="F42" s="177">
        <f>10.8%+(1-10.8%)*(1-SUM(F26:G26)/SUM($B$26:$C$26))</f>
        <v>0.10799999999999803</v>
      </c>
      <c r="G42" s="135"/>
      <c r="H42" s="177">
        <f>10.8%+(1-10.8%)*(1-SUM(H26:I26)/SUM($B$26:$C$26))</f>
        <v>0.10799999999999783</v>
      </c>
      <c r="I42" s="135"/>
      <c r="J42" s="177">
        <f>10.8%+(1-10.8%)*(1-SUM(J26:K26)/SUM($B$26:$C$26))</f>
        <v>0.10799999999999942</v>
      </c>
      <c r="K42" s="135"/>
      <c r="L42" s="177">
        <f>10.8%+(1-10.8%)*(1-SUM(L26:M26)/SUM($B$26:$C$26))</f>
        <v>0.10799999999999982</v>
      </c>
      <c r="M42" s="135"/>
      <c r="N42" s="177">
        <f>10.8%+(1-10.8%)*(1-SUM(N26:O26)/SUM($B$26:$C$26))</f>
        <v>0.10799999999999961</v>
      </c>
      <c r="O42" s="135"/>
      <c r="P42" s="177">
        <f>10.8%+(1-10.8%)*(1-SUM(P26:Q26)/SUM($B$26:$C$26))</f>
        <v>0.10799999999999961</v>
      </c>
      <c r="Q42" s="135"/>
      <c r="R42" s="177">
        <f>10.8%+(1-10.8%)*(1-SUM(R26:S26)/SUM($B$26:$C$26))</f>
        <v>0.10799999999999942</v>
      </c>
      <c r="S42" s="135"/>
      <c r="T42" s="177">
        <f>10.8%+(1-10.8%)*(1-SUM(T26:U26)/SUM($B$26:$C$26))</f>
        <v>0.10800000000000001</v>
      </c>
      <c r="U42" s="135"/>
      <c r="V42" s="177">
        <f>10.8%+(1-10.8%)*(1-SUM(V26:W26)/SUM($B$26:$C$26))</f>
        <v>0.10799999999999942</v>
      </c>
      <c r="W42" s="135"/>
      <c r="X42" s="177">
        <f>10.8%+(1-10.8%)*(1-SUM(X26:Y26)/SUM($B$26:$C$26))</f>
        <v>0.10799999999999922</v>
      </c>
      <c r="Y42" s="162"/>
      <c r="Z42" s="177">
        <f>10.8%+(1-10.8%)*(1-SUM(Z26:AA26)/SUM($B$26:$C$26))</f>
        <v>0.108000000000001</v>
      </c>
      <c r="AA42" s="135"/>
      <c r="AB42" s="177">
        <f>10.8%+(1-10.8%)*(1-SUM(AB26:AC26)/SUM($B$26:$C$26))</f>
        <v>0.1080000000000003</v>
      </c>
      <c r="AC42" s="135"/>
      <c r="AD42" s="177">
        <f>10.8%+(1-10.8%)*(1-SUM(AD26:AE26)/SUM($B$26:$C$26))</f>
        <v>0.10799999999999922</v>
      </c>
      <c r="AE42" s="135"/>
      <c r="AF42" s="177">
        <f>10.8%+(1-10.8%)*(1-SUM(AF26:AG26)/SUM($B$26:$C$26))</f>
        <v>0.10800000000000021</v>
      </c>
      <c r="AG42" s="135"/>
      <c r="AH42" s="177">
        <f>10.8%+(1-10.8%)*(1-SUM(AH26:AI26)/SUM($B$26:$C$26))</f>
        <v>0.10800000000000021</v>
      </c>
      <c r="AI42" s="135"/>
      <c r="AJ42" s="177">
        <f>10.8%+(1-10.8%)*(1-SUM(AJ26:AK26)/SUM($B$26:$C$26))</f>
        <v>0.10800000000000061</v>
      </c>
      <c r="AK42" s="135"/>
      <c r="AL42" s="177">
        <f>10.8%+(1-10.8%)*(1-SUM(AL26:AM26)/SUM($B$26:$C$26))</f>
        <v>0.10800000000000021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0.56142928339086406</v>
      </c>
      <c r="E43" s="135"/>
      <c r="F43" s="162">
        <f t="array" ref="F43">SUM(F15:G15*F27:G27)/SUM(F15:G15*F27:G27,F13:G13*F26:G26)</f>
        <v>0.55542435687717917</v>
      </c>
      <c r="G43" s="135"/>
      <c r="H43" s="162">
        <f t="array" ref="H43">SUM(H15:I15*H27:I27)/SUM(H15:I15*H27:I27,H13:I13*H26:I26)</f>
        <v>0.54915029781784019</v>
      </c>
      <c r="I43" s="135"/>
      <c r="J43" s="162">
        <f t="array" ref="J43">SUM(J15:K15*J27:K27)/SUM(J15:K15*J27:K27,J13:K13*J26:K26)</f>
        <v>0.5425636019753648</v>
      </c>
      <c r="K43" s="135"/>
      <c r="L43" s="162">
        <f t="array" ref="L43">SUM(L15:M15*L27:M27)/SUM(L15:M15*L27:M27,L13:M13*L26:M26)</f>
        <v>0.53560999715027491</v>
      </c>
      <c r="M43" s="135"/>
      <c r="N43" s="162">
        <f t="array" ref="N43">SUM(N15:O15*N27:O27)/SUM(N15:O15*N27:O27,N13:O13*N26:O26)</f>
        <v>0.52821998955745653</v>
      </c>
      <c r="O43" s="135"/>
      <c r="P43" s="162">
        <f t="array" ref="P43">SUM(P15:Q15*P27:Q27)/SUM(P15:Q15*P27:Q27,P13:Q13*P26:Q26)</f>
        <v>0.52030257944499403</v>
      </c>
      <c r="Q43" s="135"/>
      <c r="R43" s="162">
        <f t="array" ref="R43">SUM(R15:S15*R27:S27)/SUM(R15:S15*R27:S27,R13:S13*R26:S26)</f>
        <v>0.51173442091286347</v>
      </c>
      <c r="S43" s="135"/>
      <c r="T43" s="162">
        <f t="array" ref="T43">SUM(T15:U15*T27:U27)/SUM(T15:U15*T27:U27,T13:U13*T26:U26)</f>
        <v>0.5023419823444023</v>
      </c>
      <c r="U43" s="135"/>
      <c r="V43" s="162">
        <f t="array" ref="V43">SUM(V15:W15*V27:W27)/SUM(V15:W15*V27:W27,V13:W13*V26:W26)</f>
        <v>0.49186971074431635</v>
      </c>
      <c r="W43" s="135"/>
      <c r="X43" s="162">
        <f t="array" ref="X43">SUM(X15:Y15*X27:Y27)/SUM(X15:Y15*X27:Y27,X13:Y13*X26:Y26)</f>
        <v>0.47992153871765608</v>
      </c>
      <c r="Y43" s="135"/>
      <c r="Z43" s="162">
        <f t="array" ref="Z43">SUM(Z15:AA15*Z27:AA27)/SUM(Z15:AA15*Z27:AA27,Z13:AA13*Z26:AA26)</f>
        <v>0.46584677357396209</v>
      </c>
      <c r="AA43" s="135"/>
      <c r="AB43" s="162">
        <f t="array" ref="AB43">SUM(AB15:AC15*AB27:AC27)/SUM(AB15:AC15*AB27:AC27,AB13:AC13*AB26:AC26)</f>
        <v>0.44850534416857629</v>
      </c>
      <c r="AC43" s="135"/>
      <c r="AD43" s="162">
        <f t="array" ref="AD43">SUM(AD15:AE15*AD27:AE27)/SUM(AD15:AE15*AD27:AE27,AD13:AE13*AD26:AE26)</f>
        <v>0.4257576626821854</v>
      </c>
      <c r="AE43" s="135"/>
      <c r="AF43" s="162">
        <f t="array" ref="AF43">SUM(AF15:AG15*AF27:AG27)/SUM(AF15:AG15*AF27:AG27,AF13:AG13*AF26:AG26)</f>
        <v>0.39330845056790825</v>
      </c>
      <c r="AG43" s="135"/>
      <c r="AH43" s="162">
        <f t="array" ref="AH43">SUM(AH15:AI15*AH27:AI27)/SUM(AH15:AI15*AH27:AI27,AH13:AI13*AH26:AI26)</f>
        <v>0.34202077537805159</v>
      </c>
      <c r="AI43" s="135"/>
      <c r="AJ43" s="162">
        <f t="array" ref="AJ43">SUM(AJ15:AK15*AJ27:AK27)/SUM(AJ15:AK15*AJ27:AK27,AJ13:AK13*AJ26:AK26)</f>
        <v>0.25091194260179289</v>
      </c>
      <c r="AK43" s="135"/>
      <c r="AL43" s="162">
        <f t="array" ref="AL43">SUM(AL15:AM15*AL27:AM27)/SUM(AL15:AM15*AL27:AM27,AL13:AM13*AL26:AM26)</f>
        <v>5.7178378393489146E-2</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0.297542247469057</v>
      </c>
      <c r="F44" s="193">
        <f>(SUM(F11:G11*F24:G24)+F34)/F32</f>
        <v>0.29754224551273423</v>
      </c>
      <c r="H44" s="193">
        <f>(SUM(H11:I11*H24:I24)+H34)/H32</f>
        <v>0.29754224067670798</v>
      </c>
      <c r="J44" s="193">
        <f>(SUM(J11:K11*J24:K24)+J34)/J32</f>
        <v>0.29754221368307271</v>
      </c>
      <c r="L44" s="193">
        <f>(SUM(L11:M11*L24:M24)+L34)/L32</f>
        <v>0.29754226101465125</v>
      </c>
      <c r="N44" s="193">
        <f>(SUM(N11:O11*N24:O24)+N34)/N32</f>
        <v>0.29754226020850344</v>
      </c>
      <c r="P44" s="193">
        <f>(SUM(P11:Q11*P24:Q24)+P34)/P32</f>
        <v>0.29754225938871498</v>
      </c>
      <c r="R44" s="193">
        <f>(SUM(R11:S11*R24:S24)+R34)/R32</f>
        <v>0.29754225827535885</v>
      </c>
      <c r="T44" s="193">
        <f>(SUM(T11:U11*T24:U24)+T34)/T32</f>
        <v>0.2975422578501295</v>
      </c>
      <c r="V44" s="193">
        <f>(SUM(V11:W11*V24:W24)+V34)/V32</f>
        <v>0.29754225819145624</v>
      </c>
      <c r="X44" s="193">
        <f>(SUM(X11:Y11*X24:Y24)+X34)/X32</f>
        <v>0.29754226148015711</v>
      </c>
      <c r="Z44" s="193">
        <f>(SUM(Z11:AA11*Z24:AA24)+Z34)/Z32</f>
        <v>0.29754225992414257</v>
      </c>
      <c r="AB44" s="193">
        <f>(SUM(AB11:AC11*AB24:AC24)+AB34)/AB32</f>
        <v>0.29754226051632793</v>
      </c>
      <c r="AD44" s="193">
        <f>(SUM(AD11:AE11*AD24:AE24)+AD34)/AD32</f>
        <v>0.29754226244503462</v>
      </c>
      <c r="AF44" s="193">
        <f>(SUM(AF11:AG11*AF24:AG24)+AF34)/AF32</f>
        <v>0.29754226203125606</v>
      </c>
      <c r="AH44" s="193">
        <f>(SUM(AH11:AI11*AH24:AI24)+AH34)/AH32</f>
        <v>0.29754226157759683</v>
      </c>
      <c r="AJ44" s="193">
        <f>(SUM(AJ11:AK11*AJ24:AK24)+AJ34)/AJ32</f>
        <v>0.29754226189274868</v>
      </c>
      <c r="AL44" s="193">
        <f>(SUM(AL11:AM11*AL24:AM24)+AL34)/AL32</f>
        <v>0.29754226190453253</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0.22038438846062547</v>
      </c>
      <c r="F45" s="193">
        <f>SUM(F11:G11*F24:G24)/F32</f>
        <v>0.22038438848552802</v>
      </c>
      <c r="H45" s="193">
        <f>SUM(H11:I11*H24:I24)/H32</f>
        <v>0.22038438853829859</v>
      </c>
      <c r="J45" s="193">
        <f>SUM(J11:K11*J24:K24)/J32</f>
        <v>0.22038438812846198</v>
      </c>
      <c r="L45" s="193">
        <f>SUM(L11:M11*L24:M24)/L32</f>
        <v>0.22038438831084767</v>
      </c>
      <c r="N45" s="193">
        <f>SUM(N11:O11*N24:O24)/N32</f>
        <v>0.22038438829008589</v>
      </c>
      <c r="P45" s="193">
        <f>SUM(P11:Q11*P24:Q24)/P32</f>
        <v>0.22038438826912954</v>
      </c>
      <c r="R45" s="193">
        <f>SUM(R11:S11*R24:S24)/R32</f>
        <v>0.22038438831408433</v>
      </c>
      <c r="T45" s="193">
        <f>SUM(T11:U11*T24:U24)/T32</f>
        <v>0.22038438831329324</v>
      </c>
      <c r="V45" s="193">
        <f>SUM(V11:W11*V24:W24)/V32</f>
        <v>0.22038438831763907</v>
      </c>
      <c r="X45" s="193">
        <f>SUM(X11:Y11*X24:Y24)/X32</f>
        <v>0.22038438831615548</v>
      </c>
      <c r="Z45" s="193">
        <f>SUM(Z11:AA11*Z24:AA24)/Z32</f>
        <v>0.22038438836069704</v>
      </c>
      <c r="AB45" s="193">
        <f>SUM(AB11:AC11*AB24:AC24)/AB32</f>
        <v>0.22038438832215271</v>
      </c>
      <c r="AD45" s="193">
        <f>SUM(AD11:AE11*AD24:AE24)/AD32</f>
        <v>0.22038438833909943</v>
      </c>
      <c r="AF45" s="193">
        <f>SUM(AF11:AG11*AF24:AG24)/AF32</f>
        <v>0.22038438833325302</v>
      </c>
      <c r="AH45" s="193">
        <f>SUM(AH11:AI11*AH24:AI24)/AH32</f>
        <v>0.220384388332727</v>
      </c>
      <c r="AJ45" s="193">
        <f>SUM(AJ11:AK11*AJ24:AK24)/AJ32</f>
        <v>0.22038438833197696</v>
      </c>
      <c r="AL45" s="193">
        <f>SUM(AL11:AM11*AL24:AM24)/AL32</f>
        <v>0.22038438833200585</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7.7157859008431487E-2</v>
      </c>
      <c r="F46" s="193">
        <f>F34/F32</f>
        <v>7.7157857027206206E-2</v>
      </c>
      <c r="H46" s="193">
        <f>H34/H32</f>
        <v>7.7157852138409394E-2</v>
      </c>
      <c r="J46" s="193">
        <f>J34/J32</f>
        <v>7.7157825554610732E-2</v>
      </c>
      <c r="L46" s="193">
        <f>L34/L32</f>
        <v>7.7157872703803587E-2</v>
      </c>
      <c r="N46" s="193">
        <f>N34/N32</f>
        <v>7.7157871918417539E-2</v>
      </c>
      <c r="P46" s="193">
        <f>P34/P32</f>
        <v>7.7157871119585386E-2</v>
      </c>
      <c r="R46" s="193">
        <f>R34/R32</f>
        <v>7.7157869961274536E-2</v>
      </c>
      <c r="T46" s="193">
        <f>T34/T32</f>
        <v>7.715786953683626E-2</v>
      </c>
      <c r="V46" s="193">
        <f>V34/V32</f>
        <v>7.7157869873817175E-2</v>
      </c>
      <c r="X46" s="193">
        <f>X34/X32</f>
        <v>7.7157873164001564E-2</v>
      </c>
      <c r="Z46" s="193">
        <f>Z34/Z32</f>
        <v>7.7157871563445515E-2</v>
      </c>
      <c r="AB46" s="193">
        <f>AB34/AB32</f>
        <v>7.7157872194175178E-2</v>
      </c>
      <c r="AD46" s="193">
        <f>AD34/AD32</f>
        <v>7.7157874105935192E-2</v>
      </c>
      <c r="AF46" s="193">
        <f>AF34/AF32</f>
        <v>7.7157873698003074E-2</v>
      </c>
      <c r="AH46" s="193">
        <f>AH34/AH32</f>
        <v>7.7157873244869848E-2</v>
      </c>
      <c r="AJ46" s="193">
        <f>AJ34/AJ32</f>
        <v>7.7157873560771681E-2</v>
      </c>
      <c r="AL46" s="193">
        <f>AL34/AL32</f>
        <v>7.7157873572526695E-2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1.0016642243570142</v>
      </c>
      <c r="E48" s="191"/>
      <c r="F48" s="191">
        <f>F24/$B$24</f>
        <v>1.0032138816352212</v>
      </c>
      <c r="G48" s="191"/>
      <c r="H48" s="191">
        <f>H24/$B$24</f>
        <v>1.0046307402583941</v>
      </c>
      <c r="I48" s="191"/>
      <c r="J48" s="191">
        <f>J24/$B$24</f>
        <v>1.0058924739188808</v>
      </c>
      <c r="K48" s="191"/>
      <c r="L48" s="191">
        <f>L24/$B$24</f>
        <v>1.0069710180288982</v>
      </c>
      <c r="M48" s="191"/>
      <c r="N48" s="191">
        <f>N24/$B$24</f>
        <v>1.0078315165500655</v>
      </c>
      <c r="O48" s="191"/>
      <c r="P48" s="191">
        <f>P24/$B$24</f>
        <v>1.0084293443566472</v>
      </c>
      <c r="Q48" s="191"/>
      <c r="R48" s="191">
        <f>R24/$B$24</f>
        <v>1.0087069113385481</v>
      </c>
      <c r="S48" s="191"/>
      <c r="T48" s="191">
        <f>T24/$B$24</f>
        <v>1.0085886446731931</v>
      </c>
      <c r="U48" s="191"/>
      <c r="V48" s="191">
        <f>V24/$B$24</f>
        <v>1.0079731253296997</v>
      </c>
      <c r="W48" s="191"/>
      <c r="X48" s="191">
        <f>X24/$B$24</f>
        <v>1.0067207426235598</v>
      </c>
      <c r="Y48" s="191"/>
      <c r="Z48" s="191">
        <f>Z24/$B$24</f>
        <v>1.004632375987573</v>
      </c>
      <c r="AA48" s="191"/>
      <c r="AB48" s="191">
        <f>AB24/$B$24</f>
        <v>1.001409644129073</v>
      </c>
      <c r="AC48" s="191"/>
      <c r="AD48" s="191">
        <f>AD24/$B$24</f>
        <v>0.99657079202668852</v>
      </c>
      <c r="AE48" s="191"/>
      <c r="AF48" s="191">
        <f>AF24/$B$24</f>
        <v>0.98924449751138177</v>
      </c>
      <c r="AG48" s="191"/>
      <c r="AH48" s="191">
        <f>AH24/$B$24</f>
        <v>0.97757875171125175</v>
      </c>
      <c r="AI48" s="191"/>
      <c r="AJ48" s="191">
        <f>AJ24/$B$24</f>
        <v>0.95689637256517668</v>
      </c>
      <c r="AK48" s="191"/>
      <c r="AL48" s="191">
        <f>AL24/$B$24</f>
        <v>0.91351027638641935</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1.0042148655892609</v>
      </c>
      <c r="E49" s="191"/>
      <c r="F49" s="191">
        <f>F13/F35/$B$13*$B$35</f>
        <v>1.008138547495623</v>
      </c>
      <c r="G49" s="191"/>
      <c r="H49" s="191">
        <f>H13/H35/$B$13*$B$35</f>
        <v>1.0117216994672824</v>
      </c>
      <c r="I49" s="191"/>
      <c r="J49" s="191">
        <f>J13/J35/$B$13*$B$35</f>
        <v>1.0149024536744486</v>
      </c>
      <c r="K49" s="191"/>
      <c r="L49" s="191">
        <f>L13/L35/$B$13*$B$35</f>
        <v>1.017602485519419</v>
      </c>
      <c r="M49" s="191"/>
      <c r="N49" s="191">
        <f>N13/N35/$B$13*$B$35</f>
        <v>1.0197216533161007</v>
      </c>
      <c r="O49" s="191"/>
      <c r="P49" s="191">
        <f>P13/P35/$B$13*$B$35</f>
        <v>1.0211303296713632</v>
      </c>
      <c r="Q49" s="191"/>
      <c r="R49" s="191">
        <f>R13/R35/$B$13*$B$35</f>
        <v>1.0216583153242065</v>
      </c>
      <c r="S49" s="191"/>
      <c r="T49" s="191">
        <f>T13/T35/$B$13*$B$35</f>
        <v>1.0210780073994536</v>
      </c>
      <c r="U49" s="191"/>
      <c r="V49" s="191">
        <f>V13/V35/$B$13*$B$35</f>
        <v>1.0190782754247441</v>
      </c>
      <c r="W49" s="191"/>
      <c r="X49" s="191">
        <f>X13/X35/$B$13*$B$35</f>
        <v>1.0152206205865879</v>
      </c>
      <c r="Y49" s="191"/>
      <c r="Z49" s="191">
        <f>Z13/Z35/$B$13*$B$35</f>
        <v>1.0088611835264161</v>
      </c>
      <c r="AA49" s="191"/>
      <c r="AB49" s="191">
        <f>AB13/AB35/$B$13*$B$35</f>
        <v>0.99899963359962674</v>
      </c>
      <c r="AC49" s="191"/>
      <c r="AD49" s="191">
        <f>AD13/AD35/$B$13*$B$35</f>
        <v>0.98395671445690658</v>
      </c>
      <c r="AE49" s="191"/>
      <c r="AF49" s="191">
        <f>AF13/AF35/$B$13*$B$35</f>
        <v>0.96062466258428769</v>
      </c>
      <c r="AG49" s="191"/>
      <c r="AH49" s="191">
        <f>AH13/AH35/$B$13*$B$35</f>
        <v>0.92265794593150818</v>
      </c>
      <c r="AI49" s="191"/>
      <c r="AJ49" s="191">
        <f>AJ13/AJ35/$B$13*$B$35</f>
        <v>0.85652534400518765</v>
      </c>
      <c r="AK49" s="191"/>
      <c r="AL49" s="191">
        <f>AL13/AL35/$B$13*$B$35</f>
        <v>0.7347694308365087</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-324481.64731494384</v>
      </c>
      <c r="F51" s="29">
        <f>F30-F10*F23</f>
        <v>-240932.70841421979</v>
      </c>
      <c r="H51" s="29">
        <f>H30-H10*H23</f>
        <v>-154861.13022249192</v>
      </c>
      <c r="J51" s="29">
        <f>J30-J10*J23</f>
        <v>-65869.782096277457</v>
      </c>
      <c r="L51" s="29">
        <f>L30-L10*L23</f>
        <v>26525.595815278124</v>
      </c>
      <c r="N51" s="29">
        <f>N30-N10*N23</f>
        <v>122940.20477021905</v>
      </c>
      <c r="P51" s="29">
        <f>P30-P10*P23</f>
        <v>224163.90100785298</v>
      </c>
      <c r="R51" s="29">
        <f>R30-R10*R23</f>
        <v>331258.02918277541</v>
      </c>
      <c r="T51" s="29">
        <f>T30-T10*T23</f>
        <v>445705.78291103058</v>
      </c>
      <c r="V51" s="29">
        <f>V30-V10*V23</f>
        <v>569680.63729714835</v>
      </c>
      <c r="X51" s="29">
        <f>X30-X10*X23</f>
        <v>706533.06838912191</v>
      </c>
      <c r="Z51" s="29">
        <f>Z30-Z10*Z23</f>
        <v>861712.37860155199</v>
      </c>
      <c r="AB51" s="29">
        <f>AB30-AB10*AB23</f>
        <v>1044563.9399913838</v>
      </c>
      <c r="AD51" s="29">
        <f>AD30-AD10*AD23</f>
        <v>1271898.1661194041</v>
      </c>
      <c r="AF51" s="29">
        <f>AF30-AF10*AF23</f>
        <v>1574758.7223842749</v>
      </c>
      <c r="AH51" s="29">
        <f>AH30-AH10*AH23</f>
        <v>2008869.428268888</v>
      </c>
      <c r="AJ51" s="29">
        <f>AJ30-AJ10*AJ23</f>
        <v>2663272.3551770719</v>
      </c>
      <c r="AL51" s="29">
        <f>AL30-AL10*AL23</f>
        <v>3666367.0074869986</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2062719.0341941875</v>
      </c>
      <c r="F52" s="29">
        <f t="array" ref="F52">Calibration!sL*SUM(F13:G13*F26:G26)</f>
        <v>2076176.2390177157</v>
      </c>
      <c r="H52" s="29">
        <f t="array" ref="H52">Calibration!sL*SUM(H13:I13*H26:I26)</f>
        <v>2089617.3517214328</v>
      </c>
      <c r="J52" s="29">
        <f t="array" ref="J52">Calibration!sL*SUM(J13:K13*J26:K26)</f>
        <v>2103039.618974091</v>
      </c>
      <c r="L52" s="29">
        <f t="array" ref="L52">Calibration!sL*SUM(L13:M13*L26:M26)</f>
        <v>2116440.6876759711</v>
      </c>
      <c r="N52" s="29">
        <f t="array" ref="N52">Calibration!sL*SUM(N13:O13*N26:O26)</f>
        <v>2129821.6885604979</v>
      </c>
      <c r="P52" s="29">
        <f t="array" ref="P52">Calibration!sL*SUM(P13:Q13*P26:Q26)</f>
        <v>2143191.9245031765</v>
      </c>
      <c r="R52" s="29">
        <f t="array" ref="R52">Calibration!sL*SUM(R13:S13*R26:S26)</f>
        <v>2156579.8139254996</v>
      </c>
      <c r="T52" s="29">
        <f t="array" ref="T52">Calibration!sL*SUM(T13:U13*T26:U26)</f>
        <v>2170052.8194563449</v>
      </c>
      <c r="V52" s="29">
        <f t="array" ref="V52">Calibration!sL*SUM(V13:W13*V26:W26)</f>
        <v>2183757.0700439177</v>
      </c>
      <c r="X52" s="29">
        <f t="array" ref="X52">Calibration!sL*SUM(X13:Y13*X26:Y26)</f>
        <v>2197993.0447142087</v>
      </c>
      <c r="Z52" s="29">
        <f t="array" ref="Z52">Calibration!sL*SUM(Z13:AA13*Z26:AA26)</f>
        <v>2213364.2916022395</v>
      </c>
      <c r="AB52" s="29">
        <f t="array" ref="AB52">Calibration!sL*SUM(AB13:AC13*AB26:AC26)</f>
        <v>2231068.8618313931</v>
      </c>
      <c r="AD52" s="29">
        <f t="array" ref="AD52">Calibration!sL*SUM(AD13:AE13*AD26:AE26)</f>
        <v>2253451.1821670798</v>
      </c>
      <c r="AF52" s="29">
        <f t="array" ref="AF52">Calibration!sL*SUM(AF13:AG13*AF26:AG26)</f>
        <v>2284884.5702567999</v>
      </c>
      <c r="AH52" s="29">
        <f t="array" ref="AH52">Calibration!sL*SUM(AH13:AI13*AH26:AI26)</f>
        <v>2332271.7376271025</v>
      </c>
      <c r="AJ52" s="29">
        <f t="array" ref="AJ52">Calibration!sL*SUM(AJ13:AK13*AJ26:AK26)</f>
        <v>2401541.1757294722</v>
      </c>
      <c r="AL52" s="29">
        <f t="array" ref="AL52">Calibration!sL*SUM(AL13:AM13*AL26:AM26)</f>
        <v>2483164.8033687552</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2694727.7483823244</v>
      </c>
      <c r="F53" s="29">
        <f t="array" ref="F53">Calibration!sK*SUM(F15:G15*F27:G27)</f>
        <v>2647054.3562723012</v>
      </c>
      <c r="H53" s="29">
        <f t="array" ref="H53">Calibration!sK*SUM(H15:I15*H27:I27)</f>
        <v>2597440.3922010241</v>
      </c>
      <c r="J53" s="29">
        <f t="array" ref="J53">Calibration!sK*SUM(J15:K15*J27:K27)</f>
        <v>2545580.17128444</v>
      </c>
      <c r="L53" s="29">
        <f t="array" ref="L53">Calibration!sK*SUM(L15:M15*L27:M27)</f>
        <v>2491100.8063891288</v>
      </c>
      <c r="N53" s="29">
        <f t="array" ref="N53">Calibration!sK*SUM(N15:O15*N27:O27)</f>
        <v>2433536.8643486057</v>
      </c>
      <c r="P53" s="29">
        <f t="array" ref="P53">Calibration!sK*SUM(P15:Q15*P27:Q27)</f>
        <v>2372296.9342485918</v>
      </c>
      <c r="R53" s="29">
        <f t="array" ref="R53">Calibration!sK*SUM(R15:S15*R27:S27)</f>
        <v>2306606.1425097678</v>
      </c>
      <c r="T53" s="29">
        <f t="array" ref="T53">Calibration!sK*SUM(T15:U15*T27:U27)</f>
        <v>2235415.007244275</v>
      </c>
      <c r="V53" s="29">
        <f t="array" ref="V53">Calibration!sK*SUM(V15:W15*V27:W27)</f>
        <v>2157241.2078619343</v>
      </c>
      <c r="X53" s="29">
        <f t="array" ref="X53">Calibration!sK*SUM(X15:Y15*X27:Y27)</f>
        <v>2069889.0863249283</v>
      </c>
      <c r="Z53" s="29">
        <f t="array" ref="Z53">Calibration!sK*SUM(Z15:AA15*Z27:AA27)</f>
        <v>1969924.2331683689</v>
      </c>
      <c r="AB53" s="29">
        <f t="array" ref="AB53">Calibration!sK*SUM(AB15:AC15*AB27:AC27)</f>
        <v>1851649.0492820223</v>
      </c>
      <c r="AD53" s="29">
        <f t="array" ref="AD53">Calibration!sK*SUM(AD15:AE15*AD27:AE27)</f>
        <v>1705040.9193645115</v>
      </c>
      <c r="AF53" s="29">
        <f t="array" ref="AF53">Calibration!sK*SUM(AF15:AG15*AF27:AG27)</f>
        <v>1511642.1200816378</v>
      </c>
      <c r="AH53" s="29">
        <f t="array" ref="AH53">Calibration!sK*SUM(AH15:AI15*AH27:AI27)</f>
        <v>1237196.9571867946</v>
      </c>
      <c r="AJ53" s="29">
        <f t="array" ref="AJ53">Calibration!sK*SUM(AJ15:AK15*AJ27:AK27)</f>
        <v>820914.42005097913</v>
      </c>
      <c r="AL53" s="29">
        <f t="array" ref="AL53">Calibration!sK*SUM(AL15:AM15*AL27:AM27)</f>
        <v>153683.49635687502</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0.20402919121263755</v>
      </c>
      <c r="F55" s="193">
        <f>F30/F32</f>
        <v>0.20969908363451414</v>
      </c>
      <c r="H55" s="193">
        <f>H30/H32</f>
        <v>0.21553744995179819</v>
      </c>
      <c r="J55" s="193">
        <f>J30/J32</f>
        <v>0.2215746551582729</v>
      </c>
      <c r="L55" s="193">
        <f>L30/L32</f>
        <v>0.22784804460517097</v>
      </c>
      <c r="N55" s="193">
        <f>N30/N32</f>
        <v>0.23440532677025444</v>
      </c>
      <c r="P55" s="193">
        <f>P30/P32</f>
        <v>0.24130811775362526</v>
      </c>
      <c r="R55" s="193">
        <f>R30/R32</f>
        <v>0.24863936464097788</v>
      </c>
      <c r="T55" s="193">
        <f>T30/T32</f>
        <v>0.25651482812451287</v>
      </c>
      <c r="V55" s="193">
        <f>V30/V32</f>
        <v>0.26510331081293981</v>
      </c>
      <c r="X55" s="193">
        <f>X30/X32</f>
        <v>0.27466301043923103</v>
      </c>
      <c r="Z55" s="193">
        <f>Z30/Z32</f>
        <v>0.28560998136693905</v>
      </c>
      <c r="AB55" s="193">
        <f>AB30/AB32</f>
        <v>0.2986515740209294</v>
      </c>
      <c r="AD55" s="193">
        <f>AD30/AD32</f>
        <v>0.31505386212792119</v>
      </c>
      <c r="AF55" s="193">
        <f>AF30/AF32</f>
        <v>0.33716656990257099</v>
      </c>
      <c r="AH55" s="193">
        <f>AH30/AH32</f>
        <v>0.36934650444896538</v>
      </c>
      <c r="AJ55" s="193">
        <f>AJ30/AJ32</f>
        <v>0.41941813565580066</v>
      </c>
      <c r="AL55" s="193">
        <f>AL30/AL32</f>
        <v>0.50327875209864925</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3.3823814994988176E-2</v>
      </c>
      <c r="F56" s="193">
        <f>(Model!$C$52*F5*F20+F2*G5*G20)/F32</f>
        <v>3.8544563024335177E-2</v>
      </c>
      <c r="H56" s="193">
        <f>(Model!$C$52*H5*H20+H2*I5*I20)/H32</f>
        <v>4.3404183831024762E-2</v>
      </c>
      <c r="J56" s="193">
        <f>(Model!$C$52*J5*J20+J2*K5*K20)/J32</f>
        <v>4.8427823461366835E-2</v>
      </c>
      <c r="L56" s="193">
        <f>(Model!$C$52*L5*L20+L2*M5*M20)/L32</f>
        <v>5.3646326011469882E-2</v>
      </c>
      <c r="N56" s="193">
        <f>(Model!$C$52*N5*N20+N2*O5*O20)/N32</f>
        <v>5.9099199000247307E-2</v>
      </c>
      <c r="P56" s="193">
        <f>(Model!$C$52*P5*P20+P2*Q5*Q20)/P32</f>
        <v>6.483734102429993E-2</v>
      </c>
      <c r="R56" s="193">
        <f>(Model!$C$52*R5*R20+R2*S5*S20)/R32</f>
        <v>7.0929219317422312E-2</v>
      </c>
      <c r="T56" s="193">
        <f>(Model!$C$52*T5*T20+T2*U5*U20)/T32</f>
        <v>7.7470295972698208E-2</v>
      </c>
      <c r="V56" s="193">
        <f>(Model!$C$52*V5*V20+V2*W5*W20)/V32</f>
        <v>8.4599541930058808E-2</v>
      </c>
      <c r="X56" s="193">
        <f>(Model!$C$52*X5*X20+X2*Y5*Y20)/X32</f>
        <v>9.2529211653985893E-2</v>
      </c>
      <c r="Z56" s="193">
        <f>(Model!$C$52*Z5*Z20+Z2*AA5*AA20)/Z32</f>
        <v>0.10160082343559151</v>
      </c>
      <c r="AB56" s="193">
        <f>(Model!$C$52*AB5*AB20+AB2*AC5*AC20)/AB32</f>
        <v>0.11239423027960459</v>
      </c>
      <c r="AD56" s="193">
        <f>(Model!$C$52*AD5*AD20+AD2*AE5*AE20)/AD32</f>
        <v>0.12594622988227724</v>
      </c>
      <c r="AF56" s="193">
        <f>(Model!$C$52*AF5*AF20+AF2*AG5*AG20)/AF32</f>
        <v>0.14417974945214695</v>
      </c>
      <c r="AH56" s="193">
        <f>(Model!$C$52*AH5*AH20+AH2*AI5*AI20)/AH32</f>
        <v>0.17065971064361388</v>
      </c>
      <c r="AJ56" s="193">
        <f>(Model!$C$52*AJ5*AJ20+AJ2*AK5*AK20)/AJ32</f>
        <v>0.21179179966322745</v>
      </c>
      <c r="AL56" s="193">
        <f>(Model!$C$52*AL5*AL20+AL2*AM5*AM20)/AL32</f>
        <v>0.28060134939251946</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0.15953509924889314</v>
      </c>
      <c r="F57" s="193">
        <f t="array" ref="F57">SUM(Model!tauL*F13:G13*F26:G26)/F32</f>
        <v>0.16056749503159037</v>
      </c>
      <c r="H57" s="193">
        <f t="array" ref="H57">SUM(Model!tauL*H13:I13*H26:I26)/H32</f>
        <v>0.16163056662712733</v>
      </c>
      <c r="J57" s="193">
        <f t="array" ref="J57">SUM(Model!tauL*J13:K13*J26:K26)/J32</f>
        <v>0.1627298275927383</v>
      </c>
      <c r="L57" s="193">
        <f t="array" ref="L57">SUM(Model!tauL*L13:M13*L26:M26)/L32</f>
        <v>0.16387212709771165</v>
      </c>
      <c r="N57" s="193">
        <f t="array" ref="N57">SUM(Model!tauL*N13:O13*N26:O26)/N32</f>
        <v>0.16506610007734149</v>
      </c>
      <c r="P57" s="193">
        <f t="array" ref="P57">SUM(Model!tauL*P13:Q13*P26:Q26)/P32</f>
        <v>0.16632298487437444</v>
      </c>
      <c r="R57" s="193">
        <f t="array" ref="R57">SUM(Model!tauL*R13:S13*R26:S26)/R32</f>
        <v>0.16765789321522381</v>
      </c>
      <c r="T57" s="193">
        <f t="array" ref="T57">SUM(Model!tauL*T13:U13*T26:U26)/T32</f>
        <v>0.16909188826587374</v>
      </c>
      <c r="V57" s="193">
        <f t="array" ref="V57">SUM(Model!tauL*V13:W13*V26:W26)/V32</f>
        <v>0.17065571300135599</v>
      </c>
      <c r="X57" s="193">
        <f t="array" ref="X57">SUM(Model!tauL*X13:Y13*X26:Y26)/X32</f>
        <v>0.17239638145373151</v>
      </c>
      <c r="Y57" s="193"/>
      <c r="Z57" s="193">
        <f t="array" ref="Z57">SUM(Model!tauL*Z13:AA13*Z26:AA26)/Z32</f>
        <v>0.17438964680218499</v>
      </c>
      <c r="AB57" s="193">
        <f t="array" ref="AB57">SUM(Model!tauL*AB13:AC13*AB26:AC26)/AB32</f>
        <v>0.1767643125104007</v>
      </c>
      <c r="AD57" s="193">
        <f t="array" ref="AD57">SUM(Model!tauL*AD13:AE13*AD26:AE26)/AD32</f>
        <v>0.17975090589611684</v>
      </c>
      <c r="AF57" s="193">
        <f t="array" ref="AF57">SUM(Model!tauL*AF13:AG13*AF26:AG26)/AF32</f>
        <v>0.1837772743094632</v>
      </c>
      <c r="AH57" s="193">
        <f t="array" ref="AH57">SUM(Model!tauL*AH13:AI13*AH26:AI26)/AH32</f>
        <v>0.18963672315404984</v>
      </c>
      <c r="AJ57" s="193">
        <f t="array" ref="AJ57">SUM(Model!tauL*AJ13:AK13*AJ26:AK26)/AJ32</f>
        <v>0.19875396142289301</v>
      </c>
      <c r="AL57" s="193">
        <f t="array" ref="AL57">SUM(Model!tauL*AL13:AM13*AL26:AM26)/AL32</f>
        <v>0.21402363039306013</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1.0670276968756233E-2</v>
      </c>
      <c r="F58" s="193">
        <f t="array" ref="F58">SUM(Model!tauY/(1+Model!tauY)*F3:G3*F18:G18)/F32</f>
        <v>1.0587025578588562E-2</v>
      </c>
      <c r="H58" s="193">
        <f t="array" ref="H58">SUM(Model!tauY/(1+Model!tauY)*H3:I3*H18:I18)/H32</f>
        <v>1.0502699493646121E-2</v>
      </c>
      <c r="J58" s="193">
        <f t="array" ref="J58">SUM(Model!tauY/(1+Model!tauY)*J3:K3*J18:K18)/J32</f>
        <v>1.0417004104167729E-2</v>
      </c>
      <c r="L58" s="193">
        <f t="array" ref="L58">SUM(Model!tauY/(1+Model!tauY)*L3:M3*L18:M18)/L32</f>
        <v>1.032959149598941E-2</v>
      </c>
      <c r="N58" s="193">
        <f t="array" ref="N58">SUM(Model!tauY/(1+Model!tauY)*N3:O3*N18:O18)/N32</f>
        <v>1.0240027692665628E-2</v>
      </c>
      <c r="P58" s="193">
        <f t="array" ref="P58">SUM(Model!tauY/(1+Model!tauY)*P3:Q3*P18:Q18)/P32</f>
        <v>1.0147791854950928E-2</v>
      </c>
      <c r="R58" s="193">
        <f t="array" ref="R58">SUM(Model!tauY/(1+Model!tauY)*R3:S3*R18:S18)/R32</f>
        <v>1.0052252108331739E-2</v>
      </c>
      <c r="T58" s="193">
        <f t="array" ref="T58">SUM(Model!tauY/(1+Model!tauY)*T3:U3*T18:U18)/T32</f>
        <v>9.9526438859409028E-3</v>
      </c>
      <c r="V58" s="193">
        <f t="array" ref="V58">SUM(Model!tauY/(1+Model!tauY)*V3:W3*V18:W18)/V32</f>
        <v>9.8480558815250453E-3</v>
      </c>
      <c r="X58" s="193">
        <f t="array" ref="X58">SUM(Model!tauY/(1+Model!tauY)*X3:Y3*X18:Y18)/X32</f>
        <v>9.737417331513603E-3</v>
      </c>
      <c r="Y58" s="193"/>
      <c r="Z58" s="193">
        <f t="array" ref="Z58">SUM(Model!tauY/(1+Model!tauY)*Z3:AA3*Z18:AA18)/Z32</f>
        <v>9.6195111291625026E-3</v>
      </c>
      <c r="AB58" s="193">
        <f t="array" ref="AB58">SUM(Model!tauY/(1+Model!tauY)*AB3:AC3*AB18:AC18)/AB32</f>
        <v>9.4930312309241243E-3</v>
      </c>
      <c r="AD58" s="193">
        <f t="array" ref="AD58">SUM(Model!tauY/(1+Model!tauY)*AD3:AE3*AD18:AE18)/AD32</f>
        <v>9.356726349527153E-3</v>
      </c>
      <c r="AF58" s="193">
        <f t="array" ref="AF58">SUM(Model!tauY/(1+Model!tauY)*AF3:AG3*AF18:AG18)/AF32</f>
        <v>9.2095461409608878E-3</v>
      </c>
      <c r="AH58" s="193">
        <f t="array" ref="AH58">SUM(Model!tauY/(1+Model!tauY)*AH3:AI3*AH18:AI18)/AH32</f>
        <v>9.0500706513016449E-3</v>
      </c>
      <c r="AJ58" s="193">
        <f t="array" ref="AJ58">SUM(Model!tauY/(1+Model!tauY)*AJ3:AK3*AJ18:AK18)/AJ32</f>
        <v>8.8723745696801647E-3</v>
      </c>
      <c r="AL58" s="193">
        <f t="array" ref="AL58">SUM(Model!tauY/(1+Model!tauY)*AL3:AM3*AL18:AM18)/AL32</f>
        <v>8.6537723130696367E-3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5.2107412736438121E-3</v>
      </c>
      <c r="F59" s="193">
        <f>(F2*G5*G20)/F32</f>
        <v>9.9889240382883757E-3</v>
      </c>
      <c r="H59" s="193">
        <f>(H2*I5*I20)/H32</f>
        <v>1.4907190323743007E-2</v>
      </c>
      <c r="J59" s="193">
        <f>(J2*K5*K20)/J32</f>
        <v>1.9990886755298379E-2</v>
      </c>
      <c r="L59" s="193">
        <f>(L2*M5*M20)/L32</f>
        <v>2.5271096383885135E-2</v>
      </c>
      <c r="N59" s="193">
        <f>(N2*O5*O20)/N32</f>
        <v>3.0787633057853297E-2</v>
      </c>
      <c r="P59" s="193">
        <f>(P2*Q5*Q20)/P32</f>
        <v>3.6591785116844827E-2</v>
      </c>
      <c r="R59" s="193">
        <f>(R2*S5*S20)/R32</f>
        <v>4.2752543035583949E-2</v>
      </c>
      <c r="T59" s="193">
        <f>(T2*U5*U20)/T32</f>
        <v>4.9366102869811058E-2</v>
      </c>
      <c r="V59" s="193">
        <f>(V2*W5*W20)/V32</f>
        <v>5.6572515985921654E-2</v>
      </c>
      <c r="X59" s="193">
        <f>(X2*Y5*Y20)/X32</f>
        <v>6.4585717432080719E-2</v>
      </c>
      <c r="Z59" s="193">
        <f>(Z2*AA5*AA20)/Z32</f>
        <v>7.3749988543920994E-2</v>
      </c>
      <c r="AB59" s="193">
        <f>(AB2*AC5*AC20)/AB32</f>
        <v>8.4649978067721274E-2</v>
      </c>
      <c r="AD59" s="193">
        <f>(AD2*AE5*AE20)/AD32</f>
        <v>9.8331197095161929E-2</v>
      </c>
      <c r="AF59" s="193">
        <f>(AF2*AG5*AG20)/AF32</f>
        <v>0.11673275271318849</v>
      </c>
      <c r="AH59" s="193">
        <f>(AH2*AI5*AI20)/AH32</f>
        <v>0.1434485200937832</v>
      </c>
      <c r="AJ59" s="193">
        <f>(AJ2*AK5*AK20)/AJ32</f>
        <v>0.18493040368917626</v>
      </c>
      <c r="AL59" s="193">
        <f>(AL2*AM5*AM20)/AL32</f>
        <v>0.25427900523926839</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2.8613073721344365E-2</v>
      </c>
      <c r="F60" s="193">
        <f>Model!$C$52*F5*F20/F32</f>
        <v>2.8555638986046801E-2</v>
      </c>
      <c r="H60" s="193">
        <f>Model!$C$52*H5*H20/H32</f>
        <v>2.849699350728175E-2</v>
      </c>
      <c r="J60" s="193">
        <f>Model!$C$52*J5*J20/J32</f>
        <v>2.8436936706068457E-2</v>
      </c>
      <c r="L60" s="193">
        <f>Model!$C$52*L5*L20/L32</f>
        <v>2.8375229627584743E-2</v>
      </c>
      <c r="N60" s="193">
        <f>Model!$C$52*N5*N20/N32</f>
        <v>2.8311565942394003E-2</v>
      </c>
      <c r="P60" s="193">
        <f>Model!$C$52*P5*P20/P32</f>
        <v>2.8245555907455103E-2</v>
      </c>
      <c r="R60" s="193">
        <f>Model!$C$52*R5*R20/R32</f>
        <v>2.8176676281838366E-2</v>
      </c>
      <c r="T60" s="193">
        <f>Model!$C$52*T5*T20/T32</f>
        <v>2.8104193102887164E-2</v>
      </c>
      <c r="V60" s="193">
        <f>Model!$C$52*V5*V20/V32</f>
        <v>2.8027025944137151E-2</v>
      </c>
      <c r="X60" s="193">
        <f>Model!$C$52*X5*X20/X32</f>
        <v>2.7943494221905164E-2</v>
      </c>
      <c r="Z60" s="193">
        <f>Model!$C$52*Z5*Z20/Z32</f>
        <v>2.785083489167052E-2</v>
      </c>
      <c r="AB60" s="193">
        <f>Model!$C$52*AB5*AB20/AB32</f>
        <v>2.7744252211883307E-2</v>
      </c>
      <c r="AD60" s="193">
        <f>Model!$C$52*AD5*AD20/AD32</f>
        <v>2.7615032787115301E-2</v>
      </c>
      <c r="AF60" s="193">
        <f>Model!$C$52*AF5*AF20/AF32</f>
        <v>2.7446996738958462E-2</v>
      </c>
      <c r="AH60" s="193">
        <f>Model!$C$52*AH5*AH20/AH32</f>
        <v>2.7211190549830677E-2</v>
      </c>
      <c r="AJ60" s="193">
        <f>Model!$C$52*AJ5*AJ20/AJ32</f>
        <v>2.686139597405119E-2</v>
      </c>
      <c r="AL60" s="193">
        <f>Model!$C$52*AL5*AL20/AL32</f>
        <v>2.6322344153251038E-2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1.023751357090253</v>
      </c>
      <c r="F62">
        <f>F13/F15</f>
        <v>1.0489883528345816</v>
      </c>
      <c r="H62">
        <f>H13/H15</f>
        <v>1.0759460269000138</v>
      </c>
      <c r="J62">
        <f>J13/J15</f>
        <v>1.1049178396032913</v>
      </c>
      <c r="L62">
        <f>L13/L15</f>
        <v>1.1362767142441865</v>
      </c>
      <c r="N62">
        <f>N13/N15</f>
        <v>1.1705086371499505</v>
      </c>
      <c r="P62">
        <f>P13/P15</f>
        <v>1.2082625740770001</v>
      </c>
      <c r="R62">
        <f>R13/R15</f>
        <v>1.2504357992030912</v>
      </c>
      <c r="T62">
        <f>T13/T15</f>
        <v>1.2983191107074432</v>
      </c>
      <c r="V62">
        <f>V13/V15</f>
        <v>1.3538636362531875</v>
      </c>
      <c r="X62">
        <f>X13/X15</f>
        <v>1.4201968526070907</v>
      </c>
      <c r="Z62">
        <f>Z13/Z15</f>
        <v>1.5027013775226494</v>
      </c>
      <c r="AB62">
        <f>AB13/AB15</f>
        <v>1.6114751220007859</v>
      </c>
      <c r="AD62">
        <f>AD13/AD15</f>
        <v>1.7675945565374152</v>
      </c>
      <c r="AF62">
        <f>AF13/AF15</f>
        <v>2.0215504662495052</v>
      </c>
      <c r="AH62">
        <f>AH13/AH15</f>
        <v>2.5212134371762547</v>
      </c>
      <c r="AJ62">
        <f>AJ13/AJ15</f>
        <v>3.9125640459267581</v>
      </c>
      <c r="AL62">
        <f>AL13/AL15</f>
        <v>21.609644310371827</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0.9986929931358578</v>
      </c>
      <c r="E65" s="191"/>
      <c r="F65" s="191">
        <f t="array" ref="F65">SQRT((F9:G9*$B$22:$C$22+F10:G10*$B$23:$C$23+F11:G11*$B$24:$C$24+F4:G4*($B$25:$C$25-$B$19:$C$19))/($B$9:$C$9*$B$22:$C$22+$B$10:$C$10*$B$23:$C$23+$B$11:$C$11*$B$24:$C$24+$B$4:$C$4*($B$25:$C$25-$B$19:$C$19))*(F9:G9*F22:G22+F10:G10*F23:G23+F11:G11*F24:G24+F4:G4*(F25:G25-F19:G19))/($B$9:$C$9*F22:G22+$B$10:$C$10*F23:G23+$B$11:$C$11*F24:G24+$B$4:$C$4*(F25:G25-F19:G19)))</f>
        <v>0.99733907928368304</v>
      </c>
      <c r="G65" s="191"/>
      <c r="H65" s="191">
        <f t="array" ref="H65">SQRT((H9:I9*$B$22:$C$22+H10:I10*$B$23:$C$23+H11:I11*$B$24:$C$24+H4:I4*($B$25:$C$25-$B$19:$C$19))/($B$9:$C$9*$B$22:$C$22+$B$10:$C$10*$B$23:$C$23+$B$11:$C$11*$B$24:$C$24+$B$4:$C$4*($B$25:$C$25-$B$19:$C$19))*(H9:I9*H22:I22+H10:I10*H23:I23+H11:I11*H24:I24+H4:I4*(H25:I25-H19:I19))/($B$9:$C$9*H22:I22+$B$10:$C$10*H23:I23+$B$11:$C$11*H24:I24+$B$4:$C$4*(H25:I25-H19:I19)))</f>
        <v>0.99593114072641631</v>
      </c>
      <c r="I65" s="191"/>
      <c r="J65" s="191">
        <f t="array" ref="J65">SQRT((J9:K9*$B$22:$C$22+J10:K10*$B$23:$C$23+J11:K11*$B$24:$C$24+J4:K4*($B$25:$C$25-$B$19:$C$19))/($B$9:$C$9*$B$22:$C$22+$B$10:$C$10*$B$23:$C$23+$B$11:$C$11*$B$24:$C$24+$B$4:$C$4*($B$25:$C$25-$B$19:$C$19))*(J9:K9*J22:K22+J10:K10*J23:K23+J11:K11*J24:K24+J4:K4*(J25:K25-J19:K19))/($B$9:$C$9*J22:K22+$B$10:$C$10*J23:K23+$B$11:$C$11*J24:K24+$B$4:$C$4*(J25:K25-J19:K19)))</f>
        <v>0.99446091459150476</v>
      </c>
      <c r="K65" s="191"/>
      <c r="L65" s="191">
        <f t="array" ref="L65">SQRT((L9:M9*$B$22:$C$22+L10:M10*$B$23:$C$23+L11:M11*$B$24:$C$24+L4:M4*($B$25:$C$25-$B$19:$C$19))/($B$9:$C$9*$B$22:$C$22+$B$10:$C$10*$B$23:$C$23+$B$11:$C$11*$B$24:$C$24+$B$4:$C$4*($B$25:$C$25-$B$19:$C$19))*(L9:M9*L22:M22+L10:M10*L23:M23+L11:M11*L24:M24+L4:M4*(L25:M25-L19:M19))/($B$9:$C$9*L22:M22+$B$10:$C$10*L23:M23+$B$11:$C$11*L24:M24+$B$4:$C$4*(L25:M25-L19:M19)))</f>
        <v>0.99291906898074223</v>
      </c>
      <c r="M65" s="191"/>
      <c r="N65" s="191">
        <f t="array" ref="N65">SQRT((N9:O9*$B$22:$C$22+N10:O10*$B$23:$C$23+N11:O11*$B$24:$C$24+N4:O4*($B$25:$C$25-$B$19:$C$19))/($B$9:$C$9*$B$22:$C$22+$B$10:$C$10*$B$23:$C$23+$B$11:$C$11*$B$24:$C$24+$B$4:$C$4*($B$25:$C$25-$B$19:$C$19))*(N9:O9*N22:O22+N10:O10*N23:O23+N11:O11*N24:O24+N4:O4*(N25:O25-N19:O19))/($B$9:$C$9*N22:O22+$B$10:$C$10*N23:O23+$B$11:$C$11*N24:O24+$B$4:$C$4*(N25:O25-N19:O19)))</f>
        <v>0.99129531488125899</v>
      </c>
      <c r="O65" s="191"/>
      <c r="P65" s="191">
        <f t="array" ref="P65">SQRT((P9:Q9*$B$22:$C$22+P10:Q10*$B$23:$C$23+P11:Q11*$B$24:$C$24+P4:Q4*($B$25:$C$25-$B$19:$C$19))/($B$9:$C$9*$B$22:$C$22+$B$10:$C$10*$B$23:$C$23+$B$11:$C$11*$B$24:$C$24+$B$4:$C$4*($B$25:$C$25-$B$19:$C$19))*(P9:Q9*P22:Q22+P10:Q10*P23:Q23+P11:Q11*P24:Q24+P4:Q4*(P25:Q25-P19:Q19))/($B$9:$C$9*P22:Q22+$B$10:$C$10*P23:Q23+$B$11:$C$11*P24:Q24+$B$4:$C$4*(P25:Q25-P19:Q19)))</f>
        <v>0.98957905738020735</v>
      </c>
      <c r="Q65" s="191"/>
      <c r="R65" s="191">
        <f t="array" ref="R65">SQRT((R9:S9*$B$22:$C$22+R10:S10*$B$23:$C$23+R11:S11*$B$24:$C$24+R4:S4*($B$25:$C$25-$B$19:$C$19))/($B$9:$C$9*$B$22:$C$22+$B$10:$C$10*$B$23:$C$23+$B$11:$C$11*$B$24:$C$24+$B$4:$C$4*($B$25:$C$25-$B$19:$C$19))*(R9:S9*R22:S22+R10:S10*R23:S23+R11:S11*R24:S24+R4:S4*(R25:S25-R19:S19))/($B$9:$C$9*R22:S22+$B$10:$C$10*R23:S23+$B$11:$C$11*R24:S24+$B$4:$C$4*(R25:S25-R19:S19)))</f>
        <v>0.98776061012425054</v>
      </c>
      <c r="S65" s="191"/>
      <c r="T65" s="191">
        <f t="array" ref="T65">SQRT((T9:U9*$B$22:$C$22+T10:U10*$B$23:$C$23+T11:U11*$B$24:$C$24+T4:U4*($B$25:$C$25-$B$19:$C$19))/($B$9:$C$9*$B$22:$C$22+$B$10:$C$10*$B$23:$C$23+$B$11:$C$11*$B$24:$C$24+$B$4:$C$4*($B$25:$C$25-$B$19:$C$19))*(T9:U9*T22:U22+T10:U10*T23:U23+T11:U11*T24:U24+T4:U4*(T25:U25-T19:U19))/($B$9:$C$9*T22:U22+$B$10:$C$10*T23:U23+$B$11:$C$11*T24:U24+$B$4:$C$4*(T25:U25-T19:U19)))</f>
        <v>0.98583374803596879</v>
      </c>
      <c r="U65" s="191"/>
      <c r="V65" s="191">
        <f t="array" ref="V65">SQRT((V9:W9*$B$22:$C$22+V10:W10*$B$23:$C$23+V11:W11*$B$24:$C$24+V4:W4*($B$25:$C$25-$B$19:$C$19))/($B$9:$C$9*$B$22:$C$22+$B$10:$C$10*$B$23:$C$23+$B$11:$C$11*$B$24:$C$24+$B$4:$C$4*($B$25:$C$25-$B$19:$C$19))*(V9:W9*V22:W22+V10:W10*V23:W23+V11:W11*V24:W24+V4:W4*(V25:W25-V19:W19))/($B$9:$C$9*V22:W22+$B$10:$C$10*V23:W23+$B$11:$C$11*V24:W24+$B$4:$C$4*(V25:W25-V19:W19)))</f>
        <v>0.98380068137370902</v>
      </c>
      <c r="W65" s="191"/>
      <c r="X65" s="191">
        <f t="array" ref="X65">SQRT((X9:Y9*$B$22:$C$22+X10:Y10*$B$23:$C$23+X11:Y11*$B$24:$C$24+X4:Y4*($B$25:$C$25-$B$19:$C$19))/($B$9:$C$9*$B$22:$C$22+$B$10:$C$10*$B$23:$C$23+$B$11:$C$11*$B$24:$C$24+$B$4:$C$4*($B$25:$C$25-$B$19:$C$19))*(X9:Y9*X22:Y22+X10:Y10*X23:Y23+X11:Y11*X24:Y24+X4:Y4*(X25:Y25-X19:Y19))/($B$9:$C$9*X22:Y22+$B$10:$C$10*X23:Y23+$B$11:$C$11*X24:Y24+$B$4:$C$4*(X25:Y25-X19:Y19)))</f>
        <v>0.98168169504343794</v>
      </c>
      <c r="Y65" s="191"/>
      <c r="Z65" s="191">
        <f t="array" ref="Z65">SQRT((Z9:AA9*$B$22:$C$22+Z10:AA10*$B$23:$C$23+Z11:AA11*$B$24:$C$24+Z4:AA4*($B$25:$C$25-$B$19:$C$19))/($B$9:$C$9*$B$22:$C$22+$B$10:$C$10*$B$23:$C$23+$B$11:$C$11*$B$24:$C$24+$B$4:$C$4*($B$25:$C$25-$B$19:$C$19))*(Z9:AA9*Z22:AA22+Z10:AA10*Z23:AA23+Z11:AA11*Z24:AA24+Z4:AA4*(Z25:AA25-Z19:AA19))/($B$9:$C$9*Z22:AA22+$B$10:$C$10*Z23:AA23+$B$11:$C$11*Z24:AA24+$B$4:$C$4*(Z25:AA25-Z19:AA19)))</f>
        <v>0.97953379113244354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0.97748658961851598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0.9758085808506084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0.9750082405819267</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0.97587734676689186</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0.97909270468784537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0.98418982538101452</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0.99856285569349779</v>
      </c>
      <c r="E66" s="191"/>
      <c r="F66" s="191">
        <f t="array" ref="F66">SQRT((F9:G9*$B$22:$C$22)/($B$9:$C$9*$B$22:$C$22)*(F9:G9*F22:G22)/($B$9:$C$9*F22:G22))</f>
        <v>0.99707262349235037</v>
      </c>
      <c r="G66" s="191"/>
      <c r="H66" s="191">
        <f t="array" ref="H66">SQRT((H9:I9*$B$22:$C$22)/($B$9:$C$9*$B$22:$C$22)*(H9:I9*H22:I22)/($B$9:$C$9*H22:I22))</f>
        <v>0.99552128138498419</v>
      </c>
      <c r="I66" s="191"/>
      <c r="J66" s="191">
        <f t="array" ref="J66">SQRT((J9:K9*$B$22:$C$22)/($B$9:$C$9*$B$22:$C$22)*(J9:K9*J22:K22)/($B$9:$C$9*J22:K22))</f>
        <v>0.99389949809187728</v>
      </c>
      <c r="K66" s="191"/>
      <c r="L66" s="191">
        <f t="array" ref="L66">SQRT((L9:M9*$B$22:$C$22)/($B$9:$C$9*$B$22:$C$22)*(L9:M9*L22:M22)/($B$9:$C$9*L22:M22))</f>
        <v>0.99219670456930709</v>
      </c>
      <c r="M66" s="191"/>
      <c r="N66" s="191">
        <f t="array" ref="N66">SQRT((N9:O9*$B$22:$C$22)/($B$9:$C$9*$B$22:$C$22)*(N9:O9*N22:O22)/($B$9:$C$9*N22:O22))</f>
        <v>0.99040120402531584</v>
      </c>
      <c r="O66" s="191"/>
      <c r="P66" s="191">
        <f t="array" ref="P66">SQRT((P9:Q9*$B$22:$C$22)/($B$9:$C$9*$B$22:$C$22)*(P9:Q9*P22:Q22)/($B$9:$C$9*P22:Q22))</f>
        <v>0.98850087787789698</v>
      </c>
      <c r="Q66" s="191"/>
      <c r="R66" s="191">
        <f t="array" ref="R66">SQRT((R9:S9*$B$22:$C$22)/($B$9:$C$9*$B$22:$C$22)*(R9:S9*R22:S22)/($B$9:$C$9*R22:S22))</f>
        <v>0.98648452108672213</v>
      </c>
      <c r="S66" s="191"/>
      <c r="T66" s="191">
        <f t="array" ref="T66">SQRT((T9:U9*$B$22:$C$22)/($B$9:$C$9*$B$22:$C$22)*(T9:U9*T22:U22)/($B$9:$C$9*T22:U22))</f>
        <v>0.98434467641363022</v>
      </c>
      <c r="U66" s="191"/>
      <c r="V66" s="191">
        <f t="array" ref="V66">SQRT((V9:W9*$B$22:$C$22)/($B$9:$C$9*$B$22:$C$22)*(V9:W9*V22:W22)/($B$9:$C$9*V22:W22))</f>
        <v>0.98208319514171905</v>
      </c>
      <c r="W66" s="191"/>
      <c r="X66" s="191">
        <f t="array" ref="X66">SQRT((X9:Y9*$B$22:$C$22)/($B$9:$C$9*$B$22:$C$22)*(X9:Y9*X22:Y22)/($B$9:$C$9*X22:Y22))</f>
        <v>0.9797220697594794</v>
      </c>
      <c r="Y66" s="191"/>
      <c r="Z66" s="191">
        <f t="array" ref="Z66">SQRT((Z9:AA9*$B$22:$C$22)/($B$9:$C$9*$B$22:$C$22)*(Z9:AA9*Z22:AA22)/($B$9:$C$9*Z22:AA22))</f>
        <v>0.97732446757250713</v>
      </c>
      <c r="AA66" s="191"/>
      <c r="AB66" s="191">
        <f t="array" ref="AB66">SQRT((AB9:AC9*$B$22:$C$22)/($B$9:$C$9*$B$22:$C$22)*(AB9:AC9*AB22:AC22)/($B$9:$C$9*AB22:AC22))</f>
        <v>0.97503534078981347</v>
      </c>
      <c r="AC66" s="191"/>
      <c r="AD66" s="191">
        <f t="array" ref="AD66">SQRT((AD9:AE9*$B$22:$C$22)/($B$9:$C$9*$B$22:$C$22)*(AD9:AE9*AD22:AE22)/($B$9:$C$9*AD22:AE22))</f>
        <v>0.97315642035627403</v>
      </c>
      <c r="AE66" s="191"/>
      <c r="AF66" s="191">
        <f t="array" ref="AF66">SQRT((AF9:AG9*$B$22:$C$22)/($B$9:$C$9*$B$22:$C$22)*(AF9:AG9*AF22:AG22)/($B$9:$C$9*AF22:AG22))</f>
        <v>0.97226030742049019</v>
      </c>
      <c r="AG66" s="191"/>
      <c r="AH66" s="191">
        <f t="array" ref="AH66">SQRT((AH9:AI9*$B$22:$C$22)/($B$9:$C$9*$B$22:$C$22)*(AH9:AI9*AH22:AI22)/($B$9:$C$9*AH22:AI22))</f>
        <v>0.97323718593279729</v>
      </c>
      <c r="AI66" s="191"/>
      <c r="AJ66" s="191">
        <f t="array" ref="AJ66">SQRT((AJ9:AK9*$B$22:$C$22)/($B$9:$C$9*$B$22:$C$22)*(AJ9:AK9*AJ22:AK22)/($B$9:$C$9*AJ22:AK22))</f>
        <v>0.97683919245784767</v>
      </c>
      <c r="AK66" s="191"/>
      <c r="AL66" s="191">
        <f t="array" ref="AL66">SQRT((AL9:AM9*$B$22:$C$22)/($B$9:$C$9*$B$22:$C$22)*(AL9:AM9*AL22:AM22)/($B$9:$C$9*AL22:AM22))</f>
        <v>0.98252615567502422</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0.99856285569349779</v>
      </c>
      <c r="E68" s="191"/>
      <c r="F68" s="191">
        <f>F66/F67</f>
        <v>0.99707262349235037</v>
      </c>
      <c r="G68" s="191"/>
      <c r="H68" s="191">
        <f>H66/H67</f>
        <v>0.99552128138498419</v>
      </c>
      <c r="I68" s="191"/>
      <c r="J68" s="191">
        <f>J66/J67</f>
        <v>0.99389949809187728</v>
      </c>
      <c r="K68" s="191"/>
      <c r="L68" s="191">
        <f>L66/L67</f>
        <v>0.99219670456930709</v>
      </c>
      <c r="M68" s="191"/>
      <c r="N68" s="191">
        <f>N66/N67</f>
        <v>0.99040120402531584</v>
      </c>
      <c r="O68" s="191"/>
      <c r="P68" s="191">
        <f>P66/P67</f>
        <v>0.98850087787789698</v>
      </c>
      <c r="Q68" s="191"/>
      <c r="R68" s="191">
        <f>R66/R67</f>
        <v>0.98648452108672213</v>
      </c>
      <c r="S68" s="191"/>
      <c r="T68" s="191">
        <f>T66/T67</f>
        <v>0.98434467641363022</v>
      </c>
      <c r="U68" s="191"/>
      <c r="V68" s="191">
        <f>V66/V67</f>
        <v>0.98208319514171905</v>
      </c>
      <c r="W68" s="191"/>
      <c r="X68" s="191">
        <f>X66/X67</f>
        <v>0.9797220697594794</v>
      </c>
      <c r="Y68" s="191"/>
      <c r="Z68" s="191">
        <f>Z66/Z67</f>
        <v>0.97732446757250713</v>
      </c>
      <c r="AA68" s="191"/>
      <c r="AB68" s="191">
        <f>AB66/AB67</f>
        <v>0.97503534078981347</v>
      </c>
      <c r="AC68" s="191"/>
      <c r="AD68" s="191">
        <f>AD66/AD67</f>
        <v>0.97315642035627403</v>
      </c>
      <c r="AE68" s="191"/>
      <c r="AF68" s="191">
        <f>AF66/AF67</f>
        <v>0.97226030742049019</v>
      </c>
      <c r="AG68" s="191"/>
      <c r="AH68" s="191">
        <f>AH66/AH67</f>
        <v>0.97323718593279729</v>
      </c>
      <c r="AI68" s="191"/>
      <c r="AJ68" s="191">
        <f>AJ66/AJ67</f>
        <v>0.97683919245784767</v>
      </c>
      <c r="AK68" s="191"/>
      <c r="AL68" s="191">
        <f>AL66/AL67</f>
        <v>0.98252615567502422</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1.0015336991553772</v>
      </c>
      <c r="E69" s="191"/>
      <c r="F69" s="191">
        <f>F32/F65/($B$32)</f>
        <v>1.0029458555933677</v>
      </c>
      <c r="G69" s="191"/>
      <c r="H69" s="191">
        <f>H32/H65/($B$32)</f>
        <v>1.004217299797278</v>
      </c>
      <c r="I69" s="191"/>
      <c r="J69" s="191">
        <f>J32/J65/($B$32)</f>
        <v>1.0053246047343227</v>
      </c>
      <c r="K69" s="191"/>
      <c r="L69" s="191">
        <f>L32/L65/($B$32)</f>
        <v>1.0062384306973935</v>
      </c>
      <c r="M69" s="191"/>
      <c r="N69" s="191">
        <f>N32/N65/($B$32)</f>
        <v>1.006922490857304</v>
      </c>
      <c r="O69" s="191"/>
      <c r="P69" s="191">
        <f>P32/P65/($B$32)</f>
        <v>1.0073306271228903</v>
      </c>
      <c r="Q69" s="191"/>
      <c r="R69" s="191">
        <f>R32/R65/($B$32)</f>
        <v>1.0074037618326661</v>
      </c>
      <c r="S69" s="191"/>
      <c r="T69" s="191">
        <f>T32/T65/($B$32)</f>
        <v>1.0070652025630165</v>
      </c>
      <c r="U69" s="191"/>
      <c r="V69" s="191">
        <f>V32/V65/($B$32)</f>
        <v>1.0062134397211144</v>
      </c>
      <c r="W69" s="191"/>
      <c r="X69" s="191">
        <f>X32/X65/($B$32)</f>
        <v>1.0047111346615838</v>
      </c>
      <c r="Y69" s="191"/>
      <c r="Z69" s="191">
        <f>Z32/Z65/($B$32)</f>
        <v>1.0023664428206402</v>
      </c>
      <c r="AA69" s="191"/>
      <c r="AB69" s="191">
        <f>AB32/AB65/($B$32)</f>
        <v>0.99889840336124325</v>
      </c>
      <c r="AC69" s="191"/>
      <c r="AD69" s="191">
        <f>AD32/AD65/($B$32)</f>
        <v>0.99386220166604744</v>
      </c>
      <c r="AE69" s="191"/>
      <c r="AF69" s="191">
        <f>AF32/AF65/($B$32)</f>
        <v>0.98645644131650856</v>
      </c>
      <c r="AG69" s="191"/>
      <c r="AH69" s="191">
        <f>AH32/AH65/($B$32)</f>
        <v>0.97493398785393304</v>
      </c>
      <c r="AI69" s="191"/>
      <c r="AJ69" s="191">
        <f>AJ32/AJ65/($B$32)</f>
        <v>0.95469394814893416</v>
      </c>
      <c r="AK69" s="191"/>
      <c r="AL69" s="191">
        <f>AL32/AL65/($B$32)</f>
        <v>0.91196608304687576</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1.0002697047782858</v>
      </c>
      <c r="E70" s="138"/>
      <c r="F70" s="138">
        <f>F18/$B$18</f>
        <v>1.0004053116674911</v>
      </c>
      <c r="G70" s="138"/>
      <c r="H70" s="138">
        <f>H18/$B$18</f>
        <v>1.0003865378745016</v>
      </c>
      <c r="I70" s="138"/>
      <c r="J70" s="138">
        <f>J18/$B$18</f>
        <v>1.0001884943022101</v>
      </c>
      <c r="K70" s="138"/>
      <c r="L70" s="138">
        <f>L18/$B$18</f>
        <v>0.99977989770633546</v>
      </c>
      <c r="M70" s="138"/>
      <c r="N70" s="138">
        <f>N18/$B$18</f>
        <v>0.99912102635790334</v>
      </c>
      <c r="O70" s="138"/>
      <c r="P70" s="138">
        <f>P18/$B$18</f>
        <v>0.99815997129236778</v>
      </c>
      <c r="Q70" s="138"/>
      <c r="R70" s="138">
        <f>R18/$B$18</f>
        <v>0.99682725662014759</v>
      </c>
      <c r="S70" s="138"/>
      <c r="T70" s="138">
        <f>T18/$B$18</f>
        <v>0.99502711727945325</v>
      </c>
      <c r="U70" s="138"/>
      <c r="V70" s="138">
        <f>V18/$B$18</f>
        <v>0.99262284851903226</v>
      </c>
      <c r="W70" s="138"/>
      <c r="X70" s="138">
        <f>X18/$B$18</f>
        <v>0.98941155957510174</v>
      </c>
      <c r="Y70" s="138"/>
      <c r="Z70" s="138">
        <f>Z18/$B$18</f>
        <v>0.98507823736689881</v>
      </c>
      <c r="AA70" s="138"/>
      <c r="AB70" s="138">
        <f>AB18/$B$18</f>
        <v>0.97910839909475389</v>
      </c>
      <c r="AC70" s="138"/>
      <c r="AD70" s="138">
        <f>AD18/$B$18</f>
        <v>0.97061438699992963</v>
      </c>
      <c r="AE70" s="138"/>
      <c r="AF70" s="138">
        <f>AF18/$B$18</f>
        <v>0.95798244062263715</v>
      </c>
      <c r="AG70" s="138"/>
      <c r="AH70" s="138">
        <f>AH18/$B$18</f>
        <v>0.93816095435242064</v>
      </c>
      <c r="AI70" s="138"/>
      <c r="AJ70" s="138">
        <f>AJ18/$B$18</f>
        <v>0.90512341830390319</v>
      </c>
      <c r="AK70" s="138"/>
      <c r="AL70" s="138">
        <f>AL18/$B$18</f>
        <v>0.84472645627247345</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0.93082955361188879</v>
      </c>
      <c r="E71" s="138"/>
      <c r="F71" s="138">
        <f>G18/$C$18</f>
        <v>0.86161794527499724</v>
      </c>
      <c r="G71" s="138"/>
      <c r="H71" s="138">
        <f>I18/$C$18</f>
        <v>0.79238454383503054</v>
      </c>
      <c r="I71" s="138"/>
      <c r="J71" s="138">
        <f>K18/$C$18</f>
        <v>0.72315687544872675</v>
      </c>
      <c r="K71" s="138"/>
      <c r="L71" s="138">
        <f>M18/$C$18</f>
        <v>0.65398457597206994</v>
      </c>
      <c r="M71" s="138"/>
      <c r="N71" s="138">
        <f>O18/$C$18</f>
        <v>0.58493637485407712</v>
      </c>
      <c r="O71" s="138"/>
      <c r="P71" s="138">
        <f>Q18/$C$18</f>
        <v>0.51612677612673363</v>
      </c>
      <c r="Q71" s="138"/>
      <c r="R71" s="138">
        <f>S18/$C$18</f>
        <v>0.44773516694309634</v>
      </c>
      <c r="S71" s="138"/>
      <c r="T71" s="138">
        <f>U18/$C$18</f>
        <v>0.38004269777537775</v>
      </c>
      <c r="U71" s="138"/>
      <c r="V71" s="138">
        <f>W18/$C$18</f>
        <v>0.31349249428032955</v>
      </c>
      <c r="W71" s="138"/>
      <c r="X71" s="138">
        <f>Y18/$C$18</f>
        <v>0.24877963175634396</v>
      </c>
      <c r="Y71" s="138"/>
      <c r="Z71" s="138">
        <f>AA18/$C$18</f>
        <v>0.18699219931529137</v>
      </c>
      <c r="AA71" s="138"/>
      <c r="AB71" s="138">
        <f>AC18/$C$18</f>
        <v>0.12981553533179105</v>
      </c>
      <c r="AC71" s="138"/>
      <c r="AD71" s="138">
        <f>AE18/$C$18</f>
        <v>7.9777935600617439E-2</v>
      </c>
      <c r="AE71" s="138"/>
      <c r="AF71" s="138">
        <f>AG18/$C$18</f>
        <v>4.0303578513317624E-2</v>
      </c>
      <c r="AG71" s="138"/>
      <c r="AH71" s="138">
        <f>AI18/$C$18</f>
        <v>1.4733199059644712E-2</v>
      </c>
      <c r="AI71" s="138"/>
      <c r="AJ71" s="138">
        <f>AK18/$C$18</f>
        <v>3.1772516214707515E-3</v>
      </c>
      <c r="AK71" s="138"/>
      <c r="AL71" s="138">
        <f>AM18/$C$18</f>
        <v>2.9001257333604647E-4</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1.0213889095901609</v>
      </c>
      <c r="E72" s="138"/>
      <c r="F72" s="138">
        <f>G19/$C$19</f>
        <v>1.0463892616338879</v>
      </c>
      <c r="G72" s="138"/>
      <c r="H72" s="138">
        <f>I19/$C$19</f>
        <v>1.0754694632682757</v>
      </c>
      <c r="I72" s="138"/>
      <c r="J72" s="138">
        <f>K19/$C$19</f>
        <v>1.1091549635993903</v>
      </c>
      <c r="K72" s="138"/>
      <c r="L72" s="138">
        <f>M19/$C$19</f>
        <v>1.1480164805072741</v>
      </c>
      <c r="M72" s="138"/>
      <c r="N72" s="138">
        <f>O19/$C$19</f>
        <v>1.192667398068475</v>
      </c>
      <c r="O72" s="138"/>
      <c r="P72" s="138">
        <f>Q19/$C$19</f>
        <v>1.2437018163487521</v>
      </c>
      <c r="Q72" s="138"/>
      <c r="R72" s="138">
        <f>S19/$C$19</f>
        <v>1.3016177080615232</v>
      </c>
      <c r="S72" s="138"/>
      <c r="T72" s="138">
        <f>U19/$C$19</f>
        <v>1.3666434332523452</v>
      </c>
      <c r="U72" s="138"/>
      <c r="V72" s="138">
        <f>W19/$C$19</f>
        <v>1.4384133683869622</v>
      </c>
      <c r="W72" s="138"/>
      <c r="X72" s="138">
        <f>Y19/$C$19</f>
        <v>1.5153490297227883</v>
      </c>
      <c r="Y72" s="138"/>
      <c r="Z72" s="138">
        <f>AA19/$C$19</f>
        <v>1.5934813495039852</v>
      </c>
      <c r="AA72" s="138"/>
      <c r="AB72" s="138">
        <f>AC19/$C$19</f>
        <v>1.6642128493528927</v>
      </c>
      <c r="AC72" s="138"/>
      <c r="AD72" s="138">
        <f>AE19/$C$19</f>
        <v>1.7102667088655812</v>
      </c>
      <c r="AE72" s="138"/>
      <c r="AF72" s="138">
        <f>AG19/$C$19</f>
        <v>1.6996815427795333</v>
      </c>
      <c r="AG72" s="138"/>
      <c r="AH72" s="138">
        <f>AI19/$C$19</f>
        <v>1.5836276331648977</v>
      </c>
      <c r="AI72" s="138"/>
      <c r="AJ72" s="138">
        <f>AK19/$C$19</f>
        <v>1.319761040207539</v>
      </c>
      <c r="AK72" s="138"/>
      <c r="AL72" s="138">
        <f>AM19/$C$19</f>
        <v>0.92485397733990926</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0.47641154796651841</v>
      </c>
      <c r="E73" s="138"/>
      <c r="F73" s="193">
        <f t="array" ref="F73">SUM(F9:G9*F22:G22)/F32</f>
        <v>0.47641154992284079</v>
      </c>
      <c r="G73" s="138"/>
      <c r="H73" s="193">
        <f t="array" ref="H73">SUM(H9:I9*H22:I22)/H32</f>
        <v>0.47641155475886732</v>
      </c>
      <c r="I73" s="138"/>
      <c r="J73" s="193">
        <f t="array" ref="J73">SUM(J9:K9*J22:K22)/J32</f>
        <v>0.47641158175250242</v>
      </c>
      <c r="K73" s="138"/>
      <c r="L73" s="193">
        <f t="array" ref="L73">SUM(L9:M9*L22:M22)/L32</f>
        <v>0.4764115344209241</v>
      </c>
      <c r="M73" s="138"/>
      <c r="N73" s="193">
        <f t="array" ref="N73">SUM(N9:O9*N22:O22)/N32</f>
        <v>0.4764115352270718</v>
      </c>
      <c r="O73" s="138"/>
      <c r="P73" s="193">
        <f t="array" ref="P73">SUM(P9:Q9*P22:Q22)/P32</f>
        <v>0.47641153604686032</v>
      </c>
      <c r="Q73" s="138"/>
      <c r="R73" s="193">
        <f t="array" ref="R73">SUM(R9:S9*R22:S22)/R32</f>
        <v>0.4764115371602165</v>
      </c>
      <c r="S73" s="138"/>
      <c r="T73" s="193">
        <f t="array" ref="T73">SUM(T9:U9*T22:U22)/T32</f>
        <v>0.4764115375854458</v>
      </c>
      <c r="U73" s="138"/>
      <c r="V73" s="193">
        <f t="array" ref="V73">SUM(V9:W9*V22:W22)/V32</f>
        <v>0.47641153724411883</v>
      </c>
      <c r="W73" s="138"/>
      <c r="X73" s="193">
        <f t="array" ref="X73">SUM(X9:Y9*X22:Y22)/X32</f>
        <v>0.47641153395541824</v>
      </c>
      <c r="Y73" s="138"/>
      <c r="Z73" s="193">
        <f t="array" ref="Z73">SUM(Z9:AA9*Z22:AA22)/Z32</f>
        <v>0.47641153551143278</v>
      </c>
      <c r="AA73" s="138"/>
      <c r="AB73" s="193">
        <f t="array" ref="AB73">SUM(AB9:AC9*AB22:AC22)/AB32</f>
        <v>0.47641153491924754</v>
      </c>
      <c r="AC73" s="138"/>
      <c r="AD73" s="193">
        <f t="array" ref="AD73">SUM(AD9:AE9*AD22:AE22)/AD32</f>
        <v>0.47641153299054056</v>
      </c>
      <c r="AE73" s="138"/>
      <c r="AF73" s="193">
        <f t="array" ref="AF73">SUM(AF9:AG9*AF22:AG22)/AF32</f>
        <v>0.47641153340431924</v>
      </c>
      <c r="AG73" s="138"/>
      <c r="AH73" s="193">
        <f t="array" ref="AH73">SUM(AH9:AI9*AH22:AI22)/AH32</f>
        <v>0.47641153385797852</v>
      </c>
      <c r="AI73" s="138"/>
      <c r="AJ73" s="193">
        <f t="array" ref="AJ73">SUM(AJ9:AK9*AJ22:AK22)/AJ32</f>
        <v>0.47641153354282656</v>
      </c>
      <c r="AK73" s="138"/>
      <c r="AL73" s="193">
        <f t="array" ref="AL73">SUM(AL9:AM9*AL22:AM22)/AL32</f>
        <v>0.47641153353104282</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0.22604620456442487</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0.22038438846062547</v>
      </c>
      <c r="E75" s="138"/>
      <c r="F75" s="193">
        <f t="array" ref="F75">SUM(F11:G11*F24:G24)/F32</f>
        <v>0.22038438848552802</v>
      </c>
      <c r="G75" s="138"/>
      <c r="H75" s="193">
        <f t="array" ref="H75">SUM(H11:I11*H24:I24)/H32</f>
        <v>0.22038438853829859</v>
      </c>
      <c r="I75" s="138"/>
      <c r="J75" s="193">
        <f t="array" ref="J75">SUM(J11:K11*J24:K24)/J32</f>
        <v>0.22038438812846198</v>
      </c>
      <c r="K75" s="138"/>
      <c r="L75" s="193">
        <f t="array" ref="L75">SUM(L11:M11*L24:M24)/L32</f>
        <v>0.22038438831084767</v>
      </c>
      <c r="M75" s="138"/>
      <c r="N75" s="193">
        <f t="array" ref="N75">SUM(N11:O11*N24:O24)/N32</f>
        <v>0.22038438829008589</v>
      </c>
      <c r="O75" s="138"/>
      <c r="P75" s="193">
        <f t="array" ref="P75">SUM(P11:Q11*P24:Q24)/P32</f>
        <v>0.22038438826912954</v>
      </c>
      <c r="Q75" s="138"/>
      <c r="R75" s="193">
        <f t="array" ref="R75">SUM(R11:S11*R24:S24)/R32</f>
        <v>0.22038438831408433</v>
      </c>
      <c r="S75" s="138"/>
      <c r="T75" s="193">
        <f t="array" ref="T75">SUM(T11:U11*T24:U24)/T32</f>
        <v>0.22038438831329324</v>
      </c>
      <c r="U75" s="138"/>
      <c r="V75" s="193">
        <f t="array" ref="V75">SUM(V11:W11*V24:W24)/V32</f>
        <v>0.22038438831763907</v>
      </c>
      <c r="W75" s="138"/>
      <c r="X75" s="193">
        <f t="array" ref="X75">SUM(X11:Y11*X24:Y24)/X32</f>
        <v>0.22038438831615548</v>
      </c>
      <c r="Y75" s="138"/>
      <c r="Z75" s="193">
        <f t="array" ref="Z75">SUM(Z11:AA11*Z24:AA24)/Z32</f>
        <v>0.22038438836069704</v>
      </c>
      <c r="AA75" s="138"/>
      <c r="AB75" s="193">
        <f t="array" ref="AB75">SUM(AB11:AC11*AB24:AC24)/AB32</f>
        <v>0.22038438832215271</v>
      </c>
      <c r="AC75" s="138"/>
      <c r="AD75" s="193">
        <f t="array" ref="AD75">SUM(AD11:AE11*AD24:AE24)/AD32</f>
        <v>0.22038438833909943</v>
      </c>
      <c r="AE75" s="138"/>
      <c r="AF75" s="193">
        <f t="array" ref="AF75">SUM(AF11:AG11*AF24:AG24)/AF32</f>
        <v>0.22038438833325302</v>
      </c>
      <c r="AG75" s="138"/>
      <c r="AH75" s="193">
        <f t="array" ref="AH75">SUM(AH11:AI11*AH24:AI24)/AH32</f>
        <v>0.220384388332727</v>
      </c>
      <c r="AI75" s="138"/>
      <c r="AJ75" s="193">
        <f t="array" ref="AJ75">SUM(AJ11:AK11*AJ24:AK24)/AJ32</f>
        <v>0.22038438833197696</v>
      </c>
      <c r="AK75" s="138"/>
      <c r="AL75" s="193">
        <f t="array" ref="AL75">SUM(AL11:AM11*AL24:AM24)/AL32</f>
        <v>0.22038438833200585</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0.22296065794294948</v>
      </c>
      <c r="E76" s="138"/>
      <c r="F76" s="193">
        <f t="array" ref="F76">SUM(F12:G12*F25:G25)/F32</f>
        <v>0.22295931398866792</v>
      </c>
      <c r="G76" s="138"/>
      <c r="H76" s="193">
        <f t="array" ref="H76">SUM(H12:I12*H25:I25)/H32</f>
        <v>0.22302206552316206</v>
      </c>
      <c r="I76" s="138"/>
      <c r="J76" s="193">
        <f t="array" ref="J76">SUM(J12:K12*J25:K25)/J32</f>
        <v>0.22315722639677213</v>
      </c>
      <c r="K76" s="138"/>
      <c r="L76" s="193">
        <f t="array" ref="L76">SUM(L12:M12*L25:M25)/L32</f>
        <v>0.22337406484366501</v>
      </c>
      <c r="M76" s="138"/>
      <c r="N76" s="193">
        <f t="array" ref="N76">SUM(N12:O12*N25:O25)/N32</f>
        <v>0.22368242157584445</v>
      </c>
      <c r="O76" s="138"/>
      <c r="P76" s="193">
        <f t="array" ref="P76">SUM(P12:Q12*P25:Q25)/P32</f>
        <v>0.22409217636949044</v>
      </c>
      <c r="Q76" s="138"/>
      <c r="R76" s="193">
        <f t="array" ref="R76">SUM(R12:S12*R25:S25)/R32</f>
        <v>0.22461179777414397</v>
      </c>
      <c r="S76" s="138"/>
      <c r="T76" s="193">
        <f t="array" ref="T76">SUM(T12:U12*T25:U25)/T32</f>
        <v>0.22524553111232548</v>
      </c>
      <c r="U76" s="138"/>
      <c r="V76" s="193">
        <f t="array" ref="V76">SUM(V12:W12*V25:W25)/V32</f>
        <v>0.22598789898316421</v>
      </c>
      <c r="W76" s="138"/>
      <c r="X76" s="193">
        <f t="array" ref="X76">SUM(X12:Y12*X25:Y25)/X32</f>
        <v>0.22681289663291793</v>
      </c>
      <c r="Y76" s="138"/>
      <c r="Z76" s="193">
        <f t="array" ref="Z76">SUM(Z12:AA12*Z25:AA25)/Z32</f>
        <v>0.22765287424654593</v>
      </c>
      <c r="AA76" s="138"/>
      <c r="AB76" s="193">
        <f t="array" ref="AB76">SUM(AB12:AC12*AB25:AC25)/AB32</f>
        <v>0.22835739147804013</v>
      </c>
      <c r="AC76" s="138"/>
      <c r="AD76" s="193">
        <f t="array" ref="AD76">SUM(AD12:AE12*AD25:AE25)/AD32</f>
        <v>0.22861655444108478</v>
      </c>
      <c r="AE76" s="138"/>
      <c r="AF76" s="193">
        <f t="array" ref="AF76">SUM(AF12:AG12*AF25:AG25)/AF32</f>
        <v>0.22784233304770951</v>
      </c>
      <c r="AG76" s="138"/>
      <c r="AH76" s="193">
        <f t="array" ref="AH76">SUM(AH12:AI12*AH25:AI25)/AH32</f>
        <v>0.22510582796496681</v>
      </c>
      <c r="AI76" s="138"/>
      <c r="AJ76" s="193">
        <f t="array" ref="AJ76">SUM(AJ12:AK12*AJ25:AK25)/AJ32</f>
        <v>0.21951285086741673</v>
      </c>
      <c r="AK76" s="138"/>
      <c r="AL76" s="193">
        <f t="array" ref="AL76">SUM(AL12:AM12*AL25:AM25)/AL32</f>
        <v>0.21102610747968642</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0.14580279893451797</v>
      </c>
      <c r="E77" s="138"/>
      <c r="F77" s="193">
        <f t="array" ref="F77">SUM(F4:G4*F19:G19)/F32</f>
        <v>0.14580145696146171</v>
      </c>
      <c r="G77" s="138"/>
      <c r="H77" s="193">
        <f t="array" ref="H77">SUM(H4:I4*H19:I19)/H32</f>
        <v>0.14586421338475269</v>
      </c>
      <c r="I77" s="138"/>
      <c r="J77" s="193">
        <f t="array" ref="J77">SUM(J4:K4*J19:K19)/J32</f>
        <v>0.1459994008421614</v>
      </c>
      <c r="K77" s="138"/>
      <c r="L77" s="193">
        <f t="array" ref="L77">SUM(L4:M4*L19:M19)/L32</f>
        <v>0.14621619213986142</v>
      </c>
      <c r="M77" s="138"/>
      <c r="N77" s="193">
        <f t="array" ref="N77">SUM(N4:O4*N19:O19)/N32</f>
        <v>0.14652454965742689</v>
      </c>
      <c r="O77" s="138"/>
      <c r="P77" s="193">
        <f t="array" ref="P77">SUM(P4:Q4*P19:Q19)/P32</f>
        <v>0.14693430524990506</v>
      </c>
      <c r="Q77" s="138"/>
      <c r="R77" s="193">
        <f t="array" ref="R77">SUM(R4:S4*R19:S19)/R32</f>
        <v>0.14745392781286942</v>
      </c>
      <c r="S77" s="138"/>
      <c r="T77" s="193">
        <f t="array" ref="T77">SUM(T4:U4*T19:U19)/T32</f>
        <v>0.14808766157548922</v>
      </c>
      <c r="U77" s="138"/>
      <c r="V77" s="193">
        <f t="array" ref="V77">SUM(V4:W4*V19:W19)/V32</f>
        <v>0.14883002910934703</v>
      </c>
      <c r="W77" s="138"/>
      <c r="X77" s="193">
        <f t="array" ref="X77">SUM(X4:Y4*X19:Y19)/X32</f>
        <v>0.14965502346891638</v>
      </c>
      <c r="Y77" s="138"/>
      <c r="Z77" s="193">
        <f t="array" ref="Z77">SUM(Z4:AA4*Z19:AA19)/Z32</f>
        <v>0.15049500268310043</v>
      </c>
      <c r="AA77" s="138"/>
      <c r="AB77" s="193">
        <f t="array" ref="AB77">SUM(AB4:AC4*AB19:AC19)/AB32</f>
        <v>0.15119951928386496</v>
      </c>
      <c r="AC77" s="138"/>
      <c r="AD77" s="193">
        <f t="array" ref="AD77">SUM(AD4:AE4*AD19:AE19)/AD32</f>
        <v>0.15145868033514959</v>
      </c>
      <c r="AE77" s="138"/>
      <c r="AF77" s="193">
        <f t="array" ref="AF77">SUM(AF4:AG4*AF19:AG19)/AF32</f>
        <v>0.1506844593497064</v>
      </c>
      <c r="AG77" s="138"/>
      <c r="AH77" s="193">
        <f t="array" ref="AH77">SUM(AH4:AI4*AH19:AI19)/AH32</f>
        <v>0.14794795472009695</v>
      </c>
      <c r="AI77" s="138"/>
      <c r="AJ77" s="193">
        <f t="array" ref="AJ77">SUM(AJ4:AK4*AJ19:AK19)/AJ32</f>
        <v>0.14235497730664506</v>
      </c>
      <c r="AK77" s="138"/>
      <c r="AL77" s="193">
        <f t="array" ref="AL77">SUM(AL4:AM4*AL19:AM19)/AL32</f>
        <v>0.13386823390715974</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0.34908950452196824</v>
      </c>
      <c r="E78" s="138"/>
      <c r="F78" s="193">
        <f t="array" ref="F78">SUM(F13:G13*F26:G26)/F32</f>
        <v>0.35134855932526321</v>
      </c>
      <c r="G78" s="138"/>
      <c r="H78" s="193">
        <f t="array" ref="H78">SUM(H13:I13*H26:I26)/H32</f>
        <v>0.35367473794241133</v>
      </c>
      <c r="I78" s="138"/>
      <c r="J78" s="193">
        <f t="array" ref="J78">SUM(J13:K13*J26:K26)/J32</f>
        <v>0.35608010495965176</v>
      </c>
      <c r="K78" s="138"/>
      <c r="L78" s="193">
        <f t="array" ref="L78">SUM(L13:M13*L26:M26)/L32</f>
        <v>0.35857964750598958</v>
      </c>
      <c r="M78" s="138"/>
      <c r="N78" s="193">
        <f t="array" ref="N78">SUM(N13:O13*N26:O26)/N32</f>
        <v>0.3611922602654008</v>
      </c>
      <c r="O78" s="138"/>
      <c r="P78" s="193">
        <f t="array" ref="P78">SUM(P13:Q13*P26:Q26)/P32</f>
        <v>0.36394253461319742</v>
      </c>
      <c r="Q78" s="138"/>
      <c r="R78" s="193">
        <f t="array" ref="R78">SUM(R13:S13*R26:S26)/R32</f>
        <v>0.36686353753658768</v>
      </c>
      <c r="S78" s="138"/>
      <c r="T78" s="193">
        <f t="array" ref="T78">SUM(T13:U13*T26:U26)/T32</f>
        <v>0.37000135876887552</v>
      </c>
      <c r="U78" s="138"/>
      <c r="V78" s="193">
        <f t="array" ref="V78">SUM(V13:W13*V26:W26)/V32</f>
        <v>0.37342326908603402</v>
      </c>
      <c r="W78" s="138"/>
      <c r="X78" s="193">
        <f t="array" ref="X78">SUM(X13:Y13*X26:Y26)/X32</f>
        <v>0.37723214306071207</v>
      </c>
      <c r="Y78" s="138"/>
      <c r="Z78" s="193">
        <f t="array" ref="Z78">SUM(Z13:AA13*Z26:AA26)/Z32</f>
        <v>0.38159374133061308</v>
      </c>
      <c r="AA78" s="138"/>
      <c r="AB78" s="193">
        <f t="array" ref="AB78">SUM(AB13:AC13*AB26:AC26)/AB32</f>
        <v>0.38678990743693825</v>
      </c>
      <c r="AC78" s="138"/>
      <c r="AD78" s="193">
        <f t="array" ref="AD78">SUM(AD13:AE13*AD26:AE26)/AD32</f>
        <v>0.39332507374289116</v>
      </c>
      <c r="AE78" s="138"/>
      <c r="AF78" s="193">
        <f t="array" ref="AF78">SUM(AF13:AG13*AF26:AG26)/AF32</f>
        <v>0.40213544187539313</v>
      </c>
      <c r="AG78" s="138"/>
      <c r="AH78" s="193">
        <f t="array" ref="AH78">SUM(AH13:AI13*AH26:AI26)/AH32</f>
        <v>0.41495689686278375</v>
      </c>
      <c r="AI78" s="138"/>
      <c r="AJ78" s="193">
        <f t="array" ref="AJ78">SUM(AJ13:AK13*AJ26:AK26)/AJ32</f>
        <v>0.43490694048869316</v>
      </c>
      <c r="AK78" s="138"/>
      <c r="AL78" s="193">
        <f t="array" ref="AL78">SUM(AL13:AM13*AL26:AM26)/AL32</f>
        <v>0.46831953245188196</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0.4468813419152885</v>
      </c>
      <c r="F79" s="193">
        <f t="array" ref="F79">SUM(F15:G15*F27:G27)/F32</f>
        <v>0.43895240466209101</v>
      </c>
      <c r="H79" s="193">
        <f t="array" ref="H79">SUM(H15:I15*H27:I27)/H32</f>
        <v>0.4307878805989529</v>
      </c>
      <c r="J79" s="193">
        <f t="array" ref="J79">SUM(J15:K15*J27:K27)/J32</f>
        <v>0.42234528160190271</v>
      </c>
      <c r="L79" s="193">
        <f t="array" ref="L79">SUM(L15:M15*L27:M27)/L32</f>
        <v>0.41357230517509486</v>
      </c>
      <c r="N79" s="193">
        <f t="array" ref="N79">SUM(N15:O15*N27:O27)/N32</f>
        <v>0.40440240731407534</v>
      </c>
      <c r="P79" s="193">
        <f t="array" ref="P79">SUM(P15:Q15*P27:Q27)/P32</f>
        <v>0.39474933867667533</v>
      </c>
      <c r="R79" s="193">
        <f t="array" ref="R79">SUM(R15:S15*R27:S27)/R32</f>
        <v>0.38449710152889249</v>
      </c>
      <c r="T79" s="193">
        <f t="array" ref="T79">SUM(T15:U15*T27:U27)/T32</f>
        <v>0.3734838170791977</v>
      </c>
      <c r="V79" s="193">
        <f t="array" ref="V79">SUM(V15:W15*V27:W27)/V32</f>
        <v>0.36147342371499863</v>
      </c>
      <c r="X79" s="193">
        <f t="array" ref="X79">SUM(X15:Y15*X27:Y27)/X32</f>
        <v>0.34810484192147811</v>
      </c>
      <c r="Z79" s="193">
        <f t="array" ref="Z79">SUM(Z15:AA15*Z27:AA27)/Z32</f>
        <v>0.33279629218807583</v>
      </c>
      <c r="AB79" s="193">
        <f t="array" ref="AB79">SUM(AB15:AC15*AB27:AC27)/AB32</f>
        <v>0.31455851606468316</v>
      </c>
      <c r="AD79" s="193">
        <f t="array" ref="AD79">SUM(AD15:AE15*AD27:AE27)/AD32</f>
        <v>0.29162106864717313</v>
      </c>
      <c r="AF79" s="193">
        <f t="array" ref="AF79">SUM(AF15:AG15*AF27:AG27)/AF32</f>
        <v>0.26069799012447847</v>
      </c>
      <c r="AH79" s="193">
        <f t="array" ref="AH79">SUM(AH15:AI15*AH27:AI27)/AH32</f>
        <v>0.21569659694806309</v>
      </c>
      <c r="AJ79" s="193">
        <f t="array" ref="AJ79">SUM(AJ15:AK15*AJ27:AK27)/AJ32</f>
        <v>0.1456749232767591</v>
      </c>
      <c r="AL79" s="193">
        <f t="array" ref="AL79">SUM(AL15:AM15*AL27:AM27)/AL32</f>
        <v>2.8401715469749154E-2</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0.20402919121263755</v>
      </c>
      <c r="F80" s="236">
        <f>F55</f>
        <v>0.20969908363451414</v>
      </c>
      <c r="H80" s="236">
        <f>H55</f>
        <v>0.21553744995179819</v>
      </c>
      <c r="J80" s="236">
        <f>J55</f>
        <v>0.2215746551582729</v>
      </c>
      <c r="L80" s="236">
        <f>L55</f>
        <v>0.22784804460517097</v>
      </c>
      <c r="N80" s="236">
        <f>N55</f>
        <v>0.23440532677025444</v>
      </c>
      <c r="P80" s="236">
        <f>P55</f>
        <v>0.24130811775362526</v>
      </c>
      <c r="R80" s="236">
        <f>R55</f>
        <v>0.24863936464097788</v>
      </c>
      <c r="T80" s="236">
        <f>T55</f>
        <v>0.25651482812451287</v>
      </c>
      <c r="V80" s="236">
        <f>V55</f>
        <v>0.26510331081293981</v>
      </c>
      <c r="X80" s="236">
        <f>X55</f>
        <v>0.27466301043923103</v>
      </c>
      <c r="Z80" s="236">
        <f>Z55</f>
        <v>0.28560998136693905</v>
      </c>
      <c r="AB80" s="236">
        <f>AB55</f>
        <v>0.2986515740209294</v>
      </c>
      <c r="AD80" s="236">
        <f>AD55</f>
        <v>0.31505386212792119</v>
      </c>
      <c r="AF80" s="236">
        <f>AF55</f>
        <v>0.33716656990257099</v>
      </c>
      <c r="AH80" s="236">
        <f>AH55</f>
        <v>0.36934650444896538</v>
      </c>
      <c r="AJ80" s="236">
        <f>AJ55</f>
        <v>0.41941813565580066</v>
      </c>
      <c r="AL80" s="236">
        <f>AL55</f>
        <v>0.50327875209864925</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-2.2017013351787306E-2</v>
      </c>
      <c r="F81" s="236">
        <f>F51/F$32</f>
        <v>-1.6347120929910714E-2</v>
      </c>
      <c r="H81" s="236">
        <f>H51/H$32</f>
        <v>-1.050875461262663E-2</v>
      </c>
      <c r="J81" s="236">
        <f>J51/J$32</f>
        <v>-4.4715494061519341E-3</v>
      </c>
      <c r="L81" s="236">
        <f>L51/L$32</f>
        <v>1.8018400407461236E-3</v>
      </c>
      <c r="N81" s="236">
        <f>N51/N$32</f>
        <v>8.3591222058295965E-3</v>
      </c>
      <c r="P81" s="236">
        <f>P51/P$32</f>
        <v>1.5261913189200435E-2</v>
      </c>
      <c r="R81" s="236">
        <f>R51/R$32</f>
        <v>2.2593160076553043E-2</v>
      </c>
      <c r="T81" s="236">
        <f>T51/T$32</f>
        <v>3.0468623560088028E-2</v>
      </c>
      <c r="V81" s="236">
        <f>V51/V$32</f>
        <v>3.9057106248514967E-2</v>
      </c>
      <c r="X81" s="236">
        <f>X51/X$32</f>
        <v>4.8616805874806171E-2</v>
      </c>
      <c r="Z81" s="236">
        <f>Z51/Z$32</f>
        <v>5.9563776802514179E-2</v>
      </c>
      <c r="AB81" s="236">
        <f>AB51/AB$32</f>
        <v>7.2605369456504559E-2</v>
      </c>
      <c r="AD81" s="236">
        <f>AD51/AD$32</f>
        <v>8.9007657563496323E-2</v>
      </c>
      <c r="AF81" s="236">
        <f>AF51/AF$32</f>
        <v>0.11112036533814616</v>
      </c>
      <c r="AH81" s="236">
        <f>AH51/AH$32</f>
        <v>0.14330029988454052</v>
      </c>
      <c r="AJ81" s="236">
        <f>AJ51/AJ$32</f>
        <v>0.19337193109137585</v>
      </c>
      <c r="AL81" s="236">
        <f>AL51/AL$32</f>
        <v>0.27723254753422438</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0.1399614212164032</v>
      </c>
      <c r="F82" s="236">
        <f>F52/F$32</f>
        <v>0.14086715031103145</v>
      </c>
      <c r="H82" s="236">
        <f>H52/H$32</f>
        <v>0.14179979154212516</v>
      </c>
      <c r="J82" s="236">
        <f>J52/J$32</f>
        <v>0.14276418199763607</v>
      </c>
      <c r="L82" s="236">
        <f>L52/L$32</f>
        <v>0.1437663305086759</v>
      </c>
      <c r="N82" s="236">
        <f>N52/N$32</f>
        <v>0.14481381257318549</v>
      </c>
      <c r="P82" s="236">
        <f>P52/P$32</f>
        <v>0.14591648767932983</v>
      </c>
      <c r="R82" s="236">
        <f>R52/R$32</f>
        <v>0.14708761346580912</v>
      </c>
      <c r="T82" s="236">
        <f>T52/T$32</f>
        <v>0.14834566881695874</v>
      </c>
      <c r="V82" s="236">
        <f>V52/V$32</f>
        <v>0.14971762479117345</v>
      </c>
      <c r="X82" s="236">
        <f>X52/X$32</f>
        <v>0.15124472717558948</v>
      </c>
      <c r="Z82" s="236">
        <f>Z52/Z$32</f>
        <v>0.15299343484145381</v>
      </c>
      <c r="AB82" s="236">
        <f>AB52/AB$32</f>
        <v>0.1550767480997933</v>
      </c>
      <c r="AD82" s="236">
        <f>AD52/AD$32</f>
        <v>0.157696910414095</v>
      </c>
      <c r="AF82" s="236">
        <f>AF52/AF$32</f>
        <v>0.16122927569374804</v>
      </c>
      <c r="AH82" s="236">
        <f>AH52/AH$32</f>
        <v>0.16636981712754073</v>
      </c>
      <c r="AJ82" s="236">
        <f>AJ52/AJ$32</f>
        <v>0.1743684433338345</v>
      </c>
      <c r="AL82" s="236">
        <f>AL52/AL$32</f>
        <v>0.18776464630503378</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0.18284503085618109</v>
      </c>
      <c r="F83" s="236">
        <f>F53/F$32</f>
        <v>0.17960084355020842</v>
      </c>
      <c r="H83" s="236">
        <f>H53/H$32</f>
        <v>0.17626026404010323</v>
      </c>
      <c r="J83" s="236">
        <f>J53/J$32</f>
        <v>0.17280590797433887</v>
      </c>
      <c r="L83" s="236">
        <f>L53/L$32</f>
        <v>0.16921637537361481</v>
      </c>
      <c r="N83" s="236">
        <f>N53/N$32</f>
        <v>0.16546443923289322</v>
      </c>
      <c r="P83" s="236">
        <f>P53/P$32</f>
        <v>0.1615148099525622</v>
      </c>
      <c r="R83" s="236">
        <f>R53/R$32</f>
        <v>0.15732002614351567</v>
      </c>
      <c r="T83" s="236">
        <f>T53/T$32</f>
        <v>0.15281385381955662</v>
      </c>
      <c r="V83" s="236">
        <f>V53/V$32</f>
        <v>0.14789970650729731</v>
      </c>
      <c r="X83" s="236">
        <f>X53/X$32</f>
        <v>0.14242984567116734</v>
      </c>
      <c r="Z83" s="236">
        <f>Z53/Z$32</f>
        <v>0.13616623162908026</v>
      </c>
      <c r="AB83" s="236">
        <f>AB53/AB$32</f>
        <v>0.12870410147225222</v>
      </c>
      <c r="AD83" s="236">
        <f>AD53/AD$32</f>
        <v>0.11931906368382812</v>
      </c>
      <c r="AF83" s="236">
        <f>AF53/AF$32</f>
        <v>0.10666664185207929</v>
      </c>
      <c r="AH83" s="236">
        <f>AH53/AH$32</f>
        <v>8.8253966378435161E-2</v>
      </c>
      <c r="AJ83" s="236">
        <f>AJ53/AJ$32</f>
        <v>5.9604045510944559E-2</v>
      </c>
      <c r="AL83" s="236">
        <f>AL53/AL$32</f>
        <v>1.1620786222977228E-2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c r="AJ1" s="94"/>
      <c r="AL1" s="94"/>
      <c r="AN1" s="94"/>
      <c r="AP1" s="94"/>
      <c r="AR1" s="94"/>
      <c r="AT1" s="94"/>
      <c r="AV1" s="94"/>
    </row>
    <row r="2" spans="1:49" x14ac:dyDescent="0.2">
      <c r="A2" s="229" t="s">
        <v>155</v>
      </c>
      <c r="B2" s="226">
        <v>5.7716594496607888E-3</v>
      </c>
      <c r="C2" s="227"/>
      <c r="D2" s="226">
        <v>5.434901980127238E-2</v>
      </c>
      <c r="E2" s="227"/>
      <c r="F2" s="226">
        <v>0.10795966221017568</v>
      </c>
      <c r="G2" s="227"/>
      <c r="H2" s="226">
        <v>0.16748659960347076</v>
      </c>
      <c r="I2" s="227"/>
      <c r="J2" s="226">
        <v>0.23405950174977389</v>
      </c>
      <c r="K2" s="227"/>
      <c r="L2" s="226">
        <v>0.30915573833556054</v>
      </c>
      <c r="M2" s="227"/>
      <c r="N2" s="226">
        <v>0.39475656745190146</v>
      </c>
      <c r="O2" s="227"/>
      <c r="P2" s="226">
        <v>0.49359685990444191</v>
      </c>
      <c r="Q2" s="227"/>
      <c r="R2" s="226">
        <v>0.60958029411413572</v>
      </c>
      <c r="S2" s="227"/>
      <c r="T2" s="226">
        <v>0.74849963082318283</v>
      </c>
      <c r="U2" s="227"/>
      <c r="V2" s="226">
        <v>0.91934768031871061</v>
      </c>
      <c r="W2" s="227"/>
      <c r="X2" s="226">
        <v>1.1368542642758206</v>
      </c>
      <c r="Y2" s="227"/>
      <c r="Z2" s="226">
        <v>1.4266900686653945</v>
      </c>
      <c r="AA2" s="227"/>
      <c r="AB2" s="226">
        <v>1.8369044948249567</v>
      </c>
      <c r="AC2" s="227"/>
      <c r="AD2" s="226">
        <v>2.4645709120394623</v>
      </c>
      <c r="AE2" s="227"/>
      <c r="AF2" s="226">
        <v>3.5202387571230811</v>
      </c>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998.0077329390524</v>
      </c>
      <c r="E3" s="85">
        <v>1028.980688676166</v>
      </c>
      <c r="F3" s="84">
        <v>995.9972133957117</v>
      </c>
      <c r="G3" s="85">
        <v>1061.1737029521926</v>
      </c>
      <c r="H3" s="84">
        <v>993.95879303010622</v>
      </c>
      <c r="I3" s="85">
        <v>1097.1536199477018</v>
      </c>
      <c r="J3" s="84">
        <v>991.8826811112466</v>
      </c>
      <c r="K3" s="85">
        <v>1137.6483919277841</v>
      </c>
      <c r="L3" s="84">
        <v>989.75950721005404</v>
      </c>
      <c r="M3" s="85">
        <v>1183.5976531517422</v>
      </c>
      <c r="N3" s="84">
        <v>987.58133643126428</v>
      </c>
      <c r="O3" s="85">
        <v>1236.2414567340181</v>
      </c>
      <c r="P3" s="84">
        <v>985.34344099123496</v>
      </c>
      <c r="Q3" s="85">
        <v>1297.2588970444669</v>
      </c>
      <c r="R3" s="84">
        <v>983.04739253411105</v>
      </c>
      <c r="S3" s="85">
        <v>1368.9938601408721</v>
      </c>
      <c r="T3" s="84">
        <v>980.70647614172822</v>
      </c>
      <c r="U3" s="85">
        <v>1454.8378730577574</v>
      </c>
      <c r="V3" s="84">
        <v>978.35526158397988</v>
      </c>
      <c r="W3" s="85">
        <v>1559.9108707650848</v>
      </c>
      <c r="X3" s="84">
        <v>976.06683375154159</v>
      </c>
      <c r="Y3" s="85">
        <v>1692.3413934414627</v>
      </c>
      <c r="Z3" s="84">
        <v>973.9835217535931</v>
      </c>
      <c r="AA3" s="85">
        <v>1865.816423916782</v>
      </c>
      <c r="AB3" s="84">
        <v>972.36917245278482</v>
      </c>
      <c r="AC3" s="85">
        <v>2104.9887046291014</v>
      </c>
      <c r="AD3" s="84">
        <v>971.67973689041935</v>
      </c>
      <c r="AE3" s="85">
        <v>2457.5795487597907</v>
      </c>
      <c r="AF3" s="84">
        <v>972.5748678641047</v>
      </c>
      <c r="AG3" s="85">
        <v>3022.4862284204119</v>
      </c>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997.90865196775371</v>
      </c>
      <c r="E5" s="42">
        <v>1025.0924552769479</v>
      </c>
      <c r="F5" s="41">
        <v>995.79636032963015</v>
      </c>
      <c r="G5" s="42">
        <v>1052.1439315449679</v>
      </c>
      <c r="H5" s="41">
        <v>993.65291442308444</v>
      </c>
      <c r="I5" s="42">
        <v>1081.3672531349732</v>
      </c>
      <c r="J5" s="41">
        <v>991.46791653550213</v>
      </c>
      <c r="K5" s="42">
        <v>1113.0007674112069</v>
      </c>
      <c r="L5" s="41">
        <v>989.2313721882806</v>
      </c>
      <c r="M5" s="42">
        <v>1147.3097736331897</v>
      </c>
      <c r="N5" s="41">
        <v>986.93476047405136</v>
      </c>
      <c r="O5" s="42">
        <v>1184.5874586018817</v>
      </c>
      <c r="P5" s="41">
        <v>984.57290910632742</v>
      </c>
      <c r="Q5" s="42">
        <v>1225.1524624513816</v>
      </c>
      <c r="R5" s="41">
        <v>982.14727709942247</v>
      </c>
      <c r="S5" s="42">
        <v>1269.3404660284255</v>
      </c>
      <c r="T5" s="41">
        <v>979.67171591864974</v>
      </c>
      <c r="U5" s="42">
        <v>1317.4826042219804</v>
      </c>
      <c r="V5" s="41">
        <v>977.18267329682976</v>
      </c>
      <c r="W5" s="42">
        <v>1369.8573761402663</v>
      </c>
      <c r="X5" s="41">
        <v>974.75758429746884</v>
      </c>
      <c r="Y5" s="42">
        <v>1426.5791054188378</v>
      </c>
      <c r="Z5" s="41">
        <v>972.54768725771021</v>
      </c>
      <c r="AA5" s="42">
        <v>1487.3636393689103</v>
      </c>
      <c r="AB5" s="41">
        <v>970.83381355142797</v>
      </c>
      <c r="AC5" s="42">
        <v>1551.0301966079719</v>
      </c>
      <c r="AD5" s="41">
        <v>970.10149080746135</v>
      </c>
      <c r="AE5" s="42">
        <v>1614.5732702191738</v>
      </c>
      <c r="AF5" s="41">
        <v>971.05225995754051</v>
      </c>
      <c r="AG5" s="42">
        <v>1672.0210372085323</v>
      </c>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997.74904481012663</v>
      </c>
      <c r="E6" s="42">
        <v>1031.2136838266458</v>
      </c>
      <c r="F6" s="41">
        <v>995.47627842726922</v>
      </c>
      <c r="G6" s="42">
        <v>1065.7386095561451</v>
      </c>
      <c r="H6" s="41">
        <v>993.17074130876983</v>
      </c>
      <c r="I6" s="42">
        <v>1104.1629074672112</v>
      </c>
      <c r="J6" s="41">
        <v>990.82128759783961</v>
      </c>
      <c r="K6" s="42">
        <v>1147.2318965330019</v>
      </c>
      <c r="L6" s="41">
        <v>988.41722039584954</v>
      </c>
      <c r="M6" s="42">
        <v>1195.9079217360486</v>
      </c>
      <c r="N6" s="41">
        <v>985.94944175205069</v>
      </c>
      <c r="O6" s="42">
        <v>1251.461432456206</v>
      </c>
      <c r="P6" s="41">
        <v>983.41246437765267</v>
      </c>
      <c r="Q6" s="42">
        <v>1315.6132348936173</v>
      </c>
      <c r="R6" s="41">
        <v>980.80792998657262</v>
      </c>
      <c r="S6" s="42">
        <v>1390.7661286420828</v>
      </c>
      <c r="T6" s="41">
        <v>978.15077887052416</v>
      </c>
      <c r="U6" s="42">
        <v>1480.3976541227016</v>
      </c>
      <c r="V6" s="41">
        <v>975.48017016477661</v>
      </c>
      <c r="W6" s="42">
        <v>1589.7582947013607</v>
      </c>
      <c r="X6" s="41">
        <v>972.87915641333041</v>
      </c>
      <c r="Y6" s="42">
        <v>1727.1841903039228</v>
      </c>
      <c r="Z6" s="41">
        <v>970.50978397521453</v>
      </c>
      <c r="AA6" s="42">
        <v>1906.7111641089682</v>
      </c>
      <c r="AB6" s="41">
        <v>968.67278026209226</v>
      </c>
      <c r="AC6" s="42">
        <v>2153.6173296086113</v>
      </c>
      <c r="AD6" s="41">
        <v>967.88799171290725</v>
      </c>
      <c r="AE6" s="42">
        <v>2516.8280150520354</v>
      </c>
      <c r="AF6" s="41">
        <v>968.90689381320601</v>
      </c>
      <c r="AG6" s="42">
        <v>3097.7292404604159</v>
      </c>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1013.7870576445257</v>
      </c>
      <c r="E7" s="34">
        <v>1013.7870576445257</v>
      </c>
      <c r="F7" s="33">
        <v>1011.6411558924185</v>
      </c>
      <c r="G7" s="34">
        <v>1011.6411558924185</v>
      </c>
      <c r="H7" s="33">
        <v>1009.4636041550604</v>
      </c>
      <c r="I7" s="34">
        <v>1009.4636041550604</v>
      </c>
      <c r="J7" s="33">
        <v>1007.2438392747342</v>
      </c>
      <c r="K7" s="34">
        <v>1007.2438392747342</v>
      </c>
      <c r="L7" s="33">
        <v>1004.971707743867</v>
      </c>
      <c r="M7" s="34">
        <v>1004.971707743867</v>
      </c>
      <c r="N7" s="33">
        <v>1002.6385530731169</v>
      </c>
      <c r="O7" s="34">
        <v>1002.6385530731169</v>
      </c>
      <c r="P7" s="33">
        <v>1000.2391206762167</v>
      </c>
      <c r="Q7" s="34">
        <v>1000.2391206762167</v>
      </c>
      <c r="R7" s="33">
        <v>997.77489278285225</v>
      </c>
      <c r="S7" s="34">
        <v>997.77489278285225</v>
      </c>
      <c r="T7" s="33">
        <v>995.25994125845591</v>
      </c>
      <c r="U7" s="34">
        <v>995.25994125845591</v>
      </c>
      <c r="V7" s="33">
        <v>992.73129378060219</v>
      </c>
      <c r="W7" s="34">
        <v>992.73129378060219</v>
      </c>
      <c r="X7" s="33">
        <v>990.26761753494554</v>
      </c>
      <c r="Y7" s="34">
        <v>990.26761753494554</v>
      </c>
      <c r="Z7" s="33">
        <v>988.02255731503806</v>
      </c>
      <c r="AA7" s="34">
        <v>988.02255731503806</v>
      </c>
      <c r="AB7" s="33">
        <v>986.28141299442314</v>
      </c>
      <c r="AC7" s="34">
        <v>986.28141299442314</v>
      </c>
      <c r="AD7" s="33">
        <v>985.53743776343572</v>
      </c>
      <c r="AE7" s="34">
        <v>985.53743776343572</v>
      </c>
      <c r="AF7" s="33">
        <v>986.50333525040242</v>
      </c>
      <c r="AG7" s="34">
        <v>986.50333525040242</v>
      </c>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1080.8052254269296</v>
      </c>
      <c r="E8" s="36">
        <v>1080.8052254269296</v>
      </c>
      <c r="F8" s="35">
        <v>1165.733034991049</v>
      </c>
      <c r="G8" s="36">
        <v>1165.733034991049</v>
      </c>
      <c r="H8" s="35">
        <v>1262.4817772850954</v>
      </c>
      <c r="I8" s="36">
        <v>1262.4817772850954</v>
      </c>
      <c r="J8" s="35">
        <v>1373.50917247859</v>
      </c>
      <c r="K8" s="36">
        <v>1373.50917247859</v>
      </c>
      <c r="L8" s="35">
        <v>1502.0071738003633</v>
      </c>
      <c r="M8" s="36">
        <v>1502.0071738003633</v>
      </c>
      <c r="N8" s="35">
        <v>1652.2111376061321</v>
      </c>
      <c r="O8" s="36">
        <v>1652.2111376061321</v>
      </c>
      <c r="P8" s="35">
        <v>1829.8838708215783</v>
      </c>
      <c r="Q8" s="36">
        <v>1829.8838708215783</v>
      </c>
      <c r="R8" s="35">
        <v>2043.1054006410072</v>
      </c>
      <c r="S8" s="36">
        <v>2043.1054006410072</v>
      </c>
      <c r="T8" s="35">
        <v>2303.6178470980981</v>
      </c>
      <c r="U8" s="36">
        <v>2303.6178470980981</v>
      </c>
      <c r="V8" s="35">
        <v>2629.2325772622958</v>
      </c>
      <c r="W8" s="36">
        <v>2629.2325772622958</v>
      </c>
      <c r="X8" s="35">
        <v>3048.3916447410288</v>
      </c>
      <c r="Y8" s="36">
        <v>3048.3916447410288</v>
      </c>
      <c r="Z8" s="35">
        <v>3609.3705721505521</v>
      </c>
      <c r="AA8" s="36">
        <v>3609.3705721505521</v>
      </c>
      <c r="AB8" s="35">
        <v>4400.124536366392</v>
      </c>
      <c r="AC8" s="36">
        <v>4400.124536366392</v>
      </c>
      <c r="AD8" s="35">
        <v>5593.8035873577801</v>
      </c>
      <c r="AE8" s="36">
        <v>5593.8035873577801</v>
      </c>
      <c r="AF8" s="35">
        <v>7557.934295115142</v>
      </c>
      <c r="AG8" s="36">
        <v>7557.934295115142</v>
      </c>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1013.7870576445257</v>
      </c>
      <c r="E9" s="42">
        <v>1080.8052254269296</v>
      </c>
      <c r="F9" s="41">
        <v>1011.6411558924185</v>
      </c>
      <c r="G9" s="42">
        <v>1165.733034991049</v>
      </c>
      <c r="H9" s="41">
        <v>1009.4636041550604</v>
      </c>
      <c r="I9" s="42">
        <v>1262.4817772850954</v>
      </c>
      <c r="J9" s="41">
        <v>1007.2438392747342</v>
      </c>
      <c r="K9" s="42">
        <v>1373.50917247859</v>
      </c>
      <c r="L9" s="41">
        <v>1004.971707743867</v>
      </c>
      <c r="M9" s="42">
        <v>1502.0071738003633</v>
      </c>
      <c r="N9" s="41">
        <v>1002.6385530731169</v>
      </c>
      <c r="O9" s="42">
        <v>1652.2111376061321</v>
      </c>
      <c r="P9" s="41">
        <v>1000.2391206762167</v>
      </c>
      <c r="Q9" s="42">
        <v>1829.8838708215783</v>
      </c>
      <c r="R9" s="41">
        <v>997.77489278285225</v>
      </c>
      <c r="S9" s="42">
        <v>2043.1054006410072</v>
      </c>
      <c r="T9" s="41">
        <v>995.25994125845591</v>
      </c>
      <c r="U9" s="42">
        <v>2303.6178470980981</v>
      </c>
      <c r="V9" s="41">
        <v>992.73129378060219</v>
      </c>
      <c r="W9" s="42">
        <v>2629.2325772622958</v>
      </c>
      <c r="X9" s="41">
        <v>990.26761753494554</v>
      </c>
      <c r="Y9" s="42">
        <v>3048.3916447410288</v>
      </c>
      <c r="Z9" s="41">
        <v>988.02255731503806</v>
      </c>
      <c r="AA9" s="42">
        <v>3609.3705721505521</v>
      </c>
      <c r="AB9" s="41">
        <v>986.28141299442314</v>
      </c>
      <c r="AC9" s="42">
        <v>4400.124536366392</v>
      </c>
      <c r="AD9" s="41">
        <v>985.53743776343572</v>
      </c>
      <c r="AE9" s="42">
        <v>5593.8035873577801</v>
      </c>
      <c r="AF9" s="41">
        <v>986.50333525040242</v>
      </c>
      <c r="AG9" s="42">
        <v>7557.934295115142</v>
      </c>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1013.7870576445257</v>
      </c>
      <c r="E10" s="42">
        <v>1080.8052254269296</v>
      </c>
      <c r="F10" s="41">
        <v>1011.6411558924185</v>
      </c>
      <c r="G10" s="42">
        <v>1165.733034991049</v>
      </c>
      <c r="H10" s="41">
        <v>1009.4636041550604</v>
      </c>
      <c r="I10" s="42">
        <v>1262.4817772850954</v>
      </c>
      <c r="J10" s="41">
        <v>1007.2438392747342</v>
      </c>
      <c r="K10" s="42">
        <v>1373.50917247859</v>
      </c>
      <c r="L10" s="41">
        <v>1004.971707743867</v>
      </c>
      <c r="M10" s="42">
        <v>1502.0071738003633</v>
      </c>
      <c r="N10" s="41">
        <v>1002.6385530731169</v>
      </c>
      <c r="O10" s="42">
        <v>1652.2111376061321</v>
      </c>
      <c r="P10" s="41">
        <v>1000.2391206762167</v>
      </c>
      <c r="Q10" s="42">
        <v>1829.8838708215783</v>
      </c>
      <c r="R10" s="41">
        <v>997.77489278285225</v>
      </c>
      <c r="S10" s="42">
        <v>2043.1054006410072</v>
      </c>
      <c r="T10" s="41">
        <v>995.25994125845591</v>
      </c>
      <c r="U10" s="42">
        <v>2303.6178470980981</v>
      </c>
      <c r="V10" s="41">
        <v>992.73129378060219</v>
      </c>
      <c r="W10" s="42">
        <v>2629.2325772622958</v>
      </c>
      <c r="X10" s="41">
        <v>990.26761753494554</v>
      </c>
      <c r="Y10" s="42">
        <v>3048.3916447410288</v>
      </c>
      <c r="Z10" s="41">
        <v>988.02255731503806</v>
      </c>
      <c r="AA10" s="42">
        <v>3609.3705721505521</v>
      </c>
      <c r="AB10" s="41">
        <v>986.28141299442314</v>
      </c>
      <c r="AC10" s="42">
        <v>4400.124536366392</v>
      </c>
      <c r="AD10" s="41">
        <v>985.53743776343572</v>
      </c>
      <c r="AE10" s="42">
        <v>5593.8035873577801</v>
      </c>
      <c r="AF10" s="41">
        <v>986.50333525040242</v>
      </c>
      <c r="AG10" s="42">
        <v>7557.934295115142</v>
      </c>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1013.7870576445257</v>
      </c>
      <c r="E11" s="42">
        <v>1080.8052254269296</v>
      </c>
      <c r="F11" s="41">
        <v>1011.6411558924185</v>
      </c>
      <c r="G11" s="42">
        <v>1165.733034991049</v>
      </c>
      <c r="H11" s="41">
        <v>1009.4636041550604</v>
      </c>
      <c r="I11" s="42">
        <v>1262.4817772850954</v>
      </c>
      <c r="J11" s="41">
        <v>1007.2438392747342</v>
      </c>
      <c r="K11" s="42">
        <v>1373.50917247859</v>
      </c>
      <c r="L11" s="41">
        <v>1004.971707743867</v>
      </c>
      <c r="M11" s="42">
        <v>1502.0071738003633</v>
      </c>
      <c r="N11" s="41">
        <v>1002.6385530731169</v>
      </c>
      <c r="O11" s="42">
        <v>1652.2111376061321</v>
      </c>
      <c r="P11" s="41">
        <v>1000.2391206762167</v>
      </c>
      <c r="Q11" s="42">
        <v>1829.8838708215783</v>
      </c>
      <c r="R11" s="41">
        <v>997.77489278285225</v>
      </c>
      <c r="S11" s="42">
        <v>2043.1054006410072</v>
      </c>
      <c r="T11" s="41">
        <v>995.25994125845591</v>
      </c>
      <c r="U11" s="42">
        <v>2303.6178470980981</v>
      </c>
      <c r="V11" s="41">
        <v>992.73129378060219</v>
      </c>
      <c r="W11" s="42">
        <v>2629.2325772622958</v>
      </c>
      <c r="X11" s="41">
        <v>990.26761753494554</v>
      </c>
      <c r="Y11" s="42">
        <v>3048.3916447410288</v>
      </c>
      <c r="Z11" s="41">
        <v>988.02255731503806</v>
      </c>
      <c r="AA11" s="42">
        <v>3609.3705721505521</v>
      </c>
      <c r="AB11" s="41">
        <v>986.28141299442314</v>
      </c>
      <c r="AC11" s="42">
        <v>4400.124536366392</v>
      </c>
      <c r="AD11" s="41">
        <v>985.53743776343572</v>
      </c>
      <c r="AE11" s="42">
        <v>5593.8035873577801</v>
      </c>
      <c r="AF11" s="41">
        <v>986.50333525040242</v>
      </c>
      <c r="AG11" s="42">
        <v>7557.934295115142</v>
      </c>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966.35472454648107</v>
      </c>
      <c r="E13" s="98">
        <v>966.35472454648107</v>
      </c>
      <c r="F13" s="97">
        <v>931.62283322182395</v>
      </c>
      <c r="G13" s="98">
        <v>931.62283322182395</v>
      </c>
      <c r="H13" s="97">
        <v>895.64632021986165</v>
      </c>
      <c r="I13" s="98">
        <v>895.64632021986165</v>
      </c>
      <c r="J13" s="97">
        <v>858.23435512082574</v>
      </c>
      <c r="K13" s="98">
        <v>858.23435512082574</v>
      </c>
      <c r="L13" s="97">
        <v>819.15086495059347</v>
      </c>
      <c r="M13" s="98">
        <v>819.15086495059347</v>
      </c>
      <c r="N13" s="97">
        <v>778.09507957281414</v>
      </c>
      <c r="O13" s="98">
        <v>778.09507957281414</v>
      </c>
      <c r="P13" s="97">
        <v>734.67136117633049</v>
      </c>
      <c r="Q13" s="98">
        <v>734.67136117633049</v>
      </c>
      <c r="R13" s="97">
        <v>688.340399213198</v>
      </c>
      <c r="S13" s="98">
        <v>688.340399213198</v>
      </c>
      <c r="T13" s="97">
        <v>638.33829977956907</v>
      </c>
      <c r="U13" s="98">
        <v>638.33829977956907</v>
      </c>
      <c r="V13" s="97">
        <v>583.53899571938234</v>
      </c>
      <c r="W13" s="98">
        <v>583.53899571938234</v>
      </c>
      <c r="X13" s="97">
        <v>522.21507302970417</v>
      </c>
      <c r="Y13" s="98">
        <v>522.21507302970417</v>
      </c>
      <c r="Z13" s="97">
        <v>451.62063749907878</v>
      </c>
      <c r="AA13" s="98">
        <v>451.62063749907878</v>
      </c>
      <c r="AB13" s="97">
        <v>367.30186640898091</v>
      </c>
      <c r="AC13" s="98">
        <v>367.30186640898091</v>
      </c>
      <c r="AD13" s="97">
        <v>262.25084811682984</v>
      </c>
      <c r="AE13" s="98">
        <v>262.25084811682984</v>
      </c>
      <c r="AF13" s="97">
        <v>127.79567101377242</v>
      </c>
      <c r="AG13" s="98">
        <v>127.79567101377242</v>
      </c>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1407.9821435697816</v>
      </c>
      <c r="E14" s="42">
        <v>1407.9821435697818</v>
      </c>
      <c r="F14" s="41">
        <v>1357.3776589479742</v>
      </c>
      <c r="G14" s="42">
        <v>1357.3776589479744</v>
      </c>
      <c r="H14" s="41">
        <v>1304.9597562793226</v>
      </c>
      <c r="I14" s="42">
        <v>1304.9597562793228</v>
      </c>
      <c r="J14" s="41">
        <v>1250.4503949886025</v>
      </c>
      <c r="K14" s="42">
        <v>1250.4503949886027</v>
      </c>
      <c r="L14" s="41">
        <v>1193.5056159439328</v>
      </c>
      <c r="M14" s="42">
        <v>1193.5056159439328</v>
      </c>
      <c r="N14" s="41">
        <v>1133.6871960264687</v>
      </c>
      <c r="O14" s="42">
        <v>1133.6871960264689</v>
      </c>
      <c r="P14" s="41">
        <v>1070.4186895902374</v>
      </c>
      <c r="Q14" s="42">
        <v>1070.4186895902376</v>
      </c>
      <c r="R14" s="41">
        <v>1002.9143193196663</v>
      </c>
      <c r="S14" s="42">
        <v>1002.9143193196664</v>
      </c>
      <c r="T14" s="41">
        <v>930.06108918040195</v>
      </c>
      <c r="U14" s="42">
        <v>930.06108918040206</v>
      </c>
      <c r="V14" s="41">
        <v>850.21831546911892</v>
      </c>
      <c r="W14" s="42">
        <v>850.21831546911903</v>
      </c>
      <c r="X14" s="41">
        <v>760.86915006689856</v>
      </c>
      <c r="Y14" s="42">
        <v>760.86915006689867</v>
      </c>
      <c r="Z14" s="41">
        <v>658.01281570256253</v>
      </c>
      <c r="AA14" s="42">
        <v>658.01281570256265</v>
      </c>
      <c r="AB14" s="41">
        <v>535.16007742022862</v>
      </c>
      <c r="AC14" s="42">
        <v>535.16007742022873</v>
      </c>
      <c r="AD14" s="41">
        <v>382.10038395353951</v>
      </c>
      <c r="AE14" s="42">
        <v>382.10038395353956</v>
      </c>
      <c r="AF14" s="41">
        <v>186.19873038583688</v>
      </c>
      <c r="AG14" s="42">
        <v>186.19873038583691</v>
      </c>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1027.5019510577679</v>
      </c>
      <c r="E15" s="155">
        <v>1027.5019510577679</v>
      </c>
      <c r="F15" s="154">
        <v>1055.9394018983205</v>
      </c>
      <c r="G15" s="155">
        <v>1055.9394018983205</v>
      </c>
      <c r="H15" s="154">
        <v>1085.4256414610779</v>
      </c>
      <c r="I15" s="155">
        <v>1085.4256414610779</v>
      </c>
      <c r="J15" s="154">
        <v>1116.1018399316656</v>
      </c>
      <c r="K15" s="155">
        <v>1116.1018399316656</v>
      </c>
      <c r="L15" s="154">
        <v>1148.1495489460435</v>
      </c>
      <c r="M15" s="155">
        <v>1148.1495489460435</v>
      </c>
      <c r="N15" s="154">
        <v>1181.8111010145396</v>
      </c>
      <c r="O15" s="155">
        <v>1181.8111010145396</v>
      </c>
      <c r="P15" s="154">
        <v>1217.4224784925336</v>
      </c>
      <c r="Q15" s="155">
        <v>1217.4224784925336</v>
      </c>
      <c r="R15" s="154">
        <v>1255.4685081069661</v>
      </c>
      <c r="S15" s="155">
        <v>1255.4685081069661</v>
      </c>
      <c r="T15" s="154">
        <v>1296.6779584675746</v>
      </c>
      <c r="U15" s="155">
        <v>1296.6779584675746</v>
      </c>
      <c r="V15" s="154">
        <v>1342.1921918178086</v>
      </c>
      <c r="W15" s="155">
        <v>1342.1921918178086</v>
      </c>
      <c r="X15" s="154">
        <v>1393.8742901901312</v>
      </c>
      <c r="Y15" s="155">
        <v>1393.8742901901312</v>
      </c>
      <c r="Z15" s="154">
        <v>1454.888684549956</v>
      </c>
      <c r="AA15" s="155">
        <v>1454.888684549956</v>
      </c>
      <c r="AB15" s="154">
        <v>1530.7924701530148</v>
      </c>
      <c r="AC15" s="155">
        <v>1530.7924701530148</v>
      </c>
      <c r="AD15" s="154">
        <v>1631.4627221935375</v>
      </c>
      <c r="AE15" s="155">
        <v>1631.4627221935375</v>
      </c>
      <c r="AF15" s="154">
        <v>1773.7378852434726</v>
      </c>
      <c r="AG15" s="155">
        <v>1773.7378852434726</v>
      </c>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994.83078591017647</v>
      </c>
      <c r="E16" s="42">
        <v>1010.0203602113227</v>
      </c>
      <c r="F16" s="41">
        <v>989.3682690689194</v>
      </c>
      <c r="G16" s="42">
        <v>1020.3380901360295</v>
      </c>
      <c r="H16" s="41">
        <v>983.56233916639815</v>
      </c>
      <c r="I16" s="42">
        <v>1030.9823135882239</v>
      </c>
      <c r="J16" s="41">
        <v>977.35349815240784</v>
      </c>
      <c r="K16" s="42">
        <v>1041.9909623102358</v>
      </c>
      <c r="L16" s="41">
        <v>970.67019863465794</v>
      </c>
      <c r="M16" s="42">
        <v>1053.4155084341737</v>
      </c>
      <c r="N16" s="41">
        <v>963.4250320412267</v>
      </c>
      <c r="O16" s="42">
        <v>1065.3289535186793</v>
      </c>
      <c r="P16" s="41">
        <v>955.50913489494053</v>
      </c>
      <c r="Q16" s="42">
        <v>1077.8390171104895</v>
      </c>
      <c r="R16" s="41">
        <v>946.7836020848116</v>
      </c>
      <c r="S16" s="42">
        <v>1091.1107619924221</v>
      </c>
      <c r="T16" s="41">
        <v>937.06572811463093</v>
      </c>
      <c r="U16" s="42">
        <v>1105.4062972095369</v>
      </c>
      <c r="V16" s="41">
        <v>926.10582160379795</v>
      </c>
      <c r="W16" s="42">
        <v>1121.1563238484875</v>
      </c>
      <c r="X16" s="41">
        <v>913.54606337664029</v>
      </c>
      <c r="Y16" s="42">
        <v>1139.0934049448542</v>
      </c>
      <c r="Z16" s="41">
        <v>898.84273948906298</v>
      </c>
      <c r="AA16" s="42">
        <v>1160.5060163541291</v>
      </c>
      <c r="AB16" s="41">
        <v>881.11036901547016</v>
      </c>
      <c r="AC16" s="42">
        <v>1187.7280111049906</v>
      </c>
      <c r="AD16" s="41">
        <v>858.79269024322025</v>
      </c>
      <c r="AE16" s="42">
        <v>1225.0448305148973</v>
      </c>
      <c r="AF16" s="41">
        <v>828.95818072458235</v>
      </c>
      <c r="AG16" s="42">
        <v>1280.2045721506242</v>
      </c>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998.09987869563622</v>
      </c>
      <c r="E17" s="36">
        <v>1044.2628255123398</v>
      </c>
      <c r="F17" s="35">
        <v>996.18402050134944</v>
      </c>
      <c r="G17" s="36">
        <v>1093.5991499303664</v>
      </c>
      <c r="H17" s="35">
        <v>994.24330147517253</v>
      </c>
      <c r="I17" s="36">
        <v>1148.9465540853591</v>
      </c>
      <c r="J17" s="35">
        <v>992.26849707343536</v>
      </c>
      <c r="K17" s="36">
        <v>1211.4960796556456</v>
      </c>
      <c r="L17" s="35">
        <v>990.25081877107914</v>
      </c>
      <c r="M17" s="36">
        <v>1282.7889957308437</v>
      </c>
      <c r="N17" s="35">
        <v>988.18288011617562</v>
      </c>
      <c r="O17" s="36">
        <v>1364.8642582880809</v>
      </c>
      <c r="P17" s="35">
        <v>986.06036893698717</v>
      </c>
      <c r="Q17" s="36">
        <v>1460.4893188878898</v>
      </c>
      <c r="R17" s="35">
        <v>983.88496480407161</v>
      </c>
      <c r="S17" s="36">
        <v>1573.5366535804894</v>
      </c>
      <c r="T17" s="35">
        <v>981.66943066700856</v>
      </c>
      <c r="U17" s="36">
        <v>1709.6242355827803</v>
      </c>
      <c r="V17" s="35">
        <v>979.44658322092823</v>
      </c>
      <c r="W17" s="36">
        <v>1877.2593499460534</v>
      </c>
      <c r="X17" s="35">
        <v>977.28546254367313</v>
      </c>
      <c r="Y17" s="36">
        <v>2089.9984138755008</v>
      </c>
      <c r="Z17" s="35">
        <v>975.32009405734595</v>
      </c>
      <c r="AA17" s="36">
        <v>2370.7801235833463</v>
      </c>
      <c r="AB17" s="35">
        <v>973.79849012247109</v>
      </c>
      <c r="AC17" s="36">
        <v>2761.1928526681495</v>
      </c>
      <c r="AD17" s="35">
        <v>973.14902472354379</v>
      </c>
      <c r="AE17" s="36">
        <v>3342.4703797756592</v>
      </c>
      <c r="AF17" s="35">
        <v>973.99230228939132</v>
      </c>
      <c r="AG17" s="36">
        <v>4285.0499458733375</v>
      </c>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28036.976658042204</v>
      </c>
      <c r="E18" s="34">
        <v>1142.3159787112429</v>
      </c>
      <c r="F18" s="33">
        <v>28215.106027907554</v>
      </c>
      <c r="G18" s="34">
        <v>1048.3346587877595</v>
      </c>
      <c r="H18" s="33">
        <v>28391.280615170705</v>
      </c>
      <c r="I18" s="34">
        <v>954.85142512077448</v>
      </c>
      <c r="J18" s="33">
        <v>28565.319835025904</v>
      </c>
      <c r="K18" s="34">
        <v>861.92359176073444</v>
      </c>
      <c r="L18" s="33">
        <v>28736.960393214405</v>
      </c>
      <c r="M18" s="34">
        <v>769.65097455807359</v>
      </c>
      <c r="N18" s="33">
        <v>28905.826352544726</v>
      </c>
      <c r="O18" s="34">
        <v>678.19785413278782</v>
      </c>
      <c r="P18" s="33">
        <v>29071.390055172287</v>
      </c>
      <c r="Q18" s="34">
        <v>587.8220507464323</v>
      </c>
      <c r="R18" s="33">
        <v>29232.912728174146</v>
      </c>
      <c r="S18" s="34">
        <v>498.91914793606151</v>
      </c>
      <c r="T18" s="33">
        <v>29389.355820284094</v>
      </c>
      <c r="U18" s="34">
        <v>412.08749332449344</v>
      </c>
      <c r="V18" s="33">
        <v>29539.238017536274</v>
      </c>
      <c r="W18" s="34">
        <v>328.22559128245615</v>
      </c>
      <c r="X18" s="33">
        <v>29680.383987113306</v>
      </c>
      <c r="Y18" s="34">
        <v>248.6726515523535</v>
      </c>
      <c r="Z18" s="33">
        <v>29809.428609646548</v>
      </c>
      <c r="AA18" s="34">
        <v>175.40624388872905</v>
      </c>
      <c r="AB18" s="33">
        <v>29920.688207505467</v>
      </c>
      <c r="AC18" s="34">
        <v>111.25650778918688</v>
      </c>
      <c r="AD18" s="33">
        <v>30003.197448558727</v>
      </c>
      <c r="AE18" s="34">
        <v>59.914822804606551</v>
      </c>
      <c r="AF18" s="33">
        <v>30032.217816330787</v>
      </c>
      <c r="AG18" s="34">
        <v>24.984056202923846</v>
      </c>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1889.0632289627092</v>
      </c>
      <c r="E19" s="42">
        <v>275.66387359599844</v>
      </c>
      <c r="F19" s="41">
        <v>1891.4155117060063</v>
      </c>
      <c r="G19" s="42">
        <v>289.83260745246201</v>
      </c>
      <c r="H19" s="41">
        <v>1893.3972142266198</v>
      </c>
      <c r="I19" s="42">
        <v>305.43298001273388</v>
      </c>
      <c r="J19" s="41">
        <v>1894.9494792362241</v>
      </c>
      <c r="K19" s="42">
        <v>322.60858530593401</v>
      </c>
      <c r="L19" s="41">
        <v>1896.0095575123223</v>
      </c>
      <c r="M19" s="42">
        <v>341.49794057727439</v>
      </c>
      <c r="N19" s="41">
        <v>1896.5140639932863</v>
      </c>
      <c r="O19" s="42">
        <v>362.21850217175125</v>
      </c>
      <c r="P19" s="41">
        <v>1896.4055449991431</v>
      </c>
      <c r="Q19" s="42">
        <v>384.83801991375219</v>
      </c>
      <c r="R19" s="41">
        <v>1895.6445094715509</v>
      </c>
      <c r="S19" s="42">
        <v>409.32457195716825</v>
      </c>
      <c r="T19" s="41">
        <v>1894.2314600569898</v>
      </c>
      <c r="U19" s="42">
        <v>435.45840056387931</v>
      </c>
      <c r="V19" s="41">
        <v>1892.2466457852058</v>
      </c>
      <c r="W19" s="42">
        <v>462.67437882322662</v>
      </c>
      <c r="X19" s="41">
        <v>1889.9218382368563</v>
      </c>
      <c r="Y19" s="42">
        <v>489.77884295180155</v>
      </c>
      <c r="Z19" s="41">
        <v>1887.765083751578</v>
      </c>
      <c r="AA19" s="42">
        <v>514.43758083597493</v>
      </c>
      <c r="AB19" s="41">
        <v>1886.7547166547074</v>
      </c>
      <c r="AC19" s="42">
        <v>532.29588805384753</v>
      </c>
      <c r="AD19" s="41">
        <v>1888.5109138952344</v>
      </c>
      <c r="AE19" s="42">
        <v>535.74279417359855</v>
      </c>
      <c r="AF19" s="41">
        <v>1894.8173274499413</v>
      </c>
      <c r="AG19" s="42">
        <v>513.46520130226634</v>
      </c>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26697.476258883962</v>
      </c>
      <c r="E20" s="83">
        <v>1338.1147774499941</v>
      </c>
      <c r="F20" s="82">
        <v>26844.243390155851</v>
      </c>
      <c r="G20" s="83">
        <v>1267.6876838999945</v>
      </c>
      <c r="H20" s="82">
        <v>26988.428878184277</v>
      </c>
      <c r="I20" s="83">
        <v>1197.2605903499946</v>
      </c>
      <c r="J20" s="82">
        <v>27129.737771344284</v>
      </c>
      <c r="K20" s="83">
        <v>1126.8334967999951</v>
      </c>
      <c r="L20" s="82">
        <v>27267.796914019997</v>
      </c>
      <c r="M20" s="83">
        <v>1056.4064032499953</v>
      </c>
      <c r="N20" s="82">
        <v>27402.139155152687</v>
      </c>
      <c r="O20" s="83">
        <v>985.97930969999561</v>
      </c>
      <c r="P20" s="82">
        <v>27532.18907693752</v>
      </c>
      <c r="Q20" s="83">
        <v>915.55221614999596</v>
      </c>
      <c r="R20" s="82">
        <v>27657.247362103008</v>
      </c>
      <c r="S20" s="83">
        <v>845.12512259999642</v>
      </c>
      <c r="T20" s="82">
        <v>27776.479221661921</v>
      </c>
      <c r="U20" s="83">
        <v>774.69802904999653</v>
      </c>
      <c r="V20" s="82">
        <v>27888.908606021221</v>
      </c>
      <c r="W20" s="83">
        <v>704.27093549999688</v>
      </c>
      <c r="X20" s="82">
        <v>27993.415345687477</v>
      </c>
      <c r="Y20" s="83">
        <v>633.84384194999723</v>
      </c>
      <c r="Z20" s="82">
        <v>28088.686360327476</v>
      </c>
      <c r="AA20" s="83">
        <v>563.41674839999746</v>
      </c>
      <c r="AB20" s="82">
        <v>28172.860616304923</v>
      </c>
      <c r="AC20" s="83">
        <v>492.98965484999781</v>
      </c>
      <c r="AD20" s="82">
        <v>28241.674650981255</v>
      </c>
      <c r="AE20" s="83">
        <v>422.56256129999809</v>
      </c>
      <c r="AF20" s="82">
        <v>28280.522653906788</v>
      </c>
      <c r="AG20" s="83">
        <v>352.13546774999827</v>
      </c>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24808.421961485947</v>
      </c>
      <c r="E21" s="83">
        <v>1062.8519922876596</v>
      </c>
      <c r="F21" s="82">
        <v>24952.864161755351</v>
      </c>
      <c r="G21" s="83">
        <v>979.56227441934629</v>
      </c>
      <c r="H21" s="82">
        <v>25095.114827125606</v>
      </c>
      <c r="I21" s="83">
        <v>895.92348417080029</v>
      </c>
      <c r="J21" s="82">
        <v>25234.939355940813</v>
      </c>
      <c r="K21" s="83">
        <v>812.00494418089988</v>
      </c>
      <c r="L21" s="82">
        <v>25372.029222883892</v>
      </c>
      <c r="M21" s="83">
        <v>727.92179667384949</v>
      </c>
      <c r="N21" s="82">
        <v>25505.982877645314</v>
      </c>
      <c r="O21" s="83">
        <v>643.85541978121523</v>
      </c>
      <c r="P21" s="82">
        <v>25636.28473478973</v>
      </c>
      <c r="Q21" s="83">
        <v>560.08332385686674</v>
      </c>
      <c r="R21" s="82">
        <v>25762.277105177869</v>
      </c>
      <c r="S21" s="83">
        <v>477.02265086219649</v>
      </c>
      <c r="T21" s="82">
        <v>25883.125739034862</v>
      </c>
      <c r="U21" s="83">
        <v>395.29445821635971</v>
      </c>
      <c r="V21" s="82">
        <v>25997.77258091031</v>
      </c>
      <c r="W21" s="83">
        <v>315.81929353902052</v>
      </c>
      <c r="X21" s="82">
        <v>26104.857846879018</v>
      </c>
      <c r="Y21" s="83">
        <v>239.95677166822892</v>
      </c>
      <c r="Z21" s="82">
        <v>26202.540452424702</v>
      </c>
      <c r="AA21" s="83">
        <v>169.69953613354559</v>
      </c>
      <c r="AB21" s="82">
        <v>26287.939036784446</v>
      </c>
      <c r="AC21" s="83">
        <v>107.88636683740626</v>
      </c>
      <c r="AD21" s="82">
        <v>26355.094790231822</v>
      </c>
      <c r="AE21" s="83">
        <v>58.21431428261473</v>
      </c>
      <c r="AF21" s="82">
        <v>26387.518007830706</v>
      </c>
      <c r="AG21" s="83">
        <v>24.312230279044307</v>
      </c>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6573.2530796111341</v>
      </c>
      <c r="E22" s="42">
        <v>365.33383381349967</v>
      </c>
      <c r="F22" s="41">
        <v>6611.7382628366095</v>
      </c>
      <c r="G22" s="42">
        <v>350.44859373600394</v>
      </c>
      <c r="H22" s="41">
        <v>6648.917582684945</v>
      </c>
      <c r="I22" s="42">
        <v>335.2485413809859</v>
      </c>
      <c r="J22" s="41">
        <v>6684.6143376725377</v>
      </c>
      <c r="K22" s="42">
        <v>319.72690505994052</v>
      </c>
      <c r="L22" s="41">
        <v>6718.6099882701537</v>
      </c>
      <c r="M22" s="42">
        <v>303.87243807401501</v>
      </c>
      <c r="N22" s="41">
        <v>6750.6336667634323</v>
      </c>
      <c r="O22" s="42">
        <v>287.66737202030714</v>
      </c>
      <c r="P22" s="41">
        <v>6780.3499073858666</v>
      </c>
      <c r="Q22" s="42">
        <v>271.08473184525775</v>
      </c>
      <c r="R22" s="41">
        <v>6807.3424809696626</v>
      </c>
      <c r="S22" s="42">
        <v>254.08443550200144</v>
      </c>
      <c r="T22" s="41">
        <v>6831.0938232820954</v>
      </c>
      <c r="U22" s="42">
        <v>236.60783880611908</v>
      </c>
      <c r="V22" s="41">
        <v>6850.9562744976201</v>
      </c>
      <c r="W22" s="42">
        <v>218.57013019817029</v>
      </c>
      <c r="X22" s="41">
        <v>6866.1111774344427</v>
      </c>
      <c r="Y22" s="42">
        <v>199.85025285851279</v>
      </c>
      <c r="Z22" s="41">
        <v>6875.4859128260232</v>
      </c>
      <c r="AA22" s="42">
        <v>180.27933449967281</v>
      </c>
      <c r="AB22" s="41">
        <v>6877.5396365366378</v>
      </c>
      <c r="AC22" s="42">
        <v>159.63493971127107</v>
      </c>
      <c r="AD22" s="41">
        <v>6869.5362580475203</v>
      </c>
      <c r="AE22" s="42">
        <v>137.66850331967373</v>
      </c>
      <c r="AF22" s="41">
        <v>6844.9260883208872</v>
      </c>
      <c r="AG22" s="42">
        <v>114.23809401277366</v>
      </c>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3303.6573939518771</v>
      </c>
      <c r="E23" s="8">
        <v>0</v>
      </c>
      <c r="F23" s="116">
        <v>3328.7234269701344</v>
      </c>
      <c r="G23" s="8">
        <v>0</v>
      </c>
      <c r="H23" s="116">
        <v>3353.6942593970421</v>
      </c>
      <c r="I23" s="8">
        <v>0</v>
      </c>
      <c r="J23" s="116">
        <v>3378.5611343358387</v>
      </c>
      <c r="K23" s="8">
        <v>0</v>
      </c>
      <c r="L23" s="116">
        <v>3403.3130178480592</v>
      </c>
      <c r="M23" s="8">
        <v>0</v>
      </c>
      <c r="N23" s="116">
        <v>3427.9381306691917</v>
      </c>
      <c r="O23" s="8">
        <v>0</v>
      </c>
      <c r="P23" s="116">
        <v>3452.4281386483303</v>
      </c>
      <c r="Q23" s="8">
        <v>0</v>
      </c>
      <c r="R23" s="116">
        <v>3476.7861358556297</v>
      </c>
      <c r="S23" s="8">
        <v>0</v>
      </c>
      <c r="T23" s="116">
        <v>3501.0424315803571</v>
      </c>
      <c r="U23" s="8">
        <v>0</v>
      </c>
      <c r="V23" s="116">
        <v>3525.2844218273613</v>
      </c>
      <c r="W23" s="8">
        <v>0</v>
      </c>
      <c r="X23" s="116">
        <v>3549.7127552781894</v>
      </c>
      <c r="Y23" s="8">
        <v>0</v>
      </c>
      <c r="Z23" s="116">
        <v>3574.7406973709312</v>
      </c>
      <c r="AA23" s="8">
        <v>0</v>
      </c>
      <c r="AB23" s="116">
        <v>3601.1474305368579</v>
      </c>
      <c r="AC23" s="8">
        <v>0</v>
      </c>
      <c r="AD23" s="116">
        <v>3630.1874690433829</v>
      </c>
      <c r="AE23" s="8">
        <v>0</v>
      </c>
      <c r="AF23" s="116">
        <v>3663.0283080990375</v>
      </c>
      <c r="AG23" s="8">
        <v>0</v>
      </c>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3220.9101465051444</v>
      </c>
      <c r="E24" s="8">
        <v>0</v>
      </c>
      <c r="F24" s="97">
        <v>3245.3483463561802</v>
      </c>
      <c r="G24" s="8">
        <v>0</v>
      </c>
      <c r="H24" s="97">
        <v>3269.6937299321989</v>
      </c>
      <c r="I24" s="8">
        <v>0</v>
      </c>
      <c r="J24" s="97">
        <v>3293.9377614871596</v>
      </c>
      <c r="K24" s="8">
        <v>0</v>
      </c>
      <c r="L24" s="97">
        <v>3318.0696804884924</v>
      </c>
      <c r="M24" s="8">
        <v>0</v>
      </c>
      <c r="N24" s="97">
        <v>3342.0780040270033</v>
      </c>
      <c r="O24" s="8">
        <v>0</v>
      </c>
      <c r="P24" s="97">
        <v>3365.9546067648912</v>
      </c>
      <c r="Q24" s="8">
        <v>0</v>
      </c>
      <c r="R24" s="97">
        <v>3389.7025052340528</v>
      </c>
      <c r="S24" s="8">
        <v>0</v>
      </c>
      <c r="T24" s="97">
        <v>3413.3512496475296</v>
      </c>
      <c r="U24" s="8">
        <v>0</v>
      </c>
      <c r="V24" s="97">
        <v>3436.9860467435433</v>
      </c>
      <c r="W24" s="8">
        <v>0</v>
      </c>
      <c r="X24" s="97">
        <v>3460.8025196874846</v>
      </c>
      <c r="Y24" s="8">
        <v>0</v>
      </c>
      <c r="Z24" s="97">
        <v>3485.203582841616</v>
      </c>
      <c r="AA24" s="8">
        <v>0</v>
      </c>
      <c r="AB24" s="97">
        <v>3510.9489022430639</v>
      </c>
      <c r="AC24" s="8">
        <v>0</v>
      </c>
      <c r="AD24" s="97">
        <v>3539.2615701563927</v>
      </c>
      <c r="AE24" s="8">
        <v>0</v>
      </c>
      <c r="AF24" s="97">
        <v>3571.2798393507019</v>
      </c>
      <c r="AG24" s="8">
        <v>0</v>
      </c>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3228.5401999320052</v>
      </c>
      <c r="E25" s="42">
        <v>79.39363894735699</v>
      </c>
      <c r="F25" s="41">
        <v>3262.1826302619165</v>
      </c>
      <c r="G25" s="42">
        <v>68.507937140323961</v>
      </c>
      <c r="H25" s="41">
        <v>3296.0292202813221</v>
      </c>
      <c r="I25" s="42">
        <v>58.373377791892182</v>
      </c>
      <c r="J25" s="41">
        <v>3330.1309196550487</v>
      </c>
      <c r="K25" s="42">
        <v>49.007952454132578</v>
      </c>
      <c r="L25" s="41">
        <v>3364.5291571906832</v>
      </c>
      <c r="M25" s="42">
        <v>40.429608661974868</v>
      </c>
      <c r="N25" s="41">
        <v>3399.2450404874703</v>
      </c>
      <c r="O25" s="42">
        <v>32.656054285603965</v>
      </c>
      <c r="P25" s="41">
        <v>3434.2615629379343</v>
      </c>
      <c r="Q25" s="42">
        <v>25.704340313627512</v>
      </c>
      <c r="R25" s="41">
        <v>3469.4929543998501</v>
      </c>
      <c r="S25" s="42">
        <v>19.590299516290969</v>
      </c>
      <c r="T25" s="41">
        <v>3504.7319814112902</v>
      </c>
      <c r="U25" s="42">
        <v>14.327622891265195</v>
      </c>
      <c r="V25" s="41">
        <v>3539.5573165852866</v>
      </c>
      <c r="W25" s="42">
        <v>9.9262857884528835</v>
      </c>
      <c r="X25" s="41">
        <v>3573.166342514392</v>
      </c>
      <c r="Y25" s="42">
        <v>6.389486776727459</v>
      </c>
      <c r="Z25" s="41">
        <v>3604.0703846166934</v>
      </c>
      <c r="AA25" s="42">
        <v>3.707841237036642</v>
      </c>
      <c r="AB25" s="41">
        <v>3629.5438374349801</v>
      </c>
      <c r="AC25" s="42">
        <v>1.8477354411353371</v>
      </c>
      <c r="AD25" s="41">
        <v>3644.7192347690748</v>
      </c>
      <c r="AE25" s="42">
        <v>0.73001707001131555</v>
      </c>
      <c r="AF25" s="41">
        <v>3641.532165975761</v>
      </c>
      <c r="AG25" s="42">
        <v>0.20125570095485834</v>
      </c>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5098.9891462680898</v>
      </c>
      <c r="E26" s="34">
        <v>69.635304501442263</v>
      </c>
      <c r="F26" s="33">
        <v>5164.2806218675487</v>
      </c>
      <c r="G26" s="34">
        <v>64.36368037324047</v>
      </c>
      <c r="H26" s="33">
        <v>5232.627930058843</v>
      </c>
      <c r="I26" s="34">
        <v>59.087406682246225</v>
      </c>
      <c r="J26" s="33">
        <v>5304.6066048706771</v>
      </c>
      <c r="K26" s="34">
        <v>53.804354903629573</v>
      </c>
      <c r="L26" s="33">
        <v>5380.9576287432155</v>
      </c>
      <c r="M26" s="34">
        <v>48.514009883056332</v>
      </c>
      <c r="N26" s="33">
        <v>5462.6634781164603</v>
      </c>
      <c r="O26" s="34">
        <v>43.218650330086149</v>
      </c>
      <c r="P26" s="33">
        <v>5551.0732996605557</v>
      </c>
      <c r="Q26" s="34">
        <v>37.925047484707122</v>
      </c>
      <c r="R26" s="33">
        <v>5648.118321522421</v>
      </c>
      <c r="S26" s="34">
        <v>32.64715974951401</v>
      </c>
      <c r="T26" s="33">
        <v>5756.7037497588399</v>
      </c>
      <c r="U26" s="34">
        <v>27.410315411211801</v>
      </c>
      <c r="V26" s="33">
        <v>5881.4679458017254</v>
      </c>
      <c r="W26" s="34">
        <v>22.257828155697201</v>
      </c>
      <c r="X26" s="33">
        <v>6030.3779763956336</v>
      </c>
      <c r="Y26" s="34">
        <v>17.261253142036264</v>
      </c>
      <c r="Z26" s="33">
        <v>6218.443061168643</v>
      </c>
      <c r="AA26" s="34">
        <v>12.53612726291545</v>
      </c>
      <c r="AB26" s="33">
        <v>6477.7203083303866</v>
      </c>
      <c r="AC26" s="34">
        <v>8.2627695130588368</v>
      </c>
      <c r="AD26" s="33">
        <v>6891.3784996797622</v>
      </c>
      <c r="AE26" s="34">
        <v>4.7010999507970821</v>
      </c>
      <c r="AF26" s="33">
        <v>7782.7893609145995</v>
      </c>
      <c r="AG26" s="34">
        <v>2.1530640276730169</v>
      </c>
      <c r="AH26" s="33"/>
      <c r="AI26" s="34"/>
      <c r="AJ26" s="33"/>
      <c r="AK26" s="34"/>
      <c r="AL26" s="33"/>
      <c r="AM26" s="34"/>
      <c r="AN26" s="33"/>
      <c r="AO26" s="34"/>
      <c r="AP26" s="33"/>
      <c r="AQ26" s="34"/>
      <c r="AR26" s="33"/>
      <c r="AS26" s="34"/>
      <c r="AT26" s="33"/>
      <c r="AU26" s="34"/>
      <c r="AV26" s="33"/>
      <c r="AW26" s="34"/>
    </row>
    <row r="27" spans="1:49" x14ac:dyDescent="0.2">
      <c r="A27" t="s">
        <v>2</v>
      </c>
      <c r="B27" s="35">
        <v>6425.1981590000305</v>
      </c>
      <c r="C27" s="36">
        <v>273.22915400000028</v>
      </c>
      <c r="D27" s="35">
        <v>6445.5875843630411</v>
      </c>
      <c r="E27" s="36">
        <v>252.83972749252393</v>
      </c>
      <c r="F27" s="35">
        <v>6465.8457744229754</v>
      </c>
      <c r="G27" s="36">
        <v>232.5815382251121</v>
      </c>
      <c r="H27" s="35">
        <v>6485.9808850248855</v>
      </c>
      <c r="I27" s="36">
        <v>212.4464288821728</v>
      </c>
      <c r="J27" s="35">
        <v>6505.9965817354105</v>
      </c>
      <c r="K27" s="36">
        <v>192.43071883880845</v>
      </c>
      <c r="L27" s="35">
        <v>6525.8896608816003</v>
      </c>
      <c r="M27" s="36">
        <v>172.53765650411998</v>
      </c>
      <c r="N27" s="35">
        <v>6545.6454269722371</v>
      </c>
      <c r="O27" s="36">
        <v>152.78188223158918</v>
      </c>
      <c r="P27" s="35">
        <v>6565.2318807475986</v>
      </c>
      <c r="Q27" s="36">
        <v>133.19543052611513</v>
      </c>
      <c r="R27" s="35">
        <v>6584.5900300159183</v>
      </c>
      <c r="S27" s="36">
        <v>113.83728223056598</v>
      </c>
      <c r="T27" s="35">
        <v>6603.6192806936615</v>
      </c>
      <c r="U27" s="36">
        <v>94.80793950975513</v>
      </c>
      <c r="V27" s="35">
        <v>6622.1551200129652</v>
      </c>
      <c r="W27" s="36">
        <v>76.272195599513367</v>
      </c>
      <c r="X27" s="35">
        <v>6639.9336853841614</v>
      </c>
      <c r="Y27" s="36">
        <v>58.493627857574118</v>
      </c>
      <c r="Z27" s="35">
        <v>6656.5408681068857</v>
      </c>
      <c r="AA27" s="36">
        <v>41.886445324440771</v>
      </c>
      <c r="AB27" s="35">
        <v>6671.347356775359</v>
      </c>
      <c r="AC27" s="36">
        <v>27.079956532779892</v>
      </c>
      <c r="AD27" s="35">
        <v>6683.4761741817711</v>
      </c>
      <c r="AE27" s="36">
        <v>14.951139244496858</v>
      </c>
      <c r="AF27" s="35">
        <v>6691.9797841663167</v>
      </c>
      <c r="AG27" s="36">
        <v>6.4475284707998588</v>
      </c>
      <c r="AH27" s="35"/>
      <c r="AI27" s="36"/>
      <c r="AJ27" s="35"/>
      <c r="AK27" s="36"/>
      <c r="AL27" s="35"/>
      <c r="AM27" s="36"/>
      <c r="AN27" s="35"/>
      <c r="AO27" s="36"/>
      <c r="AP27" s="35"/>
      <c r="AQ27" s="36"/>
      <c r="AR27" s="35"/>
      <c r="AS27" s="36"/>
      <c r="AT27" s="35"/>
      <c r="AU27" s="36"/>
      <c r="AV27" s="35"/>
      <c r="AW27" s="36"/>
    </row>
    <row r="28" spans="1:49" x14ac:dyDescent="0.2">
      <c r="A28" t="s">
        <v>35</v>
      </c>
      <c r="B28" s="41">
        <v>13763.097676000029</v>
      </c>
      <c r="C28" s="42">
        <v>382.36647899999997</v>
      </c>
      <c r="D28" s="41">
        <v>13873.856418636582</v>
      </c>
      <c r="E28" s="42">
        <v>354.28848038604764</v>
      </c>
      <c r="F28" s="41">
        <v>13986.117092508292</v>
      </c>
      <c r="G28" s="42">
        <v>326.32108450489619</v>
      </c>
      <c r="H28" s="41">
        <v>14100.19302088861</v>
      </c>
      <c r="I28" s="42">
        <v>298.4546728932832</v>
      </c>
      <c r="J28" s="41">
        <v>14216.455158774312</v>
      </c>
      <c r="K28" s="42">
        <v>270.68560705717493</v>
      </c>
      <c r="L28" s="41">
        <v>14335.353494072771</v>
      </c>
      <c r="M28" s="42">
        <v>243.01975214458901</v>
      </c>
      <c r="N28" s="41">
        <v>14457.44879690221</v>
      </c>
      <c r="O28" s="42">
        <v>215.47875348851204</v>
      </c>
      <c r="P28" s="41">
        <v>14583.464423832904</v>
      </c>
      <c r="Q28" s="42">
        <v>188.10860208762372</v>
      </c>
      <c r="R28" s="41">
        <v>14714.369928493543</v>
      </c>
      <c r="S28" s="42">
        <v>160.99321260948136</v>
      </c>
      <c r="T28" s="41">
        <v>14851.523500416875</v>
      </c>
      <c r="U28" s="42">
        <v>134.27518320736991</v>
      </c>
      <c r="V28" s="41">
        <v>14996.921887032888</v>
      </c>
      <c r="W28" s="42">
        <v>108.18826596316407</v>
      </c>
      <c r="X28" s="41">
        <v>15153.6545047786</v>
      </c>
      <c r="Y28" s="42">
        <v>83.106722071932978</v>
      </c>
      <c r="Z28" s="41">
        <v>15326.753624411534</v>
      </c>
      <c r="AA28" s="42">
        <v>59.619723432610996</v>
      </c>
      <c r="AB28" s="41">
        <v>15524.803795511227</v>
      </c>
      <c r="AC28" s="42">
        <v>38.624750360182631</v>
      </c>
      <c r="AD28" s="41">
        <v>15762.873574857733</v>
      </c>
      <c r="AE28" s="42">
        <v>21.377600048194111</v>
      </c>
      <c r="AF28" s="41">
        <v>16067.11156063499</v>
      </c>
      <c r="AG28" s="42">
        <v>9.2462748226336444</v>
      </c>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14454.623121669112</v>
      </c>
      <c r="E29" s="36">
        <v>750.96725415639162</v>
      </c>
      <c r="F29" s="35">
        <v>14545.489239127377</v>
      </c>
      <c r="G29" s="36">
        <v>685.48903206492184</v>
      </c>
      <c r="H29" s="35">
        <v>14635.300257293813</v>
      </c>
      <c r="I29" s="36">
        <v>620.86920705343289</v>
      </c>
      <c r="J29" s="35">
        <v>14723.956439929687</v>
      </c>
      <c r="K29" s="36">
        <v>557.16591409452587</v>
      </c>
      <c r="L29" s="35">
        <v>14811.315050879615</v>
      </c>
      <c r="M29" s="36">
        <v>494.46617139190738</v>
      </c>
      <c r="N29" s="35">
        <v>14897.175473770318</v>
      </c>
      <c r="O29" s="36">
        <v>432.89932909858067</v>
      </c>
      <c r="P29" s="35">
        <v>14981.260173890239</v>
      </c>
      <c r="Q29" s="36">
        <v>372.65454790076831</v>
      </c>
      <c r="R29" s="35">
        <v>15063.186121763272</v>
      </c>
      <c r="S29" s="36">
        <v>314.00708810924533</v>
      </c>
      <c r="T29" s="35">
        <v>15142.42288536118</v>
      </c>
      <c r="U29" s="36">
        <v>257.35639332533009</v>
      </c>
      <c r="V29" s="35">
        <v>15218.225987729476</v>
      </c>
      <c r="W29" s="36">
        <v>203.28228068415473</v>
      </c>
      <c r="X29" s="35">
        <v>15289.520218640528</v>
      </c>
      <c r="Y29" s="36">
        <v>152.62419597857706</v>
      </c>
      <c r="Z29" s="35">
        <v>15354.66755341677</v>
      </c>
      <c r="AA29" s="36">
        <v>106.58912022779131</v>
      </c>
      <c r="AB29" s="35">
        <v>15410.924688311499</v>
      </c>
      <c r="AC29" s="36">
        <v>66.858193978115253</v>
      </c>
      <c r="AD29" s="35">
        <v>15452.966258523145</v>
      </c>
      <c r="AE29" s="36">
        <v>35.551992213495602</v>
      </c>
      <c r="AF29" s="35">
        <v>15468.504502292128</v>
      </c>
      <c r="AG29" s="36">
        <v>14.611054471686087</v>
      </c>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2939090.6589362985</v>
      </c>
      <c r="F30" s="119">
        <v>2953022.2655182388</v>
      </c>
      <c r="H30" s="119">
        <v>2966576.7978072055</v>
      </c>
      <c r="J30" s="119">
        <v>2979699.3057715981</v>
      </c>
      <c r="L30" s="119">
        <v>2992329.5789188491</v>
      </c>
      <c r="N30" s="119">
        <v>3004404.9943875102</v>
      </c>
      <c r="P30" s="119">
        <v>3015867.3166700425</v>
      </c>
      <c r="R30" s="119">
        <v>3026675.9186456688</v>
      </c>
      <c r="T30" s="119">
        <v>3036832.5318098962</v>
      </c>
      <c r="V30" s="119">
        <v>3046425.7158183106</v>
      </c>
      <c r="X30" s="119">
        <v>3055716.8247692739</v>
      </c>
      <c r="Z30" s="119">
        <v>3065284.9732524981</v>
      </c>
      <c r="AB30" s="119">
        <v>3076256.7370976787</v>
      </c>
      <c r="AD30" s="119">
        <v>3090494.5349986423</v>
      </c>
      <c r="AF30" s="119">
        <v>3109930.1985597964</v>
      </c>
      <c r="AH30" s="119"/>
      <c r="AJ30" s="119"/>
      <c r="AL30" s="119"/>
      <c r="AN30" s="119"/>
      <c r="AP30" s="119"/>
      <c r="AR30" s="119"/>
      <c r="AT30" s="119"/>
      <c r="AV30" s="119"/>
    </row>
    <row r="31" spans="1:49" x14ac:dyDescent="0.2">
      <c r="A31" t="s">
        <v>47</v>
      </c>
      <c r="B31" s="80">
        <v>1</v>
      </c>
      <c r="D31" s="80">
        <v>1.0035639662027487</v>
      </c>
      <c r="F31" s="80">
        <v>1.0067261080057168</v>
      </c>
      <c r="H31" s="80">
        <v>1.009436462883669</v>
      </c>
      <c r="J31" s="80">
        <v>1.01163404326017</v>
      </c>
      <c r="L31" s="80">
        <v>1.013243824156145</v>
      </c>
      <c r="N31" s="80">
        <v>1.0141724012250519</v>
      </c>
      <c r="P31" s="80">
        <v>1.0143020167575676</v>
      </c>
      <c r="R31" s="80">
        <v>1.0134817023685911</v>
      </c>
      <c r="T31" s="80">
        <v>1.0115138722803971</v>
      </c>
      <c r="V31" s="80">
        <v>1.0081328454431739</v>
      </c>
      <c r="X31" s="80">
        <v>1.00296908753884</v>
      </c>
      <c r="Z31" s="80">
        <v>0.99548414501895155</v>
      </c>
      <c r="AB31" s="80">
        <v>0.98484411742628741</v>
      </c>
      <c r="AD31" s="80">
        <v>0.96965010340467384</v>
      </c>
      <c r="AF31" s="80">
        <v>0.94732923392592783</v>
      </c>
      <c r="AH31" s="80"/>
      <c r="AJ31" s="80"/>
      <c r="AL31" s="80"/>
      <c r="AN31" s="80"/>
      <c r="AP31" s="80"/>
      <c r="AR31" s="80"/>
      <c r="AT31" s="80"/>
      <c r="AV31" s="80"/>
    </row>
    <row r="32" spans="1:49" x14ac:dyDescent="0.2">
      <c r="A32" t="s">
        <v>64</v>
      </c>
      <c r="B32" s="86">
        <v>14734457.915000005</v>
      </c>
      <c r="D32" s="86">
        <v>14816462.480906229</v>
      </c>
      <c r="F32" s="86">
        <v>14897280.057389701</v>
      </c>
      <c r="H32" s="86">
        <v>14976726.996361494</v>
      </c>
      <c r="J32" s="86">
        <v>15054598.659288444</v>
      </c>
      <c r="L32" s="86">
        <v>15130682.251994662</v>
      </c>
      <c r="N32" s="86">
        <v>15204780.51812968</v>
      </c>
      <c r="P32" s="86">
        <v>15276760.307715012</v>
      </c>
      <c r="R32" s="86">
        <v>15346640.836623972</v>
      </c>
      <c r="T32" s="86">
        <v>15414756.870226214</v>
      </c>
      <c r="V32" s="86">
        <v>15482056.740430027</v>
      </c>
      <c r="X32" s="86">
        <v>15550650.805556398</v>
      </c>
      <c r="Z32" s="86">
        <v>15624789.862587342</v>
      </c>
      <c r="AB32" s="86">
        <v>15712472.514347635</v>
      </c>
      <c r="AD32" s="86">
        <v>15827231.710153665</v>
      </c>
      <c r="AF32" s="86">
        <v>15986066.432831608</v>
      </c>
      <c r="AH32" s="86"/>
      <c r="AJ32" s="86"/>
      <c r="AL32" s="86"/>
      <c r="AN32" s="86"/>
      <c r="AP32" s="86"/>
      <c r="AR32" s="86"/>
      <c r="AT32" s="86"/>
      <c r="AV32" s="86"/>
    </row>
    <row r="33" spans="1:49 16319:16321" x14ac:dyDescent="0.2">
      <c r="A33" t="s">
        <v>54</v>
      </c>
      <c r="B33" s="117">
        <v>7019665.6909999885</v>
      </c>
      <c r="D33" s="117">
        <v>7058733.6153426711</v>
      </c>
      <c r="F33" s="117">
        <v>7097236.0414583739</v>
      </c>
      <c r="H33" s="117">
        <v>7135085.4811019991</v>
      </c>
      <c r="J33" s="117">
        <v>7172184.4463362396</v>
      </c>
      <c r="L33" s="117">
        <v>7208431.5354842357</v>
      </c>
      <c r="N33" s="117">
        <v>7243732.8079481954</v>
      </c>
      <c r="P33" s="117">
        <v>7278024.8076703371</v>
      </c>
      <c r="R33" s="117">
        <v>7311316.6964786192</v>
      </c>
      <c r="T33" s="117">
        <v>7343768.0775278229</v>
      </c>
      <c r="V33" s="117">
        <v>7375830.3927498478</v>
      </c>
      <c r="X33" s="117">
        <v>7408509.398421335</v>
      </c>
      <c r="Z33" s="117">
        <v>7443830.0990838883</v>
      </c>
      <c r="AB33" s="117">
        <v>7485603.1257334389</v>
      </c>
      <c r="AD33" s="117">
        <v>7540275.7301149387</v>
      </c>
      <c r="AF33" s="117">
        <v>7615946.424218772</v>
      </c>
      <c r="AH33" s="117"/>
      <c r="AJ33" s="117"/>
      <c r="AL33" s="117"/>
      <c r="AN33" s="117"/>
      <c r="AP33" s="117"/>
      <c r="AR33" s="117"/>
      <c r="AT33" s="117"/>
      <c r="AV33" s="117"/>
    </row>
    <row r="34" spans="1:49 16319:16321" x14ac:dyDescent="0.2">
      <c r="A34" t="s">
        <v>75</v>
      </c>
      <c r="B34" s="117">
        <v>1136879.4410000162</v>
      </c>
      <c r="D34" s="117">
        <v>1143206.7363206546</v>
      </c>
      <c r="F34" s="117">
        <v>1149442.4482437724</v>
      </c>
      <c r="H34" s="117">
        <v>1155572.4038338605</v>
      </c>
      <c r="J34" s="117">
        <v>1161580.8075670232</v>
      </c>
      <c r="L34" s="117">
        <v>1167451.2677630614</v>
      </c>
      <c r="N34" s="117">
        <v>1173168.5286080365</v>
      </c>
      <c r="P34" s="117">
        <v>1178722.3383386666</v>
      </c>
      <c r="R34" s="117">
        <v>1184114.1724874221</v>
      </c>
      <c r="T34" s="117">
        <v>1189369.7436816865</v>
      </c>
      <c r="V34" s="117">
        <v>1194562.5777653069</v>
      </c>
      <c r="X34" s="117">
        <v>1199855.1481024616</v>
      </c>
      <c r="Z34" s="117">
        <v>1205575.5612661771</v>
      </c>
      <c r="AB34" s="117">
        <v>1212340.9681675606</v>
      </c>
      <c r="AD34" s="117">
        <v>1221195.5437702532</v>
      </c>
      <c r="AF34" s="117">
        <v>1233450.8929245083</v>
      </c>
      <c r="AH34" s="117"/>
      <c r="AJ34" s="117"/>
      <c r="AL34" s="117"/>
      <c r="AN34" s="117"/>
      <c r="AP34" s="117"/>
      <c r="AR34" s="117"/>
      <c r="AT34" s="117"/>
      <c r="AV34" s="117"/>
    </row>
    <row r="35" spans="1:49 16319:16321" x14ac:dyDescent="0.2">
      <c r="A35" t="s">
        <v>78</v>
      </c>
      <c r="B35" s="233">
        <v>1</v>
      </c>
      <c r="D35" s="233">
        <v>1.0019959663792848</v>
      </c>
      <c r="F35" s="233">
        <v>1.0043089321934489</v>
      </c>
      <c r="H35" s="233">
        <v>1.0069903911683313</v>
      </c>
      <c r="J35" s="233">
        <v>1.0101079635191901</v>
      </c>
      <c r="L35" s="233">
        <v>1.013752080475526</v>
      </c>
      <c r="N35" s="233">
        <v>1.0180462685518434</v>
      </c>
      <c r="P35" s="233">
        <v>1.0231632995195818</v>
      </c>
      <c r="R35" s="233">
        <v>1.0293515217929112</v>
      </c>
      <c r="T35" s="233">
        <v>1.0369793604397481</v>
      </c>
      <c r="V35" s="233">
        <v>1.0466137708190151</v>
      </c>
      <c r="X35" s="233">
        <v>1.0591654459480755</v>
      </c>
      <c r="Z35" s="233">
        <v>1.07617100559225</v>
      </c>
      <c r="AB35" s="233">
        <v>1.1003679307375067</v>
      </c>
      <c r="AD35" s="233">
        <v>1.1368994755270583</v>
      </c>
      <c r="AF35" s="233">
        <v>1.195817237791293</v>
      </c>
      <c r="AH35" s="233"/>
      <c r="AJ35" s="233"/>
      <c r="AL35" s="233"/>
      <c r="AN35" s="233"/>
      <c r="AP35" s="233"/>
      <c r="AR35" s="233"/>
      <c r="AT35" s="233"/>
      <c r="AV35" s="233"/>
    </row>
    <row r="36" spans="1:49 16319:16321" x14ac:dyDescent="0.2">
      <c r="A36" t="s">
        <v>21</v>
      </c>
      <c r="B36" s="37">
        <v>0.47195767671988198</v>
      </c>
      <c r="C36" s="38">
        <v>0.31738834428178964</v>
      </c>
      <c r="D36" s="37">
        <v>0.47199047827155055</v>
      </c>
      <c r="E36" s="38">
        <v>0.32081282811536183</v>
      </c>
      <c r="F36" s="37">
        <v>0.47202431075089796</v>
      </c>
      <c r="G36" s="38">
        <v>0.32453127315636687</v>
      </c>
      <c r="H36" s="37">
        <v>0.47205937079244553</v>
      </c>
      <c r="I36" s="38">
        <v>0.32858855154213623</v>
      </c>
      <c r="J36" s="37">
        <v>0.47209587323074342</v>
      </c>
      <c r="K36" s="38">
        <v>0.33303989458423294</v>
      </c>
      <c r="L36" s="37">
        <v>0.47213404214830634</v>
      </c>
      <c r="M36" s="38">
        <v>0.3379544341393213</v>
      </c>
      <c r="N36" s="37">
        <v>0.47217409284238859</v>
      </c>
      <c r="O36" s="38">
        <v>0.34342046658880537</v>
      </c>
      <c r="P36" s="37">
        <v>0.47221619597612097</v>
      </c>
      <c r="Q36" s="38">
        <v>0.34955341177702609</v>
      </c>
      <c r="R36" s="37">
        <v>0.47226041198962598</v>
      </c>
      <c r="S36" s="38">
        <v>0.35650833093215478</v>
      </c>
      <c r="T36" s="37">
        <v>0.47230656949903033</v>
      </c>
      <c r="U36" s="38">
        <v>0.36450028996120282</v>
      </c>
      <c r="V36" s="37">
        <v>0.47235403944766313</v>
      </c>
      <c r="W36" s="38">
        <v>0.37383880830088406</v>
      </c>
      <c r="X36" s="37">
        <v>0.47240132562896042</v>
      </c>
      <c r="Y36" s="38">
        <v>0.38498866912289864</v>
      </c>
      <c r="Z36" s="37">
        <v>0.47244531575626436</v>
      </c>
      <c r="AA36" s="38">
        <v>0.39868167671383486</v>
      </c>
      <c r="AB36" s="37">
        <v>0.47248002860135135</v>
      </c>
      <c r="AC36" s="38">
        <v>0.41612871021872855</v>
      </c>
      <c r="AD36" s="37">
        <v>0.47249502114723924</v>
      </c>
      <c r="AE36" s="38">
        <v>0.43942283156246459</v>
      </c>
      <c r="AF36" s="37">
        <v>0.47247557503442206</v>
      </c>
      <c r="AG36" s="38">
        <v>0.4722626268343687</v>
      </c>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0.3496246130199252</v>
      </c>
      <c r="D37" s="39">
        <v>2.0625950842987222E-2</v>
      </c>
      <c r="E37" s="40">
        <v>0.3453436972752944</v>
      </c>
      <c r="F37" s="39">
        <v>1.9840014378337142E-2</v>
      </c>
      <c r="G37" s="40">
        <v>0.34097027644977834</v>
      </c>
      <c r="H37" s="39">
        <v>1.9044761335147813E-2</v>
      </c>
      <c r="I37" s="40">
        <v>0.33649931763235591</v>
      </c>
      <c r="J37" s="39">
        <v>1.8239349897568646E-2</v>
      </c>
      <c r="K37" s="40">
        <v>0.33192470223266329</v>
      </c>
      <c r="L37" s="39">
        <v>1.7422661314907162E-2</v>
      </c>
      <c r="M37" s="40">
        <v>0.32723877365476062</v>
      </c>
      <c r="N37" s="39">
        <v>1.6593176633735138E-2</v>
      </c>
      <c r="O37" s="40">
        <v>0.32243165375506699</v>
      </c>
      <c r="P37" s="39">
        <v>1.5748806170480772E-2</v>
      </c>
      <c r="Q37" s="40">
        <v>0.31749029664126338</v>
      </c>
      <c r="R37" s="39">
        <v>1.4886638097526807E-2</v>
      </c>
      <c r="S37" s="40">
        <v>0.31239709952672584</v>
      </c>
      <c r="T37" s="39">
        <v>1.4002572250585717E-2</v>
      </c>
      <c r="U37" s="40">
        <v>0.30712790388590422</v>
      </c>
      <c r="V37" s="39">
        <v>1.3090785850381719E-2</v>
      </c>
      <c r="W37" s="40">
        <v>0.3016491413674327</v>
      </c>
      <c r="X37" s="39">
        <v>1.2142966096348249E-2</v>
      </c>
      <c r="Y37" s="40">
        <v>0.29591389115348354</v>
      </c>
      <c r="Z37" s="39">
        <v>1.1147300738894431E-2</v>
      </c>
      <c r="AA37" s="40">
        <v>0.2898571183944561</v>
      </c>
      <c r="AB37" s="39">
        <v>1.0087517146676281E-2</v>
      </c>
      <c r="AC37" s="40">
        <v>0.28339249877934558</v>
      </c>
      <c r="AD37" s="39">
        <v>8.9434583286013957E-3</v>
      </c>
      <c r="AE37" s="40">
        <v>0.27642094150822893</v>
      </c>
      <c r="AF37" s="39">
        <v>7.6977221543733107E-3</v>
      </c>
      <c r="AG37" s="40">
        <v>0.26887968840218196</v>
      </c>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0.18186658313621992</v>
      </c>
      <c r="E38" s="38">
        <v>6.095975701924837E-2</v>
      </c>
      <c r="F38" s="37">
        <v>0.1830324726321978</v>
      </c>
      <c r="G38" s="38">
        <v>6.1396119868503948E-2</v>
      </c>
      <c r="H38" s="37">
        <v>0.18430404746388301</v>
      </c>
      <c r="I38" s="38">
        <v>6.1881257259235434E-2</v>
      </c>
      <c r="J38" s="37">
        <v>0.18570093510265318</v>
      </c>
      <c r="K38" s="38">
        <v>6.2423578398310489E-2</v>
      </c>
      <c r="L38" s="37">
        <v>0.18724867053141114</v>
      </c>
      <c r="M38" s="38">
        <v>6.3033779579000235E-2</v>
      </c>
      <c r="N38" s="37">
        <v>0.1889813981268712</v>
      </c>
      <c r="O38" s="38">
        <v>6.3725725563301694E-2</v>
      </c>
      <c r="P38" s="37">
        <v>0.19094626328928935</v>
      </c>
      <c r="Q38" s="38">
        <v>6.451790543847219E-2</v>
      </c>
      <c r="R38" s="37">
        <v>0.19321093228177935</v>
      </c>
      <c r="S38" s="38">
        <v>6.5435772278072346E-2</v>
      </c>
      <c r="T38" s="37">
        <v>0.19587716671849095</v>
      </c>
      <c r="U38" s="38">
        <v>6.6515766324477782E-2</v>
      </c>
      <c r="V38" s="37">
        <v>0.19910696214675988</v>
      </c>
      <c r="W38" s="38">
        <v>6.7812592152642709E-2</v>
      </c>
      <c r="X38" s="37">
        <v>0.20317722233694538</v>
      </c>
      <c r="Y38" s="38">
        <v>6.9413556473869917E-2</v>
      </c>
      <c r="Z38" s="37">
        <v>0.20860658359470566</v>
      </c>
      <c r="AA38" s="38">
        <v>7.146910500442552E-2</v>
      </c>
      <c r="AB38" s="37">
        <v>0.21649636744336248</v>
      </c>
      <c r="AC38" s="38">
        <v>7.4267741071969026E-2</v>
      </c>
      <c r="AD38" s="37">
        <v>0.22968813612266534</v>
      </c>
      <c r="AE38" s="38">
        <v>7.8463053560689791E-2</v>
      </c>
      <c r="AF38" s="37">
        <v>0.25914800593522963</v>
      </c>
      <c r="AG38" s="38">
        <v>8.617752098320397E-2</v>
      </c>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0.23064923795098732</v>
      </c>
      <c r="C39" s="40">
        <v>0.22092201281804777</v>
      </c>
      <c r="D39" s="39">
        <v>0.22989595714893785</v>
      </c>
      <c r="E39" s="40">
        <v>0.22133956996537585</v>
      </c>
      <c r="F39" s="39">
        <v>0.2291625545559747</v>
      </c>
      <c r="G39" s="40">
        <v>0.22185810253956259</v>
      </c>
      <c r="H39" s="39">
        <v>0.22844974740445986</v>
      </c>
      <c r="I39" s="40">
        <v>0.22249160790151357</v>
      </c>
      <c r="J39" s="39">
        <v>0.22775857645948569</v>
      </c>
      <c r="K39" s="40">
        <v>0.22325728252281812</v>
      </c>
      <c r="L39" s="39">
        <v>0.22709046369505886</v>
      </c>
      <c r="M39" s="40">
        <v>0.22417649325161901</v>
      </c>
      <c r="N39" s="39">
        <v>0.22644726869730161</v>
      </c>
      <c r="O39" s="40">
        <v>0.22527626901289963</v>
      </c>
      <c r="P39" s="39">
        <v>0.22583137126528746</v>
      </c>
      <c r="Q39" s="40">
        <v>0.22659141547510847</v>
      </c>
      <c r="R39" s="39">
        <v>0.22524577318871858</v>
      </c>
      <c r="S39" s="40">
        <v>0.2281677957270036</v>
      </c>
      <c r="T39" s="39">
        <v>0.22469425056727313</v>
      </c>
      <c r="U39" s="40">
        <v>0.23006750033808898</v>
      </c>
      <c r="V39" s="39">
        <v>0.2241816500507445</v>
      </c>
      <c r="W39" s="40">
        <v>0.23237735760182379</v>
      </c>
      <c r="X39" s="39">
        <v>0.22371454790703188</v>
      </c>
      <c r="Y39" s="40">
        <v>0.23522340511682424</v>
      </c>
      <c r="Z39" s="39">
        <v>0.22330320232816475</v>
      </c>
      <c r="AA39" s="40">
        <v>0.23879677482297559</v>
      </c>
      <c r="AB39" s="39">
        <v>0.22296771085305056</v>
      </c>
      <c r="AC39" s="40">
        <v>0.2434011013907792</v>
      </c>
      <c r="AD39" s="39">
        <v>0.22275879714622973</v>
      </c>
      <c r="AE39" s="40">
        <v>0.24953990589699848</v>
      </c>
      <c r="AF39" s="39">
        <v>0.2228266931564202</v>
      </c>
      <c r="AG39" s="40">
        <v>0.25806572073134043</v>
      </c>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9.7978472572272837E-2</v>
      </c>
      <c r="E42" s="135"/>
      <c r="F42" s="177">
        <f>10.8%+(1-10.8%)*(1-SUM(F26:G26)/SUM($B$26:$C$26))</f>
        <v>8.7503887193559865E-2</v>
      </c>
      <c r="G42" s="135"/>
      <c r="H42" s="177">
        <f>10.8%+(1-10.8%)*(1-SUM(H26:I26)/SUM($B$26:$C$26))</f>
        <v>7.6496813373766959E-2</v>
      </c>
      <c r="I42" s="135"/>
      <c r="J42" s="177">
        <f>10.8%+(1-10.8%)*(1-SUM(J26:K26)/SUM($B$26:$C$26))</f>
        <v>6.4857181140047737E-2</v>
      </c>
      <c r="K42" s="135"/>
      <c r="L42" s="177">
        <f>10.8%+(1-10.8%)*(1-SUM(L26:M26)/SUM($B$26:$C$26))</f>
        <v>5.2455765117539507E-2</v>
      </c>
      <c r="M42" s="135"/>
      <c r="N42" s="177">
        <f>10.8%+(1-10.8%)*(1-SUM(N26:O26)/SUM($B$26:$C$26))</f>
        <v>3.9120707135347793E-2</v>
      </c>
      <c r="O42" s="135"/>
      <c r="P42" s="177">
        <f>10.8%+(1-10.8%)*(1-SUM(P26:Q26)/SUM($B$26:$C$26))</f>
        <v>2.4615374186758271E-2</v>
      </c>
      <c r="Q42" s="135"/>
      <c r="R42" s="177">
        <f>10.8%+(1-10.8%)*(1-SUM(R26:S26)/SUM($B$26:$C$26))</f>
        <v>8.6002948787072958E-3</v>
      </c>
      <c r="S42" s="135"/>
      <c r="T42" s="177">
        <f>10.8%+(1-10.8%)*(1-SUM(T26:U26)/SUM($B$26:$C$26))</f>
        <v>-9.4359637802852864E-3</v>
      </c>
      <c r="U42" s="135"/>
      <c r="V42" s="177">
        <f>10.8%+(1-10.8%)*(1-SUM(V26:W26)/SUM($B$26:$C$26))</f>
        <v>-3.0310441561808094E-2</v>
      </c>
      <c r="W42" s="135"/>
      <c r="X42" s="177">
        <f>10.8%+(1-10.8%)*(1-SUM(X26:Y26)/SUM($B$26:$C$26))</f>
        <v>-5.5426028166396968E-2</v>
      </c>
      <c r="Y42" s="162"/>
      <c r="Z42" s="177">
        <f>10.8%+(1-10.8%)*(1-SUM(Z26:AA26)/SUM($B$26:$C$26))</f>
        <v>-8.7422276169166702E-2</v>
      </c>
      <c r="AA42" s="135"/>
      <c r="AB42" s="177">
        <f>10.8%+(1-10.8%)*(1-SUM(AB26:AC26)/SUM($B$26:$C$26))</f>
        <v>-0.13192521888017661</v>
      </c>
      <c r="AC42" s="135"/>
      <c r="AD42" s="177">
        <f>10.8%+(1-10.8%)*(1-SUM(AD26:AE26)/SUM($B$26:$C$26))</f>
        <v>-0.20349472339701888</v>
      </c>
      <c r="AE42" s="135"/>
      <c r="AF42" s="177">
        <f>10.8%+(1-10.8%)*(1-SUM(AF26:AG26)/SUM($B$26:$C$26))</f>
        <v>-0.35861789223975105</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0.57947559898033241</v>
      </c>
      <c r="E43" s="135"/>
      <c r="F43" s="162">
        <f t="array" ref="F43">SUM(F15:G15*F27:G27)/SUM(F15:G15*F27:G27,F13:G13*F26:G26)</f>
        <v>0.59217855800247432</v>
      </c>
      <c r="G43" s="135"/>
      <c r="H43" s="162">
        <f t="array" ref="H43">SUM(H15:I15*H27:I27)/SUM(H15:I15*H27:I27,H13:I13*H26:I26)</f>
        <v>0.60537501059308307</v>
      </c>
      <c r="I43" s="135"/>
      <c r="J43" s="162">
        <f t="array" ref="J43">SUM(J15:K15*J27:K27)/SUM(J15:K15*J27:K27,J13:K13*J26:K26)</f>
        <v>0.61914611305400258</v>
      </c>
      <c r="K43" s="135"/>
      <c r="L43" s="162">
        <f t="array" ref="L43">SUM(L15:M15*L27:M27)/SUM(L15:M15*L27:M27,L13:M13*L26:M26)</f>
        <v>0.63359473053567839</v>
      </c>
      <c r="M43" s="135"/>
      <c r="N43" s="162">
        <f t="array" ref="N43">SUM(N15:O15*N27:O27)/SUM(N15:O15*N27:O27,N13:O13*N26:O26)</f>
        <v>0.64885508838425654</v>
      </c>
      <c r="O43" s="135"/>
      <c r="P43" s="162">
        <f t="array" ref="P43">SUM(P15:Q15*P27:Q27)/SUM(P15:Q15*P27:Q27,P13:Q13*P26:Q26)</f>
        <v>0.66510783330072687</v>
      </c>
      <c r="Q43" s="135"/>
      <c r="R43" s="162">
        <f t="array" ref="R43">SUM(R15:S15*R27:S27)/SUM(R15:S15*R27:S27,R13:S13*R26:S26)</f>
        <v>0.6826045850398712</v>
      </c>
      <c r="S43" s="135"/>
      <c r="T43" s="162">
        <f t="array" ref="T43">SUM(T15:U15*T27:U27)/SUM(T15:U15*T27:U27,T13:U13*T26:U26)</f>
        <v>0.70170915594424299</v>
      </c>
      <c r="U43" s="135"/>
      <c r="V43" s="162">
        <f t="array" ref="V43">SUM(V15:W15*V27:W27)/SUM(V15:W15*V27:W27,V13:W13*V26:W26)</f>
        <v>0.72296908814729977</v>
      </c>
      <c r="W43" s="135"/>
      <c r="X43" s="162">
        <f t="array" ref="X43">SUM(X15:Y15*X27:Y27)/SUM(X15:Y15*X27:Y27,X13:Y13*X26:Y26)</f>
        <v>0.74724409369964551</v>
      </c>
      <c r="Y43" s="135"/>
      <c r="Z43" s="162">
        <f t="array" ref="Z43">SUM(Z15:AA15*Z27:AA27)/SUM(Z15:AA15*Z27:AA27,Z13:AA13*Z26:AA26)</f>
        <v>0.77594349326315215</v>
      </c>
      <c r="AA43" s="135"/>
      <c r="AB43" s="162">
        <f t="array" ref="AB43">SUM(AB15:AC15*AB27:AC27)/SUM(AB15:AC15*AB27:AC27,AB13:AC13*AB26:AC26)</f>
        <v>0.81146937256475959</v>
      </c>
      <c r="AC43" s="135"/>
      <c r="AD43" s="162">
        <f t="array" ref="AD43">SUM(AD15:AE15*AD27:AE27)/SUM(AD15:AE15*AD27:AE27,AD13:AE13*AD26:AE26)</f>
        <v>0.85800894705453368</v>
      </c>
      <c r="AE43" s="135"/>
      <c r="AF43" s="162">
        <f t="array" ref="AF43">SUM(AF15:AG15*AF27:AG27)/SUM(AF15:AG15*AF27:AG27,AF13:AG13*AF26:AG26)</f>
        <v>0.92273443502855079</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0.29754226168120135</v>
      </c>
      <c r="F44" s="193">
        <f>(SUM(F11:G11*F24:G24)+F34)/F32</f>
        <v>0.2975422616443556</v>
      </c>
      <c r="H44" s="193">
        <f>(SUM(H11:I11*H24:I24)+H34)/H32</f>
        <v>0.29754226153798691</v>
      </c>
      <c r="J44" s="193">
        <f>(SUM(J11:K11*J24:K24)+J34)/J32</f>
        <v>0.29754226108283988</v>
      </c>
      <c r="L44" s="193">
        <f>(SUM(L11:M11*L24:M24)+L34)/L32</f>
        <v>0.29754226187541755</v>
      </c>
      <c r="N44" s="193">
        <f>(SUM(N11:O11*N24:O24)+N34)/N32</f>
        <v>0.29754226162152192</v>
      </c>
      <c r="P44" s="193">
        <f>(SUM(P11:Q11*P24:Q24)+P34)/P32</f>
        <v>0.29754226176800719</v>
      </c>
      <c r="R44" s="193">
        <f>(SUM(R11:S11*R24:S24)+R34)/R32</f>
        <v>0.29754226184246885</v>
      </c>
      <c r="T44" s="193">
        <f>(SUM(T11:U11*T24:U24)+T34)/T32</f>
        <v>0.29754225425114056</v>
      </c>
      <c r="V44" s="193">
        <f>(SUM(V11:W11*V24:W24)+V34)/V32</f>
        <v>0.29754226198030009</v>
      </c>
      <c r="X44" s="193">
        <f>(SUM(X11:Y11*X24:Y24)+X34)/X32</f>
        <v>0.29754226185691601</v>
      </c>
      <c r="Z44" s="193">
        <f>(SUM(Z11:AA11*Z24:AA24)+Z34)/Z32</f>
        <v>0.29754226193343758</v>
      </c>
      <c r="AB44" s="193">
        <f>(SUM(AB11:AC11*AB24:AC24)+AB34)/AB32</f>
        <v>0.29754226192943473</v>
      </c>
      <c r="AD44" s="193">
        <f>(SUM(AD11:AE11*AD24:AE24)+AD34)/AD32</f>
        <v>0.2975422619342607</v>
      </c>
      <c r="AF44" s="193">
        <f>(SUM(AF11:AG11*AF24:AG24)+AF34)/AF32</f>
        <v>0.2975422619155208</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0.22038438828234588</v>
      </c>
      <c r="F45" s="193">
        <f>SUM(F11:G11*F24:G24)/F32</f>
        <v>0.22038438827312912</v>
      </c>
      <c r="H45" s="193">
        <f>SUM(H11:I11*H24:I24)/H32</f>
        <v>0.22038438825134693</v>
      </c>
      <c r="J45" s="193">
        <f>SUM(J11:K11*J24:K24)/J32</f>
        <v>0.22038438833873014</v>
      </c>
      <c r="L45" s="193">
        <f>SUM(L11:M11*L24:M24)/L32</f>
        <v>0.220384388336096</v>
      </c>
      <c r="N45" s="193">
        <f>SUM(N11:O11*N24:O24)/N32</f>
        <v>0.22038438833231605</v>
      </c>
      <c r="P45" s="193">
        <f>SUM(P11:Q11*P24:Q24)/P32</f>
        <v>0.22038438833175297</v>
      </c>
      <c r="R45" s="193">
        <f>SUM(R11:S11*R24:S24)/R32</f>
        <v>0.22038438833170063</v>
      </c>
      <c r="T45" s="193">
        <f>SUM(T11:U11*T24:U24)/T32</f>
        <v>0.22038438833766849</v>
      </c>
      <c r="V45" s="193">
        <f>SUM(V11:W11*V24:W24)/V32</f>
        <v>0.22038438833384766</v>
      </c>
      <c r="X45" s="193">
        <f>SUM(X11:Y11*X24:Y24)/X32</f>
        <v>0.22038438833089341</v>
      </c>
      <c r="Z45" s="193">
        <f>SUM(Z11:AA11*Z24:AA24)/Z32</f>
        <v>0.22038438833202309</v>
      </c>
      <c r="AB45" s="193">
        <f>SUM(AB11:AC11*AB24:AC24)/AB32</f>
        <v>0.22038438833184992</v>
      </c>
      <c r="AD45" s="193">
        <f>SUM(AD11:AE11*AD24:AE24)/AD32</f>
        <v>0.22038438833171417</v>
      </c>
      <c r="AF45" s="193">
        <f>SUM(AF11:AG11*AF24:AG24)/AF32</f>
        <v>0.22038438833185472</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7.715787339885545E-2</v>
      </c>
      <c r="F46" s="193">
        <f>F34/F32</f>
        <v>7.7157873371226496E-2</v>
      </c>
      <c r="H46" s="193">
        <f>H34/H32</f>
        <v>7.7157873286639991E-2</v>
      </c>
      <c r="J46" s="193">
        <f>J34/J32</f>
        <v>7.7157872744109762E-2</v>
      </c>
      <c r="L46" s="193">
        <f>L34/L32</f>
        <v>7.7157873539321575E-2</v>
      </c>
      <c r="N46" s="193">
        <f>N34/N32</f>
        <v>7.7157873289205911E-2</v>
      </c>
      <c r="P46" s="193">
        <f>P34/P32</f>
        <v>7.7157873436254201E-2</v>
      </c>
      <c r="R46" s="193">
        <f>R34/R32</f>
        <v>7.7157873510768193E-2</v>
      </c>
      <c r="T46" s="193">
        <f>T34/T32</f>
        <v>7.7157865913472068E-2</v>
      </c>
      <c r="V46" s="193">
        <f>V34/V32</f>
        <v>7.7157873646452407E-2</v>
      </c>
      <c r="X46" s="193">
        <f>X34/X32</f>
        <v>7.7157873526022575E-2</v>
      </c>
      <c r="Z46" s="193">
        <f>Z34/Z32</f>
        <v>7.7157873601414517E-2</v>
      </c>
      <c r="AB46" s="193">
        <f>AB34/AB32</f>
        <v>7.7157873597584831E-2</v>
      </c>
      <c r="AD46" s="193">
        <f>AD34/AD32</f>
        <v>7.7157873602546556E-2</v>
      </c>
      <c r="AF46" s="193">
        <f>AF34/AF32</f>
        <v>7.7157873583666034E-2</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1.0076728904440098</v>
      </c>
      <c r="E48" s="191"/>
      <c r="F48" s="191">
        <f>F24/$B$24</f>
        <v>1.0153184658748742</v>
      </c>
      <c r="G48" s="191"/>
      <c r="H48" s="191">
        <f>H24/$B$24</f>
        <v>1.0229350034127602</v>
      </c>
      <c r="I48" s="191"/>
      <c r="J48" s="191">
        <f>J24/$B$24</f>
        <v>1.0305198326199678</v>
      </c>
      <c r="K48" s="191"/>
      <c r="L48" s="191">
        <f>L24/$B$24</f>
        <v>1.0380695870266279</v>
      </c>
      <c r="M48" s="191"/>
      <c r="N48" s="191">
        <f>N24/$B$24</f>
        <v>1.0455806741648446</v>
      </c>
      <c r="O48" s="191"/>
      <c r="P48" s="191">
        <f>P24/$B$24</f>
        <v>1.0530505519945559</v>
      </c>
      <c r="Q48" s="191"/>
      <c r="R48" s="191">
        <f>R24/$B$24</f>
        <v>1.0604801642482091</v>
      </c>
      <c r="S48" s="191"/>
      <c r="T48" s="191">
        <f>T24/$B$24</f>
        <v>1.0678787558122602</v>
      </c>
      <c r="U48" s="191"/>
      <c r="V48" s="191">
        <f>V24/$B$24</f>
        <v>1.0752729839097561</v>
      </c>
      <c r="W48" s="191"/>
      <c r="X48" s="191">
        <f>X24/$B$24</f>
        <v>1.0827240499252559</v>
      </c>
      <c r="Y48" s="191"/>
      <c r="Z48" s="191">
        <f>Z24/$B$24</f>
        <v>1.090358007011923</v>
      </c>
      <c r="AA48" s="191"/>
      <c r="AB48" s="191">
        <f>AB24/$B$24</f>
        <v>1.0984125193195111</v>
      </c>
      <c r="AC48" s="191"/>
      <c r="AD48" s="191">
        <f>AD24/$B$24</f>
        <v>1.107270235497456</v>
      </c>
      <c r="AE48" s="191"/>
      <c r="AF48" s="191">
        <f>AF24/$B$24</f>
        <v>1.117287261865314</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0.96442975517995999</v>
      </c>
      <c r="E49" s="191"/>
      <c r="F49" s="191">
        <f>F13/F35/$B$13*$B$35</f>
        <v>0.92762575673515546</v>
      </c>
      <c r="G49" s="191"/>
      <c r="H49" s="191">
        <f>H13/H35/$B$13*$B$35</f>
        <v>0.88942886454032</v>
      </c>
      <c r="I49" s="191"/>
      <c r="J49" s="191">
        <f>J13/J35/$B$13*$B$35</f>
        <v>0.84964616270399396</v>
      </c>
      <c r="K49" s="191"/>
      <c r="L49" s="191">
        <f>L13/L35/$B$13*$B$35</f>
        <v>0.80803865237578609</v>
      </c>
      <c r="M49" s="191"/>
      <c r="N49" s="191">
        <f>N13/N35/$B$13*$B$35</f>
        <v>0.76430227545516516</v>
      </c>
      <c r="O49" s="191"/>
      <c r="P49" s="191">
        <f>P13/P35/$B$13*$B$35</f>
        <v>0.71803920402665877</v>
      </c>
      <c r="Q49" s="191"/>
      <c r="R49" s="191">
        <f>R13/R35/$B$13*$B$35</f>
        <v>0.66871266485743908</v>
      </c>
      <c r="S49" s="191"/>
      <c r="T49" s="191">
        <f>T13/T35/$B$13*$B$35</f>
        <v>0.61557473960607201</v>
      </c>
      <c r="U49" s="191"/>
      <c r="V49" s="191">
        <f>V13/V35/$B$13*$B$35</f>
        <v>0.55754951061148461</v>
      </c>
      <c r="W49" s="191"/>
      <c r="X49" s="191">
        <f>X13/X35/$B$13*$B$35</f>
        <v>0.49304391021013844</v>
      </c>
      <c r="Y49" s="191"/>
      <c r="Z49" s="191">
        <f>Z13/Z35/$B$13*$B$35</f>
        <v>0.4196550874835529</v>
      </c>
      <c r="AA49" s="191"/>
      <c r="AB49" s="191">
        <f>AB13/AB35/$B$13*$B$35</f>
        <v>0.33379913767825076</v>
      </c>
      <c r="AC49" s="191"/>
      <c r="AD49" s="191">
        <f>AD13/AD35/$B$13*$B$35</f>
        <v>0.23067197563377559</v>
      </c>
      <c r="AE49" s="191"/>
      <c r="AF49" s="191">
        <f>AF13/AF35/$B$13*$B$35</f>
        <v>0.10686889850309776</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-410114.44994375668</v>
      </c>
      <c r="F51" s="29">
        <f>F30-F10*F23</f>
        <v>-414451.34978800034</v>
      </c>
      <c r="H51" s="29">
        <f>H30-H10*H23</f>
        <v>-418855.49651786871</v>
      </c>
      <c r="J51" s="29">
        <f>J30-J10*J23</f>
        <v>-423335.58240123326</v>
      </c>
      <c r="L51" s="29">
        <f>L30-L10*L23</f>
        <v>-427903.71661484847</v>
      </c>
      <c r="N51" s="29">
        <f>N30-N10*N23</f>
        <v>-432577.93297081301</v>
      </c>
      <c r="P51" s="29">
        <f>P30-P10*P23</f>
        <v>-437386.3689293908</v>
      </c>
      <c r="R51" s="29">
        <f>R30-R10*R23</f>
        <v>-442373.99528658949</v>
      </c>
      <c r="T51" s="29">
        <f>T30-T10*T23</f>
        <v>-447614.75298813172</v>
      </c>
      <c r="V51" s="29">
        <f>V30-V10*V23</f>
        <v>-453234.44920696784</v>
      </c>
      <c r="X51" s="29">
        <f>X30-X10*X23</f>
        <v>-459448.76833346579</v>
      </c>
      <c r="Z51" s="29">
        <f>Z30-Z10*Z23</f>
        <v>-466639.47230207175</v>
      </c>
      <c r="AB51" s="29">
        <f>AB30-AB10*AB23</f>
        <v>-475488.03909344971</v>
      </c>
      <c r="AD51" s="29">
        <f>AD30-AD10*AD23</f>
        <v>-487191.12184330495</v>
      </c>
      <c r="AF51" s="29">
        <f>AF30-AF10*AF23</f>
        <v>-503659.44449654268</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2002548.7806992708</v>
      </c>
      <c r="F52" s="29">
        <f t="array" ref="F52">Calibration!sL*SUM(F13:G13*F26:G26)</f>
        <v>1952993.3949333362</v>
      </c>
      <c r="H52" s="29">
        <f t="array" ref="H52">Calibration!sL*SUM(H13:I13*H26:I26)</f>
        <v>1900223.0050336889</v>
      </c>
      <c r="J52" s="29">
        <f t="array" ref="J52">Calibration!sL*SUM(J13:K13*J26:K26)</f>
        <v>1843798.5360572312</v>
      </c>
      <c r="L52" s="29">
        <f t="array" ref="L52">Calibration!sL*SUM(L13:M13*L26:M26)</f>
        <v>1783171.0924615343</v>
      </c>
      <c r="N52" s="29">
        <f t="array" ref="N52">Calibration!sL*SUM(N13:O13*N26:O26)</f>
        <v>1717635.9869700756</v>
      </c>
      <c r="P52" s="29">
        <f t="array" ref="P52">Calibration!sL*SUM(P13:Q13*P26:Q26)</f>
        <v>1646260.8252670814</v>
      </c>
      <c r="R52" s="29">
        <f t="array" ref="R52">Calibration!sL*SUM(R13:S13*R26:S26)</f>
        <v>1567767.5535030866</v>
      </c>
      <c r="T52" s="29">
        <f t="array" ref="T52">Calibration!sL*SUM(T13:U13*T26:U26)</f>
        <v>1480332.6001587487</v>
      </c>
      <c r="V52" s="29">
        <f t="array" ref="V52">Calibration!sL*SUM(V13:W13*V26:W26)</f>
        <v>1381235.118880888</v>
      </c>
      <c r="X52" s="29">
        <f t="array" ref="X52">Calibration!sL*SUM(X13:Y13*X26:Y26)</f>
        <v>1266213.1821434684</v>
      </c>
      <c r="Z52" s="29">
        <f t="array" ref="Z52">Calibration!sL*SUM(Z13:AA13*Z26:AA26)</f>
        <v>1128240.3617688464</v>
      </c>
      <c r="AB52" s="29">
        <f t="array" ref="AB52">Calibration!sL*SUM(AB13:AC13*AB26:AC26)</f>
        <v>955147.621211758</v>
      </c>
      <c r="AD52" s="29">
        <f t="array" ref="AD52">Calibration!sL*SUM(AD13:AE13*AD26:AE26)</f>
        <v>725088.00236547762</v>
      </c>
      <c r="AF52" s="29">
        <f t="array" ref="AF52">Calibration!sL*SUM(AF13:AG13*AF26:AG26)</f>
        <v>398880.77012066869</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2816089.4384626192</v>
      </c>
      <c r="F53" s="29">
        <f t="array" ref="F53">Calibration!sK*SUM(F15:G15*F27:G27)</f>
        <v>2894028.3710731724</v>
      </c>
      <c r="H53" s="29">
        <f t="array" ref="H53">Calibration!sK*SUM(H15:I15*H27:I27)</f>
        <v>2974841.7343096132</v>
      </c>
      <c r="J53" s="29">
        <f t="array" ref="J53">Calibration!sK*SUM(J15:K15*J27:K27)</f>
        <v>3058916.4284809311</v>
      </c>
      <c r="L53" s="29">
        <f t="array" ref="L53">Calibration!sK*SUM(L15:M15*L27:M27)</f>
        <v>3146750.0552221979</v>
      </c>
      <c r="N53" s="29">
        <f t="array" ref="N53">Calibration!sK*SUM(N15:O15*N27:O27)</f>
        <v>3239006.7533023199</v>
      </c>
      <c r="P53" s="29">
        <f t="array" ref="P53">Calibration!sK*SUM(P15:Q15*P27:Q27)</f>
        <v>3336607.3709180327</v>
      </c>
      <c r="R53" s="29">
        <f t="array" ref="R53">Calibration!sK*SUM(R15:S15*R27:S27)</f>
        <v>3440880.6743083331</v>
      </c>
      <c r="T53" s="29">
        <f t="array" ref="T53">Calibration!sK*SUM(T15:U15*T27:U27)</f>
        <v>3553823.9613128738</v>
      </c>
      <c r="V53" s="29">
        <f t="array" ref="V53">Calibration!sK*SUM(V15:W15*V27:W27)</f>
        <v>3678565.5287505551</v>
      </c>
      <c r="X53" s="29">
        <f t="array" ref="X53">Calibration!sK*SUM(X15:Y15*X27:Y27)</f>
        <v>3820211.400981192</v>
      </c>
      <c r="Z53" s="29">
        <f t="array" ref="Z53">Calibration!sK*SUM(Z15:AA15*Z27:AA27)</f>
        <v>3987434.43304019</v>
      </c>
      <c r="AB53" s="29">
        <f t="array" ref="AB53">Calibration!sK*SUM(AB15:AC15*AB27:AC27)</f>
        <v>4195465.0345656294</v>
      </c>
      <c r="AD53" s="29">
        <f t="array" ref="AD53">Calibration!sK*SUM(AD15:AE15*AD27:AE27)</f>
        <v>4471373.4485490182</v>
      </c>
      <c r="AF53" s="29">
        <f t="array" ref="AF53">Calibration!sK*SUM(AF15:AG15*AF27:AG27)</f>
        <v>4861309.0424556667</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0.19836655765327682</v>
      </c>
      <c r="F55" s="193">
        <f>F30/F32</f>
        <v>0.19822559917932206</v>
      </c>
      <c r="H55" s="193">
        <f>H30/H32</f>
        <v>0.19807911291485233</v>
      </c>
      <c r="J55" s="193">
        <f>J30/J32</f>
        <v>0.19792618675577725</v>
      </c>
      <c r="L55" s="193">
        <f>L30/L32</f>
        <v>0.19776567434851614</v>
      </c>
      <c r="N55" s="193">
        <f>N30/N32</f>
        <v>0.19759607781284028</v>
      </c>
      <c r="P55" s="193">
        <f>P30/P32</f>
        <v>0.19741537184078095</v>
      </c>
      <c r="R55" s="193">
        <f>R30/R32</f>
        <v>0.19722074367067102</v>
      </c>
      <c r="T55" s="193">
        <f>T30/T32</f>
        <v>0.19700813690260496</v>
      </c>
      <c r="V55" s="193">
        <f>V30/V32</f>
        <v>0.19677138295604085</v>
      </c>
      <c r="X55" s="193">
        <f>X30/X32</f>
        <v>0.19650089652051325</v>
      </c>
      <c r="Z55" s="193">
        <f>Z30/Z32</f>
        <v>0.19618087668443759</v>
      </c>
      <c r="AB55" s="193">
        <f>AB30/AB32</f>
        <v>0.19578438303001872</v>
      </c>
      <c r="AD55" s="193">
        <f>AD30/AD32</f>
        <v>0.19526437671446947</v>
      </c>
      <c r="AF55" s="193">
        <f>AF30/AF32</f>
        <v>0.19454005221526752</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3.3642540536060972E-2</v>
      </c>
      <c r="F56" s="193">
        <f>(Model!$C$52*F5*F20+F2*G5*G20)/F32</f>
        <v>3.8217517145767731E-2</v>
      </c>
      <c r="H56" s="193">
        <f>(Model!$C$52*H5*H20+H2*I5*I20)/H32</f>
        <v>4.2969799583563992E-2</v>
      </c>
      <c r="J56" s="193">
        <f>(Model!$C$52*J5*J20+J2*K5*K20)/J32</f>
        <v>4.7928627017834388E-2</v>
      </c>
      <c r="L56" s="193">
        <f>(Model!$C$52*L5*L20+L2*M5*M20)/L32</f>
        <v>5.313103960893821E-2</v>
      </c>
      <c r="N56" s="193">
        <f>(Model!$C$52*N5*N20+N2*O5*O20)/N32</f>
        <v>5.8625297565090072E-2</v>
      </c>
      <c r="P56" s="193">
        <f>(Model!$C$52*P5*P20+P2*Q5*Q20)/P32</f>
        <v>6.4476254148787313E-2</v>
      </c>
      <c r="R56" s="193">
        <f>(Model!$C$52*R5*R20+R2*S5*S20)/R32</f>
        <v>7.0774121153113018E-2</v>
      </c>
      <c r="T56" s="193">
        <f>(Model!$C$52*T5*T20+T2*U5*U20)/T32</f>
        <v>7.7649168025380313E-2</v>
      </c>
      <c r="V56" s="193">
        <f>(Model!$C$52*V5*V20+V2*W5*W20)/V32</f>
        <v>8.5297155849634806E-2</v>
      </c>
      <c r="X56" s="193">
        <f>(Model!$C$52*X5*X20+X2*Y5*Y20)/X32</f>
        <v>9.4025305536815318E-2</v>
      </c>
      <c r="Z56" s="193">
        <f>(Model!$C$52*Z5*Z20+Z2*AA5*AA20)/Z32</f>
        <v>0.10433695633633547</v>
      </c>
      <c r="AB56" s="193">
        <f>(Model!$C$52*AB5*AB20+AB2*AC5*AC20)/AB32</f>
        <v>0.11709023512859815</v>
      </c>
      <c r="AD56" s="193">
        <f>(Model!$C$52*AD5*AD20+AD2*AE5*AE20)/AD32</f>
        <v>0.13378276033671396</v>
      </c>
      <c r="AF56" s="193">
        <f>(Model!$C$52*AF5*AF20+AF2*AG5*AG20)/AF32</f>
        <v>0.15698691817655203</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0.15405878960889863</v>
      </c>
      <c r="F57" s="193">
        <f t="array" ref="F57">SUM(Model!tauL*F13:G13*F26:G26)/F32</f>
        <v>0.14943134150051118</v>
      </c>
      <c r="H57" s="193">
        <f t="array" ref="H57">SUM(Model!tauL*H13:I13*H26:I26)/H32</f>
        <v>0.14462239898318585</v>
      </c>
      <c r="J57" s="193">
        <f t="array" ref="J57">SUM(Model!tauL*J13:K13*J26:K26)/J32</f>
        <v>0.13960217566677438</v>
      </c>
      <c r="L57" s="193">
        <f t="array" ref="L57">SUM(Model!tauL*L13:M13*L26:M26)/L32</f>
        <v>0.13433290511638277</v>
      </c>
      <c r="N57" s="193">
        <f t="array" ref="N57">SUM(Model!tauL*N13:O13*N26:O26)/N32</f>
        <v>0.12876531013809675</v>
      </c>
      <c r="P57" s="193">
        <f t="array" ref="P57">SUM(Model!tauL*P13:Q13*P26:Q26)/P32</f>
        <v>0.12283306314730255</v>
      </c>
      <c r="R57" s="193">
        <f t="array" ref="R57">SUM(Model!tauL*R13:S13*R26:S26)/R32</f>
        <v>0.11644376679387634</v>
      </c>
      <c r="T57" s="193">
        <f t="array" ref="T57">SUM(Model!tauL*T13:U13*T26:U26)/T32</f>
        <v>0.10946380170050886</v>
      </c>
      <c r="V57" s="193">
        <f t="array" ref="V57">SUM(Model!tauL*V13:W13*V26:W26)/V32</f>
        <v>0.10169201675101358</v>
      </c>
      <c r="X57" s="193">
        <f t="array" ref="X57">SUM(Model!tauL*X13:Y13*X26:Y26)/X32</f>
        <v>9.2812434452167053E-2</v>
      </c>
      <c r="Y57" s="193"/>
      <c r="Z57" s="193">
        <f t="array" ref="Z57">SUM(Model!tauL*Z13:AA13*Z26:AA26)/Z32</f>
        <v>8.2306730416917689E-2</v>
      </c>
      <c r="AB57" s="193">
        <f t="array" ref="AB57">SUM(Model!tauL*AB13:AC13*AB26:AC26)/AB32</f>
        <v>6.9290527961265919E-2</v>
      </c>
      <c r="AD57" s="193">
        <f t="array" ref="AD57">SUM(Model!tauL*AD13:AE13*AD26:AE26)/AD32</f>
        <v>5.2219614538056243E-2</v>
      </c>
      <c r="AF57" s="193">
        <f t="array" ref="AF57">SUM(Model!tauL*AF13:AG13*AF26:AG26)/AF32</f>
        <v>2.8441296460412151E-2</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1.0665227508317219E-2</v>
      </c>
      <c r="F58" s="193">
        <f t="array" ref="F58">SUM(Model!tauY/(1+Model!tauY)*F3:G3*F18:G18)/F32</f>
        <v>1.0576740533043132E-2</v>
      </c>
      <c r="H58" s="193">
        <f t="array" ref="H58">SUM(Model!tauY/(1+Model!tauY)*H3:I3*H18:I18)/H32</f>
        <v>1.0486914348102474E-2</v>
      </c>
      <c r="J58" s="193">
        <f t="array" ref="J58">SUM(Model!tauY/(1+Model!tauY)*J3:K3*J18:K18)/J32</f>
        <v>1.0395384071168469E-2</v>
      </c>
      <c r="L58" s="193">
        <f t="array" ref="L58">SUM(Model!tauY/(1+Model!tauY)*L3:M3*L18:M18)/L32</f>
        <v>1.0301729623195168E-2</v>
      </c>
      <c r="N58" s="193">
        <f t="array" ref="N58">SUM(Model!tauY/(1+Model!tauY)*N3:O3*N18:O18)/N32</f>
        <v>1.0205470109653428E-2</v>
      </c>
      <c r="P58" s="193">
        <f t="array" ref="P58">SUM(Model!tauY/(1+Model!tauY)*P3:Q3*P18:Q18)/P32</f>
        <v>1.0106054544691134E-2</v>
      </c>
      <c r="R58" s="193">
        <f t="array" ref="R58">SUM(Model!tauY/(1+Model!tauY)*R3:S3*R18:S18)/R32</f>
        <v>1.0002855723681673E-2</v>
      </c>
      <c r="T58" s="193">
        <f t="array" ref="T58">SUM(Model!tauY/(1+Model!tauY)*T3:U3*T18:U18)/T32</f>
        <v>9.8951671767157981E-3</v>
      </c>
      <c r="V58" s="193">
        <f t="array" ref="V58">SUM(Model!tauY/(1+Model!tauY)*V3:W3*V18:W18)/V32</f>
        <v>9.7822103553924736E-3</v>
      </c>
      <c r="X58" s="193">
        <f t="array" ref="X58">SUM(Model!tauY/(1+Model!tauY)*X3:Y3*X18:Y18)/X32</f>
        <v>9.6631565315308966E-3</v>
      </c>
      <c r="Y58" s="193"/>
      <c r="Z58" s="193">
        <f t="array" ref="Z58">SUM(Model!tauY/(1+Model!tauY)*Z3:AA3*Z18:AA18)/Z32</f>
        <v>9.5371899311844244E-3</v>
      </c>
      <c r="AB58" s="193">
        <f t="array" ref="AB58">SUM(Model!tauY/(1+Model!tauY)*AB3:AC3*AB18:AC18)/AB32</f>
        <v>9.4036199401546644E-3</v>
      </c>
      <c r="AD58" s="193">
        <f t="array" ref="AD58">SUM(Model!tauY/(1+Model!tauY)*AD3:AE3*AD18:AE18)/AD32</f>
        <v>9.2620018396992777E-3</v>
      </c>
      <c r="AF58" s="193">
        <f t="array" ref="AF58">SUM(Model!tauY/(1+Model!tauY)*AF3:AG3*AF18:AG18)/AF32</f>
        <v>9.1118375783033369E-3</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5.0315708710117002E-3</v>
      </c>
      <c r="F59" s="193">
        <f>(F2*G5*G20)/F32</f>
        <v>9.665892492395696E-3</v>
      </c>
      <c r="H59" s="193">
        <f>(H2*I5*I20)/H32</f>
        <v>1.4478549429232036E-2</v>
      </c>
      <c r="J59" s="193">
        <f>(J2*K5*K20)/J32</f>
        <v>1.9498998523401586E-2</v>
      </c>
      <c r="L59" s="193">
        <f>(L2*M5*M20)/L32</f>
        <v>2.4764554467022214E-2</v>
      </c>
      <c r="N59" s="193">
        <f>(N2*O5*O20)/N32</f>
        <v>3.0323836090512556E-2</v>
      </c>
      <c r="P59" s="193">
        <f>(P2*Q5*Q20)/P32</f>
        <v>3.624218551293449E-2</v>
      </c>
      <c r="R59" s="193">
        <f>(R2*S5*S20)/R32</f>
        <v>4.2610509504299475E-2</v>
      </c>
      <c r="T59" s="193">
        <f>(T2*U5*U20)/T32</f>
        <v>4.9560108892048774E-2</v>
      </c>
      <c r="V59" s="193">
        <f>(V2*W5*W20)/V32</f>
        <v>5.7288341330227727E-2</v>
      </c>
      <c r="X59" s="193">
        <f>(X2*Y5*Y20)/X32</f>
        <v>6.6105007674621102E-2</v>
      </c>
      <c r="Z59" s="193">
        <f>(Z2*AA5*AA20)/Z32</f>
        <v>7.6517780825508447E-2</v>
      </c>
      <c r="AB59" s="193">
        <f>(AB2*AC5*AC20)/AB32</f>
        <v>8.9392298628367853E-2</v>
      </c>
      <c r="AD59" s="193">
        <f>(AD2*AE5*AE20)/AD32</f>
        <v>0.10623928338232232</v>
      </c>
      <c r="AF59" s="193">
        <f>(AF2*AG5*AG20)/AF32</f>
        <v>0.12965283404253525</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2.8610969665049273E-2</v>
      </c>
      <c r="F60" s="193">
        <f>Model!$C$52*F5*F20/F32</f>
        <v>2.8551624653372035E-2</v>
      </c>
      <c r="H60" s="193">
        <f>Model!$C$52*H5*H20/H32</f>
        <v>2.8491250154331953E-2</v>
      </c>
      <c r="J60" s="193">
        <f>Model!$C$52*J5*J20/J32</f>
        <v>2.8429628494432806E-2</v>
      </c>
      <c r="L60" s="193">
        <f>Model!$C$52*L5*L20/L32</f>
        <v>2.8366485141916E-2</v>
      </c>
      <c r="N60" s="193">
        <f>Model!$C$52*N5*N20/N32</f>
        <v>2.8301461474577513E-2</v>
      </c>
      <c r="P60" s="193">
        <f>Model!$C$52*P5*P20/P32</f>
        <v>2.8234068635852819E-2</v>
      </c>
      <c r="R60" s="193">
        <f>Model!$C$52*R5*R20/R32</f>
        <v>2.8163611648813539E-2</v>
      </c>
      <c r="T60" s="193">
        <f>Model!$C$52*T5*T20/T32</f>
        <v>2.8089059133331536E-2</v>
      </c>
      <c r="V60" s="193">
        <f>Model!$C$52*V5*V20/V32</f>
        <v>2.800881451940708E-2</v>
      </c>
      <c r="X60" s="193">
        <f>Model!$C$52*X5*X20/X32</f>
        <v>2.7920297862194198E-2</v>
      </c>
      <c r="Z60" s="193">
        <f>Model!$C$52*Z5*Z20/Z32</f>
        <v>2.7819175510827025E-2</v>
      </c>
      <c r="AB60" s="193">
        <f>Model!$C$52*AB5*AB20/AB32</f>
        <v>2.7697936500230287E-2</v>
      </c>
      <c r="AD60" s="193">
        <f>Model!$C$52*AD5*AD20/AD32</f>
        <v>2.7543476954391622E-2</v>
      </c>
      <c r="AF60" s="193">
        <f>Model!$C$52*AF5*AF20/AF32</f>
        <v>2.7334084134016782E-2</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0.94048943026498544</v>
      </c>
      <c r="F62">
        <f>F13/F15</f>
        <v>0.88226922070243252</v>
      </c>
      <c r="H62">
        <f>H13/H15</f>
        <v>0.82515677353470596</v>
      </c>
      <c r="J62">
        <f>J13/J15</f>
        <v>0.76895702920207709</v>
      </c>
      <c r="L62">
        <f>L13/L15</f>
        <v>0.71345310870220868</v>
      </c>
      <c r="N62">
        <f>N13/N15</f>
        <v>0.65839208897669799</v>
      </c>
      <c r="P62">
        <f>P13/P15</f>
        <v>0.60346459356166404</v>
      </c>
      <c r="R62">
        <f>R13/R15</f>
        <v>0.54827372790982931</v>
      </c>
      <c r="T62">
        <f>T13/T15</f>
        <v>0.49228746090044045</v>
      </c>
      <c r="V62">
        <f>V13/V15</f>
        <v>0.43476560158576222</v>
      </c>
      <c r="X62">
        <f>X13/X15</f>
        <v>0.37465005037037558</v>
      </c>
      <c r="Z62">
        <f>Z13/Z15</f>
        <v>0.31041593923646443</v>
      </c>
      <c r="AB62">
        <f>AB13/AB15</f>
        <v>0.23994230019453008</v>
      </c>
      <c r="AD62">
        <f>AD13/AD15</f>
        <v>0.16074584147667673</v>
      </c>
      <c r="AF62">
        <f>AF13/AF15</f>
        <v>7.20487914685492E-2</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0.99809850529399324</v>
      </c>
      <c r="E65" s="191"/>
      <c r="F65" s="191">
        <f t="array" ref="F65">SQRT((F9:G9*$B$22:$C$22+F10:G10*$B$23:$C$23+F11:G11*$B$24:$C$24+F4:G4*($B$25:$C$25-$B$19:$C$19))/($B$9:$C$9*$B$22:$C$22+$B$10:$C$10*$B$23:$C$23+$B$11:$C$11*$B$24:$C$24+$B$4:$C$4*($B$25:$C$25-$B$19:$C$19))*(F9:G9*F22:G22+F10:G10*F23:G23+F11:G11*F24:G24+F4:G4*(F25:G25-F19:G19))/($B$9:$C$9*F22:G22+$B$10:$C$10*F23:G23+$B$11:$C$11*F24:G24+$B$4:$C$4*(F25:G25-F19:G19)))</f>
        <v>0.99618085100265275</v>
      </c>
      <c r="G65" s="191"/>
      <c r="H65" s="191">
        <f t="array" ref="H65">SQRT((H9:I9*$B$22:$C$22+H10:I10*$B$23:$C$23+H11:I11*$B$24:$C$24+H4:I4*($B$25:$C$25-$B$19:$C$19))/($B$9:$C$9*$B$22:$C$22+$B$10:$C$10*$B$23:$C$23+$B$11:$C$11*$B$24:$C$24+$B$4:$C$4*($B$25:$C$25-$B$19:$C$19))*(H9:I9*H22:I22+H10:I10*H23:I23+H11:I11*H24:I24+H4:I4*(H25:I25-H19:I19))/($B$9:$C$9*H22:I22+$B$10:$C$10*H23:I23+$B$11:$C$11*H24:I24+$B$4:$C$4*(H25:I25-H19:I19)))</f>
        <v>0.99423788133452073</v>
      </c>
      <c r="I65" s="191"/>
      <c r="J65" s="191">
        <f t="array" ref="J65">SQRT((J9:K9*$B$22:$C$22+J10:K10*$B$23:$C$23+J11:K11*$B$24:$C$24+J4:K4*($B$25:$C$25-$B$19:$C$19))/($B$9:$C$9*$B$22:$C$22+$B$10:$C$10*$B$23:$C$23+$B$11:$C$11*$B$24:$C$24+$B$4:$C$4*($B$25:$C$25-$B$19:$C$19))*(J9:K9*J22:K22+J10:K10*J23:K23+J11:K11*J24:K24+J4:K4*(J25:K25-J19:K19))/($B$9:$C$9*J22:K22+$B$10:$C$10*J23:K23+$B$11:$C$11*J24:K24+$B$4:$C$4*(J25:K25-J19:K19)))</f>
        <v>0.9922603335438851</v>
      </c>
      <c r="K65" s="191"/>
      <c r="L65" s="191">
        <f t="array" ref="L65">SQRT((L9:M9*$B$22:$C$22+L10:M10*$B$23:$C$23+L11:M11*$B$24:$C$24+L4:M4*($B$25:$C$25-$B$19:$C$19))/($B$9:$C$9*$B$22:$C$22+$B$10:$C$10*$B$23:$C$23+$B$11:$C$11*$B$24:$C$24+$B$4:$C$4*($B$25:$C$25-$B$19:$C$19))*(L9:M9*L22:M22+L10:M10*L23:M23+L11:M11*L24:M24+L4:M4*(L25:M25-L19:M19))/($B$9:$C$9*L22:M22+$B$10:$C$10*L23:M23+$B$11:$C$11*L24:M24+$B$4:$C$4*(L25:M25-L19:M19)))</f>
        <v>0.99023937511685245</v>
      </c>
      <c r="M65" s="191"/>
      <c r="N65" s="191">
        <f t="array" ref="N65">SQRT((N9:O9*$B$22:$C$22+N10:O10*$B$23:$C$23+N11:O11*$B$24:$C$24+N4:O4*($B$25:$C$25-$B$19:$C$19))/($B$9:$C$9*$B$22:$C$22+$B$10:$C$10*$B$23:$C$23+$B$11:$C$11*$B$24:$C$24+$B$4:$C$4*($B$25:$C$25-$B$19:$C$19))*(N9:O9*N22:O22+N10:O10*N23:O23+N11:O11*N24:O24+N4:O4*(N25:O25-N19:O19))/($B$9:$C$9*N22:O22+$B$10:$C$10*N23:O23+$B$11:$C$11*N24:O24+$B$4:$C$4*(N25:O25-N19:O19)))</f>
        <v>0.98816756896333691</v>
      </c>
      <c r="O65" s="191"/>
      <c r="P65" s="191">
        <f t="array" ref="P65">SQRT((P9:Q9*$B$22:$C$22+P10:Q10*$B$23:$C$23+P11:Q11*$B$24:$C$24+P4:Q4*($B$25:$C$25-$B$19:$C$19))/($B$9:$C$9*$B$22:$C$22+$B$10:$C$10*$B$23:$C$23+$B$11:$C$11*$B$24:$C$24+$B$4:$C$4*($B$25:$C$25-$B$19:$C$19))*(P9:Q9*P22:Q22+P10:Q10*P23:Q23+P11:Q11*P24:Q24+P4:Q4*(P25:Q25-P19:Q19))/($B$9:$C$9*P22:Q22+$B$10:$C$10*P23:Q23+$B$11:$C$11*P24:Q24+$B$4:$C$4*(P25:Q25-P19:Q19)))</f>
        <v>0.986040552573484</v>
      </c>
      <c r="Q65" s="191"/>
      <c r="R65" s="191">
        <f t="array" ref="R65">SQRT((R9:S9*$B$22:$C$22+R10:S10*$B$23:$C$23+R11:S11*$B$24:$C$24+R4:S4*($B$25:$C$25-$B$19:$C$19))/($B$9:$C$9*$B$22:$C$22+$B$10:$C$10*$B$23:$C$23+$B$11:$C$11*$B$24:$C$24+$B$4:$C$4*($B$25:$C$25-$B$19:$C$19))*(R9:S9*R22:S22+R10:S10*R23:S23+R11:S11*R24:S24+R4:S4*(R25:S25-R19:S19))/($B$9:$C$9*R22:S22+$B$10:$C$10*R23:S23+$B$11:$C$11*R24:S24+$B$4:$C$4*(R25:S25-R19:S19)))</f>
        <v>0.98385996167208267</v>
      </c>
      <c r="S65" s="191"/>
      <c r="T65" s="191">
        <f t="array" ref="T65">SQRT((T9:U9*$B$22:$C$22+T10:U10*$B$23:$C$23+T11:U11*$B$24:$C$24+T4:U4*($B$25:$C$25-$B$19:$C$19))/($B$9:$C$9*$B$22:$C$22+$B$10:$C$10*$B$23:$C$23+$B$11:$C$11*$B$24:$C$24+$B$4:$C$4*($B$25:$C$25-$B$19:$C$19))*(T9:U9*T22:U22+T10:U10*T23:U23+T11:U11*T24:U24+T4:U4*(T25:U25-T19:U19))/($B$9:$C$9*T22:U22+$B$10:$C$10*T23:U23+$B$11:$C$11*T24:U24+$B$4:$C$4*(T25:U25-T19:U19)))</f>
        <v>0.98163853862657546</v>
      </c>
      <c r="U65" s="191"/>
      <c r="V65" s="191">
        <f t="array" ref="V65">SQRT((V9:W9*$B$22:$C$22+V10:W10*$B$23:$C$23+V11:W11*$B$24:$C$24+V4:W4*($B$25:$C$25-$B$19:$C$19))/($B$9:$C$9*$B$22:$C$22+$B$10:$C$10*$B$23:$C$23+$B$11:$C$11*$B$24:$C$24+$B$4:$C$4*($B$25:$C$25-$B$19:$C$19))*(V9:W9*V22:W22+V10:W10*V23:W23+V11:W11*V24:W24+V4:W4*(V25:W25-V19:W19))/($B$9:$C$9*V22:W22+$B$10:$C$10*V23:W23+$B$11:$C$11*V24:W24+$B$4:$C$4*(V25:W25-V19:W19)))</f>
        <v>0.97940914934590184</v>
      </c>
      <c r="W65" s="191"/>
      <c r="X65" s="191">
        <f t="array" ref="X65">SQRT((X9:Y9*$B$22:$C$22+X10:Y10*$B$23:$C$23+X11:Y11*$B$24:$C$24+X4:Y4*($B$25:$C$25-$B$19:$C$19))/($B$9:$C$9*$B$22:$C$22+$B$10:$C$10*$B$23:$C$23+$B$11:$C$11*$B$24:$C$24+$B$4:$C$4*($B$25:$C$25-$B$19:$C$19))*(X9:Y9*X22:Y22+X10:Y10*X23:Y23+X11:Y11*X24:Y24+X4:Y4*(X25:Y25-X19:Y19))/($B$9:$C$9*X22:Y22+$B$10:$C$10*X23:Y23+$B$11:$C$11*X24:Y24+$B$4:$C$4*(X25:Y25-X19:Y19)))</f>
        <v>0.97724099896637162</v>
      </c>
      <c r="Y65" s="191"/>
      <c r="Z65" s="191">
        <f t="array" ref="Z65">SQRT((Z9:AA9*$B$22:$C$22+Z10:AA10*$B$23:$C$23+Z11:AA11*$B$24:$C$24+Z4:AA4*($B$25:$C$25-$B$19:$C$19))/($B$9:$C$9*$B$22:$C$22+$B$10:$C$10*$B$23:$C$23+$B$11:$C$11*$B$24:$C$24+$B$4:$C$4*($B$25:$C$25-$B$19:$C$19))*(Z9:AA9*Z22:AA22+Z10:AA10*Z23:AA23+Z11:AA11*Z24:AA24+Z4:AA4*(Z25:AA25-Z19:AA19))/($B$9:$C$9*Z22:AA22+$B$10:$C$10*Z23:AA23+$B$11:$C$11*Z24:AA24+$B$4:$C$4*(Z25:AA25-Z19:AA19)))</f>
        <v>0.97526853924823265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0.97374067127352848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0.97308737762226494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0.97393153529567877</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0.99790865196775369</v>
      </c>
      <c r="E66" s="191"/>
      <c r="F66" s="191">
        <f t="array" ref="F66">SQRT((F9:G9*$B$22:$C$22)/($B$9:$C$9*$B$22:$C$22)*(F9:G9*F22:G22)/($B$9:$C$9*F22:G22))</f>
        <v>0.99579636032963004</v>
      </c>
      <c r="G66" s="191"/>
      <c r="H66" s="191">
        <f t="array" ref="H66">SQRT((H9:I9*$B$22:$C$22)/($B$9:$C$9*$B$22:$C$22)*(H9:I9*H22:I22)/($B$9:$C$9*H22:I22))</f>
        <v>0.99365291442308445</v>
      </c>
      <c r="I66" s="191"/>
      <c r="J66" s="191">
        <f t="array" ref="J66">SQRT((J9:K9*$B$22:$C$22)/($B$9:$C$9*$B$22:$C$22)*(J9:K9*J22:K22)/($B$9:$C$9*J22:K22))</f>
        <v>0.99146791653550215</v>
      </c>
      <c r="K66" s="191"/>
      <c r="L66" s="191">
        <f t="array" ref="L66">SQRT((L9:M9*$B$22:$C$22)/($B$9:$C$9*$B$22:$C$22)*(L9:M9*L22:M22)/($B$9:$C$9*L22:M22))</f>
        <v>0.98923137218828061</v>
      </c>
      <c r="M66" s="191"/>
      <c r="N66" s="191">
        <f t="array" ref="N66">SQRT((N9:O9*$B$22:$C$22)/($B$9:$C$9*$B$22:$C$22)*(N9:O9*N22:O22)/($B$9:$C$9*N22:O22))</f>
        <v>0.98693476047405126</v>
      </c>
      <c r="O66" s="191"/>
      <c r="P66" s="191">
        <f t="array" ref="P66">SQRT((P9:Q9*$B$22:$C$22)/($B$9:$C$9*$B$22:$C$22)*(P9:Q9*P22:Q22)/($B$9:$C$9*P22:Q22))</f>
        <v>0.98457290910632733</v>
      </c>
      <c r="Q66" s="191"/>
      <c r="R66" s="191">
        <f t="array" ref="R66">SQRT((R9:S9*$B$22:$C$22)/($B$9:$C$9*$B$22:$C$22)*(R9:S9*R22:S22)/($B$9:$C$9*R22:S22))</f>
        <v>0.98214727709942229</v>
      </c>
      <c r="S66" s="191"/>
      <c r="T66" s="191">
        <f t="array" ref="T66">SQRT((T9:U9*$B$22:$C$22)/($B$9:$C$9*$B$22:$C$22)*(T9:U9*T22:U22)/($B$9:$C$9*T22:U22))</f>
        <v>0.97967171591864965</v>
      </c>
      <c r="U66" s="191"/>
      <c r="V66" s="191">
        <f t="array" ref="V66">SQRT((V9:W9*$B$22:$C$22)/($B$9:$C$9*$B$22:$C$22)*(V9:W9*V22:W22)/($B$9:$C$9*V22:W22))</f>
        <v>0.97718267329682973</v>
      </c>
      <c r="W66" s="191"/>
      <c r="X66" s="191">
        <f t="array" ref="X66">SQRT((X9:Y9*$B$22:$C$22)/($B$9:$C$9*$B$22:$C$22)*(X9:Y9*X22:Y22)/($B$9:$C$9*X22:Y22))</f>
        <v>0.97475758429746873</v>
      </c>
      <c r="Y66" s="191"/>
      <c r="Z66" s="191">
        <f t="array" ref="Z66">SQRT((Z9:AA9*$B$22:$C$22)/($B$9:$C$9*$B$22:$C$22)*(Z9:AA9*Z22:AA22)/($B$9:$C$9*Z22:AA22))</f>
        <v>0.97254768725771013</v>
      </c>
      <c r="AA66" s="191"/>
      <c r="AB66" s="191">
        <f t="array" ref="AB66">SQRT((AB9:AC9*$B$22:$C$22)/($B$9:$C$9*$B$22:$C$22)*(AB9:AC9*AB22:AC22)/($B$9:$C$9*AB22:AC22))</f>
        <v>0.97083381355142784</v>
      </c>
      <c r="AC66" s="191"/>
      <c r="AD66" s="191">
        <f t="array" ref="AD66">SQRT((AD9:AE9*$B$22:$C$22)/($B$9:$C$9*$B$22:$C$22)*(AD9:AE9*AD22:AE22)/($B$9:$C$9*AD22:AE22))</f>
        <v>0.97010149080746133</v>
      </c>
      <c r="AE66" s="191"/>
      <c r="AF66" s="191">
        <f t="array" ref="AF66">SQRT((AF9:AG9*$B$22:$C$22)/($B$9:$C$9*$B$22:$C$22)*(AF9:AG9*AF22:AG22)/($B$9:$C$9*AF22:AG22))</f>
        <v>0.97105225995754052</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0.99790865196775369</v>
      </c>
      <c r="E68" s="191"/>
      <c r="F68" s="191">
        <f>F66/F67</f>
        <v>0.99579636032963004</v>
      </c>
      <c r="G68" s="191"/>
      <c r="H68" s="191">
        <f>H66/H67</f>
        <v>0.99365291442308445</v>
      </c>
      <c r="I68" s="191"/>
      <c r="J68" s="191">
        <f>J66/J67</f>
        <v>0.99146791653550215</v>
      </c>
      <c r="K68" s="191"/>
      <c r="L68" s="191">
        <f>L66/L67</f>
        <v>0.98923137218828061</v>
      </c>
      <c r="M68" s="191"/>
      <c r="N68" s="191">
        <f>N66/N67</f>
        <v>0.98693476047405126</v>
      </c>
      <c r="O68" s="191"/>
      <c r="P68" s="191">
        <f>P66/P67</f>
        <v>0.98457290910632733</v>
      </c>
      <c r="Q68" s="191"/>
      <c r="R68" s="191">
        <f>R66/R67</f>
        <v>0.98214727709942229</v>
      </c>
      <c r="S68" s="191"/>
      <c r="T68" s="191">
        <f>T66/T67</f>
        <v>0.97967171591864965</v>
      </c>
      <c r="U68" s="191"/>
      <c r="V68" s="191">
        <f>V66/V67</f>
        <v>0.97718267329682973</v>
      </c>
      <c r="W68" s="191"/>
      <c r="X68" s="191">
        <f>X66/X67</f>
        <v>0.97475758429746873</v>
      </c>
      <c r="Y68" s="191"/>
      <c r="Z68" s="191">
        <f>Z66/Z67</f>
        <v>0.97254768725771013</v>
      </c>
      <c r="AA68" s="191"/>
      <c r="AB68" s="191">
        <f>AB66/AB67</f>
        <v>0.97083381355142784</v>
      </c>
      <c r="AC68" s="191"/>
      <c r="AD68" s="191">
        <f>AD66/AD67</f>
        <v>0.97010149080746133</v>
      </c>
      <c r="AE68" s="191"/>
      <c r="AF68" s="191">
        <f>AF66/AF67</f>
        <v>0.97105225995754052</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1.0074812161526379</v>
      </c>
      <c r="E69" s="191"/>
      <c r="F69" s="191">
        <f>F32/F65/($B$32)</f>
        <v>1.0149265890283405</v>
      </c>
      <c r="G69" s="191"/>
      <c r="H69" s="191">
        <f>H32/H65/($B$32)</f>
        <v>1.0223331527198121</v>
      </c>
      <c r="I69" s="191"/>
      <c r="J69" s="191">
        <f>J32/J65/($B$32)</f>
        <v>1.0296968616246407</v>
      </c>
      <c r="K69" s="191"/>
      <c r="L69" s="191">
        <f>L32/L65/($B$32)</f>
        <v>1.0370128958573617</v>
      </c>
      <c r="M69" s="191"/>
      <c r="N69" s="191">
        <f>N32/N65/($B$32)</f>
        <v>1.044276238790131</v>
      </c>
      <c r="O69" s="191"/>
      <c r="P69" s="191">
        <f>P32/P65/($B$32)</f>
        <v>1.0514831694378211</v>
      </c>
      <c r="Q69" s="191"/>
      <c r="R69" s="191">
        <f>R32/R65/($B$32)</f>
        <v>1.0586341006959346</v>
      </c>
      <c r="S69" s="191"/>
      <c r="T69" s="191">
        <f>T32/T65/($B$32)</f>
        <v>1.0657391411467936</v>
      </c>
      <c r="U69" s="191"/>
      <c r="V69" s="191">
        <f>V32/V65/($B$32)</f>
        <v>1.0728285820419772</v>
      </c>
      <c r="W69" s="191"/>
      <c r="X69" s="191">
        <f>X32/X65/($B$32)</f>
        <v>1.0799725763524255</v>
      </c>
      <c r="Y69" s="191"/>
      <c r="Z69" s="191">
        <f>Z32/Z65/($B$32)</f>
        <v>1.0873160727807178</v>
      </c>
      <c r="AA69" s="191"/>
      <c r="AB69" s="191">
        <f>AB32/AB65/($B$32)</f>
        <v>1.0951334851704904</v>
      </c>
      <c r="AC69" s="191"/>
      <c r="AD69" s="191">
        <f>AD32/AD65/($B$32)</f>
        <v>1.1038726129698979</v>
      </c>
      <c r="AE69" s="191"/>
      <c r="AF69" s="191">
        <f>AF32/AF65/($B$32)</f>
        <v>1.113984177878713</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1.0064603675403971</v>
      </c>
      <c r="E70" s="138"/>
      <c r="F70" s="138">
        <f>F18/$B$18</f>
        <v>1.012854785642286</v>
      </c>
      <c r="G70" s="138"/>
      <c r="H70" s="138">
        <f>H18/$B$18</f>
        <v>1.01917903172669</v>
      </c>
      <c r="I70" s="138"/>
      <c r="J70" s="138">
        <f>J18/$B$18</f>
        <v>1.0254266232312348</v>
      </c>
      <c r="K70" s="138"/>
      <c r="L70" s="138">
        <f>L18/$B$18</f>
        <v>1.0315881085221135</v>
      </c>
      <c r="M70" s="138"/>
      <c r="N70" s="138">
        <f>N18/$B$18</f>
        <v>1.0376499923537965</v>
      </c>
      <c r="O70" s="138"/>
      <c r="P70" s="138">
        <f>P18/$B$18</f>
        <v>1.0435933330723859</v>
      </c>
      <c r="Q70" s="138"/>
      <c r="R70" s="138">
        <f>R18/$B$18</f>
        <v>1.0493916104978844</v>
      </c>
      <c r="S70" s="138"/>
      <c r="T70" s="138">
        <f>T18/$B$18</f>
        <v>1.0550075431251627</v>
      </c>
      <c r="U70" s="138"/>
      <c r="V70" s="138">
        <f>V18/$B$18</f>
        <v>1.0603879553277358</v>
      </c>
      <c r="W70" s="138"/>
      <c r="X70" s="138">
        <f>X18/$B$18</f>
        <v>1.0654547578631868</v>
      </c>
      <c r="Y70" s="138"/>
      <c r="Z70" s="138">
        <f>Z18/$B$18</f>
        <v>1.0700871509991514</v>
      </c>
      <c r="AA70" s="138"/>
      <c r="AB70" s="138">
        <f>AB18/$B$18</f>
        <v>1.0740811043101397</v>
      </c>
      <c r="AC70" s="138"/>
      <c r="AD70" s="138">
        <f>AD18/$B$18</f>
        <v>1.0770429886134574</v>
      </c>
      <c r="AE70" s="138"/>
      <c r="AF70" s="138">
        <f>AF18/$B$18</f>
        <v>1.0780847503686661</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0.92363037251546631</v>
      </c>
      <c r="E71" s="138"/>
      <c r="F71" s="138">
        <f>G18/$C$18</f>
        <v>0.84764088874027288</v>
      </c>
      <c r="G71" s="138"/>
      <c r="H71" s="138">
        <f>I18/$C$18</f>
        <v>0.77205413731165262</v>
      </c>
      <c r="I71" s="138"/>
      <c r="J71" s="138">
        <f>K18/$C$18</f>
        <v>0.69691646004636287</v>
      </c>
      <c r="K71" s="138"/>
      <c r="L71" s="138">
        <f>M18/$C$18</f>
        <v>0.62230856399292411</v>
      </c>
      <c r="M71" s="138"/>
      <c r="N71" s="138">
        <f>O18/$C$18</f>
        <v>0.54836327979808508</v>
      </c>
      <c r="O71" s="138"/>
      <c r="P71" s="138">
        <f>Q18/$C$18</f>
        <v>0.47528907046915758</v>
      </c>
      <c r="Q71" s="138"/>
      <c r="R71" s="138">
        <f>S18/$C$18</f>
        <v>0.4034057888108819</v>
      </c>
      <c r="S71" s="138"/>
      <c r="T71" s="138">
        <f>U18/$C$18</f>
        <v>0.33319723444442834</v>
      </c>
      <c r="U71" s="138"/>
      <c r="V71" s="138">
        <f>W18/$C$18</f>
        <v>0.26538990156414277</v>
      </c>
      <c r="W71" s="138"/>
      <c r="X71" s="138">
        <f>Y18/$C$18</f>
        <v>0.20106662085462121</v>
      </c>
      <c r="Y71" s="138"/>
      <c r="Z71" s="138">
        <f>AA18/$C$18</f>
        <v>0.14182637501688919</v>
      </c>
      <c r="AA71" s="138"/>
      <c r="AB71" s="138">
        <f>AC18/$C$18</f>
        <v>8.9957500069315258E-2</v>
      </c>
      <c r="AC71" s="138"/>
      <c r="AD71" s="138">
        <f>AE18/$C$18</f>
        <v>4.8444695808816711E-2</v>
      </c>
      <c r="AE71" s="138"/>
      <c r="AF71" s="138">
        <f>AG18/$C$18</f>
        <v>2.0201094590034715E-2</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1.0490007308539555</v>
      </c>
      <c r="E72" s="138"/>
      <c r="F72" s="138">
        <f>G19/$C$19</f>
        <v>1.1029178871966399</v>
      </c>
      <c r="G72" s="138"/>
      <c r="H72" s="138">
        <f>I19/$C$19</f>
        <v>1.1622829465489684</v>
      </c>
      <c r="I72" s="138"/>
      <c r="J72" s="138">
        <f>K19/$C$19</f>
        <v>1.227642336121471</v>
      </c>
      <c r="K72" s="138"/>
      <c r="L72" s="138">
        <f>M19/$C$19</f>
        <v>1.2995231641259271</v>
      </c>
      <c r="M72" s="138"/>
      <c r="N72" s="138">
        <f>O19/$C$19</f>
        <v>1.3783723944322741</v>
      </c>
      <c r="O72" s="138"/>
      <c r="P72" s="138">
        <f>Q19/$C$19</f>
        <v>1.4644478396235348</v>
      </c>
      <c r="Q72" s="138"/>
      <c r="R72" s="138">
        <f>S19/$C$19</f>
        <v>1.5576280255309627</v>
      </c>
      <c r="S72" s="138"/>
      <c r="T72" s="138">
        <f>U19/$C$19</f>
        <v>1.6570766944872342</v>
      </c>
      <c r="U72" s="138"/>
      <c r="V72" s="138">
        <f>W19/$C$19</f>
        <v>1.7606433342232839</v>
      </c>
      <c r="W72" s="138"/>
      <c r="X72" s="138">
        <f>Y19/$C$19</f>
        <v>1.8637856223634759</v>
      </c>
      <c r="Y72" s="138"/>
      <c r="Z72" s="138">
        <f>AA19/$C$19</f>
        <v>1.9576210376647338</v>
      </c>
      <c r="AA72" s="138"/>
      <c r="AB72" s="138">
        <f>AC19/$C$19</f>
        <v>2.0255783549547668</v>
      </c>
      <c r="AC72" s="138"/>
      <c r="AD72" s="138">
        <f>AE19/$C$19</f>
        <v>2.0386950792887757</v>
      </c>
      <c r="AE72" s="138"/>
      <c r="AF72" s="138">
        <f>AG19/$C$19</f>
        <v>1.953920781885035</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0.47641153375437389</v>
      </c>
      <c r="E73" s="138"/>
      <c r="F73" s="193">
        <f t="array" ref="F73">SUM(F9:G9*F22:G22)/F32</f>
        <v>0.47641153379121964</v>
      </c>
      <c r="G73" s="138"/>
      <c r="H73" s="193">
        <f t="array" ref="H73">SUM(H9:I9*H22:I22)/H32</f>
        <v>0.47641153389758828</v>
      </c>
      <c r="I73" s="138"/>
      <c r="J73" s="193">
        <f t="array" ref="J73">SUM(J9:K9*J22:K22)/J32</f>
        <v>0.47641153435273548</v>
      </c>
      <c r="K73" s="138"/>
      <c r="L73" s="193">
        <f t="array" ref="L73">SUM(L9:M9*L22:M22)/L32</f>
        <v>0.47641153356015764</v>
      </c>
      <c r="M73" s="138"/>
      <c r="N73" s="193">
        <f t="array" ref="N73">SUM(N9:O9*N22:O22)/N32</f>
        <v>0.47641153381405321</v>
      </c>
      <c r="O73" s="138"/>
      <c r="P73" s="193">
        <f t="array" ref="P73">SUM(P9:Q9*P22:Q22)/P32</f>
        <v>0.47641153366756794</v>
      </c>
      <c r="Q73" s="138"/>
      <c r="R73" s="193">
        <f t="array" ref="R73">SUM(R9:S9*R22:S22)/R32</f>
        <v>0.47641153359310645</v>
      </c>
      <c r="S73" s="138"/>
      <c r="T73" s="193">
        <f t="array" ref="T73">SUM(T9:U9*T22:U22)/T32</f>
        <v>0.47641154118443479</v>
      </c>
      <c r="U73" s="138"/>
      <c r="V73" s="193">
        <f t="array" ref="V73">SUM(V9:W9*V22:W22)/V32</f>
        <v>0.47641153345527515</v>
      </c>
      <c r="W73" s="138"/>
      <c r="X73" s="193">
        <f t="array" ref="X73">SUM(X9:Y9*X22:Y22)/X32</f>
        <v>0.47641153357865934</v>
      </c>
      <c r="Y73" s="138"/>
      <c r="Z73" s="193">
        <f t="array" ref="Z73">SUM(Z9:AA9*Z22:AA22)/Z32</f>
        <v>0.47641153350213772</v>
      </c>
      <c r="AA73" s="138"/>
      <c r="AB73" s="193">
        <f t="array" ref="AB73">SUM(AB9:AC9*AB22:AC22)/AB32</f>
        <v>0.47641153350614052</v>
      </c>
      <c r="AC73" s="138"/>
      <c r="AD73" s="193">
        <f t="array" ref="AD73">SUM(AD9:AE9*AD22:AE22)/AD32</f>
        <v>0.47641153350131454</v>
      </c>
      <c r="AE73" s="138"/>
      <c r="AF73" s="193">
        <f t="array" ref="AF73">SUM(AF9:AG9*AF22:AG22)/AF32</f>
        <v>0.47641153352005461</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0.22038438828234588</v>
      </c>
      <c r="E75" s="138"/>
      <c r="F75" s="193">
        <f t="array" ref="F75">SUM(F11:G11*F24:G24)/F32</f>
        <v>0.22038438827312912</v>
      </c>
      <c r="G75" s="138"/>
      <c r="H75" s="193">
        <f t="array" ref="H75">SUM(H11:I11*H24:I24)/H32</f>
        <v>0.22038438825134693</v>
      </c>
      <c r="I75" s="138"/>
      <c r="J75" s="193">
        <f t="array" ref="J75">SUM(J11:K11*J24:K24)/J32</f>
        <v>0.22038438833873014</v>
      </c>
      <c r="K75" s="138"/>
      <c r="L75" s="193">
        <f t="array" ref="L75">SUM(L11:M11*L24:M24)/L32</f>
        <v>0.220384388336096</v>
      </c>
      <c r="M75" s="138"/>
      <c r="N75" s="193">
        <f t="array" ref="N75">SUM(N11:O11*N24:O24)/N32</f>
        <v>0.22038438833231605</v>
      </c>
      <c r="O75" s="138"/>
      <c r="P75" s="193">
        <f t="array" ref="P75">SUM(P11:Q11*P24:Q24)/P32</f>
        <v>0.22038438833175297</v>
      </c>
      <c r="Q75" s="138"/>
      <c r="R75" s="193">
        <f t="array" ref="R75">SUM(R11:S11*R24:S24)/R32</f>
        <v>0.22038438833170063</v>
      </c>
      <c r="S75" s="138"/>
      <c r="T75" s="193">
        <f t="array" ref="T75">SUM(T11:U11*T24:U24)/T32</f>
        <v>0.22038438833766849</v>
      </c>
      <c r="U75" s="138"/>
      <c r="V75" s="193">
        <f t="array" ref="V75">SUM(V11:W11*V24:W24)/V32</f>
        <v>0.22038438833384766</v>
      </c>
      <c r="W75" s="138"/>
      <c r="X75" s="193">
        <f t="array" ref="X75">SUM(X11:Y11*X24:Y24)/X32</f>
        <v>0.22038438833089341</v>
      </c>
      <c r="Y75" s="138"/>
      <c r="Z75" s="193">
        <f t="array" ref="Z75">SUM(Z11:AA11*Z24:AA24)/Z32</f>
        <v>0.22038438833202309</v>
      </c>
      <c r="AA75" s="138"/>
      <c r="AB75" s="193">
        <f t="array" ref="AB75">SUM(AB11:AC11*AB24:AC24)/AB32</f>
        <v>0.22038438833184992</v>
      </c>
      <c r="AC75" s="138"/>
      <c r="AD75" s="193">
        <f t="array" ref="AD75">SUM(AD11:AE11*AD24:AE24)/AD32</f>
        <v>0.22038438833171417</v>
      </c>
      <c r="AE75" s="138"/>
      <c r="AF75" s="193">
        <f t="array" ref="AF75">SUM(AF11:AG11*AF24:AG24)/AF32</f>
        <v>0.22038438833185472</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0.22326070363571945</v>
      </c>
      <c r="E76" s="138"/>
      <c r="F76" s="193">
        <f t="array" ref="F76">SUM(F12:G12*F25:G25)/F32</f>
        <v>0.22357709290361855</v>
      </c>
      <c r="G76" s="138"/>
      <c r="H76" s="193">
        <f t="array" ref="H76">SUM(H12:I12*H25:I25)/H32</f>
        <v>0.22397434358576118</v>
      </c>
      <c r="I76" s="138"/>
      <c r="J76" s="193">
        <f t="array" ref="J76">SUM(J12:K12*J25:K25)/J32</f>
        <v>0.22445891442109667</v>
      </c>
      <c r="K76" s="138"/>
      <c r="L76" s="193">
        <f t="array" ref="L76">SUM(L12:M12*L25:M25)/L32</f>
        <v>0.22503669756225209</v>
      </c>
      <c r="M76" s="138"/>
      <c r="N76" s="193">
        <f t="array" ref="N76">SUM(N12:O12*N25:O25)/N32</f>
        <v>0.22571197858995651</v>
      </c>
      <c r="O76" s="138"/>
      <c r="P76" s="193">
        <f t="array" ref="P76">SUM(P12:Q12*P25:Q25)/P32</f>
        <v>0.22648557898131208</v>
      </c>
      <c r="Q76" s="138"/>
      <c r="R76" s="193">
        <f t="array" ref="R76">SUM(R12:S12*R25:S25)/R32</f>
        <v>0.22735159381521608</v>
      </c>
      <c r="S76" s="138"/>
      <c r="T76" s="193">
        <f t="array" ref="T76">SUM(T12:U12*T25:U25)/T32</f>
        <v>0.22829160614914795</v>
      </c>
      <c r="U76" s="138"/>
      <c r="V76" s="193">
        <f t="array" ref="V76">SUM(V12:W12*V25:W25)/V32</f>
        <v>0.22926434529235223</v>
      </c>
      <c r="W76" s="138"/>
      <c r="X76" s="193">
        <f t="array" ref="X76">SUM(X12:Y12*X25:Y25)/X32</f>
        <v>0.23018688246874588</v>
      </c>
      <c r="Y76" s="138"/>
      <c r="Z76" s="193">
        <f t="array" ref="Z76">SUM(Z12:AA12*Z25:AA25)/Z32</f>
        <v>0.23090091179353053</v>
      </c>
      <c r="AA76" s="138"/>
      <c r="AB76" s="193">
        <f t="array" ref="AB76">SUM(AB12:AC12*AB25:AC25)/AB32</f>
        <v>0.23111522197159984</v>
      </c>
      <c r="AC76" s="138"/>
      <c r="AD76" s="193">
        <f t="array" ref="AD76">SUM(AD12:AE12*AD25:AE25)/AD32</f>
        <v>0.23032766049039491</v>
      </c>
      <c r="AE76" s="138"/>
      <c r="AF76" s="193">
        <f t="array" ref="AF76">SUM(AF12:AG12*AF25:AG25)/AF32</f>
        <v>0.22780672387282558</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0.14610283023686402</v>
      </c>
      <c r="E77" s="138"/>
      <c r="F77" s="193">
        <f t="array" ref="F77">SUM(F4:G4*F19:G19)/F32</f>
        <v>0.14641921953239201</v>
      </c>
      <c r="G77" s="138"/>
      <c r="H77" s="193">
        <f t="array" ref="H77">SUM(H4:I4*H19:I19)/H32</f>
        <v>0.14681647029912118</v>
      </c>
      <c r="I77" s="138"/>
      <c r="J77" s="193">
        <f t="array" ref="J77">SUM(J4:K4*J19:K19)/J32</f>
        <v>0.1473010416769869</v>
      </c>
      <c r="K77" s="138"/>
      <c r="L77" s="193">
        <f t="array" ref="L77">SUM(L4:M4*L19:M19)/L32</f>
        <v>0.14787882402293051</v>
      </c>
      <c r="M77" s="138"/>
      <c r="N77" s="193">
        <f t="array" ref="N77">SUM(N4:O4*N19:O19)/N32</f>
        <v>0.14855410530075058</v>
      </c>
      <c r="O77" s="138"/>
      <c r="P77" s="193">
        <f t="array" ref="P77">SUM(P4:Q4*P19:Q19)/P32</f>
        <v>0.14932770554505789</v>
      </c>
      <c r="Q77" s="138"/>
      <c r="R77" s="193">
        <f t="array" ref="R77">SUM(R4:S4*R19:S19)/R32</f>
        <v>0.15019372030444791</v>
      </c>
      <c r="S77" s="138"/>
      <c r="T77" s="193">
        <f t="array" ref="T77">SUM(T4:U4*T19:U19)/T32</f>
        <v>0.15113374023567591</v>
      </c>
      <c r="U77" s="138"/>
      <c r="V77" s="193">
        <f t="array" ref="V77">SUM(V4:W4*V19:W19)/V32</f>
        <v>0.15210647164589983</v>
      </c>
      <c r="W77" s="138"/>
      <c r="X77" s="193">
        <f t="array" ref="X77">SUM(X4:Y4*X19:Y19)/X32</f>
        <v>0.15302900894272334</v>
      </c>
      <c r="Y77" s="138"/>
      <c r="Z77" s="193">
        <f t="array" ref="Z77">SUM(Z4:AA4*Z19:AA19)/Z32</f>
        <v>0.15374303819211604</v>
      </c>
      <c r="AA77" s="138"/>
      <c r="AB77" s="193">
        <f t="array" ref="AB77">SUM(AB4:AC4*AB19:AC19)/AB32</f>
        <v>0.15395734837401506</v>
      </c>
      <c r="AC77" s="138"/>
      <c r="AD77" s="193">
        <f t="array" ref="AD77">SUM(AD4:AE4*AD19:AE19)/AD32</f>
        <v>0.15316978688784835</v>
      </c>
      <c r="AE77" s="138"/>
      <c r="AF77" s="193">
        <f t="array" ref="AF77">SUM(AF4:AG4*AF19:AG19)/AF32</f>
        <v>0.15064885028915956</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0.33710642225458548</v>
      </c>
      <c r="E78" s="138"/>
      <c r="F78" s="193">
        <f t="array" ref="F78">SUM(F13:G13*F26:G26)/F32</f>
        <v>0.32698079112410999</v>
      </c>
      <c r="G78" s="138"/>
      <c r="H78" s="193">
        <f t="array" ref="H78">SUM(H13:I13*H26:I26)/H32</f>
        <v>0.31645801984336069</v>
      </c>
      <c r="I78" s="138"/>
      <c r="J78" s="193">
        <f t="array" ref="J78">SUM(J13:K13*J26:K26)/J32</f>
        <v>0.30547293080422966</v>
      </c>
      <c r="K78" s="138"/>
      <c r="L78" s="193">
        <f t="array" ref="L78">SUM(L13:M13*L26:M26)/L32</f>
        <v>0.29394288472478564</v>
      </c>
      <c r="M78" s="138"/>
      <c r="N78" s="193">
        <f t="array" ref="N78">SUM(N13:O13*N26:O26)/N32</f>
        <v>0.2817600548553747</v>
      </c>
      <c r="O78" s="138"/>
      <c r="P78" s="193">
        <f t="array" ref="P78">SUM(P13:Q13*P26:Q26)/P32</f>
        <v>0.26877930533712935</v>
      </c>
      <c r="Q78" s="138"/>
      <c r="R78" s="193">
        <f t="array" ref="R78">SUM(R13:S13*R26:S26)/R32</f>
        <v>0.25479845529997336</v>
      </c>
      <c r="S78" s="138"/>
      <c r="T78" s="193">
        <f t="array" ref="T78">SUM(T13:U13*T26:U26)/T32</f>
        <v>0.23952512317747368</v>
      </c>
      <c r="U78" s="138"/>
      <c r="V78" s="193">
        <f t="array" ref="V78">SUM(V13:W13*V26:W26)/V32</f>
        <v>0.22251915665321725</v>
      </c>
      <c r="W78" s="138"/>
      <c r="X78" s="193">
        <f t="array" ref="X78">SUM(X13:Y13*X26:Y26)/X32</f>
        <v>0.20308914407504244</v>
      </c>
      <c r="Y78" s="138"/>
      <c r="Z78" s="193">
        <f t="array" ref="Z78">SUM(Z13:AA13*Z26:AA26)/Z32</f>
        <v>0.18010090491271225</v>
      </c>
      <c r="AA78" s="138"/>
      <c r="AB78" s="193">
        <f t="array" ref="AB78">SUM(AB13:AC13*AB26:AC26)/AB32</f>
        <v>0.15161927493038324</v>
      </c>
      <c r="AC78" s="138"/>
      <c r="AD78" s="193">
        <f t="array" ref="AD78">SUM(AD13:AE13*AD26:AE26)/AD32</f>
        <v>0.1142652585621825</v>
      </c>
      <c r="AE78" s="138"/>
      <c r="AF78" s="193">
        <f t="array" ref="AF78">SUM(AF13:AG13*AF26:AG26)/AF32</f>
        <v>6.2234317940517848E-2</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0.46452701789106571</v>
      </c>
      <c r="F79" s="193">
        <f t="array" ref="F79">SUM(F15:G15*F27:G27)/F32</f>
        <v>0.47479360681471605</v>
      </c>
      <c r="H79" s="193">
        <f t="array" ref="H79">SUM(H15:I15*H27:I27)/H32</f>
        <v>0.48546286286345031</v>
      </c>
      <c r="J79" s="193">
        <f t="array" ref="J79">SUM(J15:K15*J27:K27)/J32</f>
        <v>0.49660088614894665</v>
      </c>
      <c r="L79" s="193">
        <f t="array" ref="L79">SUM(L15:M15*L27:M27)/L32</f>
        <v>0.50829144218466427</v>
      </c>
      <c r="N79" s="193">
        <f t="array" ref="N79">SUM(N15:O15*N27:O27)/N32</f>
        <v>0.52064386880934765</v>
      </c>
      <c r="P79" s="193">
        <f t="array" ref="P79">SUM(P15:Q15*P27:Q27)/P32</f>
        <v>0.53380532357862609</v>
      </c>
      <c r="R79" s="193">
        <f t="array" ref="R79">SUM(R15:S15*R27:S27)/R32</f>
        <v>0.54798080139464878</v>
      </c>
      <c r="T79" s="193">
        <f t="array" ref="T79">SUM(T15:U15*T27:U27)/T32</f>
        <v>0.56346674851638656</v>
      </c>
      <c r="V79" s="193">
        <f t="array" ref="V79">SUM(V15:W15*V27:W27)/V32</f>
        <v>0.58070946200552875</v>
      </c>
      <c r="X79" s="193">
        <f t="array" ref="X79">SUM(X15:Y15*X27:Y27)/X32</f>
        <v>0.60040995926028351</v>
      </c>
      <c r="Z79" s="193">
        <f t="array" ref="Z79">SUM(Z15:AA15*Z27:AA27)/Z32</f>
        <v>0.62371821882395706</v>
      </c>
      <c r="AB79" s="193">
        <f t="array" ref="AB79">SUM(AB15:AC15*AB27:AC27)/AB32</f>
        <v>0.65259634240990227</v>
      </c>
      <c r="AD79" s="193">
        <f t="array" ref="AD79">SUM(AD15:AE15*AD27:AE27)/AD32</f>
        <v>0.69047036521030769</v>
      </c>
      <c r="AF79" s="193">
        <f t="array" ref="AF79">SUM(AF15:AG15*AF27:AG27)/AF32</f>
        <v>0.74322563001319608</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0.19836655765327682</v>
      </c>
      <c r="F80" s="236">
        <f>F55</f>
        <v>0.19822559917932206</v>
      </c>
      <c r="H80" s="236">
        <f>H55</f>
        <v>0.19807911291485233</v>
      </c>
      <c r="J80" s="236">
        <f>J55</f>
        <v>0.19792618675577725</v>
      </c>
      <c r="L80" s="236">
        <f>L55</f>
        <v>0.19776567434851614</v>
      </c>
      <c r="N80" s="236">
        <f>N55</f>
        <v>0.19759607781284028</v>
      </c>
      <c r="P80" s="236">
        <f>P55</f>
        <v>0.19741537184078095</v>
      </c>
      <c r="R80" s="236">
        <f>R55</f>
        <v>0.19722074367067102</v>
      </c>
      <c r="T80" s="236">
        <f>T55</f>
        <v>0.19700813690260496</v>
      </c>
      <c r="V80" s="236">
        <f>V55</f>
        <v>0.19677138295604085</v>
      </c>
      <c r="X80" s="236">
        <f>X55</f>
        <v>0.19650089652051325</v>
      </c>
      <c r="Z80" s="236">
        <f>Z55</f>
        <v>0.19618087668443759</v>
      </c>
      <c r="AB80" s="236">
        <f>AB55</f>
        <v>0.19578438303001872</v>
      </c>
      <c r="AD80" s="236">
        <f>AD55</f>
        <v>0.19526437671446947</v>
      </c>
      <c r="AF80" s="236">
        <f>AF55</f>
        <v>0.19454005221526752</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-2.7679646911148024E-2</v>
      </c>
      <c r="F81" s="236">
        <f>F51/F$32</f>
        <v>-2.7820605385102792E-2</v>
      </c>
      <c r="H81" s="236">
        <f>H51/H$32</f>
        <v>-2.796709164957251E-2</v>
      </c>
      <c r="J81" s="236">
        <f>J51/J$32</f>
        <v>-2.8120017808647597E-2</v>
      </c>
      <c r="L81" s="236">
        <f>L51/L$32</f>
        <v>-2.8280530215908695E-2</v>
      </c>
      <c r="N81" s="236">
        <f>N51/N$32</f>
        <v>-2.8450126751584565E-2</v>
      </c>
      <c r="P81" s="236">
        <f>P51/P$32</f>
        <v>-2.8630832723643872E-2</v>
      </c>
      <c r="R81" s="236">
        <f>R51/R$32</f>
        <v>-2.8825460893753804E-2</v>
      </c>
      <c r="T81" s="236">
        <f>T51/T$32</f>
        <v>-2.9038067661819884E-2</v>
      </c>
      <c r="V81" s="236">
        <f>V51/V$32</f>
        <v>-2.9274821608383982E-2</v>
      </c>
      <c r="X81" s="236">
        <f>X51/X$32</f>
        <v>-2.9545308043911596E-2</v>
      </c>
      <c r="Z81" s="236">
        <f>Z51/Z$32</f>
        <v>-2.986532787998724E-2</v>
      </c>
      <c r="AB81" s="236">
        <f>AB51/AB$32</f>
        <v>-3.0261821534406132E-2</v>
      </c>
      <c r="AD81" s="236">
        <f>AD51/AD$32</f>
        <v>-3.0781827849955375E-2</v>
      </c>
      <c r="AF81" s="236">
        <f>AF51/AF$32</f>
        <v>-3.1506152349157331E-2</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0.13515701087759158</v>
      </c>
      <c r="F82" s="236">
        <f>F52/F$32</f>
        <v>0.1310973135639325</v>
      </c>
      <c r="H82" s="236">
        <f>H52/H$32</f>
        <v>0.12687838975066693</v>
      </c>
      <c r="J82" s="236">
        <f>J52/J$32</f>
        <v>0.12247410759898521</v>
      </c>
      <c r="L82" s="236">
        <f>L52/L$32</f>
        <v>0.11785133431286357</v>
      </c>
      <c r="N82" s="236">
        <f>N52/N$32</f>
        <v>0.11296683861513311</v>
      </c>
      <c r="P82" s="236">
        <f>P52/P$32</f>
        <v>0.10776243078420841</v>
      </c>
      <c r="R82" s="236">
        <f>R52/R$32</f>
        <v>0.10215704988427758</v>
      </c>
      <c r="T82" s="236">
        <f>T52/T$32</f>
        <v>9.6033470564691734E-2</v>
      </c>
      <c r="V82" s="236">
        <f>V52/V$32</f>
        <v>8.9215221339030121E-2</v>
      </c>
      <c r="X82" s="236">
        <f>X52/X$32</f>
        <v>8.1425092619984638E-2</v>
      </c>
      <c r="Z82" s="236">
        <f>Z52/Z$32</f>
        <v>7.2208354268517419E-2</v>
      </c>
      <c r="AB82" s="236">
        <f>AB52/AB$32</f>
        <v>6.0789135531634356E-2</v>
      </c>
      <c r="AD82" s="236">
        <f>AD52/AD$32</f>
        <v>4.5812686365127954E-2</v>
      </c>
      <c r="AF82" s="236">
        <f>AF52/AF$32</f>
        <v>2.4951777336634968E-2</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0.19006489856075123</v>
      </c>
      <c r="F83" s="236">
        <f>F53/F$32</f>
        <v>0.19426555451225527</v>
      </c>
      <c r="H83" s="236">
        <f>H53/H$32</f>
        <v>0.19863096489856116</v>
      </c>
      <c r="J83" s="236">
        <f>J53/J$32</f>
        <v>0.20318817510247136</v>
      </c>
      <c r="L83" s="236">
        <f>L53/L$32</f>
        <v>0.20797145844546205</v>
      </c>
      <c r="N83" s="236">
        <f>N53/N$32</f>
        <v>0.2130255513678895</v>
      </c>
      <c r="P83" s="236">
        <f>P53/P$32</f>
        <v>0.21841066454600272</v>
      </c>
      <c r="R83" s="236">
        <f>R53/R$32</f>
        <v>0.22421067326322303</v>
      </c>
      <c r="T83" s="236">
        <f>T53/T$32</f>
        <v>0.23054687084796821</v>
      </c>
      <c r="V83" s="236">
        <f>V53/V$32</f>
        <v>0.23760186326822491</v>
      </c>
      <c r="X83" s="236">
        <f>X53/X$32</f>
        <v>0.24566247732964291</v>
      </c>
      <c r="Z83" s="236">
        <f>Z53/Z$32</f>
        <v>0.25519923583662857</v>
      </c>
      <c r="AB83" s="236">
        <f>AB53/AB$32</f>
        <v>0.26701494820338406</v>
      </c>
      <c r="AD83" s="236">
        <f>AD53/AD$32</f>
        <v>0.28251140379024664</v>
      </c>
      <c r="AF83" s="236">
        <f>AF53/AF$32</f>
        <v>0.30409663708588658</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c r="T1" s="94"/>
      <c r="V1" s="94"/>
      <c r="X1" s="94"/>
      <c r="Z1" s="94"/>
      <c r="AB1" s="94"/>
      <c r="AD1" s="94"/>
      <c r="AF1" s="94"/>
      <c r="AH1" s="94"/>
      <c r="AJ1" s="94"/>
      <c r="AL1" s="94"/>
      <c r="AN1" s="94"/>
      <c r="AP1" s="94"/>
      <c r="AR1" s="94"/>
      <c r="AT1" s="94"/>
      <c r="AV1" s="94"/>
    </row>
    <row r="2" spans="1:49" x14ac:dyDescent="0.2">
      <c r="A2" s="229" t="s">
        <v>155</v>
      </c>
      <c r="B2" s="226">
        <v>5.7716594496607888E-3</v>
      </c>
      <c r="C2" s="227"/>
      <c r="D2" s="226">
        <v>3.3877643901445827E-2</v>
      </c>
      <c r="E2" s="227"/>
      <c r="F2" s="226">
        <v>6.1079762418396889E-2</v>
      </c>
      <c r="G2" s="227"/>
      <c r="H2" s="226">
        <v>8.6625460232075707E-2</v>
      </c>
      <c r="I2" s="227"/>
      <c r="J2" s="226">
        <v>0.10971359806031232</v>
      </c>
      <c r="K2" s="227"/>
      <c r="L2" s="226">
        <v>0.12960971811696112</v>
      </c>
      <c r="M2" s="227"/>
      <c r="N2" s="226">
        <v>0.14575186035621601</v>
      </c>
      <c r="O2" s="227"/>
      <c r="P2" s="226">
        <v>0.15770233316018481</v>
      </c>
      <c r="Q2" s="227"/>
      <c r="R2" s="226"/>
      <c r="S2" s="227"/>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999.22273381284538</v>
      </c>
      <c r="E3" s="85">
        <v>1011.7085921478301</v>
      </c>
      <c r="F3" s="84">
        <v>998.57148897570278</v>
      </c>
      <c r="G3" s="85">
        <v>1022.176779246353</v>
      </c>
      <c r="H3" s="84">
        <v>998.0621803470342</v>
      </c>
      <c r="I3" s="85">
        <v>1030.9762367329097</v>
      </c>
      <c r="J3" s="84">
        <v>997.70197492437251</v>
      </c>
      <c r="K3" s="85">
        <v>1037.7832328750742</v>
      </c>
      <c r="L3" s="84">
        <v>997.47644645617686</v>
      </c>
      <c r="M3" s="85">
        <v>1042.5933206156953</v>
      </c>
      <c r="N3" s="84">
        <v>997.32142018334071</v>
      </c>
      <c r="O3" s="85">
        <v>1046.1570754273655</v>
      </c>
      <c r="P3" s="84">
        <v>997.03607802789907</v>
      </c>
      <c r="Q3" s="85">
        <v>1051.2383345806445</v>
      </c>
      <c r="R3" s="84"/>
      <c r="S3" s="85"/>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c r="S4" s="102"/>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999.18428677484724</v>
      </c>
      <c r="E5" s="42">
        <v>1010.2227719442276</v>
      </c>
      <c r="F5" s="41">
        <v>998.50062309374948</v>
      </c>
      <c r="G5" s="42">
        <v>1019.2647842271899</v>
      </c>
      <c r="H5" s="41">
        <v>997.96583051145876</v>
      </c>
      <c r="I5" s="42">
        <v>1026.7943630581804</v>
      </c>
      <c r="J5" s="41">
        <v>997.58753233286495</v>
      </c>
      <c r="K5" s="42">
        <v>1032.5746695027656</v>
      </c>
      <c r="L5" s="41">
        <v>997.35064650032518</v>
      </c>
      <c r="M5" s="42">
        <v>1036.6360011950794</v>
      </c>
      <c r="N5" s="41">
        <v>997.18780017710822</v>
      </c>
      <c r="O5" s="42">
        <v>1039.6326127531881</v>
      </c>
      <c r="P5" s="41">
        <v>996.88803649014937</v>
      </c>
      <c r="Q5" s="42">
        <v>1043.8870219436953</v>
      </c>
      <c r="R5" s="41"/>
      <c r="S5" s="42"/>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999.12194761498256</v>
      </c>
      <c r="E6" s="42">
        <v>1012.6271043041456</v>
      </c>
      <c r="F6" s="41">
        <v>998.38612085293721</v>
      </c>
      <c r="G6" s="42">
        <v>1023.897543954528</v>
      </c>
      <c r="H6" s="41">
        <v>997.81057753669222</v>
      </c>
      <c r="I6" s="42">
        <v>1033.3581284624211</v>
      </c>
      <c r="J6" s="41">
        <v>997.40348179692398</v>
      </c>
      <c r="K6" s="42">
        <v>1040.6685592068161</v>
      </c>
      <c r="L6" s="41">
        <v>997.14857526458763</v>
      </c>
      <c r="M6" s="42">
        <v>1045.8303079105888</v>
      </c>
      <c r="N6" s="41">
        <v>996.97334603606032</v>
      </c>
      <c r="O6" s="42">
        <v>1049.65246939706</v>
      </c>
      <c r="P6" s="41">
        <v>996.65079959365528</v>
      </c>
      <c r="Q6" s="42">
        <v>1055.0990828149509</v>
      </c>
      <c r="R6" s="41"/>
      <c r="S6" s="42"/>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1015.0829899477101</v>
      </c>
      <c r="E7" s="34">
        <v>1015.0829899477101</v>
      </c>
      <c r="F7" s="33">
        <v>1014.3884480271528</v>
      </c>
      <c r="G7" s="34">
        <v>1014.3884480271528</v>
      </c>
      <c r="H7" s="33">
        <v>1013.8451459950664</v>
      </c>
      <c r="I7" s="34">
        <v>1013.8451459950664</v>
      </c>
      <c r="J7" s="33">
        <v>1013.4608284559483</v>
      </c>
      <c r="K7" s="34">
        <v>1013.4608284559483</v>
      </c>
      <c r="L7" s="33">
        <v>1013.2201733712423</v>
      </c>
      <c r="M7" s="34">
        <v>1013.2201733712423</v>
      </c>
      <c r="N7" s="33">
        <v>1013.054735889027</v>
      </c>
      <c r="O7" s="34">
        <v>1013.054735889027</v>
      </c>
      <c r="P7" s="33">
        <v>1012.7502024574435</v>
      </c>
      <c r="Q7" s="34">
        <v>1012.7502024574435</v>
      </c>
      <c r="R7" s="33"/>
      <c r="S7" s="34"/>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1044.4467392732856</v>
      </c>
      <c r="E8" s="36">
        <v>1044.4467392732856</v>
      </c>
      <c r="F8" s="35">
        <v>1081.5212350892252</v>
      </c>
      <c r="G8" s="36">
        <v>1081.5212350892252</v>
      </c>
      <c r="H8" s="35">
        <v>1115.7408973217962</v>
      </c>
      <c r="I8" s="36">
        <v>1115.7408973217962</v>
      </c>
      <c r="J8" s="35">
        <v>1145.8621517598519</v>
      </c>
      <c r="K8" s="36">
        <v>1145.8621517598519</v>
      </c>
      <c r="L8" s="35">
        <v>1170.9941010998673</v>
      </c>
      <c r="M8" s="36">
        <v>1170.9941010998673</v>
      </c>
      <c r="N8" s="35">
        <v>1191.1610001489589</v>
      </c>
      <c r="O8" s="36">
        <v>1191.1610001489589</v>
      </c>
      <c r="P8" s="35">
        <v>1208.5104408598531</v>
      </c>
      <c r="Q8" s="36">
        <v>1208.5104408598531</v>
      </c>
      <c r="R8" s="35"/>
      <c r="S8" s="36"/>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1015.0829899477101</v>
      </c>
      <c r="E9" s="42">
        <v>1044.4467392732856</v>
      </c>
      <c r="F9" s="41">
        <v>1014.3884480271528</v>
      </c>
      <c r="G9" s="42">
        <v>1081.5212350892252</v>
      </c>
      <c r="H9" s="41">
        <v>1013.8451459950664</v>
      </c>
      <c r="I9" s="42">
        <v>1115.7408973217962</v>
      </c>
      <c r="J9" s="41">
        <v>1013.4608284559483</v>
      </c>
      <c r="K9" s="42">
        <v>1145.8621517598519</v>
      </c>
      <c r="L9" s="41">
        <v>1013.2201733712423</v>
      </c>
      <c r="M9" s="42">
        <v>1170.9941010998673</v>
      </c>
      <c r="N9" s="41">
        <v>1013.054735889027</v>
      </c>
      <c r="O9" s="42">
        <v>1191.1610001489589</v>
      </c>
      <c r="P9" s="41">
        <v>1012.7502024574435</v>
      </c>
      <c r="Q9" s="42">
        <v>1208.5104408598531</v>
      </c>
      <c r="R9" s="41"/>
      <c r="S9" s="42"/>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1015.0829899477101</v>
      </c>
      <c r="E10" s="42">
        <v>1044.4467392732856</v>
      </c>
      <c r="F10" s="41">
        <v>1014.3884480271528</v>
      </c>
      <c r="G10" s="42">
        <v>1081.5212350892252</v>
      </c>
      <c r="H10" s="41">
        <v>1013.8451459950664</v>
      </c>
      <c r="I10" s="42">
        <v>1115.7408973217962</v>
      </c>
      <c r="J10" s="41">
        <v>1013.4608284559483</v>
      </c>
      <c r="K10" s="42">
        <v>1145.8621517598519</v>
      </c>
      <c r="L10" s="41">
        <v>1013.2201733712423</v>
      </c>
      <c r="M10" s="42">
        <v>1170.9941010998673</v>
      </c>
      <c r="N10" s="41">
        <v>1013.054735889027</v>
      </c>
      <c r="O10" s="42">
        <v>1191.1610001489589</v>
      </c>
      <c r="P10" s="41">
        <v>1012.7502024574435</v>
      </c>
      <c r="Q10" s="42">
        <v>1208.5104408598531</v>
      </c>
      <c r="R10" s="41"/>
      <c r="S10" s="42"/>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1015.0829899477101</v>
      </c>
      <c r="E11" s="42">
        <v>1044.4467392732856</v>
      </c>
      <c r="F11" s="41">
        <v>1014.3884480271528</v>
      </c>
      <c r="G11" s="42">
        <v>1081.5212350892252</v>
      </c>
      <c r="H11" s="41">
        <v>1013.8451459950664</v>
      </c>
      <c r="I11" s="42">
        <v>1115.7408973217962</v>
      </c>
      <c r="J11" s="41">
        <v>1013.4608284559483</v>
      </c>
      <c r="K11" s="42">
        <v>1145.8621517598519</v>
      </c>
      <c r="L11" s="41">
        <v>1013.2201733712423</v>
      </c>
      <c r="M11" s="42">
        <v>1170.9941010998673</v>
      </c>
      <c r="N11" s="41">
        <v>1013.054735889027</v>
      </c>
      <c r="O11" s="42">
        <v>1191.1610001489589</v>
      </c>
      <c r="P11" s="41">
        <v>1012.7502024574435</v>
      </c>
      <c r="Q11" s="42">
        <v>1208.5104408598531</v>
      </c>
      <c r="R11" s="41"/>
      <c r="S11" s="42"/>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c r="S12" s="42"/>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1001.2982883518177</v>
      </c>
      <c r="E13" s="98">
        <v>1001.2982883518177</v>
      </c>
      <c r="F13" s="97">
        <v>1002.594248373348</v>
      </c>
      <c r="G13" s="98">
        <v>1002.594248373348</v>
      </c>
      <c r="H13" s="97">
        <v>1003.8483858571173</v>
      </c>
      <c r="I13" s="98">
        <v>1003.8483858571173</v>
      </c>
      <c r="J13" s="97">
        <v>1005.0155776127732</v>
      </c>
      <c r="K13" s="98">
        <v>1005.0155776127732</v>
      </c>
      <c r="L13" s="97">
        <v>1006.047838182663</v>
      </c>
      <c r="M13" s="98">
        <v>1006.047838182663</v>
      </c>
      <c r="N13" s="97">
        <v>1006.8918510253125</v>
      </c>
      <c r="O13" s="98">
        <v>1006.8918510253125</v>
      </c>
      <c r="P13" s="97">
        <v>1007.4590932051243</v>
      </c>
      <c r="Q13" s="98">
        <v>1007.4590932051243</v>
      </c>
      <c r="R13" s="97"/>
      <c r="S13" s="98"/>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1458.8950357209483</v>
      </c>
      <c r="E14" s="42">
        <v>1458.8950357209485</v>
      </c>
      <c r="F14" s="41">
        <v>1460.7832539111696</v>
      </c>
      <c r="G14" s="42">
        <v>1460.7832539111698</v>
      </c>
      <c r="H14" s="41">
        <v>1462.6105365206247</v>
      </c>
      <c r="I14" s="42">
        <v>1462.6105365206249</v>
      </c>
      <c r="J14" s="41">
        <v>1464.311138906417</v>
      </c>
      <c r="K14" s="42">
        <v>1464.3111389064172</v>
      </c>
      <c r="L14" s="41">
        <v>1465.8151460923891</v>
      </c>
      <c r="M14" s="42">
        <v>1465.8151460923893</v>
      </c>
      <c r="N14" s="41">
        <v>1467.0448756949963</v>
      </c>
      <c r="O14" s="42">
        <v>1467.0448756949963</v>
      </c>
      <c r="P14" s="41">
        <v>1467.871349493869</v>
      </c>
      <c r="Q14" s="42">
        <v>1467.8713494938693</v>
      </c>
      <c r="R14" s="41"/>
      <c r="S14" s="42"/>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990.46192162388206</v>
      </c>
      <c r="E15" s="155">
        <v>990.46192162388206</v>
      </c>
      <c r="F15" s="154">
        <v>974.97466809834054</v>
      </c>
      <c r="G15" s="155">
        <v>974.97466809834054</v>
      </c>
      <c r="H15" s="154">
        <v>952.68747024817685</v>
      </c>
      <c r="I15" s="155">
        <v>952.68747024817685</v>
      </c>
      <c r="J15" s="154">
        <v>923.02935030048184</v>
      </c>
      <c r="K15" s="155">
        <v>923.02935030048184</v>
      </c>
      <c r="L15" s="154">
        <v>885.97154510439441</v>
      </c>
      <c r="M15" s="155">
        <v>885.97154510439441</v>
      </c>
      <c r="N15" s="154">
        <v>842.3297770182761</v>
      </c>
      <c r="O15" s="155">
        <v>842.3297770182761</v>
      </c>
      <c r="P15" s="154">
        <v>794.30092586315106</v>
      </c>
      <c r="Q15" s="155">
        <v>794.30092586315106</v>
      </c>
      <c r="R15" s="154"/>
      <c r="S15" s="155"/>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997.56788145683629</v>
      </c>
      <c r="E16" s="42">
        <v>994.52018640094627</v>
      </c>
      <c r="F16" s="41">
        <v>995.36095682848008</v>
      </c>
      <c r="G16" s="42">
        <v>987.08301898864909</v>
      </c>
      <c r="H16" s="41">
        <v>993.44074559115961</v>
      </c>
      <c r="I16" s="42">
        <v>977.67172310141518</v>
      </c>
      <c r="J16" s="41">
        <v>991.85724081286094</v>
      </c>
      <c r="K16" s="42">
        <v>966.57074692212427</v>
      </c>
      <c r="L16" s="41">
        <v>990.62360609969187</v>
      </c>
      <c r="M16" s="42">
        <v>954.68311575288874</v>
      </c>
      <c r="N16" s="41">
        <v>989.66775361793032</v>
      </c>
      <c r="O16" s="42">
        <v>944.31747389835891</v>
      </c>
      <c r="P16" s="41">
        <v>988.70073064775829</v>
      </c>
      <c r="Q16" s="42">
        <v>941.90251746942192</v>
      </c>
      <c r="R16" s="41"/>
      <c r="S16" s="42"/>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999.25848758997154</v>
      </c>
      <c r="E17" s="36">
        <v>1017.8395752731742</v>
      </c>
      <c r="F17" s="35">
        <v>998.6373934653484</v>
      </c>
      <c r="G17" s="36">
        <v>1033.7997769267511</v>
      </c>
      <c r="H17" s="35">
        <v>998.15178609014868</v>
      </c>
      <c r="I17" s="36">
        <v>1047.2195598926478</v>
      </c>
      <c r="J17" s="35">
        <v>997.80840816337047</v>
      </c>
      <c r="K17" s="36">
        <v>1057.5974949241984</v>
      </c>
      <c r="L17" s="35">
        <v>997.59344287054876</v>
      </c>
      <c r="M17" s="36">
        <v>1064.923180377654</v>
      </c>
      <c r="N17" s="35">
        <v>997.44569007294581</v>
      </c>
      <c r="O17" s="36">
        <v>1070.3482697465511</v>
      </c>
      <c r="P17" s="35">
        <v>997.17376172747879</v>
      </c>
      <c r="Q17" s="36">
        <v>1078.1229767040124</v>
      </c>
      <c r="R17" s="35"/>
      <c r="S17" s="36"/>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27242.73404730764</v>
      </c>
      <c r="E18" s="34">
        <v>1161.6995140783772</v>
      </c>
      <c r="F18" s="33">
        <v>26501.636557550377</v>
      </c>
      <c r="G18" s="34">
        <v>1089.4108243573403</v>
      </c>
      <c r="H18" s="33">
        <v>25619.497997101716</v>
      </c>
      <c r="I18" s="34">
        <v>1020.0772138799803</v>
      </c>
      <c r="J18" s="33">
        <v>24588.796005657416</v>
      </c>
      <c r="K18" s="34">
        <v>953.67985833489126</v>
      </c>
      <c r="L18" s="33">
        <v>23414.344287320884</v>
      </c>
      <c r="M18" s="34">
        <v>889.85037775004173</v>
      </c>
      <c r="N18" s="33">
        <v>22120.739171145357</v>
      </c>
      <c r="O18" s="34">
        <v>827.61102425478452</v>
      </c>
      <c r="P18" s="33">
        <v>20768.873474751876</v>
      </c>
      <c r="Q18" s="34">
        <v>764.64225257183261</v>
      </c>
      <c r="R18" s="33"/>
      <c r="S18" s="34"/>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1841.1870823665718</v>
      </c>
      <c r="E19" s="42">
        <v>260.01373283562742</v>
      </c>
      <c r="F19" s="41">
        <v>1788.159911430382</v>
      </c>
      <c r="G19" s="42">
        <v>255.26699070655391</v>
      </c>
      <c r="H19" s="41">
        <v>1726.4168882786653</v>
      </c>
      <c r="I19" s="42">
        <v>248.28866655652848</v>
      </c>
      <c r="J19" s="41">
        <v>1655.4534163895237</v>
      </c>
      <c r="K19" s="42">
        <v>238.9901054639833</v>
      </c>
      <c r="L19" s="41">
        <v>1575.4841476027557</v>
      </c>
      <c r="M19" s="42">
        <v>227.59906608931371</v>
      </c>
      <c r="N19" s="41">
        <v>1487.8576297575225</v>
      </c>
      <c r="O19" s="42">
        <v>214.89270977223978</v>
      </c>
      <c r="P19" s="41">
        <v>1395.9218832110682</v>
      </c>
      <c r="Q19" s="42">
        <v>202.82963624344691</v>
      </c>
      <c r="R19" s="41"/>
      <c r="S19" s="42"/>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25954.461251768269</v>
      </c>
      <c r="E20" s="83">
        <v>1338.1147774499941</v>
      </c>
      <c r="F20" s="82">
        <v>25241.488645797181</v>
      </c>
      <c r="G20" s="83">
        <v>1267.6876838999945</v>
      </c>
      <c r="H20" s="82">
        <v>24396.056075892928</v>
      </c>
      <c r="I20" s="83">
        <v>1197.2605903499946</v>
      </c>
      <c r="J20" s="82">
        <v>23411.014256667215</v>
      </c>
      <c r="K20" s="83">
        <v>1126.8334967999951</v>
      </c>
      <c r="L20" s="82">
        <v>22290.693545762027</v>
      </c>
      <c r="M20" s="83">
        <v>1056.4064032499953</v>
      </c>
      <c r="N20" s="82">
        <v>21057.788224454853</v>
      </c>
      <c r="O20" s="83">
        <v>985.97930969999561</v>
      </c>
      <c r="P20" s="82">
        <v>19768.496394856618</v>
      </c>
      <c r="Q20" s="83">
        <v>915.55221614999607</v>
      </c>
      <c r="R20" s="82"/>
      <c r="S20" s="83"/>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24113.275490368083</v>
      </c>
      <c r="E21" s="83">
        <v>1078.1661712118673</v>
      </c>
      <c r="F21" s="82">
        <v>23453.333074882175</v>
      </c>
      <c r="G21" s="83">
        <v>1012.6427536226972</v>
      </c>
      <c r="H21" s="82">
        <v>22669.646909059644</v>
      </c>
      <c r="I21" s="83">
        <v>949.38214947057111</v>
      </c>
      <c r="J21" s="82">
        <v>21755.571262202695</v>
      </c>
      <c r="K21" s="83">
        <v>888.41890472427224</v>
      </c>
      <c r="L21" s="82">
        <v>20715.221365788144</v>
      </c>
      <c r="M21" s="83">
        <v>829.49388288489672</v>
      </c>
      <c r="N21" s="82">
        <v>19569.943332948838</v>
      </c>
      <c r="O21" s="83">
        <v>771.83978479247355</v>
      </c>
      <c r="P21" s="82">
        <v>18372.589155228205</v>
      </c>
      <c r="Q21" s="83">
        <v>713.58553089765212</v>
      </c>
      <c r="R21" s="82"/>
      <c r="S21" s="83"/>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6389.2883840258401</v>
      </c>
      <c r="E22" s="42">
        <v>362.88227699147387</v>
      </c>
      <c r="F22" s="41">
        <v>6215.3138136663647</v>
      </c>
      <c r="G22" s="42">
        <v>345.42539555153706</v>
      </c>
      <c r="H22" s="41">
        <v>6008.3977677134053</v>
      </c>
      <c r="I22" s="42">
        <v>327.53347037557813</v>
      </c>
      <c r="J22" s="41">
        <v>5766.7994312661131</v>
      </c>
      <c r="K22" s="42">
        <v>309.22479627040957</v>
      </c>
      <c r="L22" s="41">
        <v>5491.6073898736759</v>
      </c>
      <c r="M22" s="42">
        <v>290.55503660010339</v>
      </c>
      <c r="N22" s="41">
        <v>5188.4245622160279</v>
      </c>
      <c r="O22" s="42">
        <v>271.64240195715615</v>
      </c>
      <c r="P22" s="41">
        <v>4871.0665526107932</v>
      </c>
      <c r="Q22" s="42">
        <v>252.74100342745893</v>
      </c>
      <c r="R22" s="41"/>
      <c r="S22" s="42"/>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3208.7288387727513</v>
      </c>
      <c r="E23" s="8">
        <v>0</v>
      </c>
      <c r="F23" s="116">
        <v>3123.7650643602619</v>
      </c>
      <c r="G23" s="8">
        <v>0</v>
      </c>
      <c r="H23" s="116">
        <v>3021.8712310186747</v>
      </c>
      <c r="I23" s="8">
        <v>0</v>
      </c>
      <c r="J23" s="116">
        <v>2902.1002337125547</v>
      </c>
      <c r="K23" s="8">
        <v>0</v>
      </c>
      <c r="L23" s="116">
        <v>2764.9689105486318</v>
      </c>
      <c r="M23" s="8">
        <v>0</v>
      </c>
      <c r="N23" s="116">
        <v>2613.3348676307692</v>
      </c>
      <c r="O23" s="8">
        <v>0</v>
      </c>
      <c r="P23" s="116">
        <v>2454.3076174898069</v>
      </c>
      <c r="Q23" s="8">
        <v>0</v>
      </c>
      <c r="R23" s="116"/>
      <c r="S23" s="8"/>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3128.3592808700855</v>
      </c>
      <c r="E24" s="8">
        <v>0</v>
      </c>
      <c r="F24" s="97">
        <v>3045.5236082262577</v>
      </c>
      <c r="G24" s="8">
        <v>0</v>
      </c>
      <c r="H24" s="97">
        <v>2946.1819267677815</v>
      </c>
      <c r="I24" s="8">
        <v>0</v>
      </c>
      <c r="J24" s="97">
        <v>2829.4108530214849</v>
      </c>
      <c r="K24" s="8">
        <v>0</v>
      </c>
      <c r="L24" s="97">
        <v>2695.7142833018333</v>
      </c>
      <c r="M24" s="8">
        <v>0</v>
      </c>
      <c r="N24" s="97">
        <v>2547.8782415400165</v>
      </c>
      <c r="O24" s="8">
        <v>0</v>
      </c>
      <c r="P24" s="97">
        <v>2392.8341759085138</v>
      </c>
      <c r="Q24" s="8">
        <v>0</v>
      </c>
      <c r="R24" s="97"/>
      <c r="S24" s="8"/>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3129.4564273631736</v>
      </c>
      <c r="E25" s="42">
        <v>83.521221199926515</v>
      </c>
      <c r="F25" s="41">
        <v>3048.2964536294894</v>
      </c>
      <c r="G25" s="42">
        <v>76.727945419363024</v>
      </c>
      <c r="H25" s="41">
        <v>2949.8385604350783</v>
      </c>
      <c r="I25" s="42">
        <v>70.623565705098514</v>
      </c>
      <c r="J25" s="41">
        <v>2833.2078160061337</v>
      </c>
      <c r="K25" s="42">
        <v>65.163321922235824</v>
      </c>
      <c r="L25" s="41">
        <v>2699.1034615790845</v>
      </c>
      <c r="M25" s="42">
        <v>60.242226865791203</v>
      </c>
      <c r="N25" s="41">
        <v>2550.7751208615327</v>
      </c>
      <c r="O25" s="42">
        <v>55.647592301556429</v>
      </c>
      <c r="P25" s="41">
        <v>2396.2604747284777</v>
      </c>
      <c r="Q25" s="42">
        <v>50.917821963503542</v>
      </c>
      <c r="R25" s="41"/>
      <c r="S25" s="42"/>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4839.7753924866611</v>
      </c>
      <c r="E26" s="34">
        <v>69.335788058175083</v>
      </c>
      <c r="F26" s="33">
        <v>4630.4173863801871</v>
      </c>
      <c r="G26" s="34">
        <v>64.14985467014202</v>
      </c>
      <c r="H26" s="33">
        <v>4408.0331069412559</v>
      </c>
      <c r="I26" s="34">
        <v>59.352672874052629</v>
      </c>
      <c r="J26" s="33">
        <v>4173.2500678538063</v>
      </c>
      <c r="K26" s="34">
        <v>54.931072322533012</v>
      </c>
      <c r="L26" s="33">
        <v>3928.0262933143954</v>
      </c>
      <c r="M26" s="34">
        <v>50.841008969753815</v>
      </c>
      <c r="N26" s="33">
        <v>3676.560001033864</v>
      </c>
      <c r="O26" s="34">
        <v>46.987371031012906</v>
      </c>
      <c r="P26" s="33">
        <v>3428.0418310436344</v>
      </c>
      <c r="Q26" s="34">
        <v>43.167365190771221</v>
      </c>
      <c r="R26" s="33"/>
      <c r="S26" s="34"/>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6425.1981590000305</v>
      </c>
      <c r="C27" s="36">
        <v>273.22915400000028</v>
      </c>
      <c r="D27" s="35">
        <v>6438.5998437348962</v>
      </c>
      <c r="E27" s="36">
        <v>259.83153572765445</v>
      </c>
      <c r="F27" s="35">
        <v>6450.9443965105265</v>
      </c>
      <c r="G27" s="36">
        <v>247.47976800702494</v>
      </c>
      <c r="H27" s="35">
        <v>6462.0889678053945</v>
      </c>
      <c r="I27" s="36">
        <v>236.33444576082675</v>
      </c>
      <c r="J27" s="35">
        <v>6471.8710584960299</v>
      </c>
      <c r="K27" s="36">
        <v>226.55249225729742</v>
      </c>
      <c r="L27" s="35">
        <v>6480.1384001818351</v>
      </c>
      <c r="M27" s="36">
        <v>218.29204756385766</v>
      </c>
      <c r="N27" s="35">
        <v>6486.6509212200817</v>
      </c>
      <c r="O27" s="36">
        <v>211.78128427189415</v>
      </c>
      <c r="P27" s="35">
        <v>6490.7910364651543</v>
      </c>
      <c r="Q27" s="36">
        <v>207.63389959052614</v>
      </c>
      <c r="R27" s="35"/>
      <c r="S27" s="36"/>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13763.097676000029</v>
      </c>
      <c r="C28" s="42">
        <v>382.36647899999997</v>
      </c>
      <c r="D28" s="41">
        <v>13470.669993054653</v>
      </c>
      <c r="E28" s="42">
        <v>360.48204972142713</v>
      </c>
      <c r="F28" s="41">
        <v>13114.385073390258</v>
      </c>
      <c r="G28" s="42">
        <v>339.37941078677824</v>
      </c>
      <c r="H28" s="41">
        <v>12686.806707198555</v>
      </c>
      <c r="I28" s="42">
        <v>319.08750872263835</v>
      </c>
      <c r="J28" s="41">
        <v>12183.877399725869</v>
      </c>
      <c r="K28" s="42">
        <v>299.56512392160369</v>
      </c>
      <c r="L28" s="41">
        <v>11607.815346429887</v>
      </c>
      <c r="M28" s="42">
        <v>280.64179210202445</v>
      </c>
      <c r="N28" s="41">
        <v>10970.928028818849</v>
      </c>
      <c r="O28" s="42">
        <v>261.90568720184586</v>
      </c>
      <c r="P28" s="41">
        <v>10303.995158789725</v>
      </c>
      <c r="Q28" s="42">
        <v>242.36904703399284</v>
      </c>
      <c r="R28" s="41"/>
      <c r="S28" s="42"/>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14045.702746796167</v>
      </c>
      <c r="E29" s="36">
        <v>766.03939056443835</v>
      </c>
      <c r="F29" s="35">
        <v>13663.321597635688</v>
      </c>
      <c r="G29" s="36">
        <v>717.04876778212815</v>
      </c>
      <c r="H29" s="35">
        <v>13208.301793886219</v>
      </c>
      <c r="I29" s="36">
        <v>670.39770882974744</v>
      </c>
      <c r="J29" s="35">
        <v>12676.766617973924</v>
      </c>
      <c r="K29" s="36">
        <v>626.04197038339657</v>
      </c>
      <c r="L29" s="35">
        <v>12071.187743488312</v>
      </c>
      <c r="M29" s="36">
        <v>583.6755163154902</v>
      </c>
      <c r="N29" s="35">
        <v>11404.215546710953</v>
      </c>
      <c r="O29" s="36">
        <v>542.53411055632705</v>
      </c>
      <c r="P29" s="35">
        <v>10707.168135522203</v>
      </c>
      <c r="Q29" s="36">
        <v>500.83590977087664</v>
      </c>
      <c r="R29" s="35"/>
      <c r="S29" s="36"/>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2859095.1085884441</v>
      </c>
      <c r="F30" s="119">
        <v>2780436.7279551346</v>
      </c>
      <c r="H30" s="119">
        <v>2687379.7081552316</v>
      </c>
      <c r="J30" s="119">
        <v>2579110.8646735782</v>
      </c>
      <c r="L30" s="119">
        <v>2456035.6865725941</v>
      </c>
      <c r="N30" s="119">
        <v>2320497.4205735037</v>
      </c>
      <c r="P30" s="119">
        <v>2178316.0978719983</v>
      </c>
      <c r="R30" s="119"/>
      <c r="T30" s="119"/>
      <c r="V30" s="119"/>
      <c r="X30" s="119"/>
      <c r="Z30" s="119"/>
      <c r="AB30" s="119"/>
      <c r="AD30" s="119"/>
      <c r="AF30" s="119"/>
      <c r="AH30" s="119"/>
      <c r="AJ30" s="119"/>
      <c r="AL30" s="119"/>
      <c r="AN30" s="119"/>
      <c r="AP30" s="119"/>
      <c r="AR30" s="119"/>
      <c r="AT30" s="119"/>
      <c r="AV30" s="119"/>
    </row>
    <row r="31" spans="1:49" x14ac:dyDescent="0.2">
      <c r="A31" t="s">
        <v>47</v>
      </c>
      <c r="B31" s="80">
        <v>1</v>
      </c>
      <c r="D31" s="80">
        <v>0.97665190836283655</v>
      </c>
      <c r="F31" s="80">
        <v>0.94891375291778601</v>
      </c>
      <c r="H31" s="80">
        <v>0.91632605734349371</v>
      </c>
      <c r="J31" s="80">
        <v>0.87865644458795733</v>
      </c>
      <c r="L31" s="80">
        <v>0.83608465324626224</v>
      </c>
      <c r="N31" s="80">
        <v>0.78944573098810134</v>
      </c>
      <c r="P31" s="80">
        <v>0.74077011888833566</v>
      </c>
      <c r="R31" s="80"/>
      <c r="T31" s="80"/>
      <c r="V31" s="80"/>
      <c r="X31" s="80"/>
      <c r="Z31" s="80"/>
      <c r="AB31" s="80"/>
      <c r="AD31" s="80"/>
      <c r="AF31" s="80"/>
      <c r="AH31" s="80"/>
      <c r="AJ31" s="80"/>
      <c r="AL31" s="80"/>
      <c r="AN31" s="80"/>
      <c r="AP31" s="80"/>
      <c r="AR31" s="80"/>
      <c r="AT31" s="80"/>
      <c r="AV31" s="80"/>
    </row>
    <row r="32" spans="1:49" x14ac:dyDescent="0.2">
      <c r="A32" t="s">
        <v>64</v>
      </c>
      <c r="B32" s="86">
        <v>14734457.915000005</v>
      </c>
      <c r="D32" s="86">
        <v>14409116.356848994</v>
      </c>
      <c r="F32" s="86">
        <v>14017980.092803279</v>
      </c>
      <c r="H32" s="86">
        <v>13553465.696510907</v>
      </c>
      <c r="J32" s="86">
        <v>13011343.909922952</v>
      </c>
      <c r="L32" s="86">
        <v>12393582.472709579</v>
      </c>
      <c r="N32" s="86">
        <v>11711991.66656537</v>
      </c>
      <c r="P32" s="86">
        <v>10995984.38865729</v>
      </c>
      <c r="R32" s="86"/>
      <c r="T32" s="86"/>
      <c r="V32" s="86"/>
      <c r="X32" s="86"/>
      <c r="Z32" s="86"/>
      <c r="AB32" s="86"/>
      <c r="AD32" s="86"/>
      <c r="AF32" s="86"/>
      <c r="AH32" s="86"/>
      <c r="AJ32" s="86"/>
      <c r="AL32" s="86"/>
      <c r="AN32" s="86"/>
      <c r="AP32" s="86"/>
      <c r="AR32" s="86"/>
      <c r="AT32" s="86"/>
      <c r="AV32" s="86"/>
    </row>
    <row r="33" spans="1:49 16319:16321" x14ac:dyDescent="0.2">
      <c r="A33" t="s">
        <v>54</v>
      </c>
      <c r="B33" s="117">
        <v>7019665.6909999885</v>
      </c>
      <c r="D33" s="117">
        <v>6864669.1674389308</v>
      </c>
      <c r="F33" s="117">
        <v>6678327.4338748287</v>
      </c>
      <c r="H33" s="117">
        <v>6457027.4001435973</v>
      </c>
      <c r="J33" s="117">
        <v>6198754.3195821568</v>
      </c>
      <c r="L33" s="117">
        <v>5904445.6255581761</v>
      </c>
      <c r="N33" s="117">
        <v>5579727.909754049</v>
      </c>
      <c r="P33" s="117">
        <v>5238613.7788157398</v>
      </c>
      <c r="R33" s="117"/>
      <c r="T33" s="117"/>
      <c r="V33" s="117"/>
      <c r="X33" s="117"/>
      <c r="Z33" s="117"/>
      <c r="AB33" s="117"/>
      <c r="AD33" s="117"/>
      <c r="AF33" s="117"/>
      <c r="AH33" s="117"/>
      <c r="AJ33" s="117"/>
      <c r="AL33" s="117"/>
      <c r="AN33" s="117"/>
      <c r="AP33" s="117"/>
      <c r="AR33" s="117"/>
      <c r="AT33" s="117"/>
      <c r="AV33" s="117"/>
    </row>
    <row r="34" spans="1:49 16319:16321" x14ac:dyDescent="0.2">
      <c r="A34" t="s">
        <v>75</v>
      </c>
      <c r="B34" s="117">
        <v>1136879.4410000162</v>
      </c>
      <c r="D34" s="117">
        <v>1111776.8333609009</v>
      </c>
      <c r="F34" s="117">
        <v>1081597.4969119166</v>
      </c>
      <c r="H34" s="117">
        <v>1045756.5713049829</v>
      </c>
      <c r="J34" s="117">
        <v>1003927.6160748625</v>
      </c>
      <c r="L34" s="117">
        <v>956262.47475280636</v>
      </c>
      <c r="N34" s="117">
        <v>903672.37363332673</v>
      </c>
      <c r="P34" s="117">
        <v>848426.77723746595</v>
      </c>
      <c r="R34" s="117"/>
      <c r="T34" s="117"/>
      <c r="V34" s="117"/>
      <c r="X34" s="117"/>
      <c r="Z34" s="117"/>
      <c r="AB34" s="117"/>
      <c r="AD34" s="117"/>
      <c r="AF34" s="117"/>
      <c r="AH34" s="117"/>
      <c r="AJ34" s="117"/>
      <c r="AL34" s="117"/>
      <c r="AN34" s="117"/>
      <c r="AP34" s="117"/>
      <c r="AR34" s="117"/>
      <c r="AT34" s="117"/>
      <c r="AV34" s="117"/>
    </row>
    <row r="35" spans="1:49 16319:16321" x14ac:dyDescent="0.2">
      <c r="A35" t="s">
        <v>78</v>
      </c>
      <c r="B35" s="233">
        <v>1</v>
      </c>
      <c r="D35" s="233">
        <v>1.0012982872983052</v>
      </c>
      <c r="F35" s="233">
        <v>1.0025942488055399</v>
      </c>
      <c r="H35" s="233">
        <v>1.0038483862148819</v>
      </c>
      <c r="J35" s="233">
        <v>1.0050155778077963</v>
      </c>
      <c r="L35" s="233">
        <v>1.0060478380861217</v>
      </c>
      <c r="N35" s="233">
        <v>1.0068918509445484</v>
      </c>
      <c r="P35" s="233">
        <v>1.0074590932181899</v>
      </c>
      <c r="R35" s="233"/>
      <c r="T35" s="233"/>
      <c r="V35" s="233"/>
      <c r="X35" s="233"/>
      <c r="Z35" s="233"/>
      <c r="AB35" s="233"/>
      <c r="AD35" s="233"/>
      <c r="AF35" s="233"/>
      <c r="AH35" s="233"/>
      <c r="AJ35" s="233"/>
      <c r="AL35" s="233"/>
      <c r="AN35" s="233"/>
      <c r="AP35" s="233"/>
      <c r="AR35" s="233"/>
      <c r="AT35" s="233"/>
      <c r="AV35" s="233"/>
    </row>
    <row r="36" spans="1:49 16319:16321" x14ac:dyDescent="0.2">
      <c r="A36" t="s">
        <v>21</v>
      </c>
      <c r="B36" s="37">
        <v>0.47195767671988198</v>
      </c>
      <c r="C36" s="38">
        <v>0.31738834428178964</v>
      </c>
      <c r="D36" s="37">
        <v>0.47197038867115904</v>
      </c>
      <c r="E36" s="38">
        <v>0.31877512113334583</v>
      </c>
      <c r="F36" s="37">
        <v>0.47198112365685735</v>
      </c>
      <c r="G36" s="38">
        <v>0.3200023425911408</v>
      </c>
      <c r="H36" s="37">
        <v>0.47198957231347005</v>
      </c>
      <c r="I36" s="38">
        <v>0.32102401167625233</v>
      </c>
      <c r="J36" s="37">
        <v>0.47199557596669922</v>
      </c>
      <c r="K36" s="38">
        <v>0.32180697016518928</v>
      </c>
      <c r="L36" s="37">
        <v>0.47199934689790907</v>
      </c>
      <c r="M36" s="38">
        <v>0.32235502642155978</v>
      </c>
      <c r="N36" s="37">
        <v>0.47200194440237214</v>
      </c>
      <c r="O36" s="38">
        <v>0.32275869639720628</v>
      </c>
      <c r="P36" s="37">
        <v>0.47200673684358119</v>
      </c>
      <c r="Q36" s="38">
        <v>0.32334053732434687</v>
      </c>
      <c r="R36" s="37"/>
      <c r="S36" s="38"/>
      <c r="T36" s="37"/>
      <c r="U36" s="38"/>
      <c r="V36" s="37"/>
      <c r="W36" s="38"/>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0.3496246130199252</v>
      </c>
      <c r="D37" s="39">
        <v>2.0994892646682025E-2</v>
      </c>
      <c r="E37" s="40">
        <v>0.34714166605433372</v>
      </c>
      <c r="F37" s="39">
        <v>2.0625053581388331E-2</v>
      </c>
      <c r="G37" s="40">
        <v>0.34483278042972221</v>
      </c>
      <c r="H37" s="39">
        <v>2.030103069834447E-2</v>
      </c>
      <c r="I37" s="40">
        <v>0.34274352854461426</v>
      </c>
      <c r="J37" s="39">
        <v>2.0028744453761481E-2</v>
      </c>
      <c r="K37" s="40">
        <v>0.340917299251707</v>
      </c>
      <c r="L37" s="39">
        <v>1.9810368134372962E-2</v>
      </c>
      <c r="M37" s="40">
        <v>0.33938806890432183</v>
      </c>
      <c r="N37" s="39">
        <v>1.9640397834611693E-2</v>
      </c>
      <c r="O37" s="40">
        <v>0.33817432619239518</v>
      </c>
      <c r="P37" s="39">
        <v>1.9496066698785661E-2</v>
      </c>
      <c r="Q37" s="40">
        <v>0.33728174154534057</v>
      </c>
      <c r="R37" s="39"/>
      <c r="S37" s="40"/>
      <c r="T37" s="39"/>
      <c r="U37" s="40"/>
      <c r="V37" s="39"/>
      <c r="W37" s="40"/>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0.17765380611513804</v>
      </c>
      <c r="E38" s="38">
        <v>5.968478700206907E-2</v>
      </c>
      <c r="F38" s="37">
        <v>0.17472194127803667</v>
      </c>
      <c r="G38" s="38">
        <v>5.8884906626464791E-2</v>
      </c>
      <c r="H38" s="37">
        <v>0.17205774708934296</v>
      </c>
      <c r="I38" s="38">
        <v>5.8184490415483306E-2</v>
      </c>
      <c r="J38" s="37">
        <v>0.16972161088707313</v>
      </c>
      <c r="K38" s="38">
        <v>5.7599069375798423E-2</v>
      </c>
      <c r="L38" s="37">
        <v>0.16776153306336505</v>
      </c>
      <c r="M38" s="38">
        <v>5.7134334311689211E-2</v>
      </c>
      <c r="N38" s="37">
        <v>0.1662042110161322</v>
      </c>
      <c r="O38" s="38">
        <v>5.6774704123017564E-2</v>
      </c>
      <c r="P38" s="37">
        <v>0.16505670542078302</v>
      </c>
      <c r="Q38" s="38">
        <v>5.6454328865008618E-2</v>
      </c>
      <c r="R38" s="37"/>
      <c r="S38" s="38"/>
      <c r="T38" s="37"/>
      <c r="U38" s="38"/>
      <c r="V38" s="37"/>
      <c r="W38" s="38"/>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0.23064923795098732</v>
      </c>
      <c r="C39" s="40">
        <v>0.22092201281804777</v>
      </c>
      <c r="D39" s="39">
        <v>0.23634191166547816</v>
      </c>
      <c r="E39" s="40">
        <v>0.22366501197496774</v>
      </c>
      <c r="F39" s="39">
        <v>0.24341683135310516</v>
      </c>
      <c r="G39" s="40">
        <v>0.22716844965536023</v>
      </c>
      <c r="H39" s="39">
        <v>0.25223323925146535</v>
      </c>
      <c r="I39" s="40">
        <v>0.2316828986522517</v>
      </c>
      <c r="J39" s="39">
        <v>0.26320406485160863</v>
      </c>
      <c r="K39" s="40">
        <v>0.2375561256508596</v>
      </c>
      <c r="L39" s="39">
        <v>0.27675933695443689</v>
      </c>
      <c r="M39" s="40">
        <v>0.24531320435667189</v>
      </c>
      <c r="N39" s="39">
        <v>0.29323843435039332</v>
      </c>
      <c r="O39" s="40">
        <v>0.25589471148307968</v>
      </c>
      <c r="P39" s="39">
        <v>0.31252494481011805</v>
      </c>
      <c r="Q39" s="40">
        <v>0.27154384797879116</v>
      </c>
      <c r="R39" s="39"/>
      <c r="S39" s="40"/>
      <c r="T39" s="39"/>
      <c r="U39" s="40"/>
      <c r="V39" s="39"/>
      <c r="W39" s="40"/>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0.14326838647982953</v>
      </c>
      <c r="E42" s="135"/>
      <c r="F42" s="177">
        <f>10.8%+(1-10.8%)*(1-SUM(F26:G26)/SUM($B$26:$C$26))</f>
        <v>0.18071031205335125</v>
      </c>
      <c r="G42" s="135"/>
      <c r="H42" s="177">
        <f>10.8%+(1-10.8%)*(1-SUM(H26:I26)/SUM($B$26:$C$26))</f>
        <v>0.22035772126606085</v>
      </c>
      <c r="I42" s="135"/>
      <c r="J42" s="177">
        <f>10.8%+(1-10.8%)*(1-SUM(J26:K26)/SUM($B$26:$C$26))</f>
        <v>0.26210339972850322</v>
      </c>
      <c r="K42" s="135"/>
      <c r="L42" s="177">
        <f>10.8%+(1-10.8%)*(1-SUM(L26:M26)/SUM($B$26:$C$26))</f>
        <v>0.30561332214720388</v>
      </c>
      <c r="M42" s="135"/>
      <c r="N42" s="177">
        <f>10.8%+(1-10.8%)*(1-SUM(N26:O26)/SUM($B$26:$C$26))</f>
        <v>0.35017141988340905</v>
      </c>
      <c r="O42" s="135"/>
      <c r="P42" s="177">
        <f>10.8%+(1-10.8%)*(1-SUM(P26:Q26)/SUM($B$26:$C$26))</f>
        <v>0.39420914577332933</v>
      </c>
      <c r="Q42" s="135"/>
      <c r="R42" s="177">
        <f>10.8%+(1-10.8%)*(1-SUM(R26:S26)/SUM($B$26:$C$26))</f>
        <v>1</v>
      </c>
      <c r="S42" s="135"/>
      <c r="T42" s="177">
        <f>10.8%+(1-10.8%)*(1-SUM(T26:U26)/SUM($B$26:$C$26))</f>
        <v>1</v>
      </c>
      <c r="U42" s="135"/>
      <c r="V42" s="177">
        <f>10.8%+(1-10.8%)*(1-SUM(V26:W26)/SUM($B$26:$C$26))</f>
        <v>1</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0.57441786787385696</v>
      </c>
      <c r="E43" s="135"/>
      <c r="F43" s="162">
        <f t="array" ref="F43">SUM(F15:G15*F27:G27)/SUM(F15:G15*F27:G27,F13:G13*F26:G26)</f>
        <v>0.58115867723515535</v>
      </c>
      <c r="G43" s="135"/>
      <c r="H43" s="162">
        <f t="array" ref="H43">SUM(H15:I15*H27:I27)/SUM(H15:I15*H27:I27,H13:I13*H26:I26)</f>
        <v>0.58728656943116675</v>
      </c>
      <c r="I43" s="135"/>
      <c r="J43" s="162">
        <f t="array" ref="J43">SUM(J15:K15*J27:K27)/SUM(J15:K15*J27:K27,J13:K13*J26:K26)</f>
        <v>0.5926673266106558</v>
      </c>
      <c r="K43" s="135"/>
      <c r="L43" s="162">
        <f t="array" ref="L43">SUM(L15:M15*L27:M27)/SUM(L15:M15*L27:M27,L13:M13*L26:M26)</f>
        <v>0.59719136000674244</v>
      </c>
      <c r="M43" s="135"/>
      <c r="N43" s="162">
        <f t="array" ref="N43">SUM(N15:O15*N27:O27)/SUM(N15:O15*N27:O27,N13:O13*N26:O26)</f>
        <v>0.60078686686429061</v>
      </c>
      <c r="O43" s="135"/>
      <c r="P43" s="162">
        <f t="array" ref="P43">SUM(P15:Q15*P27:Q27)/SUM(P15:Q15*P27:Q27,P13:Q13*P26:Q26)</f>
        <v>0.60339832429169726</v>
      </c>
      <c r="Q43" s="135"/>
      <c r="R43" s="162" t="e">
        <f t="array" ref="R43">SUM(R15:S15*R27:S27)/SUM(R15:S15*R27:S27,R13:S13*R26:S26)</f>
        <v>#DIV/0!</v>
      </c>
      <c r="S43" s="135"/>
      <c r="T43" s="162" t="e">
        <f t="array" ref="T43">SUM(T15:U15*T27:U27)/SUM(T15:U15*T27:U27,T13:U13*T26:U26)</f>
        <v>#DIV/0!</v>
      </c>
      <c r="U43" s="135"/>
      <c r="V43" s="162" t="e">
        <f t="array" ref="V43">SUM(V15:W15*V27:W27)/SUM(V15:W15*V27:W27,V13:W13*V26:W26)</f>
        <v>#DIV/0!</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0.29754226557961755</v>
      </c>
      <c r="F44" s="193">
        <f>(SUM(F11:G11*F24:G24)+F34)/F32</f>
        <v>0.29754225899007614</v>
      </c>
      <c r="H44" s="193">
        <f>(SUM(H11:I11*H24:I24)+H34)/H32</f>
        <v>0.29754226020692576</v>
      </c>
      <c r="J44" s="193">
        <f>(SUM(J11:K11*J24:K24)+J34)/J32</f>
        <v>0.29754226081656104</v>
      </c>
      <c r="L44" s="193">
        <f>(SUM(L11:M11*L24:M24)+L34)/L32</f>
        <v>0.29754226240550524</v>
      </c>
      <c r="N44" s="193">
        <f>(SUM(N11:O11*N24:O24)+N34)/N32</f>
        <v>0.29754226197430295</v>
      </c>
      <c r="P44" s="193">
        <f>(SUM(P11:Q11*P24:Q24)+P34)/P32</f>
        <v>0.2975422624927368</v>
      </c>
      <c r="R44" s="193" t="e">
        <f>(SUM(R11:S11*R24:S24)+R34)/R32</f>
        <v>#DIV/0!</v>
      </c>
      <c r="T44" s="193" t="e">
        <f>(SUM(T11:U11*T24:U24)+T34)/T32</f>
        <v>#DIV/0!</v>
      </c>
      <c r="V44" s="193" t="e">
        <f>(SUM(V11:W11*V24:W24)+V34)/V32</f>
        <v>#DIV/0!</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0.22038438817567485</v>
      </c>
      <c r="F45" s="193">
        <f>SUM(F11:G11*F24:G24)/F32</f>
        <v>0.22038438818762005</v>
      </c>
      <c r="H45" s="193">
        <f>SUM(H11:I11*H24:I24)/H32</f>
        <v>0.22038438821155898</v>
      </c>
      <c r="J45" s="193">
        <f>SUM(J11:K11*J24:K24)/J32</f>
        <v>0.22038438819210227</v>
      </c>
      <c r="L45" s="193">
        <f>SUM(L11:M11*L24:M24)/L32</f>
        <v>0.22038438841237393</v>
      </c>
      <c r="N45" s="193">
        <f>SUM(N11:O11*N24:O24)/N32</f>
        <v>0.22038438828719376</v>
      </c>
      <c r="P45" s="193">
        <f>SUM(P11:Q11*P24:Q24)/P32</f>
        <v>0.22038438855899006</v>
      </c>
      <c r="R45" s="193" t="e">
        <f>SUM(R11:S11*R24:S24)/R32</f>
        <v>#DIV/0!</v>
      </c>
      <c r="T45" s="193" t="e">
        <f>SUM(T11:U11*T24:U24)/T32</f>
        <v>#DIV/0!</v>
      </c>
      <c r="V45" s="193" t="e">
        <f>SUM(V11:W11*V24:W24)/V32</f>
        <v>#DIV/0!</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7.7157877403942754E-2</v>
      </c>
      <c r="F46" s="193">
        <f>F34/F32</f>
        <v>7.7157870802456077E-2</v>
      </c>
      <c r="H46" s="193">
        <f>H34/H32</f>
        <v>7.715787199536675E-2</v>
      </c>
      <c r="J46" s="193">
        <f>J34/J32</f>
        <v>7.7157872624458779E-2</v>
      </c>
      <c r="L46" s="193">
        <f>L34/L32</f>
        <v>7.7157873993131301E-2</v>
      </c>
      <c r="N46" s="193">
        <f>N34/N32</f>
        <v>7.7157873687109232E-2</v>
      </c>
      <c r="P46" s="193">
        <f>P34/P32</f>
        <v>7.7157873933746693E-2</v>
      </c>
      <c r="R46" s="193" t="e">
        <f>R34/R32</f>
        <v>#DIV/0!</v>
      </c>
      <c r="T46" s="193" t="e">
        <f>T34/T32</f>
        <v>#DIV/0!</v>
      </c>
      <c r="V46" s="193" t="e">
        <f>V34/V32</f>
        <v>#DIV/0!</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0.97871803170981997</v>
      </c>
      <c r="E48" s="191"/>
      <c r="F48" s="191">
        <f>F24/$B$24</f>
        <v>0.95280260473789691</v>
      </c>
      <c r="G48" s="191"/>
      <c r="H48" s="191">
        <f>H24/$B$24</f>
        <v>0.92172321576287419</v>
      </c>
      <c r="I48" s="191"/>
      <c r="J48" s="191">
        <f>J24/$B$24</f>
        <v>0.88519098106832483</v>
      </c>
      <c r="K48" s="191"/>
      <c r="L48" s="191">
        <f>L24/$B$24</f>
        <v>0.84336354636076827</v>
      </c>
      <c r="M48" s="191"/>
      <c r="N48" s="191">
        <f>N24/$B$24</f>
        <v>0.797112528872568</v>
      </c>
      <c r="O48" s="191"/>
      <c r="P48" s="191">
        <f>P24/$B$24</f>
        <v>0.74860645616184407</v>
      </c>
      <c r="Q48" s="191"/>
      <c r="R48" s="191">
        <f>R24/$B$24</f>
        <v>0</v>
      </c>
      <c r="S48" s="191"/>
      <c r="T48" s="191">
        <f>T24/$B$24</f>
        <v>0</v>
      </c>
      <c r="U48" s="191"/>
      <c r="V48" s="191">
        <f>V24/$B$24</f>
        <v>0</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1.0000000010521466</v>
      </c>
      <c r="E49" s="191"/>
      <c r="F49" s="191">
        <f>F13/F35/$B$13*$B$35</f>
        <v>0.99999999956892649</v>
      </c>
      <c r="G49" s="191"/>
      <c r="H49" s="191">
        <f>H13/H35/$B$13*$B$35</f>
        <v>0.99999999964360686</v>
      </c>
      <c r="I49" s="191"/>
      <c r="J49" s="191">
        <f>J13/J35/$B$13*$B$35</f>
        <v>0.99999999980595022</v>
      </c>
      <c r="K49" s="191"/>
      <c r="L49" s="191">
        <f>L13/L35/$B$13*$B$35</f>
        <v>1.0000000000959608</v>
      </c>
      <c r="M49" s="191"/>
      <c r="N49" s="191">
        <f>N13/N35/$B$13*$B$35</f>
        <v>1.0000000000802114</v>
      </c>
      <c r="O49" s="191"/>
      <c r="P49" s="191">
        <f>P13/P35/$B$13*$B$35</f>
        <v>0.99999999998703104</v>
      </c>
      <c r="Q49" s="191"/>
      <c r="R49" s="191" t="e">
        <f>R13/R35/$B$13*$B$35</f>
        <v>#DIV/0!</v>
      </c>
      <c r="S49" s="191"/>
      <c r="T49" s="191" t="e">
        <f>T13/T35/$B$13*$B$35</f>
        <v>#DIV/0!</v>
      </c>
      <c r="U49" s="191"/>
      <c r="V49" s="191" t="e">
        <f>V13/V35/$B$13*$B$35</f>
        <v>#DIV/0!</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-398030.95500444388</v>
      </c>
      <c r="F51" s="29">
        <f>F30-F10*F23</f>
        <v>-388274.46768271038</v>
      </c>
      <c r="H51" s="29">
        <f>H30-H10*H23</f>
        <v>-376329.771235188</v>
      </c>
      <c r="J51" s="29">
        <f>J30-J10*J23</f>
        <v>-362054.04244694859</v>
      </c>
      <c r="L51" s="29">
        <f>L30-L10*L23</f>
        <v>-345486.59233958554</v>
      </c>
      <c r="N51" s="29">
        <f>N30-N10*N23</f>
        <v>-326953.84354377072</v>
      </c>
      <c r="P51" s="29">
        <f>P30-P10*P23</f>
        <v>-307284.43863364961</v>
      </c>
      <c r="R51" s="29">
        <f>R30-R10*R23</f>
        <v>0</v>
      </c>
      <c r="T51" s="29">
        <f>T30-T10*T23</f>
        <v>0</v>
      </c>
      <c r="V51" s="29">
        <f>V30-V10*V23</f>
        <v>0</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1970778.8541558641</v>
      </c>
      <c r="F52" s="29">
        <f t="array" ref="F52">Calibration!sL*SUM(F13:G13*F26:G26)</f>
        <v>1887088.7464501471</v>
      </c>
      <c r="H52" s="29">
        <f t="array" ref="H52">Calibration!sL*SUM(H13:I13*H26:I26)</f>
        <v>1798014.2710528499</v>
      </c>
      <c r="J52" s="29">
        <f t="array" ref="J52">Calibration!sL*SUM(J13:K13*J26:K26)</f>
        <v>1703718.8560458338</v>
      </c>
      <c r="L52" s="29">
        <f t="array" ref="L52">Calibration!sL*SUM(L13:M13*L26:M26)</f>
        <v>1604906.1436758868</v>
      </c>
      <c r="N52" s="29">
        <f t="array" ref="N52">Calibration!sL*SUM(N13:O13*N26:O26)</f>
        <v>1503180.9437921122</v>
      </c>
      <c r="P52" s="29">
        <f t="array" ref="P52">Calibration!sL*SUM(P13:Q13*P26:Q26)</f>
        <v>1402102.4907067167</v>
      </c>
      <c r="R52" s="29">
        <f t="array" ref="R52">Calibration!sL*SUM(R13:S13*R26:S26)</f>
        <v>0</v>
      </c>
      <c r="T52" s="29">
        <f t="array" ref="T52">Calibration!sL*SUM(T13:U13*T26:U26)</f>
        <v>0</v>
      </c>
      <c r="V52" s="29">
        <f t="array" ref="V52">Calibration!sL*SUM(V13:W13*V26:W26)</f>
        <v>0</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2714574.9432077752</v>
      </c>
      <c r="F53" s="29">
        <f t="array" ref="F53">Calibration!sK*SUM(F15:G15*F27:G27)</f>
        <v>2672125.8998220335</v>
      </c>
      <c r="H53" s="29">
        <f t="array" ref="H53">Calibration!sK*SUM(H15:I15*H27:I27)</f>
        <v>2611042.7907386539</v>
      </c>
      <c r="J53" s="29">
        <f t="array" ref="J53">Calibration!sK*SUM(J15:K15*J27:K27)</f>
        <v>2529758.4521331708</v>
      </c>
      <c r="L53" s="29">
        <f t="array" ref="L53">Calibration!sK*SUM(L15:M15*L27:M27)</f>
        <v>2428196.1473737229</v>
      </c>
      <c r="N53" s="29">
        <f t="array" ref="N53">Calibration!sK*SUM(N15:O15*N27:O27)</f>
        <v>2308587.0730244713</v>
      </c>
      <c r="P53" s="29">
        <f t="array" ref="P53">Calibration!sK*SUM(P15:Q15*P27:Q27)</f>
        <v>2176951.2482432192</v>
      </c>
      <c r="R53" s="29">
        <f t="array" ref="R53">Calibration!sK*SUM(R15:S15*R27:S27)</f>
        <v>0</v>
      </c>
      <c r="T53" s="29">
        <f t="array" ref="T53">Calibration!sK*SUM(T15:U15*T27:U27)</f>
        <v>0</v>
      </c>
      <c r="V53" s="29">
        <f t="array" ref="V53">Calibration!sK*SUM(V15:W15*V27:W27)</f>
        <v>0</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0.19842265394917491</v>
      </c>
      <c r="F55" s="193">
        <f>F30/F32</f>
        <v>0.19834788675314136</v>
      </c>
      <c r="H55" s="193">
        <f>H30/H32</f>
        <v>0.19827989152966599</v>
      </c>
      <c r="J55" s="193">
        <f>J30/J32</f>
        <v>0.19822017483579454</v>
      </c>
      <c r="L55" s="193">
        <f>L30/L32</f>
        <v>0.19816995545724858</v>
      </c>
      <c r="N55" s="193">
        <f>N30/N32</f>
        <v>0.1981300436882916</v>
      </c>
      <c r="P55" s="193">
        <f>P30/P32</f>
        <v>0.1981010540647003</v>
      </c>
      <c r="R55" s="193" t="e">
        <f>R30/R32</f>
        <v>#DIV/0!</v>
      </c>
      <c r="T55" s="193" t="e">
        <f>T30/T32</f>
        <v>#DIV/0!</v>
      </c>
      <c r="V55" s="193" t="e">
        <f>V30/V32</f>
        <v>#DIV/0!</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3.181582135406303E-2</v>
      </c>
      <c r="F56" s="193">
        <f>(Model!$C$52*F5*F20+F2*G5*G20)/F32</f>
        <v>3.4238462709077842E-2</v>
      </c>
      <c r="H56" s="193">
        <f>(Model!$C$52*H5*H20+H2*I5*I20)/H32</f>
        <v>3.6439746273462185E-2</v>
      </c>
      <c r="J56" s="193">
        <f>(Model!$C$52*J5*J20+J2*K5*K20)/J32</f>
        <v>3.8371600587120476E-2</v>
      </c>
      <c r="L56" s="193">
        <f>(Model!$C$52*L5*L20+L2*M5*M20)/L32</f>
        <v>3.9994853655530772E-2</v>
      </c>
      <c r="N56" s="193">
        <f>(Model!$C$52*N5*N20+N2*O5*O20)/N32</f>
        <v>4.1284731116860568E-2</v>
      </c>
      <c r="P56" s="193">
        <f>(Model!$C$52*P5*P20+P2*Q5*Q20)/P32</f>
        <v>4.222382374759296E-2</v>
      </c>
      <c r="R56" s="193" t="e">
        <f>(Model!$C$52*R5*R20+R2*S5*S20)/R32</f>
        <v>#DIV/0!</v>
      </c>
      <c r="T56" s="193" t="e">
        <f>(Model!$C$52*T5*T20+T2*U5*U20)/T32</f>
        <v>#DIV/0!</v>
      </c>
      <c r="V56" s="193" t="e">
        <f>(Model!$C$52*V5*V20+V2*W5*W20)/V32</f>
        <v>#DIV/0!</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0.15590083757099971</v>
      </c>
      <c r="F57" s="193">
        <f t="array" ref="F57">SUM(Model!tauL*F13:G13*F26:G26)/F32</f>
        <v>0.1534457233757659</v>
      </c>
      <c r="H57" s="193">
        <f t="array" ref="H57">SUM(Model!tauL*H13:I13*H26:I26)/H32</f>
        <v>0.15121353859472561</v>
      </c>
      <c r="J57" s="193">
        <f t="array" ref="J57">SUM(Model!tauL*J13:K13*J26:K26)/J32</f>
        <v>0.14925320885165896</v>
      </c>
      <c r="L57" s="193">
        <f t="array" ref="L57">SUM(Model!tauL*L13:M13*L26:M26)/L32</f>
        <v>0.14760486825576197</v>
      </c>
      <c r="N57" s="193">
        <f t="array" ref="N57">SUM(Model!tauL*N13:O13*N26:O26)/N32</f>
        <v>0.14629463839594531</v>
      </c>
      <c r="P57" s="193">
        <f t="array" ref="P57">SUM(Model!tauL*P13:Q13*P26:Q26)/P32</f>
        <v>0.14534280893824336</v>
      </c>
      <c r="R57" s="193" t="e">
        <f t="array" ref="R57">SUM(Model!tauL*R13:S13*R26:S26)/R32</f>
        <v>#DIV/0!</v>
      </c>
      <c r="T57" s="193" t="e">
        <f t="array" ref="T57">SUM(Model!tauL*T13:U13*T26:U26)/T32</f>
        <v>#DIV/0!</v>
      </c>
      <c r="V57" s="193" t="e">
        <f t="array" ref="V57">SUM(Model!tauL*V13:W13*V26:W26)/V32</f>
        <v>#DIV/0!</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1.0705995024112226E-2</v>
      </c>
      <c r="F58" s="193">
        <f t="array" ref="F58">SUM(Model!tauY/(1+Model!tauY)*F3:G3*F18:G18)/F32</f>
        <v>1.0663700668297645E-2</v>
      </c>
      <c r="H58" s="193">
        <f t="array" ref="H58">SUM(Model!tauY/(1+Model!tauY)*H3:I3*H18:I18)/H32</f>
        <v>1.0626606661478213E-2</v>
      </c>
      <c r="J58" s="193">
        <f t="array" ref="J58">SUM(Model!tauY/(1+Model!tauY)*J3:K3*J18:K18)/J32</f>
        <v>1.0595365397015137E-2</v>
      </c>
      <c r="L58" s="193">
        <f t="array" ref="L58">SUM(Model!tauY/(1+Model!tauY)*L3:M3*L18:M18)/L32</f>
        <v>1.0570233545955878E-2</v>
      </c>
      <c r="N58" s="193">
        <f t="array" ref="N58">SUM(Model!tauY/(1+Model!tauY)*N3:O3*N18:O18)/N32</f>
        <v>1.0550674175485702E-2</v>
      </c>
      <c r="P58" s="193">
        <f t="array" ref="P58">SUM(Model!tauY/(1+Model!tauY)*P3:Q3*P18:Q18)/P32</f>
        <v>1.0534421378863951E-2</v>
      </c>
      <c r="R58" s="193" t="e">
        <f t="array" ref="R58">SUM(Model!tauY/(1+Model!tauY)*R3:S3*R18:S18)/R32</f>
        <v>#DIV/0!</v>
      </c>
      <c r="T58" s="193" t="e">
        <f t="array" ref="T58">SUM(Model!tauY/(1+Model!tauY)*T3:U3*T18:U18)/T32</f>
        <v>#DIV/0!</v>
      </c>
      <c r="V58" s="193" t="e">
        <f t="array" ref="V58">SUM(Model!tauY/(1+Model!tauY)*V3:W3*V18:W18)/V32</f>
        <v>#DIV/0!</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3.1782376720284216E-3</v>
      </c>
      <c r="F59" s="193">
        <f>(F2*G5*G20)/F32</f>
        <v>5.6300362447828829E-3</v>
      </c>
      <c r="H59" s="193">
        <f>(H2*I5*I20)/H32</f>
        <v>7.8571918435192019E-3</v>
      </c>
      <c r="J59" s="193">
        <f>(J2*K5*K20)/J32</f>
        <v>9.8111410058160427E-3</v>
      </c>
      <c r="L59" s="193">
        <f>(L2*M5*M20)/L32</f>
        <v>1.1452439791356739E-2</v>
      </c>
      <c r="N59" s="193">
        <f>(N2*O5*O20)/N32</f>
        <v>1.2756485750493134E-2</v>
      </c>
      <c r="P59" s="193">
        <f>(P2*Q5*Q20)/P32</f>
        <v>1.3706943434218707E-2</v>
      </c>
      <c r="R59" s="193" t="e">
        <f>(R2*S5*S20)/R32</f>
        <v>#DIV/0!</v>
      </c>
      <c r="T59" s="193" t="e">
        <f>(T2*U5*U20)/T32</f>
        <v>#DIV/0!</v>
      </c>
      <c r="V59" s="193" t="e">
        <f>(V2*W5*W20)/V32</f>
        <v>#DIV/0!</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2.8637583682034607E-2</v>
      </c>
      <c r="F60" s="193">
        <f>Model!$C$52*F5*F20/F32</f>
        <v>2.8608426464294956E-2</v>
      </c>
      <c r="H60" s="193">
        <f>Model!$C$52*H5*H20/H32</f>
        <v>2.8582554429942984E-2</v>
      </c>
      <c r="J60" s="193">
        <f>Model!$C$52*J5*J20/J32</f>
        <v>2.8560459581304435E-2</v>
      </c>
      <c r="L60" s="193">
        <f>Model!$C$52*L5*L20/L32</f>
        <v>2.8542413864174034E-2</v>
      </c>
      <c r="N60" s="193">
        <f>Model!$C$52*N5*N20/N32</f>
        <v>2.8528245366367434E-2</v>
      </c>
      <c r="P60" s="193">
        <f>Model!$C$52*P5*P20/P32</f>
        <v>2.8516880313374252E-2</v>
      </c>
      <c r="R60" s="193" t="e">
        <f>Model!$C$52*R5*R20/R32</f>
        <v>#DIV/0!</v>
      </c>
      <c r="T60" s="193" t="e">
        <f>Model!$C$52*T5*T20/T32</f>
        <v>#DIV/0!</v>
      </c>
      <c r="V60" s="193" t="e">
        <f>Model!$C$52*V5*V20/V32</f>
        <v>#DIV/0!</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1.0109407201744507</v>
      </c>
      <c r="F62">
        <f>F13/F15</f>
        <v>1.0283285106564652</v>
      </c>
      <c r="H62">
        <f>H13/H15</f>
        <v>1.0537016778394419</v>
      </c>
      <c r="J62">
        <f>J13/J15</f>
        <v>1.0888229906076137</v>
      </c>
      <c r="L62">
        <f>L13/L15</f>
        <v>1.135530642876482</v>
      </c>
      <c r="N62">
        <f>N13/N15</f>
        <v>1.1953653764794614</v>
      </c>
      <c r="P62">
        <f>P13/P15</f>
        <v>1.2683594597480023</v>
      </c>
      <c r="R62" t="e">
        <f>R13/R15</f>
        <v>#DIV/0!</v>
      </c>
      <c r="T62" t="e">
        <f>T13/T15</f>
        <v>#DIV/0!</v>
      </c>
      <c r="V62" t="e">
        <f>V13/V15</f>
        <v>#DIV/0!</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0.99925799292156214</v>
      </c>
      <c r="E65" s="191"/>
      <c r="F65" s="191">
        <f t="array" ref="F65">SQRT((F9:G9*$B$22:$C$22+F10:G10*$B$23:$C$23+F11:G11*$B$24:$C$24+F4:G4*($B$25:$C$25-$B$19:$C$19))/($B$9:$C$9*$B$22:$C$22+$B$10:$C$10*$B$23:$C$23+$B$11:$C$11*$B$24:$C$24+$B$4:$C$4*($B$25:$C$25-$B$19:$C$19))*(F9:G9*F22:G22+F10:G10*F23:G23+F11:G11*F24:G24+F4:G4*(F25:G25-F19:G19))/($B$9:$C$9*F22:G22+$B$10:$C$10*F23:G23+$B$11:$C$11*F24:G24+$B$4:$C$4*(F25:G25-F19:G19)))</f>
        <v>0.99863642205926706</v>
      </c>
      <c r="G65" s="191"/>
      <c r="H65" s="191">
        <f t="array" ref="H65">SQRT((H9:I9*$B$22:$C$22+H10:I10*$B$23:$C$23+H11:I11*$B$24:$C$24+H4:I4*($B$25:$C$25-$B$19:$C$19))/($B$9:$C$9*$B$22:$C$22+$B$10:$C$10*$B$23:$C$23+$B$11:$C$11*$B$24:$C$24+$B$4:$C$4*($B$25:$C$25-$B$19:$C$19))*(H9:I9*H22:I22+H10:I10*H23:I23+H11:I11*H24:I24+H4:I4*(H25:I25-H19:I19))/($B$9:$C$9*H22:I22+$B$10:$C$10*H23:I23+$B$11:$C$11*H24:I24+$B$4:$C$4*(H25:I25-H19:I19)))</f>
        <v>0.9981503981924138</v>
      </c>
      <c r="I65" s="191"/>
      <c r="J65" s="191">
        <f t="array" ref="J65">SQRT((J9:K9*$B$22:$C$22+J10:K10*$B$23:$C$23+J11:K11*$B$24:$C$24+J4:K4*($B$25:$C$25-$B$19:$C$19))/($B$9:$C$9*$B$22:$C$22+$B$10:$C$10*$B$23:$C$23+$B$11:$C$11*$B$24:$C$24+$B$4:$C$4*($B$25:$C$25-$B$19:$C$19))*(J9:K9*J22:K22+J10:K10*J23:K23+J11:K11*J24:K24+J4:K4*(J25:K25-J19:K19))/($B$9:$C$9*J22:K22+$B$10:$C$10*J23:K23+$B$11:$C$11*J24:K24+$B$4:$C$4*(J25:K25-J19:K19)))</f>
        <v>0.99780669508954578</v>
      </c>
      <c r="K65" s="191"/>
      <c r="L65" s="191">
        <f t="array" ref="L65">SQRT((L9:M9*$B$22:$C$22+L10:M10*$B$23:$C$23+L11:M11*$B$24:$C$24+L4:M4*($B$25:$C$25-$B$19:$C$19))/($B$9:$C$9*$B$22:$C$22+$B$10:$C$10*$B$23:$C$23+$B$11:$C$11*$B$24:$C$24+$B$4:$C$4*($B$25:$C$25-$B$19:$C$19))*(L9:M9*L22:M22+L10:M10*L23:M23+L11:M11*L24:M24+L4:M4*(L25:M25-L19:M19))/($B$9:$C$9*L22:M22+$B$10:$C$10*L23:M23+$B$11:$C$11*L24:M24+$B$4:$C$4*(L25:M25-L19:M19)))</f>
        <v>0.99759150547825237</v>
      </c>
      <c r="M65" s="191"/>
      <c r="N65" s="191">
        <f t="array" ref="N65">SQRT((N9:O9*$B$22:$C$22+N10:O10*$B$23:$C$23+N11:O11*$B$24:$C$24+N4:O4*($B$25:$C$25-$B$19:$C$19))/($B$9:$C$9*$B$22:$C$22+$B$10:$C$10*$B$23:$C$23+$B$11:$C$11*$B$24:$C$24+$B$4:$C$4*($B$25:$C$25-$B$19:$C$19))*(N9:O9*N22:O22+N10:O10*N23:O23+N11:O11*N24:O24+N4:O4*(N25:O25-N19:O19))/($B$9:$C$9*N22:O22+$B$10:$C$10*N23:O23+$B$11:$C$11*N24:O24+$B$4:$C$4*(N25:O25-N19:O19)))</f>
        <v>0.99744358807282274</v>
      </c>
      <c r="O65" s="191"/>
      <c r="P65" s="191">
        <f t="array" ref="P65">SQRT((P9:Q9*$B$22:$C$22+P10:Q10*$B$23:$C$23+P11:Q11*$B$24:$C$24+P4:Q4*($B$25:$C$25-$B$19:$C$19))/($B$9:$C$9*$B$22:$C$22+$B$10:$C$10*$B$23:$C$23+$B$11:$C$11*$B$24:$C$24+$B$4:$C$4*($B$25:$C$25-$B$19:$C$19))*(P9:Q9*P22:Q22+P10:Q10*P23:Q23+P11:Q11*P24:Q24+P4:Q4*(P25:Q25-P19:Q19))/($B$9:$C$9*P22:Q22+$B$10:$C$10*P23:Q23+$B$11:$C$11*P24:Q24+$B$4:$C$4*(P25:Q25-P19:Q19)))</f>
        <v>0.99717138479698642</v>
      </c>
      <c r="Q65" s="191"/>
      <c r="R65" s="191" t="e">
        <f t="array" ref="R65">SQRT((R9:S9*$B$22:$C$22+R10:S10*$B$23:$C$23+R11:S11*$B$24:$C$24+R4:S4*($B$25:$C$25-$B$19:$C$19))/($B$9:$C$9*$B$22:$C$22+$B$10:$C$10*$B$23:$C$23+$B$11:$C$11*$B$24:$C$24+$B$4:$C$4*($B$25:$C$25-$B$19:$C$19))*(R9:S9*R22:S22+R10:S10*R23:S23+R11:S11*R24:S24+R4:S4*(R25:S25-R19:S19))/($B$9:$C$9*R22:S22+$B$10:$C$10*R23:S23+$B$11:$C$11*R24:S24+$B$4:$C$4*(R25:S25-R19:S19)))</f>
        <v>#DIV/0!</v>
      </c>
      <c r="S65" s="191"/>
      <c r="T65" s="191" t="e">
        <f t="array" ref="T65">SQRT((T9:U9*$B$22:$C$22+T10:U10*$B$23:$C$23+T11:U11*$B$24:$C$24+T4:U4*($B$25:$C$25-$B$19:$C$19))/($B$9:$C$9*$B$22:$C$22+$B$10:$C$10*$B$23:$C$23+$B$11:$C$11*$B$24:$C$24+$B$4:$C$4*($B$25:$C$25-$B$19:$C$19))*(T9:U9*T22:U22+T10:U10*T23:U23+T11:U11*T24:U24+T4:U4*(T25:U25-T19:U19))/($B$9:$C$9*T22:U22+$B$10:$C$10*T23:U23+$B$11:$C$11*T24:U24+$B$4:$C$4*(T25:U25-T19:U19)))</f>
        <v>#DIV/0!</v>
      </c>
      <c r="U65" s="191"/>
      <c r="V65" s="191" t="e">
        <f t="array" ref="V65">SQRT((V9:W9*$B$22:$C$22+V10:W10*$B$23:$C$23+V11:W11*$B$24:$C$24+V4:W4*($B$25:$C$25-$B$19:$C$19))/($B$9:$C$9*$B$22:$C$22+$B$10:$C$10*$B$23:$C$23+$B$11:$C$11*$B$24:$C$24+$B$4:$C$4*($B$25:$C$25-$B$19:$C$19))*(V9:W9*V22:W22+V10:W10*V23:W23+V11:W11*V24:W24+V4:W4*(V25:W25-V19:W19))/($B$9:$C$9*V22:W22+$B$10:$C$10*V23:W23+$B$11:$C$11*V24:W24+$B$4:$C$4*(V25:W25-V19:W19)))</f>
        <v>#DIV/0!</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0.99918428677484716</v>
      </c>
      <c r="E66" s="191"/>
      <c r="F66" s="191">
        <f t="array" ref="F66">SQRT((F9:G9*$B$22:$C$22)/($B$9:$C$9*$B$22:$C$22)*(F9:G9*F22:G22)/($B$9:$C$9*F22:G22))</f>
        <v>0.99850062309374943</v>
      </c>
      <c r="G66" s="191"/>
      <c r="H66" s="191">
        <f t="array" ref="H66">SQRT((H9:I9*$B$22:$C$22)/($B$9:$C$9*$B$22:$C$22)*(H9:I9*H22:I22)/($B$9:$C$9*H22:I22))</f>
        <v>0.99796583051145882</v>
      </c>
      <c r="I66" s="191"/>
      <c r="J66" s="191">
        <f t="array" ref="J66">SQRT((J9:K9*$B$22:$C$22)/($B$9:$C$9*$B$22:$C$22)*(J9:K9*J22:K22)/($B$9:$C$9*J22:K22))</f>
        <v>0.99758753233286501</v>
      </c>
      <c r="K66" s="191"/>
      <c r="L66" s="191">
        <f t="array" ref="L66">SQRT((L9:M9*$B$22:$C$22)/($B$9:$C$9*$B$22:$C$22)*(L9:M9*L22:M22)/($B$9:$C$9*L22:M22))</f>
        <v>0.99735064650032523</v>
      </c>
      <c r="M66" s="191"/>
      <c r="N66" s="191">
        <f t="array" ref="N66">SQRT((N9:O9*$B$22:$C$22)/($B$9:$C$9*$B$22:$C$22)*(N9:O9*N22:O22)/($B$9:$C$9*N22:O22))</f>
        <v>0.99718780017710817</v>
      </c>
      <c r="O66" s="191"/>
      <c r="P66" s="191">
        <f t="array" ref="P66">SQRT((P9:Q9*$B$22:$C$22)/($B$9:$C$9*$B$22:$C$22)*(P9:Q9*P22:Q22)/($B$9:$C$9*P22:Q22))</f>
        <v>0.99688803649014934</v>
      </c>
      <c r="Q66" s="191"/>
      <c r="R66" s="191" t="e">
        <f t="array" ref="R66">SQRT((R9:S9*$B$22:$C$22)/($B$9:$C$9*$B$22:$C$22)*(R9:S9*R22:S22)/($B$9:$C$9*R22:S22))</f>
        <v>#DIV/0!</v>
      </c>
      <c r="S66" s="191"/>
      <c r="T66" s="191" t="e">
        <f t="array" ref="T66">SQRT((T9:U9*$B$22:$C$22)/($B$9:$C$9*$B$22:$C$22)*(T9:U9*T22:U22)/($B$9:$C$9*T22:U22))</f>
        <v>#DIV/0!</v>
      </c>
      <c r="U66" s="191"/>
      <c r="V66" s="191" t="e">
        <f t="array" ref="V66">SQRT((V9:W9*$B$22:$C$22)/($B$9:$C$9*$B$22:$C$22)*(V9:W9*V22:W22)/($B$9:$C$9*V22:W22))</f>
        <v>#DIV/0!</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t="e">
        <f t="array" ref="R67">SQRT((R4:S4*$B$19:$C$19)/($B$4:$C$4*$B$19:$C$19)*(R4:S4*R19:S19)/($B$4:$C$4*R19:S19))</f>
        <v>#DIV/0!</v>
      </c>
      <c r="S67" s="191"/>
      <c r="T67" s="191" t="e">
        <f t="array" ref="T67">SQRT((T4:U4*$B$19:$C$19)/($B$4:$C$4*$B$19:$C$19)*(T4:U4*T19:U19)/($B$4:$C$4*T19:U19))</f>
        <v>#DIV/0!</v>
      </c>
      <c r="U67" s="191"/>
      <c r="V67" s="191" t="e">
        <f t="array" ref="V67">SQRT((V4:W4*$B$19:$C$19)/($B$4:$C$4*$B$19:$C$19)*(V4:W4*V19:W19)/($B$4:$C$4*V19:W19))</f>
        <v>#DIV/0!</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0.99918428677484716</v>
      </c>
      <c r="E68" s="191"/>
      <c r="F68" s="191">
        <f>F66/F67</f>
        <v>0.99850062309374943</v>
      </c>
      <c r="G68" s="191"/>
      <c r="H68" s="191">
        <f>H66/H67</f>
        <v>0.99796583051145882</v>
      </c>
      <c r="I68" s="191"/>
      <c r="J68" s="191">
        <f>J66/J67</f>
        <v>0.99758753233286501</v>
      </c>
      <c r="K68" s="191"/>
      <c r="L68" s="191">
        <f>L66/L67</f>
        <v>0.99735064650032523</v>
      </c>
      <c r="M68" s="191"/>
      <c r="N68" s="191">
        <f>N66/N67</f>
        <v>0.99718780017710817</v>
      </c>
      <c r="O68" s="191"/>
      <c r="P68" s="191">
        <f>P66/P67</f>
        <v>0.99688803649014934</v>
      </c>
      <c r="Q68" s="191"/>
      <c r="R68" s="191" t="e">
        <f>R66/R67</f>
        <v>#DIV/0!</v>
      </c>
      <c r="S68" s="191"/>
      <c r="T68" s="191" t="e">
        <f>T66/T67</f>
        <v>#DIV/0!</v>
      </c>
      <c r="U68" s="191"/>
      <c r="V68" s="191" t="e">
        <f>V66/V67</f>
        <v>#DIV/0!</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0.97864584130259358</v>
      </c>
      <c r="E69" s="191"/>
      <c r="F69" s="191">
        <f>F32/F65/($B$32)</f>
        <v>0.95267303907997414</v>
      </c>
      <c r="G69" s="191"/>
      <c r="H69" s="191">
        <f>H32/H65/($B$32)</f>
        <v>0.92155278071193414</v>
      </c>
      <c r="I69" s="191"/>
      <c r="J69" s="191">
        <f>J32/J65/($B$32)</f>
        <v>0.88499655429584745</v>
      </c>
      <c r="K69" s="191"/>
      <c r="L69" s="191">
        <f>L32/L65/($B$32)</f>
        <v>0.84315992394852168</v>
      </c>
      <c r="M69" s="191"/>
      <c r="N69" s="191">
        <f>N32/N65/($B$32)</f>
        <v>0.79690811473080125</v>
      </c>
      <c r="O69" s="191"/>
      <c r="P69" s="191">
        <f>P32/P65/($B$32)</f>
        <v>0.74839373732141146</v>
      </c>
      <c r="Q69" s="191"/>
      <c r="R69" s="191" t="e">
        <f>R32/R65/($B$32)</f>
        <v>#DIV/0!</v>
      </c>
      <c r="S69" s="191"/>
      <c r="T69" s="191" t="e">
        <f>T32/T65/($B$32)</f>
        <v>#DIV/0!</v>
      </c>
      <c r="U69" s="191"/>
      <c r="V69" s="191" t="e">
        <f>V32/V65/($B$32)</f>
        <v>#DIV/0!</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0.97794895849419883</v>
      </c>
      <c r="E70" s="138"/>
      <c r="F70" s="138">
        <f>F18/$B$18</f>
        <v>0.95134533211102357</v>
      </c>
      <c r="G70" s="138"/>
      <c r="H70" s="138">
        <f>H18/$B$18</f>
        <v>0.91967866881136129</v>
      </c>
      <c r="I70" s="138"/>
      <c r="J70" s="138">
        <f>J18/$B$18</f>
        <v>0.88267893386183371</v>
      </c>
      <c r="K70" s="138"/>
      <c r="L70" s="138">
        <f>L18/$B$18</f>
        <v>0.84051892772021664</v>
      </c>
      <c r="M70" s="138"/>
      <c r="N70" s="138">
        <f>N18/$B$18</f>
        <v>0.79408159973875247</v>
      </c>
      <c r="O70" s="138"/>
      <c r="P70" s="138">
        <f>P18/$B$18</f>
        <v>0.74555285634918445</v>
      </c>
      <c r="Q70" s="138"/>
      <c r="R70" s="138">
        <f>R18/$B$18</f>
        <v>0</v>
      </c>
      <c r="S70" s="138"/>
      <c r="T70" s="138">
        <f>T18/$B$18</f>
        <v>0</v>
      </c>
      <c r="U70" s="138"/>
      <c r="V70" s="138">
        <f>V18/$B$18</f>
        <v>0</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0.93930311309291259</v>
      </c>
      <c r="E71" s="138"/>
      <c r="F71" s="138">
        <f>G18/$C$18</f>
        <v>0.88085341033113929</v>
      </c>
      <c r="G71" s="138"/>
      <c r="H71" s="138">
        <f>I18/$C$18</f>
        <v>0.82479306479934134</v>
      </c>
      <c r="I71" s="138"/>
      <c r="J71" s="138">
        <f>K18/$C$18</f>
        <v>0.7711068559227563</v>
      </c>
      <c r="K71" s="138"/>
      <c r="L71" s="138">
        <f>M18/$C$18</f>
        <v>0.71949692659605113</v>
      </c>
      <c r="M71" s="138"/>
      <c r="N71" s="138">
        <f>O18/$C$18</f>
        <v>0.66917270954465191</v>
      </c>
      <c r="O71" s="138"/>
      <c r="P71" s="138">
        <f>Q18/$C$18</f>
        <v>0.6182587145290328</v>
      </c>
      <c r="Q71" s="138"/>
      <c r="R71" s="138">
        <f>S18/$C$18</f>
        <v>0</v>
      </c>
      <c r="S71" s="138"/>
      <c r="T71" s="138">
        <f>U18/$C$18</f>
        <v>0</v>
      </c>
      <c r="U71" s="138"/>
      <c r="V71" s="138">
        <f>W18/$C$18</f>
        <v>0</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0.98944628550194469</v>
      </c>
      <c r="E72" s="138"/>
      <c r="F72" s="138">
        <f>G19/$C$19</f>
        <v>0.97138321507628977</v>
      </c>
      <c r="G72" s="138"/>
      <c r="H72" s="138">
        <f>I19/$C$19</f>
        <v>0.94482816802561687</v>
      </c>
      <c r="I72" s="138"/>
      <c r="J72" s="138">
        <f>K19/$C$19</f>
        <v>0.90944378031195727</v>
      </c>
      <c r="K72" s="138"/>
      <c r="L72" s="138">
        <f>M19/$C$19</f>
        <v>0.86609675600536695</v>
      </c>
      <c r="M72" s="138"/>
      <c r="N72" s="138">
        <f>O19/$C$19</f>
        <v>0.81774447505818804</v>
      </c>
      <c r="O72" s="138"/>
      <c r="P72" s="138">
        <f>Q19/$C$19</f>
        <v>0.77184011775892825</v>
      </c>
      <c r="Q72" s="138"/>
      <c r="R72" s="138">
        <f>S19/$C$19</f>
        <v>0</v>
      </c>
      <c r="S72" s="138"/>
      <c r="T72" s="138">
        <f>U19/$C$19</f>
        <v>0</v>
      </c>
      <c r="U72" s="138"/>
      <c r="V72" s="138">
        <f>W19/$C$19</f>
        <v>0</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0.47641152985595769</v>
      </c>
      <c r="E73" s="138"/>
      <c r="F73" s="193">
        <f t="array" ref="F73">SUM(F9:G9*F22:G22)/F32</f>
        <v>0.47641153644549911</v>
      </c>
      <c r="G73" s="138"/>
      <c r="H73" s="193">
        <f t="array" ref="H73">SUM(H9:I9*H22:I22)/H32</f>
        <v>0.47641153522864949</v>
      </c>
      <c r="I73" s="138"/>
      <c r="J73" s="193">
        <f t="array" ref="J73">SUM(J9:K9*J22:K22)/J32</f>
        <v>0.47641153461901431</v>
      </c>
      <c r="K73" s="138"/>
      <c r="L73" s="193">
        <f t="array" ref="L73">SUM(L9:M9*L22:M22)/L32</f>
        <v>0.47641153303007022</v>
      </c>
      <c r="M73" s="138"/>
      <c r="N73" s="193">
        <f t="array" ref="N73">SUM(N9:O9*N22:O22)/N32</f>
        <v>0.47641153346127235</v>
      </c>
      <c r="O73" s="138"/>
      <c r="P73" s="193">
        <f t="array" ref="P73">SUM(P9:Q9*P22:Q22)/P32</f>
        <v>0.47641153294283867</v>
      </c>
      <c r="Q73" s="138"/>
      <c r="R73" s="193" t="e">
        <f t="array" ref="R73">SUM(R9:S9*R22:S22)/R32</f>
        <v>#DIV/0!</v>
      </c>
      <c r="S73" s="138"/>
      <c r="T73" s="193" t="e">
        <f t="array" ref="T73">SUM(T9:U9*T22:U22)/T32</f>
        <v>#DIV/0!</v>
      </c>
      <c r="U73" s="138"/>
      <c r="V73" s="193" t="e">
        <f t="array" ref="V73">SUM(V9:W9*V22:W22)/V32</f>
        <v>#DIV/0!</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0.22604620456442487</v>
      </c>
      <c r="I74" s="138"/>
      <c r="J74" s="193">
        <f t="array" ref="J74">SUM(J10:K10*J23:K23)/J32</f>
        <v>0.22604620456442484</v>
      </c>
      <c r="K74" s="138"/>
      <c r="L74" s="193">
        <f t="array" ref="L74">SUM(L10:M10*L23:M23)/L32</f>
        <v>0.22604620456442481</v>
      </c>
      <c r="M74" s="138"/>
      <c r="N74" s="193">
        <f t="array" ref="N74">SUM(N10:O10*N23:O23)/N32</f>
        <v>0.22604620456442481</v>
      </c>
      <c r="O74" s="138"/>
      <c r="P74" s="193">
        <f t="array" ref="P74">SUM(P10:Q10*P23:Q23)/P32</f>
        <v>0.22604620456442484</v>
      </c>
      <c r="Q74" s="138"/>
      <c r="R74" s="193" t="e">
        <f t="array" ref="R74">SUM(R10:S10*R23:S23)/R32</f>
        <v>#DIV/0!</v>
      </c>
      <c r="S74" s="138"/>
      <c r="T74" s="193" t="e">
        <f t="array" ref="T74">SUM(T10:U10*T23:U23)/T32</f>
        <v>#DIV/0!</v>
      </c>
      <c r="U74" s="138"/>
      <c r="V74" s="193" t="e">
        <f t="array" ref="V74">SUM(V10:W10*V23:W23)/V32</f>
        <v>#DIV/0!</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0.22038438817567485</v>
      </c>
      <c r="E75" s="138"/>
      <c r="F75" s="193">
        <f t="array" ref="F75">SUM(F11:G11*F24:G24)/F32</f>
        <v>0.22038438818762005</v>
      </c>
      <c r="G75" s="138"/>
      <c r="H75" s="193">
        <f t="array" ref="H75">SUM(H11:I11*H24:I24)/H32</f>
        <v>0.22038438821155898</v>
      </c>
      <c r="I75" s="138"/>
      <c r="J75" s="193">
        <f t="array" ref="J75">SUM(J11:K11*J24:K24)/J32</f>
        <v>0.22038438819210227</v>
      </c>
      <c r="K75" s="138"/>
      <c r="L75" s="193">
        <f t="array" ref="L75">SUM(L11:M11*L24:M24)/L32</f>
        <v>0.22038438841237393</v>
      </c>
      <c r="M75" s="138"/>
      <c r="N75" s="193">
        <f t="array" ref="N75">SUM(N11:O11*N24:O24)/N32</f>
        <v>0.22038438828719376</v>
      </c>
      <c r="O75" s="138"/>
      <c r="P75" s="193">
        <f t="array" ref="P75">SUM(P11:Q11*P24:Q24)/P32</f>
        <v>0.22038438855899006</v>
      </c>
      <c r="Q75" s="138"/>
      <c r="R75" s="193" t="e">
        <f t="array" ref="R75">SUM(R11:S11*R24:S24)/R32</f>
        <v>#DIV/0!</v>
      </c>
      <c r="S75" s="138"/>
      <c r="T75" s="193" t="e">
        <f t="array" ref="T75">SUM(T11:U11*T24:U24)/T32</f>
        <v>#DIV/0!</v>
      </c>
      <c r="U75" s="138"/>
      <c r="V75" s="193" t="e">
        <f t="array" ref="V75">SUM(V11:W11*V24:W24)/V32</f>
        <v>#DIV/0!</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0.22298228211863219</v>
      </c>
      <c r="E76" s="138"/>
      <c r="F76" s="193">
        <f t="array" ref="F76">SUM(F12:G12*F25:G25)/F32</f>
        <v>0.22292972156903088</v>
      </c>
      <c r="G76" s="138"/>
      <c r="H76" s="193">
        <f t="array" ref="H76">SUM(H12:I12*H25:I25)/H32</f>
        <v>0.22285533410969119</v>
      </c>
      <c r="I76" s="138"/>
      <c r="J76" s="193">
        <f t="array" ref="J76">SUM(J12:K12*J25:K25)/J32</f>
        <v>0.22275724613796119</v>
      </c>
      <c r="K76" s="138"/>
      <c r="L76" s="193">
        <f t="array" ref="L76">SUM(L12:M12*L25:M25)/L32</f>
        <v>0.22264310537497126</v>
      </c>
      <c r="M76" s="138"/>
      <c r="N76" s="193">
        <f t="array" ref="N76">SUM(N12:O12*N25:O25)/N32</f>
        <v>0.22254308125950384</v>
      </c>
      <c r="O76" s="138"/>
      <c r="P76" s="193">
        <f t="array" ref="P76">SUM(P12:Q12*P25:Q25)/P32</f>
        <v>0.222551998092715</v>
      </c>
      <c r="Q76" s="138"/>
      <c r="R76" s="193" t="e">
        <f t="array" ref="R76">SUM(R12:S12*R25:S25)/R32</f>
        <v>#DIV/0!</v>
      </c>
      <c r="S76" s="138"/>
      <c r="T76" s="193" t="e">
        <f t="array" ref="T76">SUM(T12:U12*T25:U25)/T32</f>
        <v>#DIV/0!</v>
      </c>
      <c r="U76" s="138"/>
      <c r="V76" s="193" t="e">
        <f t="array" ref="V76">SUM(V12:W12*V25:W25)/V32</f>
        <v>#DIV/0!</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0.14582440471468947</v>
      </c>
      <c r="E77" s="138"/>
      <c r="F77" s="193">
        <f t="array" ref="F77">SUM(F4:G4*F19:G19)/F32</f>
        <v>0.14577185076657478</v>
      </c>
      <c r="G77" s="138"/>
      <c r="H77" s="193">
        <f t="array" ref="H77">SUM(H4:I4*H19:I19)/H32</f>
        <v>0.14569746211432444</v>
      </c>
      <c r="I77" s="138"/>
      <c r="J77" s="193">
        <f t="array" ref="J77">SUM(J4:K4*J19:K19)/J32</f>
        <v>0.14559937351350244</v>
      </c>
      <c r="K77" s="138"/>
      <c r="L77" s="193">
        <f t="array" ref="L77">SUM(L4:M4*L19:M19)/L32</f>
        <v>0.14548523138183994</v>
      </c>
      <c r="M77" s="138"/>
      <c r="N77" s="193">
        <f t="array" ref="N77">SUM(N4:O4*N19:O19)/N32</f>
        <v>0.14538520757239465</v>
      </c>
      <c r="O77" s="138"/>
      <c r="P77" s="193">
        <f t="array" ref="P77">SUM(P4:Q4*P19:Q19)/P32</f>
        <v>0.1453941241589683</v>
      </c>
      <c r="Q77" s="138"/>
      <c r="R77" s="193" t="e">
        <f t="array" ref="R77">SUM(R4:S4*R19:S19)/R32</f>
        <v>#DIV/0!</v>
      </c>
      <c r="S77" s="138"/>
      <c r="T77" s="193" t="e">
        <f t="array" ref="T77">SUM(T4:U4*T19:U19)/T32</f>
        <v>#DIV/0!</v>
      </c>
      <c r="U77" s="138"/>
      <c r="V77" s="193" t="e">
        <f t="array" ref="V77">SUM(V4:W4*V19:W19)/V32</f>
        <v>#DIV/0!</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0.341137131568229</v>
      </c>
      <c r="E78" s="138"/>
      <c r="F78" s="193">
        <f t="array" ref="F78">SUM(F13:G13*F26:G26)/F32</f>
        <v>0.33576493070463154</v>
      </c>
      <c r="G78" s="138"/>
      <c r="H78" s="193">
        <f t="array" ref="H78">SUM(H13:I13*H26:I26)/H32</f>
        <v>0.33088053671933593</v>
      </c>
      <c r="I78" s="138"/>
      <c r="J78" s="193">
        <f t="array" ref="J78">SUM(J13:K13*J26:K26)/J32</f>
        <v>0.32659100706768734</v>
      </c>
      <c r="K78" s="138"/>
      <c r="L78" s="193">
        <f t="array" ref="L78">SUM(L13:M13*L26:M26)/L32</f>
        <v>0.32298416189935608</v>
      </c>
      <c r="M78" s="138"/>
      <c r="N78" s="193">
        <f t="array" ref="N78">SUM(N13:O13*N26:O26)/N32</f>
        <v>0.32011715962382731</v>
      </c>
      <c r="O78" s="138"/>
      <c r="P78" s="193">
        <f t="array" ref="P78">SUM(P13:Q13*P26:Q26)/P32</f>
        <v>0.31803439742702572</v>
      </c>
      <c r="Q78" s="138"/>
      <c r="R78" s="193" t="e">
        <f t="array" ref="R78">SUM(R13:S13*R26:S26)/R32</f>
        <v>#DIV/0!</v>
      </c>
      <c r="S78" s="138"/>
      <c r="T78" s="193" t="e">
        <f t="array" ref="T78">SUM(T13:U13*T26:U26)/T32</f>
        <v>#DIV/0!</v>
      </c>
      <c r="U78" s="138"/>
      <c r="V78" s="193" t="e">
        <f t="array" ref="V78">SUM(V13:W13*V26:W26)/V32</f>
        <v>#DIV/0!</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0.4604405330389767</v>
      </c>
      <c r="F79" s="193">
        <f t="array" ref="F79">SUM(F15:G15*F27:G27)/F32</f>
        <v>0.46588694186655766</v>
      </c>
      <c r="H79" s="193">
        <f t="array" ref="H79">SUM(H15:I15*H27:I27)/H32</f>
        <v>0.47083928195312891</v>
      </c>
      <c r="J79" s="193">
        <f t="array" ref="J79">SUM(J15:K15*J27:K27)/J32</f>
        <v>0.47518854169814212</v>
      </c>
      <c r="L79" s="193">
        <f t="array" ref="L79">SUM(L15:M15*L27:M27)/L32</f>
        <v>0.47884611141544287</v>
      </c>
      <c r="N79" s="193">
        <f t="array" ref="N79">SUM(N15:O15*N27:O27)/N32</f>
        <v>0.48175315238067778</v>
      </c>
      <c r="P79" s="193">
        <f t="array" ref="P79">SUM(P15:Q15*P27:Q27)/P32</f>
        <v>0.48386437634653057</v>
      </c>
      <c r="R79" s="193" t="e">
        <f t="array" ref="R79">SUM(R15:S15*R27:S27)/R32</f>
        <v>#DIV/0!</v>
      </c>
      <c r="T79" s="193" t="e">
        <f t="array" ref="T79">SUM(T15:U15*T27:U27)/T32</f>
        <v>#DIV/0!</v>
      </c>
      <c r="V79" s="193" t="e">
        <f t="array" ref="V79">SUM(V15:W15*V27:W27)/V32</f>
        <v>#DIV/0!</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0.19842265394917491</v>
      </c>
      <c r="F80" s="236">
        <f>F55</f>
        <v>0.19834788675314136</v>
      </c>
      <c r="H80" s="236">
        <f>H55</f>
        <v>0.19827989152966599</v>
      </c>
      <c r="J80" s="236">
        <f>J55</f>
        <v>0.19822017483579454</v>
      </c>
      <c r="L80" s="236">
        <f>L55</f>
        <v>0.19816995545724858</v>
      </c>
      <c r="N80" s="236">
        <f>N55</f>
        <v>0.1981300436882916</v>
      </c>
      <c r="P80" s="236">
        <f>P55</f>
        <v>0.1981010540647003</v>
      </c>
      <c r="R80" s="236" t="e">
        <f>R55</f>
        <v>#DIV/0!</v>
      </c>
      <c r="T80" s="236" t="e">
        <f>T55</f>
        <v>#DIV/0!</v>
      </c>
      <c r="V80" s="236" t="e">
        <f>V55</f>
        <v>#DIV/0!</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-2.7623550615249931E-2</v>
      </c>
      <c r="F81" s="236">
        <f>F51/F$32</f>
        <v>-2.7698317811283485E-2</v>
      </c>
      <c r="H81" s="236">
        <f>H51/H$32</f>
        <v>-2.776631303475887E-2</v>
      </c>
      <c r="J81" s="236">
        <f>J51/J$32</f>
        <v>-2.782602972863028E-2</v>
      </c>
      <c r="L81" s="236">
        <f>L51/L$32</f>
        <v>-2.7876249107176242E-2</v>
      </c>
      <c r="N81" s="236">
        <f>N51/N$32</f>
        <v>-2.7916160876133241E-2</v>
      </c>
      <c r="P81" s="236">
        <f>P51/P$32</f>
        <v>-2.7945150499724548E-2</v>
      </c>
      <c r="R81" s="236" t="e">
        <f>R51/R$32</f>
        <v>#DIV/0!</v>
      </c>
      <c r="T81" s="236" t="e">
        <f>T51/T$32</f>
        <v>#DIV/0!</v>
      </c>
      <c r="V81" s="236" t="e">
        <f>V51/V$32</f>
        <v>#DIV/0!</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0.13677305431842851</v>
      </c>
      <c r="F82" s="236">
        <f>F52/F$32</f>
        <v>0.13461916295764778</v>
      </c>
      <c r="H82" s="236">
        <f>H52/H$32</f>
        <v>0.1326608493586785</v>
      </c>
      <c r="J82" s="236">
        <f>J52/J$32</f>
        <v>0.13094103636339305</v>
      </c>
      <c r="L82" s="236">
        <f>L52/L$32</f>
        <v>0.12949493394745692</v>
      </c>
      <c r="N82" s="236">
        <f>N52/N$32</f>
        <v>0.12834545879018128</v>
      </c>
      <c r="P82" s="236">
        <f>P52/P$32</f>
        <v>0.12751041117819611</v>
      </c>
      <c r="R82" s="236" t="e">
        <f>R52/R$32</f>
        <v>#DIV/0!</v>
      </c>
      <c r="T82" s="236" t="e">
        <f>T52/T$32</f>
        <v>#DIV/0!</v>
      </c>
      <c r="V82" s="236" t="e">
        <f>V52/V$32</f>
        <v>#DIV/0!</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0.18839288100532781</v>
      </c>
      <c r="F83" s="236">
        <f>F53/F$32</f>
        <v>0.19062132219704619</v>
      </c>
      <c r="H83" s="236">
        <f>H53/H$32</f>
        <v>0.19264761126084667</v>
      </c>
      <c r="J83" s="236">
        <f>J53/J$32</f>
        <v>0.19442714523930765</v>
      </c>
      <c r="L83" s="236">
        <f>L53/L$32</f>
        <v>0.19592366877943179</v>
      </c>
      <c r="N83" s="236">
        <f>N53/N$32</f>
        <v>0.1971131075523965</v>
      </c>
      <c r="P83" s="236">
        <f>P53/P$32</f>
        <v>0.1979769315140911</v>
      </c>
      <c r="R83" s="236" t="e">
        <f>R53/R$32</f>
        <v>#DIV/0!</v>
      </c>
      <c r="T83" s="236" t="e">
        <f>T53/T$32</f>
        <v>#DIV/0!</v>
      </c>
      <c r="V83" s="236" t="e">
        <f>V53/V$32</f>
        <v>#DIV/0!</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topLeftCell="D1"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c r="AN1" s="94"/>
      <c r="AP1" s="94"/>
      <c r="AR1" s="94"/>
      <c r="AT1" s="94"/>
      <c r="AV1" s="94"/>
    </row>
    <row r="2" spans="1:49" x14ac:dyDescent="0.2">
      <c r="A2" s="229" t="s">
        <v>155</v>
      </c>
      <c r="B2" s="226">
        <v>5.7716594496607888E-3</v>
      </c>
      <c r="C2" s="227"/>
      <c r="D2" s="226">
        <v>6.0438600909018841E-2</v>
      </c>
      <c r="E2" s="227"/>
      <c r="F2" s="226">
        <v>0.11992356497497968</v>
      </c>
      <c r="G2" s="227"/>
      <c r="H2" s="226">
        <v>0.18502549942231886</v>
      </c>
      <c r="I2" s="227"/>
      <c r="J2" s="226">
        <v>0.25673080788314895</v>
      </c>
      <c r="K2" s="227"/>
      <c r="L2" s="226">
        <v>0.33628053388787721</v>
      </c>
      <c r="M2" s="227"/>
      <c r="N2" s="226">
        <v>0.42527629462084465</v>
      </c>
      <c r="O2" s="227"/>
      <c r="P2" s="226">
        <v>0.52583679820406715</v>
      </c>
      <c r="Q2" s="227"/>
      <c r="R2" s="226">
        <v>0.64084585884001322</v>
      </c>
      <c r="S2" s="227"/>
      <c r="T2" s="226">
        <v>0.77435340423337451</v>
      </c>
      <c r="U2" s="227"/>
      <c r="V2" s="226">
        <v>0.93224692327322622</v>
      </c>
      <c r="W2" s="227"/>
      <c r="X2" s="226">
        <v>1.1234078179077609</v>
      </c>
      <c r="Y2" s="227"/>
      <c r="Z2" s="226">
        <v>1.3617537260945667</v>
      </c>
      <c r="AA2" s="227"/>
      <c r="AB2" s="226">
        <v>1.6698265952806168</v>
      </c>
      <c r="AC2" s="227"/>
      <c r="AD2" s="226">
        <v>2.0845331495511297</v>
      </c>
      <c r="AE2" s="227"/>
      <c r="AF2" s="226">
        <v>2.6620191827846704</v>
      </c>
      <c r="AG2" s="227"/>
      <c r="AH2" s="226">
        <v>3.4537096780483338</v>
      </c>
      <c r="AI2" s="227"/>
      <c r="AJ2" s="226">
        <v>4.3377904781822467</v>
      </c>
      <c r="AK2" s="227"/>
      <c r="AL2" s="226"/>
      <c r="AM2" s="227"/>
      <c r="AN2" s="226"/>
      <c r="AO2" s="227"/>
      <c r="AP2" s="226"/>
      <c r="AQ2" s="227"/>
      <c r="AR2" s="226"/>
      <c r="AS2" s="227"/>
      <c r="AT2" s="226"/>
      <c r="AU2" s="227"/>
      <c r="AV2" s="226"/>
      <c r="AW2" s="227"/>
    </row>
    <row r="3" spans="1:49" x14ac:dyDescent="0.2">
      <c r="A3" t="s">
        <v>12</v>
      </c>
      <c r="B3" s="84">
        <v>1000</v>
      </c>
      <c r="C3" s="85">
        <v>1000</v>
      </c>
      <c r="D3" s="84">
        <v>998.44895764078547</v>
      </c>
      <c r="E3" s="85">
        <v>1023.7222524213903</v>
      </c>
      <c r="F3" s="84">
        <v>996.87922975754191</v>
      </c>
      <c r="G3" s="85">
        <v>1050.0188701201237</v>
      </c>
      <c r="H3" s="84">
        <v>995.28006995034332</v>
      </c>
      <c r="I3" s="85">
        <v>1079.3635514009093</v>
      </c>
      <c r="J3" s="84">
        <v>993.64067058228613</v>
      </c>
      <c r="K3" s="85">
        <v>1112.3405952515368</v>
      </c>
      <c r="L3" s="84">
        <v>991.95018430706125</v>
      </c>
      <c r="M3" s="85">
        <v>1149.6806754180734</v>
      </c>
      <c r="N3" s="84">
        <v>990.1980640525112</v>
      </c>
      <c r="O3" s="85">
        <v>1192.3173275014224</v>
      </c>
      <c r="P3" s="84">
        <v>988.37484230700454</v>
      </c>
      <c r="Q3" s="85">
        <v>1241.4665209673985</v>
      </c>
      <c r="R3" s="84">
        <v>986.47367353253844</v>
      </c>
      <c r="S3" s="85">
        <v>1298.7498165476829</v>
      </c>
      <c r="T3" s="84">
        <v>984.49317004953491</v>
      </c>
      <c r="U3" s="85">
        <v>1366.3866726694462</v>
      </c>
      <c r="V3" s="84">
        <v>982.44242768445486</v>
      </c>
      <c r="W3" s="85">
        <v>1447.5078680978452</v>
      </c>
      <c r="X3" s="84">
        <v>980.34982664313804</v>
      </c>
      <c r="Y3" s="85">
        <v>1546.6763953390666</v>
      </c>
      <c r="Z3" s="84">
        <v>978.27808876765152</v>
      </c>
      <c r="AA3" s="85">
        <v>1670.7726879089423</v>
      </c>
      <c r="AB3" s="84">
        <v>976.34857749806179</v>
      </c>
      <c r="AC3" s="85">
        <v>1830.4747784825581</v>
      </c>
      <c r="AD3" s="84">
        <v>974.77406525865422</v>
      </c>
      <c r="AE3" s="85">
        <v>2042.4205907158755</v>
      </c>
      <c r="AF3" s="84">
        <v>973.87351213482282</v>
      </c>
      <c r="AG3" s="85">
        <v>2330.2792196539776</v>
      </c>
      <c r="AH3" s="84">
        <v>973.94956047368885</v>
      </c>
      <c r="AI3" s="85">
        <v>2711.7918533104207</v>
      </c>
      <c r="AJ3" s="84">
        <v>974.78766430646465</v>
      </c>
      <c r="AK3" s="85">
        <v>3124.9185995901194</v>
      </c>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c r="AM4" s="102"/>
      <c r="AN4" s="101"/>
      <c r="AO4" s="102"/>
      <c r="AP4" s="101"/>
      <c r="AQ4" s="102"/>
      <c r="AR4" s="101"/>
      <c r="AS4" s="102"/>
      <c r="AT4" s="101"/>
      <c r="AU4" s="102"/>
      <c r="AV4" s="101"/>
      <c r="AW4" s="102"/>
    </row>
    <row r="5" spans="1:49" x14ac:dyDescent="0.2">
      <c r="A5" t="s">
        <v>128</v>
      </c>
      <c r="B5" s="41">
        <v>1000</v>
      </c>
      <c r="C5" s="42">
        <v>1000</v>
      </c>
      <c r="D5" s="41">
        <v>998.3719711628695</v>
      </c>
      <c r="E5" s="42">
        <v>1020.5918033665345</v>
      </c>
      <c r="F5" s="41">
        <v>996.72324541230046</v>
      </c>
      <c r="G5" s="42">
        <v>1042.8677896328454</v>
      </c>
      <c r="H5" s="41">
        <v>995.04247950062256</v>
      </c>
      <c r="I5" s="42">
        <v>1067.0503191958528</v>
      </c>
      <c r="J5" s="41">
        <v>993.31823329432916</v>
      </c>
      <c r="K5" s="42">
        <v>1093.385867583142</v>
      </c>
      <c r="L5" s="41">
        <v>991.53899066630277</v>
      </c>
      <c r="M5" s="42">
        <v>1122.1465525829956</v>
      </c>
      <c r="N5" s="41">
        <v>989.69351428766117</v>
      </c>
      <c r="O5" s="42">
        <v>1153.632650433753</v>
      </c>
      <c r="P5" s="41">
        <v>987.77166551459163</v>
      </c>
      <c r="Q5" s="42">
        <v>1188.1708326788942</v>
      </c>
      <c r="R5" s="41">
        <v>985.76603295108987</v>
      </c>
      <c r="S5" s="42">
        <v>1226.1087064969274</v>
      </c>
      <c r="T5" s="41">
        <v>983.67493605488335</v>
      </c>
      <c r="U5" s="42">
        <v>1267.7988379756</v>
      </c>
      <c r="V5" s="41">
        <v>981.50776137958803</v>
      </c>
      <c r="W5" s="42">
        <v>1313.5660817113003</v>
      </c>
      <c r="X5" s="41">
        <v>979.29432724437197</v>
      </c>
      <c r="Y5" s="42">
        <v>1363.637209607899</v>
      </c>
      <c r="Z5" s="41">
        <v>977.10093237121714</v>
      </c>
      <c r="AA5" s="42">
        <v>1417.9959313960042</v>
      </c>
      <c r="AB5" s="41">
        <v>975.05628784309783</v>
      </c>
      <c r="AC5" s="42">
        <v>1476.0955335894002</v>
      </c>
      <c r="AD5" s="41">
        <v>973.38651018549433</v>
      </c>
      <c r="AE5" s="42">
        <v>1536.3000855675632</v>
      </c>
      <c r="AF5" s="41">
        <v>972.43093542491033</v>
      </c>
      <c r="AG5" s="42">
        <v>1594.9481343701045</v>
      </c>
      <c r="AH5" s="41">
        <v>972.51164519682595</v>
      </c>
      <c r="AI5" s="42">
        <v>1645.3732969686221</v>
      </c>
      <c r="AJ5" s="41">
        <v>973.40093711857776</v>
      </c>
      <c r="AK5" s="42">
        <v>1678.8766195565693</v>
      </c>
      <c r="AL5" s="41"/>
      <c r="AM5" s="42"/>
      <c r="AN5" s="41"/>
      <c r="AO5" s="42"/>
      <c r="AP5" s="41"/>
      <c r="AQ5" s="42"/>
      <c r="AR5" s="41"/>
      <c r="AS5" s="42"/>
      <c r="AT5" s="41"/>
      <c r="AU5" s="42"/>
      <c r="AV5" s="41"/>
      <c r="AW5" s="42"/>
    </row>
    <row r="6" spans="1:49" x14ac:dyDescent="0.2">
      <c r="A6" t="s">
        <v>77</v>
      </c>
      <c r="B6" s="41">
        <v>999.99999999999943</v>
      </c>
      <c r="C6" s="42">
        <v>999.99999999999909</v>
      </c>
      <c r="D6" s="41">
        <v>998.24766152273185</v>
      </c>
      <c r="E6" s="42">
        <v>1025.5599931409477</v>
      </c>
      <c r="F6" s="41">
        <v>996.47349040047743</v>
      </c>
      <c r="G6" s="42">
        <v>1053.7922635163716</v>
      </c>
      <c r="H6" s="41">
        <v>994.66530163110076</v>
      </c>
      <c r="I6" s="42">
        <v>1085.1841505714647</v>
      </c>
      <c r="J6" s="41">
        <v>992.81081921950522</v>
      </c>
      <c r="K6" s="42">
        <v>1120.3358210043082</v>
      </c>
      <c r="L6" s="41">
        <v>990.89769883366614</v>
      </c>
      <c r="M6" s="42">
        <v>1159.9968721187154</v>
      </c>
      <c r="N6" s="41">
        <v>988.91391074048261</v>
      </c>
      <c r="O6" s="42">
        <v>1205.1243417687331</v>
      </c>
      <c r="P6" s="41">
        <v>986.84862117741841</v>
      </c>
      <c r="Q6" s="42">
        <v>1256.9642576358685</v>
      </c>
      <c r="R6" s="41">
        <v>984.69394125966323</v>
      </c>
      <c r="S6" s="42">
        <v>1317.1779311254832</v>
      </c>
      <c r="T6" s="41">
        <v>982.44814883936897</v>
      </c>
      <c r="U6" s="42">
        <v>1388.0391112074828</v>
      </c>
      <c r="V6" s="41">
        <v>980.12140758092221</v>
      </c>
      <c r="W6" s="42">
        <v>1472.7553026227499</v>
      </c>
      <c r="X6" s="41">
        <v>977.74579582874333</v>
      </c>
      <c r="Y6" s="42">
        <v>1576.0015976827385</v>
      </c>
      <c r="Z6" s="41">
        <v>975.39248375690306</v>
      </c>
      <c r="AA6" s="42">
        <v>1704.8275813556277</v>
      </c>
      <c r="AB6" s="41">
        <v>973.19947699053387</v>
      </c>
      <c r="AC6" s="42">
        <v>1870.1729028452874</v>
      </c>
      <c r="AD6" s="41">
        <v>971.4090457407284</v>
      </c>
      <c r="AE6" s="42">
        <v>2089.0788367184045</v>
      </c>
      <c r="AF6" s="41">
        <v>970.38462907327607</v>
      </c>
      <c r="AG6" s="42">
        <v>2385.7727734139212</v>
      </c>
      <c r="AH6" s="41">
        <v>970.47114759360989</v>
      </c>
      <c r="AI6" s="42">
        <v>2778.3478431154808</v>
      </c>
      <c r="AJ6" s="41">
        <v>971.4245131706889</v>
      </c>
      <c r="AK6" s="42">
        <v>3202.9830276128891</v>
      </c>
      <c r="AL6" s="41"/>
      <c r="AM6" s="42"/>
      <c r="AN6" s="41"/>
      <c r="AO6" s="42"/>
      <c r="AP6" s="41"/>
      <c r="AQ6" s="42"/>
      <c r="AR6" s="41"/>
      <c r="AS6" s="42"/>
      <c r="AT6" s="41"/>
      <c r="AU6" s="42"/>
      <c r="AV6" s="41"/>
      <c r="AW6" s="42"/>
    </row>
    <row r="7" spans="1:49" x14ac:dyDescent="0.2">
      <c r="A7" t="s">
        <v>13</v>
      </c>
      <c r="B7" s="33">
        <v>1015.9116825427475</v>
      </c>
      <c r="C7" s="34">
        <v>1015.9116825427475</v>
      </c>
      <c r="D7" s="33">
        <v>1014.2577490275901</v>
      </c>
      <c r="E7" s="34">
        <v>1014.2577490275901</v>
      </c>
      <c r="F7" s="33">
        <v>1012.5827892762779</v>
      </c>
      <c r="G7" s="34">
        <v>1012.5827892762779</v>
      </c>
      <c r="H7" s="33">
        <v>1010.8752795509847</v>
      </c>
      <c r="I7" s="34">
        <v>1010.8752795509847</v>
      </c>
      <c r="J7" s="33">
        <v>1009.1235976864313</v>
      </c>
      <c r="K7" s="34">
        <v>1009.1235976864313</v>
      </c>
      <c r="L7" s="33">
        <v>1007.3160443145412</v>
      </c>
      <c r="M7" s="34">
        <v>1007.3160443145412</v>
      </c>
      <c r="N7" s="33">
        <v>1005.4412033016225</v>
      </c>
      <c r="O7" s="34">
        <v>1005.4412033016225</v>
      </c>
      <c r="P7" s="33">
        <v>1003.4887746809807</v>
      </c>
      <c r="Q7" s="34">
        <v>1003.4887746809807</v>
      </c>
      <c r="R7" s="33">
        <v>1001.4512291288311</v>
      </c>
      <c r="S7" s="34">
        <v>1001.4512291288311</v>
      </c>
      <c r="T7" s="33">
        <v>999.32685936264602</v>
      </c>
      <c r="U7" s="34">
        <v>999.32685936264602</v>
      </c>
      <c r="V7" s="33">
        <v>997.12520129190273</v>
      </c>
      <c r="W7" s="34">
        <v>997.12520129190273</v>
      </c>
      <c r="X7" s="33">
        <v>994.87654769539779</v>
      </c>
      <c r="Y7" s="34">
        <v>994.87654769539779</v>
      </c>
      <c r="Z7" s="33">
        <v>992.64825221933052</v>
      </c>
      <c r="AA7" s="34">
        <v>992.64825221933052</v>
      </c>
      <c r="AB7" s="33">
        <v>990.57107395656703</v>
      </c>
      <c r="AC7" s="34">
        <v>990.57107395656703</v>
      </c>
      <c r="AD7" s="33">
        <v>988.87472732695869</v>
      </c>
      <c r="AE7" s="34">
        <v>988.87472732695869</v>
      </c>
      <c r="AF7" s="33">
        <v>987.90394776413848</v>
      </c>
      <c r="AG7" s="34">
        <v>987.90394776413848</v>
      </c>
      <c r="AH7" s="33">
        <v>987.98594176432289</v>
      </c>
      <c r="AI7" s="34">
        <v>987.98594176432289</v>
      </c>
      <c r="AJ7" s="33">
        <v>988.88938381682146</v>
      </c>
      <c r="AK7" s="34">
        <v>988.88938381682146</v>
      </c>
      <c r="AL7" s="33"/>
      <c r="AM7" s="34"/>
      <c r="AN7" s="33"/>
      <c r="AO7" s="34"/>
      <c r="AP7" s="33"/>
      <c r="AQ7" s="34"/>
      <c r="AR7" s="33"/>
      <c r="AS7" s="34"/>
      <c r="AT7" s="33"/>
      <c r="AU7" s="34"/>
      <c r="AV7" s="33"/>
      <c r="AW7" s="34"/>
    </row>
    <row r="8" spans="1:49" x14ac:dyDescent="0.2">
      <c r="B8" s="35">
        <v>1005.7716594496609</v>
      </c>
      <c r="C8" s="36">
        <v>1005.7716594496609</v>
      </c>
      <c r="D8" s="35">
        <v>1082.2749440612201</v>
      </c>
      <c r="E8" s="36">
        <v>1082.2749440612201</v>
      </c>
      <c r="F8" s="35">
        <v>1167.9322127631933</v>
      </c>
      <c r="G8" s="36">
        <v>1167.9322127631933</v>
      </c>
      <c r="H8" s="35">
        <v>1264.4818374138101</v>
      </c>
      <c r="I8" s="36">
        <v>1264.4818374138101</v>
      </c>
      <c r="J8" s="35">
        <v>1374.0917046957798</v>
      </c>
      <c r="K8" s="36">
        <v>1374.0917046957798</v>
      </c>
      <c r="L8" s="35">
        <v>1499.5025943860462</v>
      </c>
      <c r="M8" s="36">
        <v>1499.5025943860462</v>
      </c>
      <c r="N8" s="35">
        <v>1644.2452693638436</v>
      </c>
      <c r="O8" s="36">
        <v>1644.2452693638436</v>
      </c>
      <c r="P8" s="35">
        <v>1812.9547790542244</v>
      </c>
      <c r="Q8" s="36">
        <v>1812.9547790542244</v>
      </c>
      <c r="R8" s="35">
        <v>2011.8553935431685</v>
      </c>
      <c r="S8" s="36">
        <v>2011.8553935431685</v>
      </c>
      <c r="T8" s="35">
        <v>2249.523184045122</v>
      </c>
      <c r="U8" s="36">
        <v>2249.523184045122</v>
      </c>
      <c r="V8" s="35">
        <v>2538.1340199027272</v>
      </c>
      <c r="W8" s="36">
        <v>2538.1340199027272</v>
      </c>
      <c r="X8" s="35">
        <v>2895.5579116713366</v>
      </c>
      <c r="Y8" s="36">
        <v>2895.5579116713366</v>
      </c>
      <c r="Z8" s="35">
        <v>3348.9571745614485</v>
      </c>
      <c r="AA8" s="36">
        <v>3348.9571745614485</v>
      </c>
      <c r="AB8" s="35">
        <v>3940.9191127519139</v>
      </c>
      <c r="AC8" s="36">
        <v>3940.9191127519139</v>
      </c>
      <c r="AD8" s="35">
        <v>4738.7685415913857</v>
      </c>
      <c r="AE8" s="36">
        <v>4738.7685415913857</v>
      </c>
      <c r="AF8" s="35">
        <v>5840.7306636099447</v>
      </c>
      <c r="AG8" s="36">
        <v>5840.7306636099447</v>
      </c>
      <c r="AH8" s="35">
        <v>7328.0149767114472</v>
      </c>
      <c r="AI8" s="36">
        <v>7328.0149767114472</v>
      </c>
      <c r="AJ8" s="35">
        <v>8961.4916339118536</v>
      </c>
      <c r="AK8" s="36">
        <v>8961.4916339118536</v>
      </c>
      <c r="AL8" s="35"/>
      <c r="AM8" s="36"/>
      <c r="AN8" s="35"/>
      <c r="AO8" s="36"/>
      <c r="AP8" s="35"/>
      <c r="AQ8" s="36"/>
      <c r="AR8" s="35"/>
      <c r="AS8" s="36"/>
      <c r="AT8" s="35"/>
      <c r="AU8" s="36"/>
      <c r="AV8" s="35"/>
      <c r="AW8" s="36"/>
    </row>
    <row r="9" spans="1:49" x14ac:dyDescent="0.2">
      <c r="A9" t="s">
        <v>14</v>
      </c>
      <c r="B9" s="41">
        <v>1015.9116825427475</v>
      </c>
      <c r="C9" s="42">
        <v>1005.7716594496609</v>
      </c>
      <c r="D9" s="41">
        <v>1014.2577490275901</v>
      </c>
      <c r="E9" s="42">
        <v>1082.2749440612201</v>
      </c>
      <c r="F9" s="41">
        <v>1012.5827892762779</v>
      </c>
      <c r="G9" s="42">
        <v>1167.9322127631933</v>
      </c>
      <c r="H9" s="41">
        <v>1010.8752795509847</v>
      </c>
      <c r="I9" s="42">
        <v>1264.4818374138101</v>
      </c>
      <c r="J9" s="41">
        <v>1009.1235976864313</v>
      </c>
      <c r="K9" s="42">
        <v>1374.0917046957798</v>
      </c>
      <c r="L9" s="41">
        <v>1007.3160443145412</v>
      </c>
      <c r="M9" s="42">
        <v>1499.5025943860462</v>
      </c>
      <c r="N9" s="41">
        <v>1005.4412033016225</v>
      </c>
      <c r="O9" s="42">
        <v>1644.2452693638436</v>
      </c>
      <c r="P9" s="41">
        <v>1003.4887746809807</v>
      </c>
      <c r="Q9" s="42">
        <v>1812.9547790542244</v>
      </c>
      <c r="R9" s="41">
        <v>1001.4512291288311</v>
      </c>
      <c r="S9" s="42">
        <v>2011.8553935431685</v>
      </c>
      <c r="T9" s="41">
        <v>999.32685936264602</v>
      </c>
      <c r="U9" s="42">
        <v>2249.523184045122</v>
      </c>
      <c r="V9" s="41">
        <v>997.12520129190273</v>
      </c>
      <c r="W9" s="42">
        <v>2538.1340199027272</v>
      </c>
      <c r="X9" s="41">
        <v>994.87654769539779</v>
      </c>
      <c r="Y9" s="42">
        <v>2895.5579116713366</v>
      </c>
      <c r="Z9" s="41">
        <v>992.64825221933052</v>
      </c>
      <c r="AA9" s="42">
        <v>3348.9571745614485</v>
      </c>
      <c r="AB9" s="41">
        <v>990.57107395656703</v>
      </c>
      <c r="AC9" s="42">
        <v>3940.9191127519139</v>
      </c>
      <c r="AD9" s="41">
        <v>988.87472732695869</v>
      </c>
      <c r="AE9" s="42">
        <v>4738.7685415913857</v>
      </c>
      <c r="AF9" s="41">
        <v>987.90394776413848</v>
      </c>
      <c r="AG9" s="42">
        <v>5840.7306636099447</v>
      </c>
      <c r="AH9" s="41">
        <v>987.98594176432289</v>
      </c>
      <c r="AI9" s="42">
        <v>7328.0149767114472</v>
      </c>
      <c r="AJ9" s="41">
        <v>988.88938381682146</v>
      </c>
      <c r="AK9" s="42">
        <v>8961.4916339118536</v>
      </c>
      <c r="AL9" s="41"/>
      <c r="AM9" s="42"/>
      <c r="AN9" s="41"/>
      <c r="AO9" s="42"/>
      <c r="AP9" s="41"/>
      <c r="AQ9" s="42"/>
      <c r="AR9" s="41"/>
      <c r="AS9" s="42"/>
      <c r="AT9" s="41"/>
      <c r="AU9" s="42"/>
      <c r="AV9" s="41"/>
      <c r="AW9" s="42"/>
    </row>
    <row r="10" spans="1:49" x14ac:dyDescent="0.2">
      <c r="A10" t="s">
        <v>15</v>
      </c>
      <c r="B10" s="41">
        <v>1015.9116825427475</v>
      </c>
      <c r="C10" s="42">
        <v>1005.7716594496609</v>
      </c>
      <c r="D10" s="41">
        <v>1014.2577490275901</v>
      </c>
      <c r="E10" s="42">
        <v>1082.2749440612201</v>
      </c>
      <c r="F10" s="41">
        <v>1012.5827892762779</v>
      </c>
      <c r="G10" s="42">
        <v>1167.9322127631933</v>
      </c>
      <c r="H10" s="41">
        <v>1010.8752795509847</v>
      </c>
      <c r="I10" s="42">
        <v>1264.4818374138101</v>
      </c>
      <c r="J10" s="41">
        <v>1009.1235976864313</v>
      </c>
      <c r="K10" s="42">
        <v>1374.0917046957798</v>
      </c>
      <c r="L10" s="41">
        <v>1007.3160443145412</v>
      </c>
      <c r="M10" s="42">
        <v>1499.5025943860462</v>
      </c>
      <c r="N10" s="41">
        <v>1005.4412033016225</v>
      </c>
      <c r="O10" s="42">
        <v>1644.2452693638436</v>
      </c>
      <c r="P10" s="41">
        <v>1003.4887746809807</v>
      </c>
      <c r="Q10" s="42">
        <v>1812.9547790542244</v>
      </c>
      <c r="R10" s="41">
        <v>1001.4512291288311</v>
      </c>
      <c r="S10" s="42">
        <v>2011.8553935431685</v>
      </c>
      <c r="T10" s="41">
        <v>999.32685936264602</v>
      </c>
      <c r="U10" s="42">
        <v>2249.523184045122</v>
      </c>
      <c r="V10" s="41">
        <v>997.12520129190273</v>
      </c>
      <c r="W10" s="42">
        <v>2538.1340199027272</v>
      </c>
      <c r="X10" s="41">
        <v>994.87654769539779</v>
      </c>
      <c r="Y10" s="42">
        <v>2895.5579116713366</v>
      </c>
      <c r="Z10" s="41">
        <v>992.64825221933052</v>
      </c>
      <c r="AA10" s="42">
        <v>3348.9571745614485</v>
      </c>
      <c r="AB10" s="41">
        <v>990.57107395656703</v>
      </c>
      <c r="AC10" s="42">
        <v>3940.9191127519139</v>
      </c>
      <c r="AD10" s="41">
        <v>988.87472732695869</v>
      </c>
      <c r="AE10" s="42">
        <v>4738.7685415913857</v>
      </c>
      <c r="AF10" s="41">
        <v>987.90394776413848</v>
      </c>
      <c r="AG10" s="42">
        <v>5840.7306636099447</v>
      </c>
      <c r="AH10" s="41">
        <v>987.98594176432289</v>
      </c>
      <c r="AI10" s="42">
        <v>7328.0149767114472</v>
      </c>
      <c r="AJ10" s="41">
        <v>988.88938381682146</v>
      </c>
      <c r="AK10" s="42">
        <v>8961.4916339118536</v>
      </c>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1014.2577490275901</v>
      </c>
      <c r="E11" s="42">
        <v>1082.2749440612201</v>
      </c>
      <c r="F11" s="41">
        <v>1012.5827892762779</v>
      </c>
      <c r="G11" s="42">
        <v>1167.9322127631933</v>
      </c>
      <c r="H11" s="41">
        <v>1010.8752795509847</v>
      </c>
      <c r="I11" s="42">
        <v>1264.4818374138101</v>
      </c>
      <c r="J11" s="41">
        <v>1009.1235976864313</v>
      </c>
      <c r="K11" s="42">
        <v>1374.0917046957798</v>
      </c>
      <c r="L11" s="41">
        <v>1007.3160443145412</v>
      </c>
      <c r="M11" s="42">
        <v>1499.5025943860462</v>
      </c>
      <c r="N11" s="41">
        <v>1005.4412033016225</v>
      </c>
      <c r="O11" s="42">
        <v>1644.2452693638436</v>
      </c>
      <c r="P11" s="41">
        <v>1003.4887746809807</v>
      </c>
      <c r="Q11" s="42">
        <v>1812.9547790542244</v>
      </c>
      <c r="R11" s="41">
        <v>1001.4512291288311</v>
      </c>
      <c r="S11" s="42">
        <v>2011.8553935431685</v>
      </c>
      <c r="T11" s="41">
        <v>999.32685936264602</v>
      </c>
      <c r="U11" s="42">
        <v>2249.523184045122</v>
      </c>
      <c r="V11" s="41">
        <v>997.12520129190273</v>
      </c>
      <c r="W11" s="42">
        <v>2538.1340199027272</v>
      </c>
      <c r="X11" s="41">
        <v>994.87654769539779</v>
      </c>
      <c r="Y11" s="42">
        <v>2895.5579116713366</v>
      </c>
      <c r="Z11" s="41">
        <v>992.64825221933052</v>
      </c>
      <c r="AA11" s="42">
        <v>3348.9571745614485</v>
      </c>
      <c r="AB11" s="41">
        <v>990.57107395656703</v>
      </c>
      <c r="AC11" s="42">
        <v>3940.9191127519139</v>
      </c>
      <c r="AD11" s="41">
        <v>988.87472732695869</v>
      </c>
      <c r="AE11" s="42">
        <v>4738.7685415913857</v>
      </c>
      <c r="AF11" s="41">
        <v>987.90394776413848</v>
      </c>
      <c r="AG11" s="42">
        <v>5840.7306636099447</v>
      </c>
      <c r="AH11" s="41">
        <v>987.98594176432289</v>
      </c>
      <c r="AI11" s="42">
        <v>7328.0149767114472</v>
      </c>
      <c r="AJ11" s="41">
        <v>988.88938381682146</v>
      </c>
      <c r="AK11" s="42">
        <v>8961.4916339118536</v>
      </c>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c r="AM12" s="42"/>
      <c r="AN12" s="41"/>
      <c r="AO12" s="42"/>
      <c r="AP12" s="41"/>
      <c r="AQ12" s="42"/>
      <c r="AR12" s="41"/>
      <c r="AS12" s="42"/>
      <c r="AT12" s="41"/>
      <c r="AU12" s="42"/>
      <c r="AV12" s="41"/>
      <c r="AW12" s="42"/>
    </row>
    <row r="13" spans="1:49" x14ac:dyDescent="0.2">
      <c r="A13" t="s">
        <v>17</v>
      </c>
      <c r="B13" s="97">
        <v>1000</v>
      </c>
      <c r="C13" s="98">
        <v>1000</v>
      </c>
      <c r="D13" s="97">
        <v>1002.5114104317137</v>
      </c>
      <c r="E13" s="98">
        <v>1002.5114104317137</v>
      </c>
      <c r="F13" s="97">
        <v>1005.2992201124428</v>
      </c>
      <c r="G13" s="98">
        <v>1005.2992201124428</v>
      </c>
      <c r="H13" s="97">
        <v>1008.4098254398494</v>
      </c>
      <c r="I13" s="98">
        <v>1008.4098254398494</v>
      </c>
      <c r="J13" s="97">
        <v>1011.9020464179654</v>
      </c>
      <c r="K13" s="98">
        <v>1011.9020464179654</v>
      </c>
      <c r="L13" s="97">
        <v>1015.8514770374991</v>
      </c>
      <c r="M13" s="98">
        <v>1015.8514770374991</v>
      </c>
      <c r="N13" s="97">
        <v>1020.3572419310938</v>
      </c>
      <c r="O13" s="98">
        <v>1020.3572419310938</v>
      </c>
      <c r="P13" s="97">
        <v>1025.551949042572</v>
      </c>
      <c r="Q13" s="98">
        <v>1025.551949042572</v>
      </c>
      <c r="R13" s="97">
        <v>1031.6172185118037</v>
      </c>
      <c r="S13" s="98">
        <v>1031.6172185118037</v>
      </c>
      <c r="T13" s="97">
        <v>1038.808208044723</v>
      </c>
      <c r="U13" s="98">
        <v>1038.808208044723</v>
      </c>
      <c r="V13" s="97">
        <v>1047.4936351733641</v>
      </c>
      <c r="W13" s="98">
        <v>1047.4936351733641</v>
      </c>
      <c r="X13" s="97">
        <v>1058.2220469709262</v>
      </c>
      <c r="Y13" s="98">
        <v>1058.2220469709262</v>
      </c>
      <c r="Z13" s="97">
        <v>1071.83283710562</v>
      </c>
      <c r="AA13" s="98">
        <v>1071.83283710562</v>
      </c>
      <c r="AB13" s="97">
        <v>1089.6365565720394</v>
      </c>
      <c r="AC13" s="98">
        <v>1089.6365565720394</v>
      </c>
      <c r="AD13" s="97">
        <v>1113.6615020050876</v>
      </c>
      <c r="AE13" s="98">
        <v>1113.6615020050876</v>
      </c>
      <c r="AF13" s="97">
        <v>1146.7141870955138</v>
      </c>
      <c r="AG13" s="98">
        <v>1146.7141870955138</v>
      </c>
      <c r="AH13" s="97">
        <v>1190.675848170873</v>
      </c>
      <c r="AI13" s="98">
        <v>1190.675848170873</v>
      </c>
      <c r="AJ13" s="97">
        <v>1237.7183068303716</v>
      </c>
      <c r="AK13" s="98">
        <v>1237.7183068303716</v>
      </c>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1460.6625587464764</v>
      </c>
      <c r="E14" s="42">
        <v>1460.6625587464764</v>
      </c>
      <c r="F14" s="41">
        <v>1464.7244069999524</v>
      </c>
      <c r="G14" s="42">
        <v>1464.7244069999526</v>
      </c>
      <c r="H14" s="41">
        <v>1469.2565696162599</v>
      </c>
      <c r="I14" s="42">
        <v>1469.2565696162601</v>
      </c>
      <c r="J14" s="41">
        <v>1474.3447475427399</v>
      </c>
      <c r="K14" s="42">
        <v>1474.3447475427402</v>
      </c>
      <c r="L14" s="41">
        <v>1480.0990814827751</v>
      </c>
      <c r="M14" s="42">
        <v>1480.0990814827753</v>
      </c>
      <c r="N14" s="41">
        <v>1486.663996365643</v>
      </c>
      <c r="O14" s="42">
        <v>1486.6639963656432</v>
      </c>
      <c r="P14" s="41">
        <v>1494.2327024196945</v>
      </c>
      <c r="Q14" s="42">
        <v>1494.2327024196948</v>
      </c>
      <c r="R14" s="41">
        <v>1503.0698208107956</v>
      </c>
      <c r="S14" s="42">
        <v>1503.0698208107958</v>
      </c>
      <c r="T14" s="41">
        <v>1513.5471171904446</v>
      </c>
      <c r="U14" s="42">
        <v>1513.5471171904449</v>
      </c>
      <c r="V14" s="41">
        <v>1526.2018142657266</v>
      </c>
      <c r="W14" s="42">
        <v>1526.2018142657269</v>
      </c>
      <c r="X14" s="41">
        <v>1541.8331470011462</v>
      </c>
      <c r="Y14" s="42">
        <v>1541.8331470011465</v>
      </c>
      <c r="Z14" s="41">
        <v>1561.664114846332</v>
      </c>
      <c r="AA14" s="42">
        <v>1561.6641148463323</v>
      </c>
      <c r="AB14" s="41">
        <v>1587.6041950892352</v>
      </c>
      <c r="AC14" s="42">
        <v>1587.6041950892354</v>
      </c>
      <c r="AD14" s="41">
        <v>1622.6086228741208</v>
      </c>
      <c r="AE14" s="42">
        <v>1622.608622874121</v>
      </c>
      <c r="AF14" s="41">
        <v>1670.7664982611279</v>
      </c>
      <c r="AG14" s="42">
        <v>1670.7664982611284</v>
      </c>
      <c r="AH14" s="41">
        <v>1734.8187890230131</v>
      </c>
      <c r="AI14" s="42">
        <v>1734.8187890230133</v>
      </c>
      <c r="AJ14" s="41">
        <v>1803.3598124171692</v>
      </c>
      <c r="AK14" s="42">
        <v>1803.3598124171695</v>
      </c>
      <c r="AL14" s="41"/>
      <c r="AM14" s="42"/>
      <c r="AN14" s="41"/>
      <c r="AO14" s="42"/>
      <c r="AP14" s="41"/>
      <c r="AQ14" s="42"/>
      <c r="AR14" s="41"/>
      <c r="AS14" s="42"/>
      <c r="AT14" s="41"/>
      <c r="AU14" s="42"/>
      <c r="AV14" s="41"/>
      <c r="AW14" s="42"/>
    </row>
    <row r="15" spans="1:49" x14ac:dyDescent="0.2">
      <c r="A15" t="s">
        <v>18</v>
      </c>
      <c r="B15" s="154">
        <v>1000</v>
      </c>
      <c r="C15" s="155">
        <v>1000</v>
      </c>
      <c r="D15" s="154">
        <v>986.69937972090497</v>
      </c>
      <c r="E15" s="155">
        <v>986.69937972090497</v>
      </c>
      <c r="F15" s="154">
        <v>972.24751177095368</v>
      </c>
      <c r="G15" s="155">
        <v>972.24751177095368</v>
      </c>
      <c r="H15" s="154">
        <v>956.57274925557238</v>
      </c>
      <c r="I15" s="155">
        <v>956.57274925557238</v>
      </c>
      <c r="J15" s="154">
        <v>939.57151355581982</v>
      </c>
      <c r="K15" s="155">
        <v>939.57151355581982</v>
      </c>
      <c r="L15" s="154">
        <v>921.10324273018443</v>
      </c>
      <c r="M15" s="155">
        <v>921.10324273018443</v>
      </c>
      <c r="N15" s="154">
        <v>900.98079151090099</v>
      </c>
      <c r="O15" s="155">
        <v>900.98079151090099</v>
      </c>
      <c r="P15" s="154">
        <v>878.95602225298069</v>
      </c>
      <c r="Q15" s="155">
        <v>878.95602225298069</v>
      </c>
      <c r="R15" s="154">
        <v>854.69667438648264</v>
      </c>
      <c r="S15" s="155">
        <v>854.69667438648264</v>
      </c>
      <c r="T15" s="154">
        <v>827.74993142314611</v>
      </c>
      <c r="U15" s="155">
        <v>827.74993142314611</v>
      </c>
      <c r="V15" s="154">
        <v>797.48286413365565</v>
      </c>
      <c r="W15" s="155">
        <v>797.48286413365565</v>
      </c>
      <c r="X15" s="154">
        <v>762.98493942912694</v>
      </c>
      <c r="Y15" s="155">
        <v>762.98493942912694</v>
      </c>
      <c r="Z15" s="154">
        <v>722.90613534309398</v>
      </c>
      <c r="AA15" s="155">
        <v>722.90613534309398</v>
      </c>
      <c r="AB15" s="154">
        <v>675.1945221778916</v>
      </c>
      <c r="AC15" s="155">
        <v>675.1945221778916</v>
      </c>
      <c r="AD15" s="154">
        <v>616.72206789525035</v>
      </c>
      <c r="AE15" s="155">
        <v>616.72206789525035</v>
      </c>
      <c r="AF15" s="154">
        <v>543.02334157726364</v>
      </c>
      <c r="AG15" s="155">
        <v>543.02334157726364</v>
      </c>
      <c r="AH15" s="154">
        <v>449.50428255607642</v>
      </c>
      <c r="AI15" s="155">
        <v>449.50428255607642</v>
      </c>
      <c r="AJ15" s="154">
        <v>338.05731502830719</v>
      </c>
      <c r="AK15" s="155">
        <v>338.05731502830719</v>
      </c>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995.20782856485039</v>
      </c>
      <c r="E16" s="42">
        <v>991.26224451214864</v>
      </c>
      <c r="F16" s="41">
        <v>990.15415883124456</v>
      </c>
      <c r="G16" s="42">
        <v>981.86027539529834</v>
      </c>
      <c r="H16" s="41">
        <v>984.79112495482786</v>
      </c>
      <c r="I16" s="42">
        <v>971.72926441631978</v>
      </c>
      <c r="J16" s="41">
        <v>979.06394974082389</v>
      </c>
      <c r="K16" s="42">
        <v>960.78727739874671</v>
      </c>
      <c r="L16" s="41">
        <v>972.90885028354728</v>
      </c>
      <c r="M16" s="42">
        <v>948.93049410770482</v>
      </c>
      <c r="N16" s="41">
        <v>966.25020340457115</v>
      </c>
      <c r="O16" s="42">
        <v>936.02818359701394</v>
      </c>
      <c r="P16" s="41">
        <v>958.99693905004074</v>
      </c>
      <c r="Q16" s="42">
        <v>921.9135640822152</v>
      </c>
      <c r="R16" s="41">
        <v>951.0374853705805</v>
      </c>
      <c r="S16" s="42">
        <v>906.37076982341705</v>
      </c>
      <c r="T16" s="41">
        <v>942.23263263074057</v>
      </c>
      <c r="U16" s="42">
        <v>889.11458841057765</v>
      </c>
      <c r="V16" s="41">
        <v>932.40492539997388</v>
      </c>
      <c r="W16" s="42">
        <v>869.75859455762406</v>
      </c>
      <c r="X16" s="41">
        <v>921.32291150237666</v>
      </c>
      <c r="Y16" s="42">
        <v>847.7642538416319</v>
      </c>
      <c r="Z16" s="41">
        <v>908.67787313087229</v>
      </c>
      <c r="AA16" s="42">
        <v>822.3600028940773</v>
      </c>
      <c r="AB16" s="41">
        <v>894.0529335246132</v>
      </c>
      <c r="AC16" s="42">
        <v>792.41939378602581</v>
      </c>
      <c r="AD16" s="41">
        <v>876.90290319544897</v>
      </c>
      <c r="AE16" s="42">
        <v>756.3222345007141</v>
      </c>
      <c r="AF16" s="41">
        <v>856.66157291265267</v>
      </c>
      <c r="AG16" s="42">
        <v>712.03949613293037</v>
      </c>
      <c r="AH16" s="41">
        <v>833.54530204734317</v>
      </c>
      <c r="AI16" s="42">
        <v>658.77044494404277</v>
      </c>
      <c r="AJ16" s="41">
        <v>811.72067511300611</v>
      </c>
      <c r="AK16" s="42">
        <v>608.60116293870567</v>
      </c>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998.52056171737229</v>
      </c>
      <c r="E17" s="36">
        <v>1036.1722772296073</v>
      </c>
      <c r="F17" s="35">
        <v>997.0243108491951</v>
      </c>
      <c r="G17" s="36">
        <v>1076.3750253433866</v>
      </c>
      <c r="H17" s="35">
        <v>995.50105096411062</v>
      </c>
      <c r="I17" s="36">
        <v>1121.3720625496965</v>
      </c>
      <c r="J17" s="35">
        <v>993.94058611909145</v>
      </c>
      <c r="K17" s="36">
        <v>1172.1092421773642</v>
      </c>
      <c r="L17" s="35">
        <v>992.33267769889301</v>
      </c>
      <c r="M17" s="36">
        <v>1229.7749403716698</v>
      </c>
      <c r="N17" s="35">
        <v>990.66742794460993</v>
      </c>
      <c r="O17" s="36">
        <v>1295.8932298496306</v>
      </c>
      <c r="P17" s="35">
        <v>988.93599344788265</v>
      </c>
      <c r="Q17" s="36">
        <v>1372.4569457817279</v>
      </c>
      <c r="R17" s="35">
        <v>987.13205847439713</v>
      </c>
      <c r="S17" s="36">
        <v>1462.1332788757388</v>
      </c>
      <c r="T17" s="35">
        <v>985.25450763826257</v>
      </c>
      <c r="U17" s="36">
        <v>1568.5860182862205</v>
      </c>
      <c r="V17" s="35">
        <v>983.31217137685121</v>
      </c>
      <c r="W17" s="36">
        <v>1697.0017586568549</v>
      </c>
      <c r="X17" s="35">
        <v>981.33209622122206</v>
      </c>
      <c r="Y17" s="36">
        <v>1854.9694794561267</v>
      </c>
      <c r="Z17" s="35">
        <v>979.37366876341832</v>
      </c>
      <c r="AA17" s="36">
        <v>2053.9842953399575</v>
      </c>
      <c r="AB17" s="35">
        <v>977.55140548273584</v>
      </c>
      <c r="AC17" s="36">
        <v>2311.9907066504247</v>
      </c>
      <c r="AD17" s="35">
        <v>976.06565204063691</v>
      </c>
      <c r="AE17" s="36">
        <v>2657.1824210021568</v>
      </c>
      <c r="AF17" s="35">
        <v>975.21636673308615</v>
      </c>
      <c r="AG17" s="36">
        <v>3130.24679532143</v>
      </c>
      <c r="AH17" s="35">
        <v>975.28807046476925</v>
      </c>
      <c r="AI17" s="36">
        <v>3763.3938738351476</v>
      </c>
      <c r="AJ17" s="35">
        <v>976.07847936309076</v>
      </c>
      <c r="AK17" s="36">
        <v>4455.5026988045793</v>
      </c>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28003.400544227345</v>
      </c>
      <c r="E18" s="34">
        <v>1148.2019812809683</v>
      </c>
      <c r="F18" s="33">
        <v>28129.697048260412</v>
      </c>
      <c r="G18" s="34">
        <v>1060.0159173533441</v>
      </c>
      <c r="H18" s="33">
        <v>28235.757216515278</v>
      </c>
      <c r="I18" s="34">
        <v>972.21301522732074</v>
      </c>
      <c r="J18" s="33">
        <v>28320.746973847574</v>
      </c>
      <c r="K18" s="34">
        <v>884.82676995545387</v>
      </c>
      <c r="L18" s="33">
        <v>28383.058295844192</v>
      </c>
      <c r="M18" s="34">
        <v>797.92340242428713</v>
      </c>
      <c r="N18" s="33">
        <v>28420.118970058866</v>
      </c>
      <c r="O18" s="34">
        <v>711.62112985104682</v>
      </c>
      <c r="P18" s="33">
        <v>28428.088201799663</v>
      </c>
      <c r="Q18" s="34">
        <v>626.10827080015019</v>
      </c>
      <c r="R18" s="33">
        <v>28401.34793397324</v>
      </c>
      <c r="S18" s="34">
        <v>541.67614308035741</v>
      </c>
      <c r="T18" s="33">
        <v>28331.661394078972</v>
      </c>
      <c r="U18" s="34">
        <v>458.76389650808136</v>
      </c>
      <c r="V18" s="33">
        <v>28206.740121886225</v>
      </c>
      <c r="W18" s="34">
        <v>378.02809786371085</v>
      </c>
      <c r="X18" s="33">
        <v>28007.685603835391</v>
      </c>
      <c r="Y18" s="34">
        <v>300.43812428811759</v>
      </c>
      <c r="Z18" s="33">
        <v>27704.171779903118</v>
      </c>
      <c r="AA18" s="34">
        <v>227.4050269124609</v>
      </c>
      <c r="AB18" s="33">
        <v>27244.701519053069</v>
      </c>
      <c r="AC18" s="34">
        <v>160.93513160420883</v>
      </c>
      <c r="AD18" s="33">
        <v>26535.286492279301</v>
      </c>
      <c r="AE18" s="34">
        <v>103.72296998417723</v>
      </c>
      <c r="AF18" s="33">
        <v>25388.912853081471</v>
      </c>
      <c r="AG18" s="34">
        <v>58.919052225411853</v>
      </c>
      <c r="AH18" s="33">
        <v>23403.902670645406</v>
      </c>
      <c r="AI18" s="34">
        <v>28.984687090216244</v>
      </c>
      <c r="AJ18" s="33">
        <v>19782.466088554043</v>
      </c>
      <c r="AK18" s="34">
        <v>13.329201598374672</v>
      </c>
      <c r="AL18" s="33"/>
      <c r="AM18" s="34"/>
      <c r="AN18" s="33"/>
      <c r="AO18" s="34"/>
      <c r="AP18" s="33"/>
      <c r="AQ18" s="34"/>
      <c r="AR18" s="33"/>
      <c r="AS18" s="34"/>
      <c r="AT18" s="33"/>
      <c r="AU18" s="34"/>
      <c r="AV18" s="33"/>
      <c r="AW18" s="34"/>
    </row>
    <row r="19" spans="1:49" x14ac:dyDescent="0.2">
      <c r="A19" t="s">
        <v>3</v>
      </c>
      <c r="B19" s="41">
        <v>1886.3937399999918</v>
      </c>
      <c r="C19" s="42">
        <v>262.78711299999759</v>
      </c>
      <c r="D19" s="41">
        <v>1888.904869612664</v>
      </c>
      <c r="E19" s="42">
        <v>270.85457142543112</v>
      </c>
      <c r="F19" s="41">
        <v>1889.9086015504245</v>
      </c>
      <c r="G19" s="42">
        <v>279.74597531842011</v>
      </c>
      <c r="H19" s="41">
        <v>1889.3592338303761</v>
      </c>
      <c r="I19" s="42">
        <v>289.57605408791068</v>
      </c>
      <c r="J19" s="41">
        <v>1887.1648321554544</v>
      </c>
      <c r="K19" s="42">
        <v>300.4608772291885</v>
      </c>
      <c r="L19" s="41">
        <v>1883.1832734417656</v>
      </c>
      <c r="M19" s="42">
        <v>312.50988465003422</v>
      </c>
      <c r="N19" s="41">
        <v>1877.2129186847715</v>
      </c>
      <c r="O19" s="42">
        <v>325.8160615681723</v>
      </c>
      <c r="P19" s="41">
        <v>1868.9784260781569</v>
      </c>
      <c r="Q19" s="42">
        <v>340.43430424601956</v>
      </c>
      <c r="R19" s="41">
        <v>1858.1076040467456</v>
      </c>
      <c r="S19" s="42">
        <v>356.34564828604613</v>
      </c>
      <c r="T19" s="41">
        <v>1844.0938805210906</v>
      </c>
      <c r="U19" s="42">
        <v>373.39480240130081</v>
      </c>
      <c r="V19" s="41">
        <v>1826.232312159905</v>
      </c>
      <c r="W19" s="42">
        <v>391.18465888652344</v>
      </c>
      <c r="X19" s="41">
        <v>1803.5024770653581</v>
      </c>
      <c r="Y19" s="42">
        <v>408.89486269385537</v>
      </c>
      <c r="Z19" s="41">
        <v>1774.3364794781319</v>
      </c>
      <c r="AA19" s="42">
        <v>424.97554373015021</v>
      </c>
      <c r="AB19" s="41">
        <v>1736.111326532601</v>
      </c>
      <c r="AC19" s="42">
        <v>436.64664321526107</v>
      </c>
      <c r="AD19" s="41">
        <v>1683.9231469337947</v>
      </c>
      <c r="AE19" s="42">
        <v>439.16677432088676</v>
      </c>
      <c r="AF19" s="41">
        <v>1607.3574824067816</v>
      </c>
      <c r="AG19" s="42">
        <v>425.13841972298707</v>
      </c>
      <c r="AH19" s="41">
        <v>1481.9846612949827</v>
      </c>
      <c r="AI19" s="42">
        <v>385.20501792674077</v>
      </c>
      <c r="AJ19" s="41">
        <v>1255.4356544104148</v>
      </c>
      <c r="AK19" s="42">
        <v>313.16298905933502</v>
      </c>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26670.46679518784</v>
      </c>
      <c r="E20" s="83">
        <v>1338.1147774499941</v>
      </c>
      <c r="F20" s="82">
        <v>26772.992618624179</v>
      </c>
      <c r="G20" s="83">
        <v>1267.6876838999945</v>
      </c>
      <c r="H20" s="82">
        <v>26855.706854041553</v>
      </c>
      <c r="I20" s="83">
        <v>1197.2605903499943</v>
      </c>
      <c r="J20" s="82">
        <v>26917.722428220524</v>
      </c>
      <c r="K20" s="83">
        <v>1126.8334967999951</v>
      </c>
      <c r="L20" s="82">
        <v>26957.417515426685</v>
      </c>
      <c r="M20" s="83">
        <v>1056.4064032499953</v>
      </c>
      <c r="N20" s="82">
        <v>26972.262419783463</v>
      </c>
      <c r="O20" s="83">
        <v>985.97930969999561</v>
      </c>
      <c r="P20" s="82">
        <v>26958.545102803331</v>
      </c>
      <c r="Q20" s="83">
        <v>915.55221614999596</v>
      </c>
      <c r="R20" s="82">
        <v>26910.914252212235</v>
      </c>
      <c r="S20" s="83">
        <v>845.12512259999642</v>
      </c>
      <c r="T20" s="82">
        <v>26821.626203447118</v>
      </c>
      <c r="U20" s="83">
        <v>774.69802904999653</v>
      </c>
      <c r="V20" s="82">
        <v>26679.263525751012</v>
      </c>
      <c r="W20" s="83">
        <v>704.27093549999688</v>
      </c>
      <c r="X20" s="82">
        <v>26466.441697929618</v>
      </c>
      <c r="Y20" s="83">
        <v>633.84384194999734</v>
      </c>
      <c r="Z20" s="82">
        <v>26155.463267144474</v>
      </c>
      <c r="AA20" s="83">
        <v>563.41674839999746</v>
      </c>
      <c r="AB20" s="82">
        <v>25699.429729913936</v>
      </c>
      <c r="AC20" s="83">
        <v>492.98965484999781</v>
      </c>
      <c r="AD20" s="82">
        <v>25012.489010642603</v>
      </c>
      <c r="AE20" s="83">
        <v>422.56256129999809</v>
      </c>
      <c r="AF20" s="82">
        <v>23922.151367665312</v>
      </c>
      <c r="AG20" s="83">
        <v>352.13546774999827</v>
      </c>
      <c r="AH20" s="82">
        <v>22052.578584874074</v>
      </c>
      <c r="AI20" s="83">
        <v>281.70837419999856</v>
      </c>
      <c r="AJ20" s="82">
        <v>18647.311641276345</v>
      </c>
      <c r="AK20" s="83">
        <v>211.28128064999879</v>
      </c>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24781.567332613817</v>
      </c>
      <c r="E21" s="83">
        <v>1067.528534900687</v>
      </c>
      <c r="F21" s="82">
        <v>24883.106005261659</v>
      </c>
      <c r="G21" s="83">
        <v>989.08002098849408</v>
      </c>
      <c r="H21" s="82">
        <v>24966.398106138568</v>
      </c>
      <c r="I21" s="83">
        <v>910.40887560768419</v>
      </c>
      <c r="J21" s="82">
        <v>25030.649519371615</v>
      </c>
      <c r="K21" s="83">
        <v>831.5390485176074</v>
      </c>
      <c r="L21" s="82">
        <v>25074.381855916163</v>
      </c>
      <c r="M21" s="83">
        <v>752.53047406314454</v>
      </c>
      <c r="N21" s="82">
        <v>25095.268652019953</v>
      </c>
      <c r="O21" s="83">
        <v>673.49234014426872</v>
      </c>
      <c r="P21" s="82">
        <v>25089.875020924552</v>
      </c>
      <c r="Q21" s="83">
        <v>594.60589082277511</v>
      </c>
      <c r="R21" s="82">
        <v>25053.22369523799</v>
      </c>
      <c r="S21" s="83">
        <v>516.1563595598185</v>
      </c>
      <c r="T21" s="82">
        <v>24978.07908653401</v>
      </c>
      <c r="U21" s="83">
        <v>438.58023897607529</v>
      </c>
      <c r="V21" s="82">
        <v>24853.729056271335</v>
      </c>
      <c r="W21" s="83">
        <v>362.53257859851402</v>
      </c>
      <c r="X21" s="82">
        <v>24663.807139396027</v>
      </c>
      <c r="Y21" s="83">
        <v>288.98323348243156</v>
      </c>
      <c r="Z21" s="82">
        <v>24382.175853467576</v>
      </c>
      <c r="AA21" s="83">
        <v>219.34598641962401</v>
      </c>
      <c r="AB21" s="82">
        <v>23964.5414707288</v>
      </c>
      <c r="AC21" s="83">
        <v>155.62905875276272</v>
      </c>
      <c r="AD21" s="82">
        <v>23329.920944777798</v>
      </c>
      <c r="AE21" s="83">
        <v>100.53048165204574</v>
      </c>
      <c r="AF21" s="82">
        <v>22316.184635065405</v>
      </c>
      <c r="AG21" s="83">
        <v>57.2139124744293</v>
      </c>
      <c r="AH21" s="82">
        <v>20571.868487400799</v>
      </c>
      <c r="AI21" s="83">
        <v>28.185975587773523</v>
      </c>
      <c r="AJ21" s="82">
        <v>17392.88513196239</v>
      </c>
      <c r="AK21" s="83">
        <v>12.972972152177357</v>
      </c>
      <c r="AL21" s="82"/>
      <c r="AM21" s="83"/>
      <c r="AN21" s="82"/>
      <c r="AO21" s="83"/>
      <c r="AP21" s="82"/>
      <c r="AQ21" s="83"/>
      <c r="AR21" s="82"/>
      <c r="AS21" s="83"/>
      <c r="AT21" s="82"/>
      <c r="AU21" s="83"/>
      <c r="AV21" s="82"/>
      <c r="AW21" s="83"/>
    </row>
    <row r="22" spans="1:49" x14ac:dyDescent="0.2">
      <c r="A22" t="s">
        <v>28</v>
      </c>
      <c r="B22" s="41">
        <v>6533.6044688320644</v>
      </c>
      <c r="C22" s="42">
        <v>379.90788307663382</v>
      </c>
      <c r="D22" s="41">
        <v>6567.1042548927671</v>
      </c>
      <c r="E22" s="42">
        <v>364.79293613371397</v>
      </c>
      <c r="F22" s="41">
        <v>6595.1585903281721</v>
      </c>
      <c r="G22" s="42">
        <v>349.36635489496814</v>
      </c>
      <c r="H22" s="41">
        <v>6617.6491689253826</v>
      </c>
      <c r="I22" s="42">
        <v>333.63418360082193</v>
      </c>
      <c r="J22" s="41">
        <v>6634.2814281704541</v>
      </c>
      <c r="K22" s="42">
        <v>317.5984154995906</v>
      </c>
      <c r="L22" s="41">
        <v>6644.5633330830969</v>
      </c>
      <c r="M22" s="42">
        <v>301.25739205486195</v>
      </c>
      <c r="N22" s="41">
        <v>6647.7599106551752</v>
      </c>
      <c r="O22" s="42">
        <v>284.60415570382321</v>
      </c>
      <c r="P22" s="41">
        <v>6642.8217638041178</v>
      </c>
      <c r="Q22" s="42">
        <v>267.6252877760416</v>
      </c>
      <c r="R22" s="41">
        <v>6628.2679117782345</v>
      </c>
      <c r="S22" s="42">
        <v>250.29845768223339</v>
      </c>
      <c r="T22" s="41">
        <v>6601.9955140146012</v>
      </c>
      <c r="U22" s="42">
        <v>232.58923566833602</v>
      </c>
      <c r="V22" s="41">
        <v>6560.960133896685</v>
      </c>
      <c r="W22" s="42">
        <v>214.44641950742582</v>
      </c>
      <c r="X22" s="41">
        <v>6500.6111803304839</v>
      </c>
      <c r="Y22" s="42">
        <v>195.79639273003301</v>
      </c>
      <c r="Z22" s="41">
        <v>6413.8369283720358</v>
      </c>
      <c r="AA22" s="42">
        <v>176.53718951903369</v>
      </c>
      <c r="AB22" s="41">
        <v>6288.8327806001753</v>
      </c>
      <c r="AC22" s="42">
        <v>156.53583144020786</v>
      </c>
      <c r="AD22" s="41">
        <v>6104.424655983189</v>
      </c>
      <c r="AE22" s="42">
        <v>135.64160746939845</v>
      </c>
      <c r="AF22" s="41">
        <v>5818.917588985174</v>
      </c>
      <c r="AG22" s="42">
        <v>113.7473192515365</v>
      </c>
      <c r="AH22" s="41">
        <v>5343.2043364292695</v>
      </c>
      <c r="AI22" s="42">
        <v>90.95488744543475</v>
      </c>
      <c r="AJ22" s="41">
        <v>4501.2940784303355</v>
      </c>
      <c r="AK22" s="42">
        <v>67.809957387853558</v>
      </c>
      <c r="AL22" s="41"/>
      <c r="AM22" s="42"/>
      <c r="AN22" s="41"/>
      <c r="AO22" s="42"/>
      <c r="AP22" s="41"/>
      <c r="AQ22" s="42"/>
      <c r="AR22" s="41"/>
      <c r="AS22" s="42"/>
      <c r="AT22" s="41"/>
      <c r="AU22" s="42"/>
      <c r="AV22" s="41"/>
      <c r="AW22" s="42"/>
    </row>
    <row r="23" spans="1:49" x14ac:dyDescent="0.2">
      <c r="A23" t="s">
        <v>7</v>
      </c>
      <c r="B23" s="116">
        <v>3278.5018080150408</v>
      </c>
      <c r="C23" s="8">
        <v>0</v>
      </c>
      <c r="D23" s="116">
        <v>3300.6313692028029</v>
      </c>
      <c r="E23" s="8">
        <v>0</v>
      </c>
      <c r="F23" s="116">
        <v>3320.4472926940612</v>
      </c>
      <c r="G23" s="8">
        <v>0</v>
      </c>
      <c r="H23" s="116">
        <v>3337.936887113251</v>
      </c>
      <c r="I23" s="8">
        <v>0</v>
      </c>
      <c r="J23" s="116">
        <v>3353.0063715436208</v>
      </c>
      <c r="K23" s="8">
        <v>0</v>
      </c>
      <c r="L23" s="116">
        <v>3365.4725576320757</v>
      </c>
      <c r="M23" s="8">
        <v>0</v>
      </c>
      <c r="N23" s="116">
        <v>3375.0417105638285</v>
      </c>
      <c r="O23" s="8">
        <v>0</v>
      </c>
      <c r="P23" s="116">
        <v>3381.2768056748514</v>
      </c>
      <c r="Q23" s="8">
        <v>0</v>
      </c>
      <c r="R23" s="116">
        <v>3383.5424226162413</v>
      </c>
      <c r="S23" s="8">
        <v>0</v>
      </c>
      <c r="T23" s="116">
        <v>3380.9140020853106</v>
      </c>
      <c r="U23" s="8">
        <v>0</v>
      </c>
      <c r="V23" s="116">
        <v>3372.0224633377993</v>
      </c>
      <c r="W23" s="8">
        <v>0</v>
      </c>
      <c r="X23" s="116">
        <v>3354.7740536305478</v>
      </c>
      <c r="Y23" s="8">
        <v>0</v>
      </c>
      <c r="Z23" s="116">
        <v>3325.8121909686142</v>
      </c>
      <c r="AA23" s="8">
        <v>0</v>
      </c>
      <c r="AB23" s="116">
        <v>3279.3935546506818</v>
      </c>
      <c r="AC23" s="8">
        <v>0</v>
      </c>
      <c r="AD23" s="116">
        <v>3204.8202716277306</v>
      </c>
      <c r="AE23" s="8">
        <v>0</v>
      </c>
      <c r="AF23" s="116">
        <v>3080.027820386877</v>
      </c>
      <c r="AG23" s="8">
        <v>0</v>
      </c>
      <c r="AH23" s="116">
        <v>2855.3196173290835</v>
      </c>
      <c r="AI23" s="8">
        <v>0</v>
      </c>
      <c r="AJ23" s="116">
        <v>2427.3282391831335</v>
      </c>
      <c r="AK23" s="8">
        <v>0</v>
      </c>
      <c r="AL23" s="116"/>
      <c r="AM23" s="8"/>
      <c r="AN23" s="116"/>
      <c r="AO23" s="8"/>
      <c r="AP23" s="116"/>
      <c r="AQ23" s="8"/>
      <c r="AR23" s="116"/>
      <c r="AS23" s="8"/>
      <c r="AT23" s="116"/>
      <c r="AU23" s="8"/>
      <c r="AV23" s="116"/>
      <c r="AW23" s="8"/>
    </row>
    <row r="24" spans="1:49" x14ac:dyDescent="0.2">
      <c r="A24" t="s">
        <v>8</v>
      </c>
      <c r="B24" s="97">
        <v>3196.3846373657216</v>
      </c>
      <c r="C24" s="8">
        <v>0</v>
      </c>
      <c r="D24" s="97">
        <v>3217.9599282297995</v>
      </c>
      <c r="E24" s="8">
        <v>0</v>
      </c>
      <c r="F24" s="97">
        <v>3237.2795194612877</v>
      </c>
      <c r="G24" s="8">
        <v>0</v>
      </c>
      <c r="H24" s="97">
        <v>3254.3310358473309</v>
      </c>
      <c r="I24" s="8">
        <v>0</v>
      </c>
      <c r="J24" s="97">
        <v>3269.0230747666988</v>
      </c>
      <c r="K24" s="8">
        <v>0</v>
      </c>
      <c r="L24" s="97">
        <v>3281.1770156594316</v>
      </c>
      <c r="M24" s="8">
        <v>0</v>
      </c>
      <c r="N24" s="97">
        <v>3290.5064878177941</v>
      </c>
      <c r="O24" s="8">
        <v>0</v>
      </c>
      <c r="P24" s="97">
        <v>3296.5854109419979</v>
      </c>
      <c r="Q24" s="8">
        <v>0</v>
      </c>
      <c r="R24" s="97">
        <v>3298.7942810669056</v>
      </c>
      <c r="S24" s="8">
        <v>0</v>
      </c>
      <c r="T24" s="97">
        <v>3296.2316958471447</v>
      </c>
      <c r="U24" s="8">
        <v>0</v>
      </c>
      <c r="V24" s="97">
        <v>3287.5628653502886</v>
      </c>
      <c r="W24" s="8">
        <v>0</v>
      </c>
      <c r="X24" s="97">
        <v>3270.7464805840923</v>
      </c>
      <c r="Y24" s="8">
        <v>0</v>
      </c>
      <c r="Z24" s="97">
        <v>3242.5100302448332</v>
      </c>
      <c r="AA24" s="8">
        <v>0</v>
      </c>
      <c r="AB24" s="97">
        <v>3197.2540479734525</v>
      </c>
      <c r="AC24" s="8">
        <v>0</v>
      </c>
      <c r="AD24" s="97">
        <v>3124.5486145939108</v>
      </c>
      <c r="AE24" s="8">
        <v>0</v>
      </c>
      <c r="AF24" s="97">
        <v>3002.8818601242228</v>
      </c>
      <c r="AG24" s="8">
        <v>0</v>
      </c>
      <c r="AH24" s="97">
        <v>2783.801960127957</v>
      </c>
      <c r="AI24" s="8">
        <v>0</v>
      </c>
      <c r="AJ24" s="97">
        <v>2366.5305519112512</v>
      </c>
      <c r="AK24" s="8">
        <v>0</v>
      </c>
      <c r="AL24" s="97"/>
      <c r="AM24" s="8"/>
      <c r="AN24" s="97"/>
      <c r="AO24" s="8"/>
      <c r="AP24" s="97"/>
      <c r="AQ24" s="8"/>
      <c r="AR24" s="97"/>
      <c r="AS24" s="8"/>
      <c r="AT24" s="97"/>
      <c r="AU24" s="8"/>
      <c r="AV24" s="97"/>
      <c r="AW24" s="8"/>
    </row>
    <row r="25" spans="1:49" x14ac:dyDescent="0.2">
      <c r="A25" t="s">
        <v>0</v>
      </c>
      <c r="B25" s="41">
        <v>3195.0476040000012</v>
      </c>
      <c r="C25" s="42">
        <v>91.012690000004397</v>
      </c>
      <c r="D25" s="41">
        <v>3221.8244095483915</v>
      </c>
      <c r="E25" s="42">
        <v>80.6246624762083</v>
      </c>
      <c r="F25" s="41">
        <v>3246.5551972964636</v>
      </c>
      <c r="G25" s="42">
        <v>70.750918703966661</v>
      </c>
      <c r="H25" s="41">
        <v>3269.2765159647975</v>
      </c>
      <c r="I25" s="42">
        <v>61.410104804206235</v>
      </c>
      <c r="J25" s="41">
        <v>3289.9463545135377</v>
      </c>
      <c r="K25" s="42">
        <v>52.625542241550512</v>
      </c>
      <c r="L25" s="41">
        <v>3308.4326289460932</v>
      </c>
      <c r="M25" s="42">
        <v>44.424305230514008</v>
      </c>
      <c r="N25" s="41">
        <v>3324.4865239650985</v>
      </c>
      <c r="O25" s="42">
        <v>36.836556787698655</v>
      </c>
      <c r="P25" s="41">
        <v>3337.6986282841658</v>
      </c>
      <c r="Q25" s="42">
        <v>29.894639520675856</v>
      </c>
      <c r="R25" s="41">
        <v>3347.4244522027193</v>
      </c>
      <c r="S25" s="42">
        <v>23.632116272234725</v>
      </c>
      <c r="T25" s="41">
        <v>3352.6595803706409</v>
      </c>
      <c r="U25" s="42">
        <v>18.082392949811265</v>
      </c>
      <c r="V25" s="41">
        <v>3351.8263367652262</v>
      </c>
      <c r="W25" s="42">
        <v>13.276882739576903</v>
      </c>
      <c r="X25" s="41">
        <v>3342.3959851752124</v>
      </c>
      <c r="Y25" s="42">
        <v>9.242086554001105</v>
      </c>
      <c r="Z25" s="41">
        <v>3320.1931529753574</v>
      </c>
      <c r="AA25" s="42">
        <v>5.9948625628108179</v>
      </c>
      <c r="AB25" s="41">
        <v>3278.0463476348532</v>
      </c>
      <c r="AC25" s="42">
        <v>3.5345755234260925</v>
      </c>
      <c r="AD25" s="41">
        <v>3203.0128443469794</v>
      </c>
      <c r="AE25" s="42">
        <v>1.8297783645335808</v>
      </c>
      <c r="AF25" s="41">
        <v>3070.3071801563829</v>
      </c>
      <c r="AG25" s="42">
        <v>0.79846104379465188</v>
      </c>
      <c r="AH25" s="41">
        <v>2829.8159004942645</v>
      </c>
      <c r="AI25" s="42">
        <v>0.2900479614956436</v>
      </c>
      <c r="AJ25" s="41">
        <v>2387.8289410977745</v>
      </c>
      <c r="AK25" s="42">
        <v>0.10044784486615707</v>
      </c>
      <c r="AL25" s="41"/>
      <c r="AM25" s="42"/>
      <c r="AN25" s="41"/>
      <c r="AO25" s="42"/>
      <c r="AP25" s="41"/>
      <c r="AQ25" s="42"/>
      <c r="AR25" s="41"/>
      <c r="AS25" s="42"/>
      <c r="AT25" s="41"/>
      <c r="AU25" s="42"/>
      <c r="AV25" s="41"/>
      <c r="AW25" s="42"/>
    </row>
    <row r="26" spans="1:49" x14ac:dyDescent="0.2">
      <c r="A26" t="s">
        <v>27</v>
      </c>
      <c r="B26" s="33">
        <v>5036.2953101960647</v>
      </c>
      <c r="C26" s="34">
        <v>74.905331803938267</v>
      </c>
      <c r="D26" s="33">
        <v>5089.2317770992122</v>
      </c>
      <c r="E26" s="34">
        <v>70.271801427437154</v>
      </c>
      <c r="F26" s="33">
        <v>5137.5376751145286</v>
      </c>
      <c r="G26" s="34">
        <v>65.569670708457878</v>
      </c>
      <c r="H26" s="33">
        <v>5181.0254143345337</v>
      </c>
      <c r="I26" s="34">
        <v>60.798359736772241</v>
      </c>
      <c r="J26" s="33">
        <v>5219.3349442140789</v>
      </c>
      <c r="K26" s="34">
        <v>55.958145931208819</v>
      </c>
      <c r="L26" s="33">
        <v>5251.9075103155028</v>
      </c>
      <c r="M26" s="34">
        <v>51.050811338741923</v>
      </c>
      <c r="N26" s="33">
        <v>5277.9372897808535</v>
      </c>
      <c r="O26" s="34">
        <v>46.080609797340728</v>
      </c>
      <c r="P26" s="33">
        <v>5296.2969805788907</v>
      </c>
      <c r="Q26" s="34">
        <v>41.055769514629496</v>
      </c>
      <c r="R26" s="33">
        <v>5305.4211431945278</v>
      </c>
      <c r="S26" s="34">
        <v>35.990793466087489</v>
      </c>
      <c r="T26" s="33">
        <v>5303.1204456734549</v>
      </c>
      <c r="U26" s="34">
        <v>30.909861124083157</v>
      </c>
      <c r="V26" s="33">
        <v>5286.2797978969047</v>
      </c>
      <c r="W26" s="34">
        <v>25.85201118852757</v>
      </c>
      <c r="X26" s="33">
        <v>5250.3358587491775</v>
      </c>
      <c r="Y26" s="34">
        <v>20.878652394424076</v>
      </c>
      <c r="Z26" s="33">
        <v>5188.3266922763478</v>
      </c>
      <c r="AA26" s="34">
        <v>16.084110783436575</v>
      </c>
      <c r="AB26" s="33">
        <v>5089.0326638522001</v>
      </c>
      <c r="AC26" s="34">
        <v>11.609089016107678</v>
      </c>
      <c r="AD26" s="33">
        <v>4933.0707378317757</v>
      </c>
      <c r="AE26" s="34">
        <v>7.65221584605393</v>
      </c>
      <c r="AF26" s="33">
        <v>4684.2029871062114</v>
      </c>
      <c r="AG26" s="34">
        <v>4.4614632794545708</v>
      </c>
      <c r="AH26" s="33">
        <v>4270.6629423828017</v>
      </c>
      <c r="AI26" s="34">
        <v>2.26015155771747</v>
      </c>
      <c r="AJ26" s="33">
        <v>3565.0025529398954</v>
      </c>
      <c r="AK26" s="34">
        <v>1.0671254435076907</v>
      </c>
      <c r="AL26" s="33"/>
      <c r="AM26" s="34"/>
      <c r="AN26" s="33"/>
      <c r="AO26" s="34"/>
      <c r="AP26" s="33"/>
      <c r="AQ26" s="34"/>
      <c r="AR26" s="33"/>
      <c r="AS26" s="34"/>
      <c r="AT26" s="33"/>
      <c r="AU26" s="34"/>
      <c r="AV26" s="33"/>
      <c r="AW26" s="34"/>
    </row>
    <row r="27" spans="1:49" x14ac:dyDescent="0.2">
      <c r="A27" t="s">
        <v>2</v>
      </c>
      <c r="B27" s="35">
        <v>6425.1981590000305</v>
      </c>
      <c r="C27" s="36">
        <v>273.22915400000028</v>
      </c>
      <c r="D27" s="35">
        <v>6443.3776185440202</v>
      </c>
      <c r="E27" s="36">
        <v>255.04958202799767</v>
      </c>
      <c r="F27" s="35">
        <v>6461.4825631889626</v>
      </c>
      <c r="G27" s="36">
        <v>236.94468113384337</v>
      </c>
      <c r="H27" s="35">
        <v>6479.5428065548967</v>
      </c>
      <c r="I27" s="36">
        <v>218.88451141543027</v>
      </c>
      <c r="J27" s="35">
        <v>6497.5813752784024</v>
      </c>
      <c r="K27" s="36">
        <v>200.84593742931466</v>
      </c>
      <c r="L27" s="35">
        <v>6515.6157831440441</v>
      </c>
      <c r="M27" s="36">
        <v>182.81153449497543</v>
      </c>
      <c r="N27" s="35">
        <v>6533.6540494517731</v>
      </c>
      <c r="O27" s="36">
        <v>164.77326898198618</v>
      </c>
      <c r="P27" s="35">
        <v>6551.6919472194177</v>
      </c>
      <c r="Q27" s="36">
        <v>146.73536730853223</v>
      </c>
      <c r="R27" s="35">
        <v>6569.7061941686779</v>
      </c>
      <c r="S27" s="36">
        <v>128.72111636628327</v>
      </c>
      <c r="T27" s="35">
        <v>6587.6446309374096</v>
      </c>
      <c r="U27" s="36">
        <v>110.78267545441911</v>
      </c>
      <c r="V27" s="35">
        <v>6605.4095056446649</v>
      </c>
      <c r="W27" s="36">
        <v>93.017803201984663</v>
      </c>
      <c r="X27" s="35">
        <v>6622.8328326605497</v>
      </c>
      <c r="Y27" s="36">
        <v>75.594500309952522</v>
      </c>
      <c r="Z27" s="35">
        <v>6639.6395635647186</v>
      </c>
      <c r="AA27" s="36">
        <v>58.787788170793164</v>
      </c>
      <c r="AB27" s="35">
        <v>6655.3959846533307</v>
      </c>
      <c r="AC27" s="36">
        <v>43.031293558762222</v>
      </c>
      <c r="AD27" s="35">
        <v>6669.4565588271525</v>
      </c>
      <c r="AE27" s="36">
        <v>28.970767967796569</v>
      </c>
      <c r="AF27" s="35">
        <v>6680.9623545879485</v>
      </c>
      <c r="AG27" s="36">
        <v>17.464946000937299</v>
      </c>
      <c r="AH27" s="35">
        <v>6689.0467299482061</v>
      </c>
      <c r="AI27" s="36">
        <v>9.3805055983771712</v>
      </c>
      <c r="AJ27" s="35">
        <v>6693.3411062414507</v>
      </c>
      <c r="AK27" s="36">
        <v>5.0859554415372177</v>
      </c>
      <c r="AL27" s="35"/>
      <c r="AM27" s="36"/>
      <c r="AN27" s="35"/>
      <c r="AO27" s="36"/>
      <c r="AP27" s="35"/>
      <c r="AQ27" s="36"/>
      <c r="AR27" s="35"/>
      <c r="AS27" s="36"/>
      <c r="AT27" s="35"/>
      <c r="AU27" s="36"/>
      <c r="AV27" s="35"/>
      <c r="AW27" s="36"/>
    </row>
    <row r="28" spans="1:49" x14ac:dyDescent="0.2">
      <c r="A28" t="s">
        <v>35</v>
      </c>
      <c r="B28" s="41">
        <v>13763.097676000029</v>
      </c>
      <c r="C28" s="42">
        <v>382.36647899999997</v>
      </c>
      <c r="D28" s="41">
        <v>13857.73578288028</v>
      </c>
      <c r="E28" s="42">
        <v>357.42379424452298</v>
      </c>
      <c r="F28" s="41">
        <v>13944.532921171656</v>
      </c>
      <c r="G28" s="42">
        <v>332.44081942296873</v>
      </c>
      <c r="H28" s="41">
        <v>14023.6943179051</v>
      </c>
      <c r="I28" s="42">
        <v>307.39770009584669</v>
      </c>
      <c r="J28" s="41">
        <v>14095.137954142914</v>
      </c>
      <c r="K28" s="42">
        <v>282.27968426323832</v>
      </c>
      <c r="L28" s="41">
        <v>14158.467467036071</v>
      </c>
      <c r="M28" s="42">
        <v>257.07736123808883</v>
      </c>
      <c r="N28" s="41">
        <v>14212.89856789668</v>
      </c>
      <c r="O28" s="42">
        <v>231.79208074672567</v>
      </c>
      <c r="P28" s="41">
        <v>14257.135421464522</v>
      </c>
      <c r="Q28" s="42">
        <v>206.44103767171737</v>
      </c>
      <c r="R28" s="41">
        <v>14289.157502201389</v>
      </c>
      <c r="S28" s="42">
        <v>181.06738304991021</v>
      </c>
      <c r="T28" s="41">
        <v>14305.856727296232</v>
      </c>
      <c r="U28" s="42">
        <v>155.75481975537801</v>
      </c>
      <c r="V28" s="41">
        <v>14302.402683983099</v>
      </c>
      <c r="W28" s="42">
        <v>130.65175906728695</v>
      </c>
      <c r="X28" s="41">
        <v>14271.069795473146</v>
      </c>
      <c r="Y28" s="42">
        <v>106.00690895614839</v>
      </c>
      <c r="Z28" s="41">
        <v>14198.936900967754</v>
      </c>
      <c r="AA28" s="42">
        <v>82.221936580806826</v>
      </c>
      <c r="AB28" s="41">
        <v>14062.988948668049</v>
      </c>
      <c r="AC28" s="42">
        <v>59.924242695940194</v>
      </c>
      <c r="AD28" s="41">
        <v>13818.68404282226</v>
      </c>
      <c r="AE28" s="42">
        <v>40.040424166224078</v>
      </c>
      <c r="AF28" s="41">
        <v>13370.656849913761</v>
      </c>
      <c r="AG28" s="42">
        <v>23.787917611465481</v>
      </c>
      <c r="AH28" s="41">
        <v>12495.519389054616</v>
      </c>
      <c r="AI28" s="42">
        <v>12.352606585937588</v>
      </c>
      <c r="AJ28" s="41">
        <v>10707.766340237549</v>
      </c>
      <c r="AK28" s="42">
        <v>5.9871010062468173</v>
      </c>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14437.521119239123</v>
      </c>
      <c r="E29" s="36">
        <v>755.53832798244991</v>
      </c>
      <c r="F29" s="35">
        <v>14501.885644355056</v>
      </c>
      <c r="G29" s="36">
        <v>694.41605656872787</v>
      </c>
      <c r="H29" s="35">
        <v>14555.784207996856</v>
      </c>
      <c r="I29" s="36">
        <v>633.91845034427615</v>
      </c>
      <c r="J29" s="35">
        <v>14598.781835697348</v>
      </c>
      <c r="K29" s="36">
        <v>574.08777938171238</v>
      </c>
      <c r="L29" s="35">
        <v>14630.044530580748</v>
      </c>
      <c r="M29" s="36">
        <v>514.99132722114791</v>
      </c>
      <c r="N29" s="35">
        <v>14648.241251125835</v>
      </c>
      <c r="O29" s="36">
        <v>456.73302052970251</v>
      </c>
      <c r="P29" s="35">
        <v>14651.387799250142</v>
      </c>
      <c r="Q29" s="36">
        <v>399.46413483655755</v>
      </c>
      <c r="R29" s="35">
        <v>14636.585796957763</v>
      </c>
      <c r="S29" s="36">
        <v>343.40281267693052</v>
      </c>
      <c r="T29" s="35">
        <v>14599.591251422735</v>
      </c>
      <c r="U29" s="36">
        <v>288.86021791915414</v>
      </c>
      <c r="V29" s="35">
        <v>14534.079912838853</v>
      </c>
      <c r="W29" s="36">
        <v>236.28070680886808</v>
      </c>
      <c r="X29" s="35">
        <v>14430.335697554192</v>
      </c>
      <c r="Y29" s="36">
        <v>186.29562030546847</v>
      </c>
      <c r="Z29" s="35">
        <v>14272.779753353459</v>
      </c>
      <c r="AA29" s="36">
        <v>139.79376689089401</v>
      </c>
      <c r="AB29" s="35">
        <v>14034.96777287326</v>
      </c>
      <c r="AC29" s="36">
        <v>98.000591754607314</v>
      </c>
      <c r="AD29" s="35">
        <v>13668.627121277161</v>
      </c>
      <c r="AE29" s="36">
        <v>62.510638469135955</v>
      </c>
      <c r="AF29" s="35">
        <v>13077.624576511187</v>
      </c>
      <c r="AG29" s="36">
        <v>35.113303690048767</v>
      </c>
      <c r="AH29" s="35">
        <v>12055.200309381629</v>
      </c>
      <c r="AI29" s="36">
        <v>17.077767986776422</v>
      </c>
      <c r="AJ29" s="35">
        <v>10190.178489080879</v>
      </c>
      <c r="AK29" s="36">
        <v>7.7796398558070834</v>
      </c>
      <c r="AL29" s="35"/>
      <c r="AM29" s="36"/>
      <c r="AN29" s="35"/>
      <c r="AO29" s="36"/>
      <c r="AP29" s="35"/>
      <c r="AQ29" s="36"/>
      <c r="AR29" s="35"/>
      <c r="AS29" s="36"/>
      <c r="AT29" s="35"/>
      <c r="AU29" s="36"/>
      <c r="AV29" s="35"/>
      <c r="AW29" s="36"/>
    </row>
    <row r="30" spans="1:49" x14ac:dyDescent="0.2">
      <c r="A30" t="s">
        <v>48</v>
      </c>
      <c r="B30" s="119">
        <v>2924829.9599999995</v>
      </c>
      <c r="D30" s="119">
        <v>3027969.4057485708</v>
      </c>
      <c r="F30" s="119">
        <v>3130864.9987239623</v>
      </c>
      <c r="H30" s="119">
        <v>3233764.6711240788</v>
      </c>
      <c r="J30" s="119">
        <v>3336880.4960656771</v>
      </c>
      <c r="L30" s="119">
        <v>3440390.8068538331</v>
      </c>
      <c r="N30" s="119">
        <v>3544446.9934082972</v>
      </c>
      <c r="P30" s="119">
        <v>3649174.2336835298</v>
      </c>
      <c r="R30" s="119">
        <v>3754672.990895927</v>
      </c>
      <c r="T30" s="119">
        <v>3861013.4798130118</v>
      </c>
      <c r="V30" s="119">
        <v>3968213.8153880034</v>
      </c>
      <c r="X30" s="119">
        <v>4076146.8060263372</v>
      </c>
      <c r="Z30" s="119">
        <v>4184216.6299451198</v>
      </c>
      <c r="AB30" s="119">
        <v>4290246.4440304153</v>
      </c>
      <c r="AD30" s="119">
        <v>4386630.2176571302</v>
      </c>
      <c r="AF30" s="119">
        <v>4446878.9107696218</v>
      </c>
      <c r="AH30" s="119">
        <v>4381180.5480277743</v>
      </c>
      <c r="AJ30" s="119">
        <v>3940645.0677721999</v>
      </c>
      <c r="AL30" s="119"/>
      <c r="AN30" s="119"/>
      <c r="AP30" s="119"/>
      <c r="AR30" s="119"/>
      <c r="AT30" s="119"/>
      <c r="AV30" s="119"/>
    </row>
    <row r="31" spans="1:49" x14ac:dyDescent="0.2">
      <c r="A31" t="s">
        <v>47</v>
      </c>
      <c r="B31" s="80">
        <v>1</v>
      </c>
      <c r="D31" s="80">
        <v>1.0025945862222858</v>
      </c>
      <c r="F31" s="80">
        <v>1.0041679729175457</v>
      </c>
      <c r="H31" s="80">
        <v>1.0046825583600916</v>
      </c>
      <c r="J31" s="80">
        <v>1.0040707820915791</v>
      </c>
      <c r="L31" s="80">
        <v>1.0022314066678499</v>
      </c>
      <c r="N31" s="80">
        <v>0.99902169236050808</v>
      </c>
      <c r="P31" s="80">
        <v>0.99424555845089935</v>
      </c>
      <c r="R31" s="80">
        <v>0.98763445461175026</v>
      </c>
      <c r="T31" s="80">
        <v>0.97881695781569544</v>
      </c>
      <c r="V31" s="80">
        <v>0.96726874007810382</v>
      </c>
      <c r="X31" s="80">
        <v>0.95222684459547913</v>
      </c>
      <c r="Z31" s="80">
        <v>0.93253538315139317</v>
      </c>
      <c r="AB31" s="80">
        <v>0.90634862423340012</v>
      </c>
      <c r="AD31" s="80">
        <v>0.87051974827210887</v>
      </c>
      <c r="AF31" s="80">
        <v>0.81925305752022481</v>
      </c>
      <c r="AH31" s="80">
        <v>0.74114205885422446</v>
      </c>
      <c r="AJ31" s="80">
        <v>0.61556986912424705</v>
      </c>
      <c r="AL31" s="80"/>
      <c r="AN31" s="80"/>
      <c r="AP31" s="80"/>
      <c r="AR31" s="80"/>
      <c r="AT31" s="80"/>
      <c r="AV31" s="80"/>
    </row>
    <row r="32" spans="1:49" x14ac:dyDescent="0.2">
      <c r="A32" t="s">
        <v>64</v>
      </c>
      <c r="B32" s="86">
        <v>14734457.915000005</v>
      </c>
      <c r="D32" s="86">
        <v>14809764.000896422</v>
      </c>
      <c r="F32" s="86">
        <v>14874073.14694708</v>
      </c>
      <c r="H32" s="86">
        <v>14927204.331459893</v>
      </c>
      <c r="J32" s="86">
        <v>14968611.657238754</v>
      </c>
      <c r="L32" s="86">
        <v>14997352.026040686</v>
      </c>
      <c r="N32" s="86">
        <v>15012001.662232362</v>
      </c>
      <c r="P32" s="86">
        <v>15010529.927375205</v>
      </c>
      <c r="R32" s="86">
        <v>14990088.970827393</v>
      </c>
      <c r="T32" s="86">
        <v>14946670.65076145</v>
      </c>
      <c r="V32" s="86">
        <v>14874519.056825094</v>
      </c>
      <c r="X32" s="86">
        <v>14765061.130777881</v>
      </c>
      <c r="Z32" s="86">
        <v>14604809.069615785</v>
      </c>
      <c r="AB32" s="86">
        <v>14370833.616145637</v>
      </c>
      <c r="AD32" s="86">
        <v>14019991.082551206</v>
      </c>
      <c r="AF32" s="86">
        <v>13460839.339668533</v>
      </c>
      <c r="AH32" s="86">
        <v>12479818.657432977</v>
      </c>
      <c r="AJ32" s="86">
        <v>10618887.104927519</v>
      </c>
      <c r="AL32" s="86"/>
      <c r="AN32" s="86"/>
      <c r="AP32" s="86"/>
      <c r="AR32" s="86"/>
      <c r="AT32" s="86"/>
      <c r="AV32" s="86"/>
    </row>
    <row r="33" spans="1:49 16319:16321" x14ac:dyDescent="0.2">
      <c r="A33" t="s">
        <v>54</v>
      </c>
      <c r="B33" s="117">
        <v>7019665.6909999885</v>
      </c>
      <c r="D33" s="117">
        <v>7055542.6337450892</v>
      </c>
      <c r="F33" s="117">
        <v>7086180.3010513969</v>
      </c>
      <c r="H33" s="117">
        <v>7111492.3191114087</v>
      </c>
      <c r="J33" s="117">
        <v>7131219.2910221517</v>
      </c>
      <c r="L33" s="117">
        <v>7144911.4938429445</v>
      </c>
      <c r="N33" s="117">
        <v>7151890.7604867276</v>
      </c>
      <c r="P33" s="117">
        <v>7151189.6166532803</v>
      </c>
      <c r="R33" s="117">
        <v>7141451.3493290413</v>
      </c>
      <c r="T33" s="117">
        <v>7120766.3205417451</v>
      </c>
      <c r="V33" s="117">
        <v>7086392.4469780084</v>
      </c>
      <c r="X33" s="117">
        <v>7034245.4030434517</v>
      </c>
      <c r="Z33" s="117">
        <v>6957899.5043849796</v>
      </c>
      <c r="AB33" s="117">
        <v>6846430.8913656054</v>
      </c>
      <c r="AD33" s="117">
        <v>6679285.4495802112</v>
      </c>
      <c r="AF33" s="117">
        <v>6412899.1133285137</v>
      </c>
      <c r="AH33" s="117">
        <v>5945529.5457715318</v>
      </c>
      <c r="AJ33" s="117">
        <v>5058960.2934244499</v>
      </c>
      <c r="AL33" s="117"/>
      <c r="AN33" s="117"/>
      <c r="AP33" s="117"/>
      <c r="AR33" s="117"/>
      <c r="AT33" s="117"/>
      <c r="AV33" s="117"/>
    </row>
    <row r="34" spans="1:49 16319:16321" x14ac:dyDescent="0.2">
      <c r="A34" t="s">
        <v>75</v>
      </c>
      <c r="B34" s="117">
        <v>1136879.4410000162</v>
      </c>
      <c r="D34" s="117">
        <v>1142689.6309865047</v>
      </c>
      <c r="F34" s="117">
        <v>1147651.5391315855</v>
      </c>
      <c r="H34" s="117">
        <v>1151751.3328507168</v>
      </c>
      <c r="J34" s="117">
        <v>1154946.1873704451</v>
      </c>
      <c r="L34" s="117">
        <v>1157163.7760848077</v>
      </c>
      <c r="N34" s="117">
        <v>1158294.1004998533</v>
      </c>
      <c r="P34" s="117">
        <v>1158180.5374806651</v>
      </c>
      <c r="R34" s="117">
        <v>1156603.3161421623</v>
      </c>
      <c r="T34" s="117">
        <v>1153253.2903980608</v>
      </c>
      <c r="V34" s="117">
        <v>1147686.2484583745</v>
      </c>
      <c r="X34" s="117">
        <v>1139240.7319700001</v>
      </c>
      <c r="Z34" s="117">
        <v>1126875.9923298862</v>
      </c>
      <c r="AB34" s="117">
        <v>1108822.9534104175</v>
      </c>
      <c r="AD34" s="117">
        <v>1081752.7014568313</v>
      </c>
      <c r="AF34" s="117">
        <v>1038609.7390704087</v>
      </c>
      <c r="AH34" s="117">
        <v>962916.26923403656</v>
      </c>
      <c r="AJ34" s="117">
        <v>819330.74547289079</v>
      </c>
      <c r="AL34" s="117"/>
      <c r="AN34" s="117"/>
      <c r="AP34" s="117"/>
      <c r="AR34" s="117"/>
      <c r="AT34" s="117"/>
      <c r="AV34" s="117"/>
    </row>
    <row r="35" spans="1:49 16319:16321" x14ac:dyDescent="0.2">
      <c r="A35" t="s">
        <v>78</v>
      </c>
      <c r="B35" s="233">
        <v>1</v>
      </c>
      <c r="D35" s="233">
        <v>1.0025114227352976</v>
      </c>
      <c r="F35" s="233">
        <v>1.0052992341244826</v>
      </c>
      <c r="H35" s="233">
        <v>1.0084098258681553</v>
      </c>
      <c r="J35" s="233">
        <v>1.0119020490644319</v>
      </c>
      <c r="L35" s="233">
        <v>1.015851477433531</v>
      </c>
      <c r="N35" s="233">
        <v>1.0203572423143452</v>
      </c>
      <c r="P35" s="233">
        <v>1.025551948976005</v>
      </c>
      <c r="R35" s="233">
        <v>1.0316172176439855</v>
      </c>
      <c r="T35" s="233">
        <v>1.0388082075212293</v>
      </c>
      <c r="V35" s="233">
        <v>1.0474936349787682</v>
      </c>
      <c r="X35" s="233">
        <v>1.0582220531823534</v>
      </c>
      <c r="Z35" s="233">
        <v>1.0718328423542336</v>
      </c>
      <c r="AB35" s="233">
        <v>1.0896365548038247</v>
      </c>
      <c r="AD35" s="233">
        <v>1.1136615034224278</v>
      </c>
      <c r="AF35" s="233">
        <v>1.1467141866932637</v>
      </c>
      <c r="AH35" s="233">
        <v>1.1906758454408546</v>
      </c>
      <c r="AJ35" s="233">
        <v>1.2377183071081612</v>
      </c>
      <c r="AL35" s="233"/>
      <c r="AN35" s="233"/>
      <c r="AP35" s="233"/>
      <c r="AR35" s="233"/>
      <c r="AT35" s="233"/>
      <c r="AV35" s="233"/>
    </row>
    <row r="36" spans="1:49 16319:16321" x14ac:dyDescent="0.2">
      <c r="A36" t="s">
        <v>21</v>
      </c>
      <c r="B36" s="37">
        <v>0.47195767671988198</v>
      </c>
      <c r="C36" s="38">
        <v>0.31738834428178964</v>
      </c>
      <c r="D36" s="37">
        <v>0.47198315323282525</v>
      </c>
      <c r="E36" s="38">
        <v>0.32018603183763561</v>
      </c>
      <c r="F36" s="37">
        <v>0.47200937916505659</v>
      </c>
      <c r="G36" s="38">
        <v>0.32322790207768848</v>
      </c>
      <c r="H36" s="37">
        <v>0.47203655786145582</v>
      </c>
      <c r="I36" s="38">
        <v>0.32655408211863979</v>
      </c>
      <c r="J36" s="37">
        <v>0.47206491215565932</v>
      </c>
      <c r="K36" s="38">
        <v>0.33021230647639871</v>
      </c>
      <c r="L36" s="37">
        <v>0.47209467368702474</v>
      </c>
      <c r="M36" s="38">
        <v>0.33426012737408251</v>
      </c>
      <c r="N36" s="37">
        <v>0.47212608815086426</v>
      </c>
      <c r="O36" s="38">
        <v>0.33876837973377744</v>
      </c>
      <c r="P36" s="37">
        <v>0.47215939709814192</v>
      </c>
      <c r="Q36" s="38">
        <v>0.34382577226306804</v>
      </c>
      <c r="R36" s="37">
        <v>0.47219481073730363</v>
      </c>
      <c r="S36" s="38">
        <v>0.34954576598162346</v>
      </c>
      <c r="T36" s="37">
        <v>0.47223244910614043</v>
      </c>
      <c r="U36" s="38">
        <v>0.35607679776579809</v>
      </c>
      <c r="V36" s="37">
        <v>0.47227223564312998</v>
      </c>
      <c r="W36" s="38">
        <v>0.36361809840865089</v>
      </c>
      <c r="X36" s="37">
        <v>0.47231369830490022</v>
      </c>
      <c r="Y36" s="38">
        <v>0.37244414855527619</v>
      </c>
      <c r="Z36" s="37">
        <v>0.47235561716012503</v>
      </c>
      <c r="AA36" s="38">
        <v>0.38294222439905429</v>
      </c>
      <c r="AB36" s="37">
        <v>0.47239544561478464</v>
      </c>
      <c r="AC36" s="38">
        <v>0.39566523653363012</v>
      </c>
      <c r="AD36" s="37">
        <v>0.47242851665595853</v>
      </c>
      <c r="AE36" s="38">
        <v>0.4113788166097655</v>
      </c>
      <c r="AF36" s="37">
        <v>0.47244766380639375</v>
      </c>
      <c r="AG36" s="38">
        <v>0.43095625858482745</v>
      </c>
      <c r="AH36" s="37">
        <v>0.47244604015500258</v>
      </c>
      <c r="AI36" s="38">
        <v>0.45443054160843832</v>
      </c>
      <c r="AJ36" s="37">
        <v>0.47242822875646889</v>
      </c>
      <c r="AK36" s="38">
        <v>0.47739999040302489</v>
      </c>
      <c r="AL36" s="37"/>
      <c r="AM36" s="38"/>
      <c r="AN36" s="37"/>
      <c r="AO36" s="38"/>
      <c r="AP36" s="37"/>
      <c r="AQ36" s="38"/>
      <c r="AR36" s="37"/>
      <c r="AS36" s="38"/>
      <c r="AT36" s="37"/>
      <c r="AU36" s="38"/>
      <c r="AV36" s="37"/>
      <c r="AW36" s="38"/>
    </row>
    <row r="37" spans="1:49 16319:16321" x14ac:dyDescent="0.2">
      <c r="B37" s="39">
        <v>2.1403217525954466E-2</v>
      </c>
      <c r="C37" s="40">
        <v>0.3496246130199252</v>
      </c>
      <c r="D37" s="39">
        <v>2.0616582037078088E-2</v>
      </c>
      <c r="E37" s="40">
        <v>0.34487601394397532</v>
      </c>
      <c r="F37" s="39">
        <v>1.9830267789543429E-2</v>
      </c>
      <c r="G37" s="40">
        <v>0.34009093161005421</v>
      </c>
      <c r="H37" s="39">
        <v>1.9042582038527649E-2</v>
      </c>
      <c r="I37" s="40">
        <v>0.33526053672534356</v>
      </c>
      <c r="J37" s="39">
        <v>1.8251954198430179E-2</v>
      </c>
      <c r="K37" s="40">
        <v>0.33037664015695078</v>
      </c>
      <c r="L37" s="39">
        <v>1.7456878802990419E-2</v>
      </c>
      <c r="M37" s="40">
        <v>0.32543143958976456</v>
      </c>
      <c r="N37" s="39">
        <v>1.6655793821196724E-2</v>
      </c>
      <c r="O37" s="40">
        <v>0.32041690529433947</v>
      </c>
      <c r="P37" s="39">
        <v>1.5846991235111234E-2</v>
      </c>
      <c r="Q37" s="40">
        <v>0.31532433040459362</v>
      </c>
      <c r="R37" s="39">
        <v>1.5028484238795563E-2</v>
      </c>
      <c r="S37" s="40">
        <v>0.31014364023778751</v>
      </c>
      <c r="T37" s="39">
        <v>1.4197854948805622E-2</v>
      </c>
      <c r="U37" s="40">
        <v>0.30486260672956467</v>
      </c>
      <c r="V37" s="39">
        <v>1.3352057102660428E-2</v>
      </c>
      <c r="W37" s="40">
        <v>0.2994658514406579</v>
      </c>
      <c r="X37" s="39">
        <v>1.2487232212602646E-2</v>
      </c>
      <c r="Y37" s="40">
        <v>0.29393406566732616</v>
      </c>
      <c r="Z37" s="39">
        <v>1.1598662454026999E-2</v>
      </c>
      <c r="AA37" s="40">
        <v>0.28824436005083975</v>
      </c>
      <c r="AB37" s="39">
        <v>1.068133434084337E-2</v>
      </c>
      <c r="AC37" s="40">
        <v>0.28237495178412164</v>
      </c>
      <c r="AD37" s="39">
        <v>9.7326920941960566E-3</v>
      </c>
      <c r="AE37" s="40">
        <v>0.27632434537568418</v>
      </c>
      <c r="AF37" s="39">
        <v>8.762474432922494E-3</v>
      </c>
      <c r="AG37" s="40">
        <v>0.2701748884801895</v>
      </c>
      <c r="AH37" s="39">
        <v>7.8232017768471041E-3</v>
      </c>
      <c r="AI37" s="40">
        <v>0.26427861042082623</v>
      </c>
      <c r="AJ37" s="39">
        <v>7.0774804807437674E-3</v>
      </c>
      <c r="AK37" s="40">
        <v>0.25967829341019982</v>
      </c>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0.18173620625329065</v>
      </c>
      <c r="E38" s="38">
        <v>6.1201602656215451E-2</v>
      </c>
      <c r="F38" s="37">
        <v>0.18263750463790518</v>
      </c>
      <c r="G38" s="38">
        <v>6.1857251042203909E-2</v>
      </c>
      <c r="H38" s="37">
        <v>0.18349164056787251</v>
      </c>
      <c r="I38" s="38">
        <v>6.2536047948871062E-2</v>
      </c>
      <c r="J38" s="37">
        <v>0.18429368932372461</v>
      </c>
      <c r="K38" s="38">
        <v>6.3241922409316351E-2</v>
      </c>
      <c r="L38" s="37">
        <v>0.18503670237271366</v>
      </c>
      <c r="M38" s="38">
        <v>6.3979588997687034E-2</v>
      </c>
      <c r="N38" s="37">
        <v>0.18571130174864012</v>
      </c>
      <c r="O38" s="38">
        <v>6.4754414764196369E-2</v>
      </c>
      <c r="P38" s="37">
        <v>0.18630507063938279</v>
      </c>
      <c r="Q38" s="38">
        <v>6.5572955077180639E-2</v>
      </c>
      <c r="R38" s="37">
        <v>0.18680173756289459</v>
      </c>
      <c r="S38" s="38">
        <v>6.6443379362100263E-2</v>
      </c>
      <c r="T38" s="37">
        <v>0.18718000232706977</v>
      </c>
      <c r="U38" s="38">
        <v>6.7376402893418758E-2</v>
      </c>
      <c r="V38" s="37">
        <v>0.18741193682977797</v>
      </c>
      <c r="W38" s="38">
        <v>6.8386480620411194E-2</v>
      </c>
      <c r="X38" s="37">
        <v>0.18746053968951268</v>
      </c>
      <c r="Y38" s="38">
        <v>6.9494017924308524E-2</v>
      </c>
      <c r="Z38" s="37">
        <v>0.18727600786968884</v>
      </c>
      <c r="AA38" s="38">
        <v>7.0728914843329826E-2</v>
      </c>
      <c r="AB38" s="37">
        <v>0.18678981160036864</v>
      </c>
      <c r="AC38" s="38">
        <v>7.2135206902232851E-2</v>
      </c>
      <c r="AD38" s="37">
        <v>0.18590606659804107</v>
      </c>
      <c r="AE38" s="38">
        <v>7.3775518067225251E-2</v>
      </c>
      <c r="AF38" s="37">
        <v>0.18449797414376828</v>
      </c>
      <c r="AG38" s="38">
        <v>7.5721911859443269E-2</v>
      </c>
      <c r="AH38" s="37">
        <v>0.18247652976865802</v>
      </c>
      <c r="AI38" s="38">
        <v>7.7977435142999429E-2</v>
      </c>
      <c r="AJ38" s="37">
        <v>0.18021021934179246</v>
      </c>
      <c r="AK38" s="38">
        <v>8.005921702300707E-2</v>
      </c>
      <c r="AL38" s="37"/>
      <c r="AM38" s="38"/>
      <c r="AN38" s="37"/>
      <c r="AO38" s="38"/>
      <c r="AP38" s="37"/>
      <c r="AQ38" s="38"/>
      <c r="AR38" s="37"/>
      <c r="AS38" s="38"/>
      <c r="AT38" s="37"/>
      <c r="AU38" s="38"/>
      <c r="AV38" s="37"/>
      <c r="AW38" s="38"/>
    </row>
    <row r="39" spans="1:49 16319:16321" x14ac:dyDescent="0.2">
      <c r="A39" t="s">
        <v>23</v>
      </c>
      <c r="B39" s="39">
        <v>0.23064923795098732</v>
      </c>
      <c r="C39" s="40">
        <v>0.22092201281804777</v>
      </c>
      <c r="D39" s="39">
        <v>0.23009268493544674</v>
      </c>
      <c r="E39" s="40">
        <v>0.22212954356990114</v>
      </c>
      <c r="F39" s="39">
        <v>0.22970324039051646</v>
      </c>
      <c r="G39" s="40">
        <v>0.22352936145095698</v>
      </c>
      <c r="H39" s="39">
        <v>0.22948004393397214</v>
      </c>
      <c r="I39" s="40">
        <v>0.22514048669082173</v>
      </c>
      <c r="J39" s="39">
        <v>0.22942831914986245</v>
      </c>
      <c r="K39" s="40">
        <v>0.22698899292957211</v>
      </c>
      <c r="L39" s="39">
        <v>0.22956003244012826</v>
      </c>
      <c r="M39" s="40">
        <v>0.22910912744199396</v>
      </c>
      <c r="N39" s="39">
        <v>0.22989537997131895</v>
      </c>
      <c r="O39" s="40">
        <v>0.23154634126234525</v>
      </c>
      <c r="P39" s="39">
        <v>0.23046544321628556</v>
      </c>
      <c r="Q39" s="40">
        <v>0.23436101094944525</v>
      </c>
      <c r="R39" s="39">
        <v>0.23131670403256108</v>
      </c>
      <c r="S39" s="40">
        <v>0.23763482665912342</v>
      </c>
      <c r="T39" s="39">
        <v>0.23251882546902669</v>
      </c>
      <c r="U39" s="40">
        <v>0.24148080591705326</v>
      </c>
      <c r="V39" s="39">
        <v>0.23417840832019379</v>
      </c>
      <c r="W39" s="40">
        <v>0.24606055403722937</v>
      </c>
      <c r="X39" s="39">
        <v>0.23646483777130142</v>
      </c>
      <c r="Y39" s="40">
        <v>0.25161420671584955</v>
      </c>
      <c r="Z39" s="39">
        <v>0.23966208469661524</v>
      </c>
      <c r="AA39" s="40">
        <v>0.2585157811547561</v>
      </c>
      <c r="AB39" s="39">
        <v>0.24428221318552545</v>
      </c>
      <c r="AC39" s="40">
        <v>0.2673828463047459</v>
      </c>
      <c r="AD39" s="39">
        <v>0.25134292636213651</v>
      </c>
      <c r="AE39" s="40">
        <v>0.27930908623438006</v>
      </c>
      <c r="AF39" s="39">
        <v>0.26314487718512436</v>
      </c>
      <c r="AG39" s="40">
        <v>0.29642272476006748</v>
      </c>
      <c r="AH39" s="39">
        <v>0.28580903040320765</v>
      </c>
      <c r="AI39" s="40">
        <v>0.32363660056704746</v>
      </c>
      <c r="AJ39" s="39">
        <v>0.33834715430722551</v>
      </c>
      <c r="AK39" s="40">
        <v>0.38156489749223882</v>
      </c>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9.9570235175720195E-2</v>
      </c>
      <c r="E42" s="135"/>
      <c r="F42" s="177">
        <f>10.8%+(1-10.8%)*(1-SUM(F26:G26)/SUM($B$26:$C$26))</f>
        <v>9.1960563172487367E-2</v>
      </c>
      <c r="G42" s="135"/>
      <c r="H42" s="177">
        <f>10.8%+(1-10.8%)*(1-SUM(H26:I26)/SUM($B$26:$C$26))</f>
        <v>8.5203823138899626E-2</v>
      </c>
      <c r="I42" s="135"/>
      <c r="J42" s="177">
        <f>10.8%+(1-10.8%)*(1-SUM(J26:K26)/SUM($B$26:$C$26))</f>
        <v>7.9362802206818017E-2</v>
      </c>
      <c r="K42" s="135"/>
      <c r="L42" s="177">
        <f>10.8%+(1-10.8%)*(1-SUM(L26:M26)/SUM($B$26:$C$26))</f>
        <v>7.453470246383187E-2</v>
      </c>
      <c r="M42" s="135"/>
      <c r="N42" s="177">
        <f>10.8%+(1-10.8%)*(1-SUM(N26:O26)/SUM($B$26:$C$26))</f>
        <v>7.0859412678922998E-2</v>
      </c>
      <c r="O42" s="135"/>
      <c r="P42" s="177">
        <f>10.8%+(1-10.8%)*(1-SUM(P26:Q26)/SUM($B$26:$C$26))</f>
        <v>6.853223214096299E-2</v>
      </c>
      <c r="Q42" s="135"/>
      <c r="R42" s="177">
        <f>10.8%+(1-10.8%)*(1-SUM(R26:S26)/SUM($B$26:$C$26))</f>
        <v>6.7823828250868023E-2</v>
      </c>
      <c r="S42" s="135"/>
      <c r="T42" s="177">
        <f>10.8%+(1-10.8%)*(1-SUM(T26:U26)/SUM($B$26:$C$26))</f>
        <v>6.9112060566335884E-2</v>
      </c>
      <c r="U42" s="135"/>
      <c r="V42" s="177">
        <f>10.8%+(1-10.8%)*(1-SUM(V26:W26)/SUM($B$26:$C$26))</f>
        <v>7.2933757527063214E-2</v>
      </c>
      <c r="W42" s="135"/>
      <c r="X42" s="177">
        <f>10.8%+(1-10.8%)*(1-SUM(X26:Y26)/SUM($B$26:$C$26))</f>
        <v>8.0074590439040583E-2</v>
      </c>
      <c r="Y42" s="162"/>
      <c r="Z42" s="177">
        <f>10.8%+(1-10.8%)*(1-SUM(Z26:AA26)/SUM($B$26:$C$26))</f>
        <v>9.1733085533345249E-2</v>
      </c>
      <c r="AA42" s="135"/>
      <c r="AB42" s="177">
        <f>10.8%+(1-10.8%)*(1-SUM(AB26:AC26)/SUM($B$26:$C$26))</f>
        <v>0.10984272341572311</v>
      </c>
      <c r="AC42" s="135"/>
      <c r="AD42" s="177">
        <f>10.8%+(1-10.8%)*(1-SUM(AD26:AE26)/SUM($B$26:$C$26))</f>
        <v>0.13775154149375676</v>
      </c>
      <c r="AE42" s="135"/>
      <c r="AF42" s="177">
        <f>10.8%+(1-10.8%)*(1-SUM(AF26:AG26)/SUM($B$26:$C$26))</f>
        <v>0.18174045930087143</v>
      </c>
      <c r="AG42" s="135"/>
      <c r="AH42" s="177">
        <f>10.8%+(1-10.8%)*(1-SUM(AH26:AI26)/SUM($B$26:$C$26))</f>
        <v>0.25429509292291635</v>
      </c>
      <c r="AI42" s="135"/>
      <c r="AJ42" s="177">
        <f>10.8%+(1-10.8%)*(1-SUM(AJ26:AK26)/SUM($B$26:$C$26))</f>
        <v>0.37765421944513966</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0.56097851529026921</v>
      </c>
      <c r="E43" s="135"/>
      <c r="F43" s="162">
        <f t="array" ref="F43">SUM(F15:G15*F27:G27)/SUM(F15:G15*F27:G27,F13:G13*F26:G26)</f>
        <v>0.55457832976306198</v>
      </c>
      <c r="G43" s="135"/>
      <c r="H43" s="162">
        <f t="array" ref="H43">SUM(H15:I15*H27:I27)/SUM(H15:I15*H27:I27,H13:I13*H26:I26)</f>
        <v>0.54795964547290421</v>
      </c>
      <c r="I43" s="135"/>
      <c r="J43" s="162">
        <f t="array" ref="J43">SUM(J15:K15*J27:K27)/SUM(J15:K15*J27:K27,J13:K13*J26:K26)</f>
        <v>0.54107606965512667</v>
      </c>
      <c r="K43" s="135"/>
      <c r="L43" s="162">
        <f t="array" ref="L43">SUM(L15:M15*L27:M27)/SUM(L15:M15*L27:M27,L13:M13*L26:M26)</f>
        <v>0.53387244572438575</v>
      </c>
      <c r="M43" s="135"/>
      <c r="N43" s="162">
        <f t="array" ref="N43">SUM(N15:O15*N27:O27)/SUM(N15:O15*N27:O27,N13:O13*N26:O26)</f>
        <v>0.52628084844509526</v>
      </c>
      <c r="O43" s="135"/>
      <c r="P43" s="162">
        <f t="array" ref="P43">SUM(P15:Q15*P27:Q27)/SUM(P15:Q15*P27:Q27,P13:Q13*P26:Q26)</f>
        <v>0.51821483847434102</v>
      </c>
      <c r="Q43" s="135"/>
      <c r="R43" s="162">
        <f t="array" ref="R43">SUM(R15:S15*R27:S27)/SUM(R15:S15*R27:S27,R13:S13*R26:S26)</f>
        <v>0.50956043904175352</v>
      </c>
      <c r="S43" s="135"/>
      <c r="T43" s="162">
        <f t="array" ref="T43">SUM(T15:U15*T27:U27)/SUM(T15:U15*T27:U27,T13:U13*T26:U26)</f>
        <v>0.50016184330711244</v>
      </c>
      <c r="U43" s="135"/>
      <c r="V43" s="162">
        <f t="array" ref="V43">SUM(V15:W15*V27:W27)/SUM(V15:W15*V27:W27,V13:W13*V26:W26)</f>
        <v>0.48979749518410171</v>
      </c>
      <c r="W43" s="135"/>
      <c r="X43" s="162">
        <f t="array" ref="X43">SUM(X15:Y15*X27:Y27)/SUM(X15:Y15*X27:Y27,X13:Y13*X26:Y26)</f>
        <v>0.47814014540658023</v>
      </c>
      <c r="Y43" s="135"/>
      <c r="Z43" s="162">
        <f t="array" ref="Z43">SUM(Z15:AA15*Z27:AA27)/SUM(Z15:AA15*Z27:AA27,Z13:AA13*Z26:AA26)</f>
        <v>0.46468894845121594</v>
      </c>
      <c r="AA43" s="135"/>
      <c r="AB43" s="162">
        <f t="array" ref="AB43">SUM(AB15:AC15*AB27:AC27)/SUM(AB15:AC15*AB27:AC27,AB13:AC13*AB26:AC26)</f>
        <v>0.44865853060016497</v>
      </c>
      <c r="AC43" s="135"/>
      <c r="AD43" s="162">
        <f t="array" ref="AD43">SUM(AD15:AE15*AD27:AE27)/SUM(AD15:AE15*AD27:AE27,AD13:AE13*AD26:AE26)</f>
        <v>0.42882935626280266</v>
      </c>
      <c r="AE43" s="135"/>
      <c r="AF43" s="162">
        <f t="array" ref="AF43">SUM(AF15:AG15*AF27:AG27)/SUM(AF15:AG15*AF27:AG27,AF13:AG13*AF26:AG26)</f>
        <v>0.40352988105668974</v>
      </c>
      <c r="AG43" s="135"/>
      <c r="AH43" s="162">
        <f t="array" ref="AH43">SUM(AH15:AI15*AH27:AI27)/SUM(AH15:AI15*AH27:AI27,AH13:AI13*AH26:AI26)</f>
        <v>0.37178741749829591</v>
      </c>
      <c r="AI43" s="135"/>
      <c r="AJ43" s="162">
        <f t="array" ref="AJ43">SUM(AJ15:AK15*AJ27:AK27)/SUM(AJ15:AK15*AJ27:AK27,AJ13:AK13*AJ26:AK26)</f>
        <v>0.33907909749029386</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0.29754224469661522</v>
      </c>
      <c r="F44" s="193">
        <f>(SUM(F11:G11*F24:G24)+F34)/F32</f>
        <v>0.29754224151593855</v>
      </c>
      <c r="H44" s="193">
        <f>(SUM(H11:I11*H24:I24)+H34)/H32</f>
        <v>0.29754226108526466</v>
      </c>
      <c r="J44" s="193">
        <f>(SUM(J11:K11*J24:K24)+J34)/J32</f>
        <v>0.2975422581255317</v>
      </c>
      <c r="L44" s="193">
        <f>(SUM(L11:M11*L24:M24)+L34)/L32</f>
        <v>0.2975422608235409</v>
      </c>
      <c r="N44" s="193">
        <f>(SUM(N11:O11*N24:O24)+N34)/N32</f>
        <v>0.29754226009184637</v>
      </c>
      <c r="P44" s="193">
        <f>(SUM(P11:Q11*P24:Q24)+P34)/P32</f>
        <v>0.29754225958357189</v>
      </c>
      <c r="R44" s="193">
        <f>(SUM(R11:S11*R24:S24)+R34)/R32</f>
        <v>0.29754225690320169</v>
      </c>
      <c r="T44" s="193">
        <f>(SUM(T11:U11*T24:U24)+T34)/T32</f>
        <v>0.29754225958769176</v>
      </c>
      <c r="V44" s="193">
        <f>(SUM(V11:W11*V24:W24)+V34)/V32</f>
        <v>0.29754226105884152</v>
      </c>
      <c r="X44" s="193">
        <f>(SUM(X11:Y11*X24:Y24)+X34)/X32</f>
        <v>0.297542262781605</v>
      </c>
      <c r="Z44" s="193">
        <f>(SUM(Z11:AA11*Z24:AA24)+Z34)/Z32</f>
        <v>0.29754226063089423</v>
      </c>
      <c r="AB44" s="193">
        <f>(SUM(AB11:AC11*AB24:AC24)+AB34)/AB32</f>
        <v>0.2975422611962783</v>
      </c>
      <c r="AD44" s="193">
        <f>(SUM(AD11:AE11*AD24:AE24)+AD34)/AD32</f>
        <v>0.29754226205785289</v>
      </c>
      <c r="AF44" s="193">
        <f>(SUM(AF11:AG11*AF24:AG24)+AF34)/AF32</f>
        <v>0.29754226183752025</v>
      </c>
      <c r="AH44" s="193">
        <f>(SUM(AH11:AI11*AH24:AI24)+AH34)/AH32</f>
        <v>0.29754226182483823</v>
      </c>
      <c r="AJ44" s="193">
        <f>(SUM(AJ11:AK11*AJ24:AK24)+AJ34)/AJ32</f>
        <v>0.29754226158689878</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0.22038438918201428</v>
      </c>
      <c r="F45" s="193">
        <f>SUM(F11:G11*F24:G24)/F32</f>
        <v>0.22038438920517847</v>
      </c>
      <c r="H45" s="193">
        <f>SUM(H11:I11*H24:I24)/H32</f>
        <v>0.2203843882997131</v>
      </c>
      <c r="J45" s="193">
        <f>SUM(J11:K11*J24:K24)/J32</f>
        <v>0.2203843884568428</v>
      </c>
      <c r="L45" s="193">
        <f>SUM(L11:M11*L24:M24)/L32</f>
        <v>0.22038438828207066</v>
      </c>
      <c r="N45" s="193">
        <f>SUM(N11:O11*N24:O24)/N32</f>
        <v>0.22038438823962539</v>
      </c>
      <c r="P45" s="193">
        <f>SUM(P11:Q11*P24:Q24)/P32</f>
        <v>0.22038438820366463</v>
      </c>
      <c r="R45" s="193">
        <f>SUM(R11:S11*R24:S24)/R32</f>
        <v>0.22038438823457276</v>
      </c>
      <c r="T45" s="193">
        <f>SUM(T11:U11*T24:U24)/T32</f>
        <v>0.22038438829015905</v>
      </c>
      <c r="V45" s="193">
        <f>SUM(V11:W11*V24:W24)/V32</f>
        <v>0.22038438831862914</v>
      </c>
      <c r="X45" s="193">
        <f>SUM(X11:Y11*X24:Y24)/X32</f>
        <v>0.22038438839968022</v>
      </c>
      <c r="Z45" s="193">
        <f>SUM(Z11:AA11*Z24:AA24)/Z32</f>
        <v>0.22038438838768448</v>
      </c>
      <c r="AB45" s="193">
        <f>SUM(AB11:AC11*AB24:AC24)/AB32</f>
        <v>0.2203843883109744</v>
      </c>
      <c r="AD45" s="193">
        <f>SUM(AD11:AE11*AD24:AE24)/AD32</f>
        <v>0.22038438834114682</v>
      </c>
      <c r="AF45" s="193">
        <f>SUM(AF11:AG11*AF24:AG24)/AF32</f>
        <v>0.22038438833035573</v>
      </c>
      <c r="AH45" s="193">
        <f>SUM(AH11:AI11*AH24:AI24)/AH32</f>
        <v>0.22038438832797264</v>
      </c>
      <c r="AJ45" s="193">
        <f>SUM(AJ11:AK11*AJ24:AK24)/AJ32</f>
        <v>0.22038438832043436</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7.7157855514600956E-2</v>
      </c>
      <c r="F46" s="193">
        <f>F34/F32</f>
        <v>7.7157852310760097E-2</v>
      </c>
      <c r="H46" s="193">
        <f>H34/H32</f>
        <v>7.7157872785551571E-2</v>
      </c>
      <c r="J46" s="193">
        <f>J34/J32</f>
        <v>7.71578696686889E-2</v>
      </c>
      <c r="L46" s="193">
        <f>L34/L32</f>
        <v>7.7157872541470232E-2</v>
      </c>
      <c r="N46" s="193">
        <f>N34/N32</f>
        <v>7.7157871852221005E-2</v>
      </c>
      <c r="P46" s="193">
        <f>P34/P32</f>
        <v>7.7157871379907289E-2</v>
      </c>
      <c r="R46" s="193">
        <f>R34/R32</f>
        <v>7.7157868668628879E-2</v>
      </c>
      <c r="T46" s="193">
        <f>T34/T32</f>
        <v>7.7157871297532668E-2</v>
      </c>
      <c r="V46" s="193">
        <f>V34/V32</f>
        <v>7.715787274021238E-2</v>
      </c>
      <c r="X46" s="193">
        <f>X34/X32</f>
        <v>7.7157874381924785E-2</v>
      </c>
      <c r="Z46" s="193">
        <f>Z34/Z32</f>
        <v>7.7157872243209774E-2</v>
      </c>
      <c r="AB46" s="193">
        <f>AB34/AB32</f>
        <v>7.7157872885303916E-2</v>
      </c>
      <c r="AD46" s="193">
        <f>AD34/AD32</f>
        <v>7.7157873716706085E-2</v>
      </c>
      <c r="AF46" s="193">
        <f>AF34/AF32</f>
        <v>7.7157873507164534E-2</v>
      </c>
      <c r="AH46" s="193">
        <f>AH34/AH32</f>
        <v>7.7157873496865592E-2</v>
      </c>
      <c r="AJ46" s="193">
        <f>AJ34/AJ32</f>
        <v>7.7157873266464422E-2</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1.0067499044426202</v>
      </c>
      <c r="E48" s="191"/>
      <c r="F48" s="191">
        <f>F24/$B$24</f>
        <v>1.0127941054457292</v>
      </c>
      <c r="G48" s="191"/>
      <c r="H48" s="191">
        <f>H24/$B$24</f>
        <v>1.0181287313811411</v>
      </c>
      <c r="I48" s="191"/>
      <c r="J48" s="191">
        <f>J24/$B$24</f>
        <v>1.022725186622359</v>
      </c>
      <c r="K48" s="191"/>
      <c r="L48" s="191">
        <f>L24/$B$24</f>
        <v>1.0265275891087973</v>
      </c>
      <c r="M48" s="191"/>
      <c r="N48" s="191">
        <f>N24/$B$24</f>
        <v>1.0294463467730974</v>
      </c>
      <c r="O48" s="191"/>
      <c r="P48" s="191">
        <f>P24/$B$24</f>
        <v>1.0313481589183384</v>
      </c>
      <c r="Q48" s="191"/>
      <c r="R48" s="191">
        <f>R24/$B$24</f>
        <v>1.0320392115842429</v>
      </c>
      <c r="S48" s="191"/>
      <c r="T48" s="191">
        <f>T24/$B$24</f>
        <v>1.031237497926317</v>
      </c>
      <c r="U48" s="191"/>
      <c r="V48" s="191">
        <f>V24/$B$24</f>
        <v>1.028525424293026</v>
      </c>
      <c r="W48" s="191"/>
      <c r="X48" s="191">
        <f>X24/$B$24</f>
        <v>1.0232643600989322</v>
      </c>
      <c r="Y48" s="191"/>
      <c r="Z48" s="191">
        <f>Z24/$B$24</f>
        <v>1.0144304888529077</v>
      </c>
      <c r="AA48" s="191"/>
      <c r="AB48" s="191">
        <f>AB24/$B$24</f>
        <v>1.0002719981186143</v>
      </c>
      <c r="AC48" s="191"/>
      <c r="AD48" s="191">
        <f>AD24/$B$24</f>
        <v>0.97752585157241467</v>
      </c>
      <c r="AE48" s="191"/>
      <c r="AF48" s="191">
        <f>AF24/$B$24</f>
        <v>0.93946198621422083</v>
      </c>
      <c r="AG48" s="191"/>
      <c r="AH48" s="191">
        <f>AH24/$B$24</f>
        <v>0.87092208102408109</v>
      </c>
      <c r="AI48" s="191"/>
      <c r="AJ48" s="191">
        <f>AJ24/$B$24</f>
        <v>0.74037727632854944</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0.99999998772723808</v>
      </c>
      <c r="E49" s="191"/>
      <c r="F49" s="191">
        <f>F13/F35/$B$13*$B$35</f>
        <v>0.99999998606182183</v>
      </c>
      <c r="G49" s="191"/>
      <c r="H49" s="191">
        <f>H13/H35/$B$13*$B$35</f>
        <v>0.99999999957526609</v>
      </c>
      <c r="I49" s="191"/>
      <c r="J49" s="191">
        <f>J13/J35/$B$13*$B$35</f>
        <v>0.99999999738466139</v>
      </c>
      <c r="K49" s="191"/>
      <c r="L49" s="191">
        <f>L13/L35/$B$13*$B$35</f>
        <v>0.99999999961014785</v>
      </c>
      <c r="M49" s="191"/>
      <c r="N49" s="191">
        <f>N13/N35/$B$13*$B$35</f>
        <v>0.99999999962439479</v>
      </c>
      <c r="O49" s="191"/>
      <c r="P49" s="191">
        <f>P13/P35/$B$13*$B$35</f>
        <v>1.0000000000649085</v>
      </c>
      <c r="Q49" s="191"/>
      <c r="R49" s="191">
        <f>R13/R35/$B$13*$B$35</f>
        <v>1.0000000008412211</v>
      </c>
      <c r="S49" s="191"/>
      <c r="T49" s="191">
        <f>T13/T35/$B$13*$B$35</f>
        <v>1.0000000005039369</v>
      </c>
      <c r="U49" s="191"/>
      <c r="V49" s="191">
        <f>V13/V35/$B$13*$B$35</f>
        <v>1.0000000001857727</v>
      </c>
      <c r="W49" s="191"/>
      <c r="X49" s="191">
        <f>X13/X35/$B$13*$B$35</f>
        <v>0.9999999941303177</v>
      </c>
      <c r="Y49" s="191"/>
      <c r="Z49" s="191">
        <f>Z13/Z35/$B$13*$B$35</f>
        <v>0.99999999510314175</v>
      </c>
      <c r="AA49" s="191"/>
      <c r="AB49" s="191">
        <f>AB13/AB35/$B$13*$B$35</f>
        <v>1.0000000016227564</v>
      </c>
      <c r="AC49" s="191"/>
      <c r="AD49" s="191">
        <f>AD13/AD35/$B$13*$B$35</f>
        <v>0.99999999872731515</v>
      </c>
      <c r="AE49" s="191"/>
      <c r="AF49" s="191">
        <f>AF13/AF35/$B$13*$B$35</f>
        <v>1.000000000350785</v>
      </c>
      <c r="AG49" s="191"/>
      <c r="AH49" s="191">
        <f>AH13/AH35/$B$13*$B$35</f>
        <v>1.0000000022928308</v>
      </c>
      <c r="AI49" s="191"/>
      <c r="AJ49" s="191">
        <f>AJ13/AJ35/$B$13*$B$35</f>
        <v>0.99999999977556309</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-319721.53714891663</v>
      </c>
      <c r="F51" s="29">
        <f>F30-F10*F23</f>
        <v>-231362.78255705582</v>
      </c>
      <c r="H51" s="29">
        <f>H30-H10*H23</f>
        <v>-140473.21276007267</v>
      </c>
      <c r="J51" s="29">
        <f>J30-J10*J23</f>
        <v>-46717.356651948299</v>
      </c>
      <c r="L51" s="29">
        <f>L30-L10*L23</f>
        <v>50296.302850748878</v>
      </c>
      <c r="N51" s="29">
        <f>N30-N10*N23</f>
        <v>151040.9947458352</v>
      </c>
      <c r="P51" s="29">
        <f>P30-P10*P23</f>
        <v>256100.91509965295</v>
      </c>
      <c r="R51" s="29">
        <f>R30-R10*R23</f>
        <v>366220.2729573492</v>
      </c>
      <c r="T51" s="29">
        <f>T30-T10*T23</f>
        <v>482375.30833390402</v>
      </c>
      <c r="V51" s="29">
        <f>V30-V10*V23</f>
        <v>605885.2378714825</v>
      </c>
      <c r="X51" s="29">
        <f>X30-X10*X23</f>
        <v>738560.77725228248</v>
      </c>
      <c r="Z51" s="29">
        <f>Z30-Z10*Z23</f>
        <v>882854.9713703827</v>
      </c>
      <c r="AB51" s="29">
        <f>AB30-AB10*AB23</f>
        <v>1041774.0486738454</v>
      </c>
      <c r="AD51" s="29">
        <f>AD30-AD10*AD23</f>
        <v>1217464.4454193483</v>
      </c>
      <c r="AF51" s="29">
        <f>AF30-AF10*AF23</f>
        <v>1404107.2677860511</v>
      </c>
      <c r="AH51" s="29">
        <f>AH30-AH10*AH23</f>
        <v>1560164.9068627539</v>
      </c>
      <c r="AJ51" s="29">
        <f>AJ30-AJ10*AJ23</f>
        <v>1540285.9410052206</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2073809.1885023837</v>
      </c>
      <c r="F52" s="29">
        <f t="array" ref="F52">Calibration!sL*SUM(F13:G13*F26:G26)</f>
        <v>2097150.9117941037</v>
      </c>
      <c r="H52" s="29">
        <f t="array" ref="H52">Calibration!sL*SUM(H13:I13*H26:I26)</f>
        <v>2119293.1616378692</v>
      </c>
      <c r="J52" s="29">
        <f t="array" ref="J52">Calibration!sL*SUM(J13:K13*J26:K26)</f>
        <v>2140211.1377338348</v>
      </c>
      <c r="L52" s="29">
        <f t="array" ref="L52">Calibration!sL*SUM(L13:M13*L26:M26)</f>
        <v>2159832.0538167832</v>
      </c>
      <c r="N52" s="29">
        <f t="array" ref="N52">Calibration!sL*SUM(N13:O13*N26:O26)</f>
        <v>2178027.2553579654</v>
      </c>
      <c r="P52" s="29">
        <f t="array" ref="P52">Calibration!sL*SUM(P13:Q13*P26:Q26)</f>
        <v>2194598.7270197715</v>
      </c>
      <c r="R52" s="29">
        <f t="array" ref="R52">Calibration!sL*SUM(R13:S13*R26:S26)</f>
        <v>2209256.8327899654</v>
      </c>
      <c r="T52" s="29">
        <f t="array" ref="T52">Calibration!sL*SUM(T13:U13*T26:U26)</f>
        <v>2221582.2837325218</v>
      </c>
      <c r="V52" s="29">
        <f t="array" ref="V52">Calibration!sL*SUM(V13:W13*V26:W26)</f>
        <v>2230960.0188002978</v>
      </c>
      <c r="X52" s="29">
        <f t="array" ref="X52">Calibration!sL*SUM(X13:Y13*X26:Y26)</f>
        <v>2236449.2497777776</v>
      </c>
      <c r="Z52" s="29">
        <f t="array" ref="Z52">Calibration!sL*SUM(Z13:AA13*Z26:AA26)</f>
        <v>2236506.5777515545</v>
      </c>
      <c r="AB52" s="29">
        <f t="array" ref="AB52">Calibration!sL*SUM(AB13:AC13*AB26:AC26)</f>
        <v>2228322.4652213189</v>
      </c>
      <c r="AD52" s="29">
        <f t="array" ref="AD52">Calibration!sL*SUM(AD13:AE13*AD26:AE26)</f>
        <v>2206049.5392649202</v>
      </c>
      <c r="AF52" s="29">
        <f t="array" ref="AF52">Calibration!sL*SUM(AF13:AG13*AF26:AG26)</f>
        <v>2155638.2970936503</v>
      </c>
      <c r="AH52" s="29">
        <f t="array" ref="AH52">Calibration!sL*SUM(AH13:AI13*AH26:AI26)</f>
        <v>2039812.1423423754</v>
      </c>
      <c r="AJ52" s="29">
        <f t="array" ref="AJ52">Calibration!sL*SUM(AJ13:AK13*AJ26:AK26)</f>
        <v>1769632.9301530258</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2704261.1969219795</v>
      </c>
      <c r="F53" s="29">
        <f t="array" ref="F53">Calibration!sK*SUM(F15:G15*F27:G27)</f>
        <v>2664652.7717515384</v>
      </c>
      <c r="H53" s="29">
        <f t="array" ref="H53">Calibration!sK*SUM(H15:I15*H27:I27)</f>
        <v>2621692.7529779365</v>
      </c>
      <c r="J53" s="29">
        <f t="array" ref="J53">Calibration!sK*SUM(J15:K15*J27:K27)</f>
        <v>2575097.2186647742</v>
      </c>
      <c r="L53" s="29">
        <f t="array" ref="L53">Calibration!sK*SUM(L15:M15*L27:M27)</f>
        <v>2524480.9639100167</v>
      </c>
      <c r="N53" s="29">
        <f t="array" ref="N53">Calibration!sK*SUM(N15:O15*N27:O27)</f>
        <v>2469331.071450775</v>
      </c>
      <c r="P53" s="29">
        <f t="array" ref="P53">Calibration!sK*SUM(P15:Q15*P27:Q27)</f>
        <v>2408967.4667567406</v>
      </c>
      <c r="R53" s="29">
        <f t="array" ref="R53">Calibration!sK*SUM(R15:S15*R27:S27)</f>
        <v>2342479.5202350467</v>
      </c>
      <c r="T53" s="29">
        <f t="array" ref="T53">Calibration!sK*SUM(T15:U15*T27:U27)</f>
        <v>2268626.1911890749</v>
      </c>
      <c r="V53" s="29">
        <f t="array" ref="V53">Calibration!sK*SUM(V15:W15*V27:W27)</f>
        <v>2185672.803561077</v>
      </c>
      <c r="X53" s="29">
        <f t="array" ref="X53">Calibration!sK*SUM(X15:Y15*X27:Y27)</f>
        <v>2091123.850610167</v>
      </c>
      <c r="Z53" s="29">
        <f t="array" ref="Z53">Calibration!sK*SUM(Z15:AA15*Z27:AA27)</f>
        <v>1981279.2985589858</v>
      </c>
      <c r="AB53" s="29">
        <f t="array" ref="AB53">Calibration!sK*SUM(AB15:AC15*AB27:AC27)</f>
        <v>1850515.3701222278</v>
      </c>
      <c r="AD53" s="29">
        <f t="array" ref="AD53">Calibration!sK*SUM(AD15:AE15*AD27:AE27)</f>
        <v>1690259.083160056</v>
      </c>
      <c r="AF53" s="29">
        <f t="array" ref="AF53">Calibration!sK*SUM(AF15:AG15*AF27:AG27)</f>
        <v>1488271.9131657747</v>
      </c>
      <c r="AH53" s="29">
        <f t="array" ref="AH53">Calibration!sK*SUM(AH15:AI15*AH27:AI27)</f>
        <v>1231962.8657893653</v>
      </c>
      <c r="AJ53" s="29">
        <f t="array" ref="AJ53">Calibration!sK*SUM(AJ15:AK15*AJ27:AK27)</f>
        <v>926518.53158133989</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0.20445764061907337</v>
      </c>
      <c r="F55" s="193">
        <f>F30/F32</f>
        <v>0.21049143484725807</v>
      </c>
      <c r="H55" s="193">
        <f>H30/H32</f>
        <v>0.21663565389191761</v>
      </c>
      <c r="J55" s="193">
        <f>J30/J32</f>
        <v>0.22292518320842244</v>
      </c>
      <c r="L55" s="193">
        <f>L30/L32</f>
        <v>0.22939988345143214</v>
      </c>
      <c r="N55" s="193">
        <f>N30/N32</f>
        <v>0.23610755401962963</v>
      </c>
      <c r="P55" s="193">
        <f>P30/P32</f>
        <v>0.24310762187205723</v>
      </c>
      <c r="R55" s="193">
        <f>R30/R32</f>
        <v>0.25047703173763647</v>
      </c>
      <c r="T55" s="193">
        <f>T30/T32</f>
        <v>0.25831929866042208</v>
      </c>
      <c r="V55" s="193">
        <f>V30/V32</f>
        <v>0.26677930225698354</v>
      </c>
      <c r="X55" s="193">
        <f>X30/X32</f>
        <v>0.27606704570491608</v>
      </c>
      <c r="Z55" s="193">
        <f>Z30/Z32</f>
        <v>0.28649581175628447</v>
      </c>
      <c r="AB55" s="193">
        <f>AB30/AB32</f>
        <v>0.29853845355291858</v>
      </c>
      <c r="AD55" s="193">
        <f>AD30/AD32</f>
        <v>0.31288395205304931</v>
      </c>
      <c r="AF55" s="193">
        <f>AF30/AF32</f>
        <v>0.33035673322872633</v>
      </c>
      <c r="AH55" s="193">
        <f>AH30/AH32</f>
        <v>0.35106123480555096</v>
      </c>
      <c r="AJ55" s="193">
        <f>AJ30/AJ32</f>
        <v>0.3710977458215568</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3.4181519240226048E-2</v>
      </c>
      <c r="F56" s="193">
        <f>(Model!$C$52*F5*F20+F2*G5*G20)/F32</f>
        <v>3.9205809595007191E-2</v>
      </c>
      <c r="H56" s="193">
        <f>(Model!$C$52*H5*H20+H2*I5*I20)/H32</f>
        <v>4.4320289197904171E-2</v>
      </c>
      <c r="J56" s="193">
        <f>(Model!$C$52*J5*J20+J2*K5*K20)/J32</f>
        <v>4.9553904435123849E-2</v>
      </c>
      <c r="L56" s="193">
        <f>(Model!$C$52*L5*L20+L2*M5*M20)/L32</f>
        <v>5.4939696007268411E-2</v>
      </c>
      <c r="N56" s="193">
        <f>(Model!$C$52*N5*N20+N2*O5*O20)/N32</f>
        <v>6.0517225642074006E-2</v>
      </c>
      <c r="P56" s="193">
        <f>(Model!$C$52*P5*P20+P2*Q5*Q20)/P32</f>
        <v>6.6335614257742384E-2</v>
      </c>
      <c r="R56" s="193">
        <f>(Model!$C$52*R5*R20+R2*S5*S20)/R32</f>
        <v>7.2458358099449463E-2</v>
      </c>
      <c r="T56" s="193">
        <f>(Model!$C$52*T5*T20+T2*U5*U20)/T32</f>
        <v>7.8970760771808243E-2</v>
      </c>
      <c r="V56" s="193">
        <f>(Model!$C$52*V5*V20+V2*W5*W20)/V32</f>
        <v>8.5991983844661044E-2</v>
      </c>
      <c r="X56" s="193">
        <f>(Model!$C$52*X5*X20+X2*Y5*Y20)/X32</f>
        <v>9.3694460198764373E-2</v>
      </c>
      <c r="Z56" s="193">
        <f>(Model!$C$52*Z5*Z20+Z2*AA5*AA20)/Z32</f>
        <v>0.10233500835077239</v>
      </c>
      <c r="AB56" s="193">
        <f>(Model!$C$52*AB5*AB20+AB2*AC5*AC20)/AB32</f>
        <v>0.11230063085846634</v>
      </c>
      <c r="AD56" s="193">
        <f>(Model!$C$52*AD5*AD20+AD2*AE5*AE20)/AD32</f>
        <v>0.12415429682202477</v>
      </c>
      <c r="AF56" s="193">
        <f>(Model!$C$52*AF5*AF20+AF2*AG5*AG20)/AF32</f>
        <v>0.13856776038434926</v>
      </c>
      <c r="AH56" s="193">
        <f>(Model!$C$52*AH5*AH20+AH2*AI5*AI20)/AH32</f>
        <v>0.1556189190862291</v>
      </c>
      <c r="AJ56" s="193">
        <f>(Model!$C$52*AJ5*AJ20+AJ2*AK5*AK20)/AJ32</f>
        <v>0.17209883682512472</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0.15961310991134167</v>
      </c>
      <c r="F57" s="193">
        <f t="array" ref="F57">SUM(Model!tauL*F13:G13*F26:G26)/F32</f>
        <v>0.16071176611371848</v>
      </c>
      <c r="H57" s="193">
        <f t="array" ref="H57">SUM(Model!tauL*H13:I13*H26:I26)/H32</f>
        <v>0.16183053210681214</v>
      </c>
      <c r="J57" s="193">
        <f t="array" ref="J57">SUM(Model!tauL*J13:K13*J26:K26)/J32</f>
        <v>0.1629757549793808</v>
      </c>
      <c r="L57" s="193">
        <f t="array" ref="L57">SUM(Model!tauL*L13:M13*L26:M26)/L32</f>
        <v>0.16415469164332633</v>
      </c>
      <c r="N57" s="193">
        <f t="array" ref="N57">SUM(Model!tauL*N13:O13*N26:O26)/N32</f>
        <v>0.16537604798896449</v>
      </c>
      <c r="P57" s="193">
        <f t="array" ref="P57">SUM(Model!tauL*P13:Q13*P26:Q26)/P32</f>
        <v>0.16665064591698345</v>
      </c>
      <c r="R57" s="193">
        <f t="array" ref="R57">SUM(Model!tauL*R13:S13*R26:S26)/R32</f>
        <v>0.16799250240544442</v>
      </c>
      <c r="T57" s="193">
        <f t="array" ref="T57">SUM(Model!tauL*T13:U13*T26:U26)/T32</f>
        <v>0.16942045411767187</v>
      </c>
      <c r="V57" s="193">
        <f t="array" ref="V57">SUM(Model!tauL*V13:W13*V26:W26)/V32</f>
        <v>0.17096088523676209</v>
      </c>
      <c r="X57" s="193">
        <f t="array" ref="X57">SUM(Model!tauL*X13:Y13*X26:Y26)/X32</f>
        <v>0.17265203480367261</v>
      </c>
      <c r="Y57" s="193"/>
      <c r="Z57" s="193">
        <f t="array" ref="Z57">SUM(Model!tauL*Z13:AA13*Z26:AA26)/Z32</f>
        <v>0.17455094287086112</v>
      </c>
      <c r="AB57" s="193">
        <f t="array" ref="AB57">SUM(Model!tauL*AB13:AC13*AB26:AC26)/AB32</f>
        <v>0.17674371553118545</v>
      </c>
      <c r="AD57" s="193">
        <f t="array" ref="AD57">SUM(Model!tauL*AD13:AE13*AD26:AE26)/AD32</f>
        <v>0.17935580040528123</v>
      </c>
      <c r="AF57" s="193">
        <f t="array" ref="AF57">SUM(Model!tauL*AF13:AG13*AF26:AG26)/AF32</f>
        <v>0.1825373128303876</v>
      </c>
      <c r="AH57" s="193">
        <f t="array" ref="AH57">SUM(Model!tauL*AH13:AI13*AH26:AI26)/AH32</f>
        <v>0.18630726953608431</v>
      </c>
      <c r="AJ57" s="193">
        <f t="array" ref="AJ57">SUM(Model!tauL*AJ13:AK13*AJ26:AK26)/AJ32</f>
        <v>0.18995559534409265</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1.0663011467505657E-2</v>
      </c>
      <c r="F58" s="193">
        <f t="array" ref="F58">SUM(Model!tauY/(1+Model!tauY)*F3:G3*F18:G18)/F32</f>
        <v>1.0573859138532416E-2</v>
      </c>
      <c r="H58" s="193">
        <f t="array" ref="H58">SUM(Model!tauY/(1+Model!tauY)*H3:I3*H18:I18)/H32</f>
        <v>1.0484832587201278E-2</v>
      </c>
      <c r="J58" s="193">
        <f t="array" ref="J58">SUM(Model!tauY/(1+Model!tauY)*J3:K3*J18:K18)/J32</f>
        <v>1.0395523793917828E-2</v>
      </c>
      <c r="L58" s="193">
        <f t="array" ref="L58">SUM(Model!tauY/(1+Model!tauY)*L3:M3*L18:M18)/L32</f>
        <v>1.0305495800837389E-2</v>
      </c>
      <c r="N58" s="193">
        <f t="array" ref="N58">SUM(Model!tauY/(1+Model!tauY)*N3:O3*N18:O18)/N32</f>
        <v>1.0214280388591129E-2</v>
      </c>
      <c r="P58" s="193">
        <f t="array" ref="P58">SUM(Model!tauY/(1+Model!tauY)*P3:Q3*P18:Q18)/P32</f>
        <v>1.0121361697331402E-2</v>
      </c>
      <c r="R58" s="193">
        <f t="array" ref="R58">SUM(Model!tauY/(1+Model!tauY)*R3:S3*R18:S18)/R32</f>
        <v>1.002617123274256E-2</v>
      </c>
      <c r="T58" s="193">
        <f t="array" ref="T58">SUM(Model!tauY/(1+Model!tauY)*T3:U3*T18:U18)/T32</f>
        <v>9.928083770941936E-3</v>
      </c>
      <c r="V58" s="193">
        <f t="array" ref="V58">SUM(Model!tauY/(1+Model!tauY)*V3:W3*V18:W18)/V32</f>
        <v>9.8264331755603899E-3</v>
      </c>
      <c r="X58" s="193">
        <f t="array" ref="X58">SUM(Model!tauY/(1+Model!tauY)*X3:Y3*X18:Y18)/X32</f>
        <v>9.7205507024790746E-3</v>
      </c>
      <c r="Y58" s="193"/>
      <c r="Z58" s="193">
        <f t="array" ref="Z58">SUM(Model!tauY/(1+Model!tauY)*Z3:AA3*Z18:AA18)/Z32</f>
        <v>9.6098605346509169E-3</v>
      </c>
      <c r="AB58" s="193">
        <f t="array" ref="AB58">SUM(Model!tauY/(1+Model!tauY)*AB3:AC3*AB18:AC18)/AB32</f>
        <v>9.4941071632667524E-3</v>
      </c>
      <c r="AD58" s="193">
        <f t="array" ref="AD58">SUM(Model!tauY/(1+Model!tauY)*AD3:AE3*AD18:AE18)/AD32</f>
        <v>9.3738548257433305E-3</v>
      </c>
      <c r="AF58" s="193">
        <f t="array" ref="AF58">SUM(Model!tauY/(1+Model!tauY)*AF3:AG3*AF18:AG18)/AF32</f>
        <v>9.2516600139894382E-3</v>
      </c>
      <c r="AH58" s="193">
        <f t="array" ref="AH58">SUM(Model!tauY/(1+Model!tauY)*AH3:AI3*AH18:AI18)/AH32</f>
        <v>9.1350461832375926E-3</v>
      </c>
      <c r="AJ58" s="193">
        <f t="array" ref="AJ58">SUM(Model!tauY/(1+Model!tauY)*AJ3:AK3*AJ18:AK18)/AJ32</f>
        <v>9.0433136523394228E-3</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5.5732908423179574E-3</v>
      </c>
      <c r="F59" s="193">
        <f>(F2*G5*G20)/F32</f>
        <v>1.0658992148962288E-2</v>
      </c>
      <c r="H59" s="193">
        <f>(H2*I5*I20)/H32</f>
        <v>1.5835314557673071E-2</v>
      </c>
      <c r="J59" s="193">
        <f>(J2*K5*K20)/J32</f>
        <v>2.1131468118009325E-2</v>
      </c>
      <c r="L59" s="193">
        <f>(L2*M5*M20)/L32</f>
        <v>2.6580781605555017E-2</v>
      </c>
      <c r="N59" s="193">
        <f>(N2*O5*O20)/N32</f>
        <v>3.2223144003493541E-2</v>
      </c>
      <c r="P59" s="193">
        <f>(P2*Q5*Q20)/P32</f>
        <v>3.8108070100553712E-2</v>
      </c>
      <c r="R59" s="193">
        <f>(R2*S5*S20)/R32</f>
        <v>4.4299554626715629E-2</v>
      </c>
      <c r="T59" s="193">
        <f>(T2*U5*U20)/T32</f>
        <v>5.0883566898673203E-2</v>
      </c>
      <c r="V59" s="193">
        <f>(V2*W5*W20)/V32</f>
        <v>5.7980201182885195E-2</v>
      </c>
      <c r="X59" s="193">
        <f>(X2*Y5*Y20)/X32</f>
        <v>6.5763256566176556E-2</v>
      </c>
      <c r="Z59" s="193">
        <f>(Z2*AA5*AA20)/Z32</f>
        <v>7.4491621199900562E-2</v>
      </c>
      <c r="AB59" s="193">
        <f>(AB2*AC5*AC20)/AB32</f>
        <v>8.4555465466683993E-2</v>
      </c>
      <c r="AD59" s="193">
        <f>(AD2*AE5*AE20)/AD32</f>
        <v>9.652240613362989E-2</v>
      </c>
      <c r="AF59" s="193">
        <f>(AF2*AG5*AG20)/AF32</f>
        <v>0.11106964277425645</v>
      </c>
      <c r="AH59" s="193">
        <f>(AH2*AI5*AI20)/AH32</f>
        <v>0.12827492071032906</v>
      </c>
      <c r="AJ59" s="193">
        <f>(AJ2*AK5*AK20)/AJ32</f>
        <v>0.14490032820858359</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2.8608228397908088E-2</v>
      </c>
      <c r="F60" s="193">
        <f>Model!$C$52*F5*F20/F32</f>
        <v>2.8546817446044905E-2</v>
      </c>
      <c r="H60" s="193">
        <f>Model!$C$52*H5*H20/H32</f>
        <v>2.8484974640231097E-2</v>
      </c>
      <c r="J60" s="193">
        <f>Model!$C$52*J5*J20/J32</f>
        <v>2.8422436317114524E-2</v>
      </c>
      <c r="L60" s="193">
        <f>Model!$C$52*L5*L20/L32</f>
        <v>2.8358914401713391E-2</v>
      </c>
      <c r="N60" s="193">
        <f>Model!$C$52*N5*N20/N32</f>
        <v>2.8294081638580468E-2</v>
      </c>
      <c r="P60" s="193">
        <f>Model!$C$52*P5*P20/P32</f>
        <v>2.8227544157188672E-2</v>
      </c>
      <c r="R60" s="193">
        <f>Model!$C$52*R5*R20/R32</f>
        <v>2.8158803472733845E-2</v>
      </c>
      <c r="T60" s="193">
        <f>Model!$C$52*T5*T20/T32</f>
        <v>2.8087193873135029E-2</v>
      </c>
      <c r="V60" s="193">
        <f>Model!$C$52*V5*V20/V32</f>
        <v>2.8011782661775848E-2</v>
      </c>
      <c r="X60" s="193">
        <f>Model!$C$52*X5*X20/X32</f>
        <v>2.7931203632587824E-2</v>
      </c>
      <c r="Z60" s="193">
        <f>Model!$C$52*Z5*Z20/Z32</f>
        <v>2.7843387150871819E-2</v>
      </c>
      <c r="AB60" s="193">
        <f>Model!$C$52*AB5*AB20/AB32</f>
        <v>2.7745165391782352E-2</v>
      </c>
      <c r="AD60" s="193">
        <f>Model!$C$52*AD5*AD20/AD32</f>
        <v>2.7631890688394872E-2</v>
      </c>
      <c r="AF60" s="193">
        <f>Model!$C$52*AF5*AF20/AF32</f>
        <v>2.7498117610092816E-2</v>
      </c>
      <c r="AH60" s="193">
        <f>Model!$C$52*AH5*AH20/AH32</f>
        <v>2.7343998375900055E-2</v>
      </c>
      <c r="AJ60" s="193">
        <f>Model!$C$52*AJ5*AJ20/AJ32</f>
        <v>2.7198508616541123E-2</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1.0160251754848384</v>
      </c>
      <c r="F62">
        <f>F13/F15</f>
        <v>1.0339951585798202</v>
      </c>
      <c r="H62">
        <f>H13/H15</f>
        <v>1.0541904170117933</v>
      </c>
      <c r="J62">
        <f>J13/J15</f>
        <v>1.0769824668144841</v>
      </c>
      <c r="L62">
        <f>L13/L15</f>
        <v>1.1028638592417472</v>
      </c>
      <c r="N62">
        <f>N13/N15</f>
        <v>1.1324961103998725</v>
      </c>
      <c r="P62">
        <f>P13/P15</f>
        <v>1.1667841428673871</v>
      </c>
      <c r="R62">
        <f>R13/R15</f>
        <v>1.2069980490474213</v>
      </c>
      <c r="T62">
        <f>T13/T15</f>
        <v>1.2549783075894738</v>
      </c>
      <c r="V62">
        <f>V13/V15</f>
        <v>1.3134998659956252</v>
      </c>
      <c r="X62">
        <f>X13/X15</f>
        <v>1.3869501117056107</v>
      </c>
      <c r="Z62">
        <f>Z13/Z15</f>
        <v>1.4826722097149225</v>
      </c>
      <c r="AB62">
        <f>AB13/AB15</f>
        <v>1.6138113103425857</v>
      </c>
      <c r="AD62">
        <f>AD13/AD15</f>
        <v>1.805775340269228</v>
      </c>
      <c r="AF62">
        <f>AF13/AF15</f>
        <v>2.1117217240879036</v>
      </c>
      <c r="AH62">
        <f>AH13/AH15</f>
        <v>2.6488643031389456</v>
      </c>
      <c r="AJ62">
        <f>AJ13/AJ15</f>
        <v>3.6612676366039629</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0.99851949534487794</v>
      </c>
      <c r="E65" s="191"/>
      <c r="F65" s="191">
        <f t="array" ref="F65">SQRT((F9:G9*$B$22:$C$22+F10:G10*$B$23:$C$23+F11:G11*$B$24:$C$24+F4:G4*($B$25:$C$25-$B$19:$C$19))/($B$9:$C$9*$B$22:$C$22+$B$10:$C$10*$B$23:$C$23+$B$11:$C$11*$B$24:$C$24+$B$4:$C$4*($B$25:$C$25-$B$19:$C$19))*(F9:G9*F22:G22+F10:G10*F23:G23+F11:G11*F24:G24+F4:G4*(F25:G25-F19:G19))/($B$9:$C$9*F22:G22+$B$10:$C$10*F23:G23+$B$11:$C$11*F24:G24+$B$4:$C$4*(F25:G25-F19:G19)))</f>
        <v>0.99702187725180758</v>
      </c>
      <c r="G65" s="191"/>
      <c r="H65" s="191">
        <f t="array" ref="H65">SQRT((H9:I9*$B$22:$C$22+H10:I10*$B$23:$C$23+H11:I11*$B$24:$C$24+H4:I4*($B$25:$C$25-$B$19:$C$19))/($B$9:$C$9*$B$22:$C$22+$B$10:$C$10*$B$23:$C$23+$B$11:$C$11*$B$24:$C$24+$B$4:$C$4*($B$25:$C$25-$B$19:$C$19))*(H9:I9*H22:I22+H10:I10*H23:I23+H11:I11*H24:I24+H4:I4*(H25:I25-H19:I19))/($B$9:$C$9*H22:I22+$B$10:$C$10*H23:I23+$B$11:$C$11*H24:I24+$B$4:$C$4*(H25:I25-H19:I19)))</f>
        <v>0.9954969341982699</v>
      </c>
      <c r="I65" s="191"/>
      <c r="J65" s="191">
        <f t="array" ref="J65">SQRT((J9:K9*$B$22:$C$22+J10:K10*$B$23:$C$23+J11:K11*$B$24:$C$24+J4:K4*($B$25:$C$25-$B$19:$C$19))/($B$9:$C$9*$B$22:$C$22+$B$10:$C$10*$B$23:$C$23+$B$11:$C$11*$B$24:$C$24+$B$4:$C$4*($B$25:$C$25-$B$19:$C$19))*(J9:K9*J22:K22+J10:K10*J23:K23+J11:K11*J24:K24+J4:K4*(J25:K25-J19:K19))/($B$9:$C$9*J22:K22+$B$10:$C$10*J23:K23+$B$11:$C$11*J24:K24+$B$4:$C$4*(J25:K25-J19:K19)))</f>
        <v>0.9939344198524227</v>
      </c>
      <c r="K65" s="191"/>
      <c r="L65" s="191">
        <f t="array" ref="L65">SQRT((L9:M9*$B$22:$C$22+L10:M10*$B$23:$C$23+L11:M11*$B$24:$C$24+L4:M4*($B$25:$C$25-$B$19:$C$19))/($B$9:$C$9*$B$22:$C$22+$B$10:$C$10*$B$23:$C$23+$B$11:$C$11*$B$24:$C$24+$B$4:$C$4*($B$25:$C$25-$B$19:$C$19))*(L9:M9*L22:M22+L10:M10*L23:M23+L11:M11*L24:M24+L4:M4*(L25:M25-L19:M19))/($B$9:$C$9*L22:M22+$B$10:$C$10*L23:M23+$B$11:$C$11*L24:M24+$B$4:$C$4*(L25:M25-L19:M19)))</f>
        <v>0.99232407593152916</v>
      </c>
      <c r="M65" s="191"/>
      <c r="N65" s="191">
        <f t="array" ref="N65">SQRT((N9:O9*$B$22:$C$22+N10:O10*$B$23:$C$23+N11:O11*$B$24:$C$24+N4:O4*($B$25:$C$25-$B$19:$C$19))/($B$9:$C$9*$B$22:$C$22+$B$10:$C$10*$B$23:$C$23+$B$11:$C$11*$B$24:$C$24+$B$4:$C$4*($B$25:$C$25-$B$19:$C$19))*(N9:O9*N22:O22+N10:O10*N23:O23+N11:O11*N24:O24+N4:O4*(N25:O25-N19:O19))/($B$9:$C$9*N22:O22+$B$10:$C$10*N23:O23+$B$11:$C$11*N24:O24+$B$4:$C$4*(N25:O25-N19:O19)))</f>
        <v>0.9906559574757452</v>
      </c>
      <c r="O65" s="191"/>
      <c r="P65" s="191">
        <f t="array" ref="P65">SQRT((P9:Q9*$B$22:$C$22+P10:Q10*$B$23:$C$23+P11:Q11*$B$24:$C$24+P4:Q4*($B$25:$C$25-$B$19:$C$19))/($B$9:$C$9*$B$22:$C$22+$B$10:$C$10*$B$23:$C$23+$B$11:$C$11*$B$24:$C$24+$B$4:$C$4*($B$25:$C$25-$B$19:$C$19))*(P9:Q9*P22:Q22+P10:Q10*P23:Q23+P11:Q11*P24:Q24+P4:Q4*(P25:Q25-P19:Q19))/($B$9:$C$9*P22:Q22+$B$10:$C$10*P23:Q23+$B$11:$C$11*P24:Q24+$B$4:$C$4*(P25:Q25-P19:Q19)))</f>
        <v>0.98892117579819017</v>
      </c>
      <c r="Q65" s="191"/>
      <c r="R65" s="191">
        <f t="array" ref="R65">SQRT((R9:S9*$B$22:$C$22+R10:S10*$B$23:$C$23+R11:S11*$B$24:$C$24+R4:S4*($B$25:$C$25-$B$19:$C$19))/($B$9:$C$9*$B$22:$C$22+$B$10:$C$10*$B$23:$C$23+$B$11:$C$11*$B$24:$C$24+$B$4:$C$4*($B$25:$C$25-$B$19:$C$19))*(R9:S9*R22:S22+R10:S10*R23:S23+R11:S11*R24:S24+R4:S4*(R25:S25-R19:S19))/($B$9:$C$9*R22:S22+$B$10:$C$10*R23:S23+$B$11:$C$11*R24:S24+$B$4:$C$4*(R25:S25-R19:S19)))</f>
        <v>0.98711336362947266</v>
      </c>
      <c r="S65" s="191"/>
      <c r="T65" s="191">
        <f t="array" ref="T65">SQRT((T9:U9*$B$22:$C$22+T10:U10*$B$23:$C$23+T11:U11*$B$24:$C$24+T4:U4*($B$25:$C$25-$B$19:$C$19))/($B$9:$C$9*$B$22:$C$22+$B$10:$C$10*$B$23:$C$23+$B$11:$C$11*$B$24:$C$24+$B$4:$C$4*($B$25:$C$25-$B$19:$C$19))*(T9:U9*T22:U22+T10:U10*T23:U23+T11:U11*T24:U24+T4:U4*(T25:U25-T19:U19))/($B$9:$C$9*T22:U22+$B$10:$C$10*T23:U23+$B$11:$C$11*T24:U24+$B$4:$C$4*(T25:U25-T19:U19)))</f>
        <v>0.98523136219976626</v>
      </c>
      <c r="U65" s="191"/>
      <c r="V65" s="191">
        <f t="array" ref="V65">SQRT((V9:W9*$B$22:$C$22+V10:W10*$B$23:$C$23+V11:W11*$B$24:$C$24+V4:W4*($B$25:$C$25-$B$19:$C$19))/($B$9:$C$9*$B$22:$C$22+$B$10:$C$10*$B$23:$C$23+$B$11:$C$11*$B$24:$C$24+$B$4:$C$4*($B$25:$C$25-$B$19:$C$19))*(V9:W9*V22:W22+V10:W10*V23:W23+V11:W11*V24:W24+V4:W4*(V25:W25-V19:W19))/($B$9:$C$9*V22:W22+$B$10:$C$10*V23:W23+$B$11:$C$11*V24:W24+$B$4:$C$4*(V25:W25-V19:W19)))</f>
        <v>0.98328397272284351</v>
      </c>
      <c r="W65" s="191"/>
      <c r="X65" s="191">
        <f t="array" ref="X65">SQRT((X9:Y9*$B$22:$C$22+X10:Y10*$B$23:$C$23+X11:Y11*$B$24:$C$24+X4:Y4*($B$25:$C$25-$B$19:$C$19))/($B$9:$C$9*$B$22:$C$22+$B$10:$C$10*$B$23:$C$23+$B$11:$C$11*$B$24:$C$24+$B$4:$C$4*($B$25:$C$25-$B$19:$C$19))*(X9:Y9*X22:Y22+X10:Y10*X23:Y23+X11:Y11*X24:Y24+X4:Y4*(X25:Y25-X19:Y19))/($B$9:$C$9*X22:Y22+$B$10:$C$10*X23:Y23+$B$11:$C$11*X24:Y24+$B$4:$C$4*(X25:Y25-X19:Y19)))</f>
        <v>0.9812982624585973</v>
      </c>
      <c r="Y65" s="191"/>
      <c r="Z65" s="191">
        <f t="array" ref="Z65">SQRT((Z9:AA9*$B$22:$C$22+Z10:AA10*$B$23:$C$23+Z11:AA11*$B$24:$C$24+Z4:AA4*($B$25:$C$25-$B$19:$C$19))/($B$9:$C$9*$B$22:$C$22+$B$10:$C$10*$B$23:$C$23+$B$11:$C$11*$B$24:$C$24+$B$4:$C$4*($B$25:$C$25-$B$19:$C$19))*(Z9:AA9*Z22:AA22+Z10:AA10*Z23:AA23+Z11:AA11*Z24:AA24+Z4:AA4*(Z25:AA25-Z19:AA19))/($B$9:$C$9*Z22:AA22+$B$10:$C$10*Z23:AA23+$B$11:$C$11*Z24:AA24+$B$4:$C$4*(Z25:AA25-Z19:AA19)))</f>
        <v>0.97933375461243855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0.97750530524109525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0.976013935819673</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0.97516073404828651</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0.9752313985993325</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0.97602330745646759</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0.99837197116286935</v>
      </c>
      <c r="E66" s="191"/>
      <c r="F66" s="191">
        <f t="array" ref="F66">SQRT((F9:G9*$B$22:$C$22)/($B$9:$C$9*$B$22:$C$22)*(F9:G9*F22:G22)/($B$9:$C$9*F22:G22))</f>
        <v>0.99672324541230051</v>
      </c>
      <c r="G66" s="191"/>
      <c r="H66" s="191">
        <f t="array" ref="H66">SQRT((H9:I9*$B$22:$C$22)/($B$9:$C$9*$B$22:$C$22)*(H9:I9*H22:I22)/($B$9:$C$9*H22:I22))</f>
        <v>0.99504247950062241</v>
      </c>
      <c r="I66" s="191"/>
      <c r="J66" s="191">
        <f t="array" ref="J66">SQRT((J9:K9*$B$22:$C$22)/($B$9:$C$9*$B$22:$C$22)*(J9:K9*J22:K22)/($B$9:$C$9*J22:K22))</f>
        <v>0.99331823329432911</v>
      </c>
      <c r="K66" s="191"/>
      <c r="L66" s="191">
        <f t="array" ref="L66">SQRT((L9:M9*$B$22:$C$22)/($B$9:$C$9*$B$22:$C$22)*(L9:M9*L22:M22)/($B$9:$C$9*L22:M22))</f>
        <v>0.99153899066630269</v>
      </c>
      <c r="M66" s="191"/>
      <c r="N66" s="191">
        <f t="array" ref="N66">SQRT((N9:O9*$B$22:$C$22)/($B$9:$C$9*$B$22:$C$22)*(N9:O9*N22:O22)/($B$9:$C$9*N22:O22))</f>
        <v>0.98969351428766106</v>
      </c>
      <c r="O66" s="191"/>
      <c r="P66" s="191">
        <f t="array" ref="P66">SQRT((P9:Q9*$B$22:$C$22)/($B$9:$C$9*$B$22:$C$22)*(P9:Q9*P22:Q22)/($B$9:$C$9*P22:Q22))</f>
        <v>0.98777166551459161</v>
      </c>
      <c r="Q66" s="191"/>
      <c r="R66" s="191">
        <f t="array" ref="R66">SQRT((R9:S9*$B$22:$C$22)/($B$9:$C$9*$B$22:$C$22)*(R9:S9*R22:S22)/($B$9:$C$9*R22:S22))</f>
        <v>0.98576603295108978</v>
      </c>
      <c r="S66" s="191"/>
      <c r="T66" s="191">
        <f t="array" ref="T66">SQRT((T9:U9*$B$22:$C$22)/($B$9:$C$9*$B$22:$C$22)*(T9:U9*T22:U22)/($B$9:$C$9*T22:U22))</f>
        <v>0.98367493605488332</v>
      </c>
      <c r="U66" s="191"/>
      <c r="V66" s="191">
        <f t="array" ref="V66">SQRT((V9:W9*$B$22:$C$22)/($B$9:$C$9*$B$22:$C$22)*(V9:W9*V22:W22)/($B$9:$C$9*V22:W22))</f>
        <v>0.98150776137958806</v>
      </c>
      <c r="W66" s="191"/>
      <c r="X66" s="191">
        <f t="array" ref="X66">SQRT((X9:Y9*$B$22:$C$22)/($B$9:$C$9*$B$22:$C$22)*(X9:Y9*X22:Y22)/($B$9:$C$9*X22:Y22))</f>
        <v>0.97929432724437182</v>
      </c>
      <c r="Y66" s="191"/>
      <c r="Z66" s="191">
        <f t="array" ref="Z66">SQRT((Z9:AA9*$B$22:$C$22)/($B$9:$C$9*$B$22:$C$22)*(Z9:AA9*Z22:AA22)/($B$9:$C$9*Z22:AA22))</f>
        <v>0.97710093237121709</v>
      </c>
      <c r="AA66" s="191"/>
      <c r="AB66" s="191">
        <f t="array" ref="AB66">SQRT((AB9:AC9*$B$22:$C$22)/($B$9:$C$9*$B$22:$C$22)*(AB9:AC9*AB22:AC22)/($B$9:$C$9*AB22:AC22))</f>
        <v>0.97505628784309784</v>
      </c>
      <c r="AC66" s="191"/>
      <c r="AD66" s="191">
        <f t="array" ref="AD66">SQRT((AD9:AE9*$B$22:$C$22)/($B$9:$C$9*$B$22:$C$22)*(AD9:AE9*AD22:AE22)/($B$9:$C$9*AD22:AE22))</f>
        <v>0.97338651018549427</v>
      </c>
      <c r="AE66" s="191"/>
      <c r="AF66" s="191">
        <f t="array" ref="AF66">SQRT((AF9:AG9*$B$22:$C$22)/($B$9:$C$9*$B$22:$C$22)*(AF9:AG9*AF22:AG22)/($B$9:$C$9*AF22:AG22))</f>
        <v>0.97243093542491033</v>
      </c>
      <c r="AG66" s="191"/>
      <c r="AH66" s="191">
        <f t="array" ref="AH66">SQRT((AH9:AI9*$B$22:$C$22)/($B$9:$C$9*$B$22:$C$22)*(AH9:AI9*AH22:AI22)/($B$9:$C$9*AH22:AI22))</f>
        <v>0.97251164519682598</v>
      </c>
      <c r="AI66" s="191"/>
      <c r="AJ66" s="191">
        <f t="array" ref="AJ66">SQRT((AJ9:AK9*$B$22:$C$22)/($B$9:$C$9*$B$22:$C$22)*(AJ9:AK9*AJ22:AK22)/($B$9:$C$9*AJ22:AK22))</f>
        <v>0.97340093711857778</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0.99837197116286935</v>
      </c>
      <c r="E68" s="191"/>
      <c r="F68" s="191">
        <f>F66/F67</f>
        <v>0.99672324541230051</v>
      </c>
      <c r="G68" s="191"/>
      <c r="H68" s="191">
        <f>H66/H67</f>
        <v>0.99504247950062241</v>
      </c>
      <c r="I68" s="191"/>
      <c r="J68" s="191">
        <f>J66/J67</f>
        <v>0.99331823329432911</v>
      </c>
      <c r="K68" s="191"/>
      <c r="L68" s="191">
        <f>L66/L67</f>
        <v>0.99153899066630269</v>
      </c>
      <c r="M68" s="191"/>
      <c r="N68" s="191">
        <f>N66/N67</f>
        <v>0.98969351428766106</v>
      </c>
      <c r="O68" s="191"/>
      <c r="P68" s="191">
        <f>P66/P67</f>
        <v>0.98777166551459161</v>
      </c>
      <c r="Q68" s="191"/>
      <c r="R68" s="191">
        <f>R66/R67</f>
        <v>0.98576603295108978</v>
      </c>
      <c r="S68" s="191"/>
      <c r="T68" s="191">
        <f>T66/T67</f>
        <v>0.98367493605488332</v>
      </c>
      <c r="U68" s="191"/>
      <c r="V68" s="191">
        <f>V66/V67</f>
        <v>0.98150776137958806</v>
      </c>
      <c r="W68" s="191"/>
      <c r="X68" s="191">
        <f>X66/X67</f>
        <v>0.97929432724437182</v>
      </c>
      <c r="Y68" s="191"/>
      <c r="Z68" s="191">
        <f>Z66/Z67</f>
        <v>0.97710093237121709</v>
      </c>
      <c r="AA68" s="191"/>
      <c r="AB68" s="191">
        <f>AB66/AB67</f>
        <v>0.97505628784309784</v>
      </c>
      <c r="AC68" s="191"/>
      <c r="AD68" s="191">
        <f>AD66/AD67</f>
        <v>0.97338651018549427</v>
      </c>
      <c r="AE68" s="191"/>
      <c r="AF68" s="191">
        <f>AF66/AF67</f>
        <v>0.97243093542491033</v>
      </c>
      <c r="AG68" s="191"/>
      <c r="AH68" s="191">
        <f>AH66/AH67</f>
        <v>0.97251164519682598</v>
      </c>
      <c r="AI68" s="191"/>
      <c r="AJ68" s="191">
        <f>AJ66/AJ67</f>
        <v>0.97340093711857778</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1.0066011603932781</v>
      </c>
      <c r="E69" s="191"/>
      <c r="F69" s="191">
        <f>F32/F65/($B$32)</f>
        <v>1.0124907454357475</v>
      </c>
      <c r="G69" s="191"/>
      <c r="H69" s="191">
        <f>H32/H65/($B$32)</f>
        <v>1.0176639451816623</v>
      </c>
      <c r="I69" s="191"/>
      <c r="J69" s="191">
        <f>J32/J65/($B$32)</f>
        <v>1.0220911507385162</v>
      </c>
      <c r="K69" s="191"/>
      <c r="L69" s="191">
        <f>L32/L65/($B$32)</f>
        <v>1.0257154436879814</v>
      </c>
      <c r="M69" s="191"/>
      <c r="N69" s="191">
        <f>N32/N65/($B$32)</f>
        <v>1.0284462183332499</v>
      </c>
      <c r="O69" s="191"/>
      <c r="P69" s="191">
        <f>P32/P65/($B$32)</f>
        <v>1.0301493326107434</v>
      </c>
      <c r="Q69" s="191"/>
      <c r="R69" s="191">
        <f>R32/R65/($B$32)</f>
        <v>1.0306305611770865</v>
      </c>
      <c r="S69" s="191"/>
      <c r="T69" s="191">
        <f>T32/T65/($B$32)</f>
        <v>1.0296083934614975</v>
      </c>
      <c r="U69" s="191"/>
      <c r="V69" s="191">
        <f>V32/V65/($B$32)</f>
        <v>1.0266674885235443</v>
      </c>
      <c r="W69" s="191"/>
      <c r="X69" s="191">
        <f>X32/X65/($B$32)</f>
        <v>1.0211747244895362</v>
      </c>
      <c r="Y69" s="191"/>
      <c r="Z69" s="191">
        <f>Z32/Z65/($B$32)</f>
        <v>1.012117647905959</v>
      </c>
      <c r="AA69" s="191"/>
      <c r="AB69" s="191">
        <f>AB32/AB65/($B$32)</f>
        <v>0.99776594171135014</v>
      </c>
      <c r="AC69" s="191"/>
      <c r="AD69" s="191">
        <f>AD32/AD65/($B$32)</f>
        <v>0.97489435582631789</v>
      </c>
      <c r="AE69" s="191"/>
      <c r="AF69" s="191">
        <f>AF32/AF65/($B$32)</f>
        <v>0.93683212024385443</v>
      </c>
      <c r="AG69" s="191"/>
      <c r="AH69" s="191">
        <f>AH32/AH65/($B$32)</f>
        <v>0.86849322846525767</v>
      </c>
      <c r="AI69" s="191"/>
      <c r="AJ69" s="191">
        <f>AJ32/AJ65/($B$32)</f>
        <v>0.73838803759231075</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1.005255065404477</v>
      </c>
      <c r="E70" s="138"/>
      <c r="F70" s="138">
        <f>F18/$B$18</f>
        <v>1.0097888076627288</v>
      </c>
      <c r="G70" s="138"/>
      <c r="H70" s="138">
        <f>H18/$B$18</f>
        <v>1.0135961138935372</v>
      </c>
      <c r="I70" s="138"/>
      <c r="J70" s="138">
        <f>J18/$B$18</f>
        <v>1.0166470427952201</v>
      </c>
      <c r="K70" s="138"/>
      <c r="L70" s="138">
        <f>L18/$B$18</f>
        <v>1.0188838701394642</v>
      </c>
      <c r="M70" s="138"/>
      <c r="N70" s="138">
        <f>N18/$B$18</f>
        <v>1.0202142596549364</v>
      </c>
      <c r="O70" s="138"/>
      <c r="P70" s="138">
        <f>P18/$B$18</f>
        <v>1.0205003360034914</v>
      </c>
      <c r="Q70" s="138"/>
      <c r="R70" s="138">
        <f>R18/$B$18</f>
        <v>1.0195404243798896</v>
      </c>
      <c r="S70" s="138"/>
      <c r="T70" s="138">
        <f>T18/$B$18</f>
        <v>1.0170388443625418</v>
      </c>
      <c r="U70" s="138"/>
      <c r="V70" s="138">
        <f>V18/$B$18</f>
        <v>1.0125544696363296</v>
      </c>
      <c r="W70" s="138"/>
      <c r="X70" s="138">
        <f>X18/$B$18</f>
        <v>1.0054088887899528</v>
      </c>
      <c r="Y70" s="138"/>
      <c r="Z70" s="138">
        <f>Z18/$B$18</f>
        <v>0.99451346884099612</v>
      </c>
      <c r="AA70" s="138"/>
      <c r="AB70" s="138">
        <f>AB18/$B$18</f>
        <v>0.97801958602155969</v>
      </c>
      <c r="AC70" s="138"/>
      <c r="AD70" s="138">
        <f>AD18/$B$18</f>
        <v>0.95255328424109997</v>
      </c>
      <c r="AE70" s="138"/>
      <c r="AF70" s="138">
        <f>AF18/$B$18</f>
        <v>0.91140121394771767</v>
      </c>
      <c r="AG70" s="138"/>
      <c r="AH70" s="138">
        <f>AH18/$B$18</f>
        <v>0.84014409866909978</v>
      </c>
      <c r="AI70" s="138"/>
      <c r="AJ70" s="138">
        <f>AJ18/$B$18</f>
        <v>0.710143191727858</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0.92838955548009217</v>
      </c>
      <c r="E71" s="138"/>
      <c r="F71" s="138">
        <f>G18/$C$18</f>
        <v>0.85708588067022273</v>
      </c>
      <c r="G71" s="138"/>
      <c r="H71" s="138">
        <f>I18/$C$18</f>
        <v>0.78609201495358283</v>
      </c>
      <c r="I71" s="138"/>
      <c r="J71" s="138">
        <f>K18/$C$18</f>
        <v>0.71543504107124078</v>
      </c>
      <c r="K71" s="138"/>
      <c r="L71" s="138">
        <f>M18/$C$18</f>
        <v>0.64516850254639546</v>
      </c>
      <c r="M71" s="138"/>
      <c r="N71" s="138">
        <f>O18/$C$18</f>
        <v>0.57538798502646771</v>
      </c>
      <c r="O71" s="138"/>
      <c r="P71" s="138">
        <f>Q18/$C$18</f>
        <v>0.50624575526518067</v>
      </c>
      <c r="Q71" s="138"/>
      <c r="R71" s="138">
        <f>S18/$C$18</f>
        <v>0.43797736102798629</v>
      </c>
      <c r="S71" s="138"/>
      <c r="T71" s="138">
        <f>U18/$C$18</f>
        <v>0.37093788104623632</v>
      </c>
      <c r="U71" s="138"/>
      <c r="V71" s="138">
        <f>W18/$C$18</f>
        <v>0.30565818859077115</v>
      </c>
      <c r="W71" s="138"/>
      <c r="X71" s="138">
        <f>Y18/$C$18</f>
        <v>0.24292208270355248</v>
      </c>
      <c r="Y71" s="138"/>
      <c r="Z71" s="138">
        <f>AA18/$C$18</f>
        <v>0.183870482102518</v>
      </c>
      <c r="AA71" s="138"/>
      <c r="AB71" s="138">
        <f>AC18/$C$18</f>
        <v>0.13012562051536855</v>
      </c>
      <c r="AC71" s="138"/>
      <c r="AD71" s="138">
        <f>AE18/$C$18</f>
        <v>8.3866186931026987E-2</v>
      </c>
      <c r="AE71" s="138"/>
      <c r="AF71" s="138">
        <f>AG18/$C$18</f>
        <v>4.7639556103041804E-2</v>
      </c>
      <c r="AG71" s="138"/>
      <c r="AH71" s="138">
        <f>AI18/$C$18</f>
        <v>2.3435842475550212E-2</v>
      </c>
      <c r="AI71" s="138"/>
      <c r="AJ71" s="138">
        <f>AK18/$C$18</f>
        <v>1.0777451832136731E-2</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1.0306995968460355</v>
      </c>
      <c r="E72" s="138"/>
      <c r="F72" s="138">
        <f>G19/$C$19</f>
        <v>1.0645346041699644</v>
      </c>
      <c r="G72" s="138"/>
      <c r="H72" s="138">
        <f>I19/$C$19</f>
        <v>1.1019416088638765</v>
      </c>
      <c r="I72" s="138"/>
      <c r="J72" s="138">
        <f>K19/$C$19</f>
        <v>1.1433622973330175</v>
      </c>
      <c r="K72" s="138"/>
      <c r="L72" s="138">
        <f>M19/$C$19</f>
        <v>1.1892131280046334</v>
      </c>
      <c r="M72" s="138"/>
      <c r="N72" s="138">
        <f>O19/$C$19</f>
        <v>1.2398479432595892</v>
      </c>
      <c r="O72" s="138"/>
      <c r="P72" s="138">
        <f>Q19/$C$19</f>
        <v>1.2954756432292123</v>
      </c>
      <c r="Q72" s="138"/>
      <c r="R72" s="138">
        <f>S19/$C$19</f>
        <v>1.3560240615225656</v>
      </c>
      <c r="S72" s="138"/>
      <c r="T72" s="138">
        <f>U19/$C$19</f>
        <v>1.4209022586328433</v>
      </c>
      <c r="U72" s="138"/>
      <c r="V72" s="138">
        <f>W19/$C$19</f>
        <v>1.4885990961304369</v>
      </c>
      <c r="W72" s="138"/>
      <c r="X72" s="138">
        <f>Y19/$C$19</f>
        <v>1.5559928263828491</v>
      </c>
      <c r="Y72" s="138"/>
      <c r="Z72" s="138">
        <f>AA19/$C$19</f>
        <v>1.6171856331864878</v>
      </c>
      <c r="AA72" s="138"/>
      <c r="AB72" s="138">
        <f>AC19/$C$19</f>
        <v>1.6615983874949951</v>
      </c>
      <c r="AC72" s="138"/>
      <c r="AD72" s="138">
        <f>AE19/$C$19</f>
        <v>1.6711883977388602</v>
      </c>
      <c r="AE72" s="138"/>
      <c r="AF72" s="138">
        <f>AG19/$C$19</f>
        <v>1.617805435242142</v>
      </c>
      <c r="AG72" s="138"/>
      <c r="AH72" s="138">
        <f>AI19/$C$19</f>
        <v>1.4658443997851003</v>
      </c>
      <c r="AI72" s="138"/>
      <c r="AJ72" s="138">
        <f>AK19/$C$19</f>
        <v>1.1916984264724499</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0.47641155073896013</v>
      </c>
      <c r="E73" s="138"/>
      <c r="F73" s="193">
        <f t="array" ref="F73">SUM(F9:G9*F22:G22)/F32</f>
        <v>0.47641155391963652</v>
      </c>
      <c r="G73" s="138"/>
      <c r="H73" s="193">
        <f t="array" ref="H73">SUM(H9:I9*H22:I22)/H32</f>
        <v>0.47641153435031069</v>
      </c>
      <c r="I73" s="138"/>
      <c r="J73" s="193">
        <f t="array" ref="J73">SUM(J9:K9*J22:K22)/J32</f>
        <v>0.47641153731004371</v>
      </c>
      <c r="K73" s="138"/>
      <c r="L73" s="193">
        <f t="array" ref="L73">SUM(L9:M9*L22:M22)/L32</f>
        <v>0.47641153461203445</v>
      </c>
      <c r="M73" s="138"/>
      <c r="N73" s="193">
        <f t="array" ref="N73">SUM(N9:O9*N22:O22)/N32</f>
        <v>0.47641153534372876</v>
      </c>
      <c r="O73" s="138"/>
      <c r="P73" s="193">
        <f t="array" ref="P73">SUM(P9:Q9*P22:Q22)/P32</f>
        <v>0.47641153585200341</v>
      </c>
      <c r="Q73" s="138"/>
      <c r="R73" s="193">
        <f t="array" ref="R73">SUM(R9:S9*R22:S22)/R32</f>
        <v>0.4764115385323735</v>
      </c>
      <c r="S73" s="138"/>
      <c r="T73" s="193">
        <f t="array" ref="T73">SUM(T9:U9*T22:U22)/T32</f>
        <v>0.47641153584788348</v>
      </c>
      <c r="U73" s="138"/>
      <c r="V73" s="193">
        <f t="array" ref="V73">SUM(V9:W9*V22:W22)/V32</f>
        <v>0.47641153437673378</v>
      </c>
      <c r="W73" s="138"/>
      <c r="X73" s="193">
        <f t="array" ref="X73">SUM(X9:Y9*X22:Y22)/X32</f>
        <v>0.47641153265397013</v>
      </c>
      <c r="Y73" s="138"/>
      <c r="Z73" s="193">
        <f t="array" ref="Z73">SUM(Z9:AA9*Z22:AA22)/Z32</f>
        <v>0.47641153480468107</v>
      </c>
      <c r="AA73" s="138"/>
      <c r="AB73" s="193">
        <f t="array" ref="AB73">SUM(AB9:AC9*AB22:AC22)/AB32</f>
        <v>0.47641153423929694</v>
      </c>
      <c r="AC73" s="138"/>
      <c r="AD73" s="193">
        <f t="array" ref="AD73">SUM(AD9:AE9*AD22:AE22)/AD32</f>
        <v>0.47641153337772224</v>
      </c>
      <c r="AE73" s="138"/>
      <c r="AF73" s="193">
        <f t="array" ref="AF73">SUM(AF9:AG9*AF22:AG22)/AF32</f>
        <v>0.47641153359805494</v>
      </c>
      <c r="AG73" s="138"/>
      <c r="AH73" s="193">
        <f t="array" ref="AH73">SUM(AH9:AI9*AH22:AI22)/AH32</f>
        <v>0.47641153361073718</v>
      </c>
      <c r="AI73" s="138"/>
      <c r="AJ73" s="193">
        <f t="array" ref="AJ73">SUM(AJ9:AK9*AJ22:AK22)/AJ32</f>
        <v>0.47641153384867646</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0.22038438918201428</v>
      </c>
      <c r="E75" s="138"/>
      <c r="F75" s="193">
        <f t="array" ref="F75">SUM(F11:G11*F24:G24)/F32</f>
        <v>0.22038438920517847</v>
      </c>
      <c r="G75" s="138"/>
      <c r="H75" s="193">
        <f t="array" ref="H75">SUM(H11:I11*H24:I24)/H32</f>
        <v>0.2203843882997131</v>
      </c>
      <c r="I75" s="138"/>
      <c r="J75" s="193">
        <f t="array" ref="J75">SUM(J11:K11*J24:K24)/J32</f>
        <v>0.2203843884568428</v>
      </c>
      <c r="K75" s="138"/>
      <c r="L75" s="193">
        <f t="array" ref="L75">SUM(L11:M11*L24:M24)/L32</f>
        <v>0.22038438828207066</v>
      </c>
      <c r="M75" s="138"/>
      <c r="N75" s="193">
        <f t="array" ref="N75">SUM(N11:O11*N24:O24)/N32</f>
        <v>0.22038438823962539</v>
      </c>
      <c r="O75" s="138"/>
      <c r="P75" s="193">
        <f t="array" ref="P75">SUM(P11:Q11*P24:Q24)/P32</f>
        <v>0.22038438820366463</v>
      </c>
      <c r="Q75" s="138"/>
      <c r="R75" s="193">
        <f t="array" ref="R75">SUM(R11:S11*R24:S24)/R32</f>
        <v>0.22038438823457276</v>
      </c>
      <c r="S75" s="138"/>
      <c r="T75" s="193">
        <f t="array" ref="T75">SUM(T11:U11*T24:U24)/T32</f>
        <v>0.22038438829015905</v>
      </c>
      <c r="U75" s="138"/>
      <c r="V75" s="193">
        <f t="array" ref="V75">SUM(V11:W11*V24:W24)/V32</f>
        <v>0.22038438831862914</v>
      </c>
      <c r="W75" s="138"/>
      <c r="X75" s="193">
        <f t="array" ref="X75">SUM(X11:Y11*X24:Y24)/X32</f>
        <v>0.22038438839968022</v>
      </c>
      <c r="Y75" s="138"/>
      <c r="Z75" s="193">
        <f t="array" ref="Z75">SUM(Z11:AA11*Z24:AA24)/Z32</f>
        <v>0.22038438838768448</v>
      </c>
      <c r="AA75" s="138"/>
      <c r="AB75" s="193">
        <f t="array" ref="AB75">SUM(AB11:AC11*AB24:AC24)/AB32</f>
        <v>0.2203843883109744</v>
      </c>
      <c r="AC75" s="138"/>
      <c r="AD75" s="193">
        <f t="array" ref="AD75">SUM(AD11:AE11*AD24:AE24)/AD32</f>
        <v>0.22038438834114682</v>
      </c>
      <c r="AE75" s="138"/>
      <c r="AF75" s="193">
        <f t="array" ref="AF75">SUM(AF11:AG11*AF24:AG24)/AF32</f>
        <v>0.22038438833035573</v>
      </c>
      <c r="AG75" s="138"/>
      <c r="AH75" s="193">
        <f t="array" ref="AH75">SUM(AH11:AI11*AH24:AI24)/AH32</f>
        <v>0.22038438832797264</v>
      </c>
      <c r="AI75" s="138"/>
      <c r="AJ75" s="193">
        <f t="array" ref="AJ75">SUM(AJ11:AK11*AJ24:AK24)/AJ32</f>
        <v>0.22038438832043436</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0.22299133678461758</v>
      </c>
      <c r="E76" s="138"/>
      <c r="F76" s="193">
        <f t="array" ref="F76">SUM(F12:G12*F25:G25)/F32</f>
        <v>0.22302607249725076</v>
      </c>
      <c r="G76" s="138"/>
      <c r="H76" s="193">
        <f t="array" ref="H76">SUM(H12:I12*H25:I25)/H32</f>
        <v>0.22312862789379795</v>
      </c>
      <c r="I76" s="138"/>
      <c r="J76" s="193">
        <f t="array" ref="J76">SUM(J12:K12*J25:K25)/J32</f>
        <v>0.22330540555767811</v>
      </c>
      <c r="K76" s="138"/>
      <c r="L76" s="193">
        <f t="array" ref="L76">SUM(L12:M12*L25:M25)/L32</f>
        <v>0.22356326159143738</v>
      </c>
      <c r="M76" s="138"/>
      <c r="N76" s="193">
        <f t="array" ref="N76">SUM(N12:O12*N25:O25)/N32</f>
        <v>0.22390905332826555</v>
      </c>
      <c r="O76" s="138"/>
      <c r="P76" s="193">
        <f t="array" ref="P76">SUM(P12:Q12*P25:Q25)/P32</f>
        <v>0.22434872613412862</v>
      </c>
      <c r="Q76" s="138"/>
      <c r="R76" s="193">
        <f t="array" ref="R76">SUM(R12:S12*R25:S25)/R32</f>
        <v>0.22488569447689444</v>
      </c>
      <c r="S76" s="138"/>
      <c r="T76" s="193">
        <f t="array" ref="T76">SUM(T12:U12*T25:U25)/T32</f>
        <v>0.22551791312460154</v>
      </c>
      <c r="U76" s="138"/>
      <c r="V76" s="193">
        <f t="array" ref="V76">SUM(V12:W12*V25:W25)/V32</f>
        <v>0.22623274114941844</v>
      </c>
      <c r="W76" s="138"/>
      <c r="X76" s="193">
        <f t="array" ref="X76">SUM(X12:Y12*X25:Y25)/X32</f>
        <v>0.22699791365866401</v>
      </c>
      <c r="Y76" s="138"/>
      <c r="Z76" s="193">
        <f t="array" ref="Z76">SUM(Z12:AA12*Z25:AA25)/Z32</f>
        <v>0.22774608005373068</v>
      </c>
      <c r="AA76" s="138"/>
      <c r="AB76" s="193">
        <f t="array" ref="AB76">SUM(AB12:AC12*AB25:AC25)/AB32</f>
        <v>0.22835007424144291</v>
      </c>
      <c r="AC76" s="138"/>
      <c r="AD76" s="193">
        <f t="array" ref="AD76">SUM(AD12:AE12*AD25:AE25)/AD32</f>
        <v>0.22859091734374559</v>
      </c>
      <c r="AE76" s="138"/>
      <c r="AF76" s="193">
        <f t="array" ref="AF76">SUM(AF12:AG12*AF25:AG25)/AF32</f>
        <v>0.22815112517907832</v>
      </c>
      <c r="AG76" s="138"/>
      <c r="AH76" s="193">
        <f t="array" ref="AH76">SUM(AH12:AI12*AH25:AI25)/AH32</f>
        <v>0.22677460515583292</v>
      </c>
      <c r="AI76" s="138"/>
      <c r="AJ76" s="193">
        <f t="array" ref="AJ76">SUM(AJ12:AK12*AJ25:AK25)/AJ32</f>
        <v>0.22487567344364753</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0.14583348127001663</v>
      </c>
      <c r="E77" s="138"/>
      <c r="F77" s="193">
        <f t="array" ref="F77">SUM(F4:G4*F19:G19)/F32</f>
        <v>0.14586822018649065</v>
      </c>
      <c r="G77" s="138"/>
      <c r="H77" s="193">
        <f t="array" ref="H77">SUM(H4:I4*H19:I19)/H32</f>
        <v>0.14597075510824639</v>
      </c>
      <c r="I77" s="138"/>
      <c r="J77" s="193">
        <f t="array" ref="J77">SUM(J4:K4*J19:K19)/J32</f>
        <v>0.14614753588898921</v>
      </c>
      <c r="K77" s="138"/>
      <c r="L77" s="193">
        <f t="array" ref="L77">SUM(L4:M4*L19:M19)/L32</f>
        <v>0.14640538904996717</v>
      </c>
      <c r="M77" s="138"/>
      <c r="N77" s="193">
        <f t="array" ref="N77">SUM(N4:O4*N19:O19)/N32</f>
        <v>0.14675118147604457</v>
      </c>
      <c r="O77" s="138"/>
      <c r="P77" s="193">
        <f t="array" ref="P77">SUM(P4:Q4*P19:Q19)/P32</f>
        <v>0.14719085475422133</v>
      </c>
      <c r="Q77" s="138"/>
      <c r="R77" s="193">
        <f t="array" ref="R77">SUM(R4:S4*R19:S19)/R32</f>
        <v>0.14772782580826554</v>
      </c>
      <c r="S77" s="138"/>
      <c r="T77" s="193">
        <f t="array" ref="T77">SUM(T4:U4*T19:U19)/T32</f>
        <v>0.14836004182706886</v>
      </c>
      <c r="U77" s="138"/>
      <c r="V77" s="193">
        <f t="array" ref="V77">SUM(V4:W4*V19:W19)/V32</f>
        <v>0.14907486840920603</v>
      </c>
      <c r="W77" s="138"/>
      <c r="X77" s="193">
        <f t="array" ref="X77">SUM(X4:Y4*X19:Y19)/X32</f>
        <v>0.14984003927673922</v>
      </c>
      <c r="Y77" s="138"/>
      <c r="Z77" s="193">
        <f t="array" ref="Z77">SUM(Z4:AA4*Z19:AA19)/Z32</f>
        <v>0.15058820781052087</v>
      </c>
      <c r="AA77" s="138"/>
      <c r="AB77" s="193">
        <f t="array" ref="AB77">SUM(AB4:AC4*AB19:AC19)/AB32</f>
        <v>0.15119220135613898</v>
      </c>
      <c r="AC77" s="138"/>
      <c r="AD77" s="193">
        <f t="array" ref="AD77">SUM(AD4:AE4*AD19:AE19)/AD32</f>
        <v>0.15143304362703949</v>
      </c>
      <c r="AE77" s="138"/>
      <c r="AF77" s="193">
        <f t="array" ref="AF77">SUM(AF4:AG4*AF19:AG19)/AF32</f>
        <v>0.1509932516719138</v>
      </c>
      <c r="AG77" s="138"/>
      <c r="AH77" s="193">
        <f t="array" ref="AH77">SUM(AH4:AI4*AH19:AI19)/AH32</f>
        <v>0.1496167316589673</v>
      </c>
      <c r="AI77" s="138"/>
      <c r="AJ77" s="193">
        <f t="array" ref="AJ77">SUM(AJ4:AK4*AJ19:AK19)/AJ32</f>
        <v>0.14771780017718314</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0.34926020491097232</v>
      </c>
      <c r="E78" s="138"/>
      <c r="F78" s="193">
        <f t="array" ref="F78">SUM(F13:G13*F26:G26)/F32</f>
        <v>0.35166424860501461</v>
      </c>
      <c r="G78" s="138"/>
      <c r="H78" s="193">
        <f t="array" ref="H78">SUM(H13:I13*H26:I26)/H32</f>
        <v>0.35411229588767429</v>
      </c>
      <c r="I78" s="138"/>
      <c r="J78" s="193">
        <f t="array" ref="J78">SUM(J13:K13*J26:K26)/J32</f>
        <v>0.356618235251704</v>
      </c>
      <c r="K78" s="138"/>
      <c r="L78" s="193">
        <f t="array" ref="L78">SUM(L13:M13*L26:M26)/L32</f>
        <v>0.35919794603520677</v>
      </c>
      <c r="M78" s="138"/>
      <c r="N78" s="193">
        <f t="array" ref="N78">SUM(N13:O13*N26:O26)/N32</f>
        <v>0.36187047818362383</v>
      </c>
      <c r="O78" s="138"/>
      <c r="P78" s="193">
        <f t="array" ref="P78">SUM(P13:Q13*P26:Q26)/P32</f>
        <v>0.36465951182732814</v>
      </c>
      <c r="Q78" s="138"/>
      <c r="R78" s="193">
        <f t="array" ref="R78">SUM(R13:S13*R26:S26)/R32</f>
        <v>0.36759571846086408</v>
      </c>
      <c r="S78" s="138"/>
      <c r="T78" s="193">
        <f t="array" ref="T78">SUM(T13:U13*T26:U26)/T32</f>
        <v>0.37072031585698378</v>
      </c>
      <c r="U78" s="138"/>
      <c r="V78" s="193">
        <f t="array" ref="V78">SUM(V13:W13*V26:W26)/V32</f>
        <v>0.37409103702521068</v>
      </c>
      <c r="W78" s="138"/>
      <c r="X78" s="193">
        <f t="array" ref="X78">SUM(X13:Y13*X26:Y26)/X32</f>
        <v>0.37779155538866066</v>
      </c>
      <c r="Y78" s="138"/>
      <c r="Z78" s="193">
        <f t="array" ref="Z78">SUM(Z13:AA13*Z26:AA26)/Z32</f>
        <v>0.38194668413104121</v>
      </c>
      <c r="AA78" s="138"/>
      <c r="AB78" s="193">
        <f t="array" ref="AB78">SUM(AB13:AC13*AB26:AC26)/AB32</f>
        <v>0.38674483779832736</v>
      </c>
      <c r="AC78" s="138"/>
      <c r="AD78" s="193">
        <f t="array" ref="AD78">SUM(AD13:AE13*AD26:AE26)/AD32</f>
        <v>0.39246051678533717</v>
      </c>
      <c r="AE78" s="138"/>
      <c r="AF78" s="193">
        <f t="array" ref="AF78">SUM(AF13:AG13*AF26:AG26)/AF32</f>
        <v>0.39942219858037681</v>
      </c>
      <c r="AG78" s="138"/>
      <c r="AH78" s="193">
        <f t="array" ref="AH78">SUM(AH13:AI13*AH26:AI26)/AH32</f>
        <v>0.40767149497130917</v>
      </c>
      <c r="AI78" s="138"/>
      <c r="AJ78" s="193">
        <f t="array" ref="AJ78">SUM(AJ13:AK13*AJ26:AK26)/AJ32</f>
        <v>0.41565464259618012</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0.44628219352516291</v>
      </c>
      <c r="F79" s="193">
        <f t="array" ref="F79">SUM(F15:G15*F27:G27)/F32</f>
        <v>0.43784437233376916</v>
      </c>
      <c r="H79" s="193">
        <f t="array" ref="H79">SUM(H15:I15*H27:I27)/H32</f>
        <v>0.42925204833803227</v>
      </c>
      <c r="J79" s="193">
        <f t="array" ref="J79">SUM(J15:K15*J27:K27)/J32</f>
        <v>0.42045659495754573</v>
      </c>
      <c r="L79" s="193">
        <f t="array" ref="L79">SUM(L15:M15*L27:M27)/L32</f>
        <v>0.41140216704632643</v>
      </c>
      <c r="N79" s="193">
        <f t="array" ref="N79">SUM(N15:O15*N27:O27)/N32</f>
        <v>0.40202196103029419</v>
      </c>
      <c r="P79" s="193">
        <f t="array" ref="P79">SUM(P15:Q15*P27:Q27)/P32</f>
        <v>0.39223285628249188</v>
      </c>
      <c r="R79" s="193">
        <f t="array" ref="R79">SUM(R15:S15*R27:S27)/R32</f>
        <v>0.38192725587390686</v>
      </c>
      <c r="T79" s="193">
        <f t="array" ref="T79">SUM(T15:U15*T27:U27)/T32</f>
        <v>0.37096038797284248</v>
      </c>
      <c r="V79" s="193">
        <f t="array" ref="V79">SUM(V15:W15*V27:W27)/V32</f>
        <v>0.35912966160738002</v>
      </c>
      <c r="X79" s="193">
        <f t="array" ref="X79">SUM(X15:Y15*X27:Y27)/X32</f>
        <v>0.34614141639166041</v>
      </c>
      <c r="Z79" s="193">
        <f t="array" ref="Z79">SUM(Z15:AA15*Z27:AA27)/Z32</f>
        <v>0.33155751688625007</v>
      </c>
      <c r="AB79" s="193">
        <f t="array" ref="AB79">SUM(AB15:AC15*AB27:AC27)/AB32</f>
        <v>0.31471670511684635</v>
      </c>
      <c r="AD79" s="193">
        <f t="array" ref="AD79">SUM(AD15:AE15*AD27:AE27)/AD32</f>
        <v>0.2946555335379934</v>
      </c>
      <c r="AF79" s="193">
        <f t="array" ref="AF79">SUM(AF15:AG15*AF27:AG27)/AF32</f>
        <v>0.27022106751982938</v>
      </c>
      <c r="AH79" s="193">
        <f t="array" ref="AH79">SUM(AH15:AI15*AH27:AI27)/AH32</f>
        <v>0.24126726608924845</v>
      </c>
      <c r="AJ79" s="193">
        <f t="array" ref="AJ79">SUM(AJ15:AK15*AJ27:AK27)/AJ32</f>
        <v>0.21324760730667552</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0.20445764061907337</v>
      </c>
      <c r="F80" s="236">
        <f>F55</f>
        <v>0.21049143484725807</v>
      </c>
      <c r="H80" s="236">
        <f>H55</f>
        <v>0.21663565389191761</v>
      </c>
      <c r="J80" s="236">
        <f>J55</f>
        <v>0.22292518320842244</v>
      </c>
      <c r="L80" s="236">
        <f>L55</f>
        <v>0.22939988345143214</v>
      </c>
      <c r="N80" s="236">
        <f>N55</f>
        <v>0.23610755401962963</v>
      </c>
      <c r="P80" s="236">
        <f>P55</f>
        <v>0.24310762187205723</v>
      </c>
      <c r="R80" s="236">
        <f>R55</f>
        <v>0.25047703173763647</v>
      </c>
      <c r="T80" s="236">
        <f>T55</f>
        <v>0.25831929866042208</v>
      </c>
      <c r="V80" s="236">
        <f>V55</f>
        <v>0.26677930225698354</v>
      </c>
      <c r="X80" s="236">
        <f>X55</f>
        <v>0.27606704570491608</v>
      </c>
      <c r="Z80" s="236">
        <f>Z55</f>
        <v>0.28649581175628447</v>
      </c>
      <c r="AB80" s="236">
        <f>AB55</f>
        <v>0.29853845355291858</v>
      </c>
      <c r="AD80" s="236">
        <f>AD55</f>
        <v>0.31288395205304931</v>
      </c>
      <c r="AF80" s="236">
        <f>AF55</f>
        <v>0.33035673322872633</v>
      </c>
      <c r="AH80" s="236">
        <f>AH55</f>
        <v>0.35106123480555096</v>
      </c>
      <c r="AJ80" s="236">
        <f>AJ55</f>
        <v>0.3710977458215568</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-2.1588563945351469E-2</v>
      </c>
      <c r="F81" s="236">
        <f>F51/F$32</f>
        <v>-1.5554769717166766E-2</v>
      </c>
      <c r="H81" s="236">
        <f>H51/H$32</f>
        <v>-9.4105506725072254E-3</v>
      </c>
      <c r="J81" s="236">
        <f>J51/J$32</f>
        <v>-3.121021356002378E-3</v>
      </c>
      <c r="L81" s="236">
        <f>L51/L$32</f>
        <v>3.353678887007305E-3</v>
      </c>
      <c r="N81" s="236">
        <f>N51/N$32</f>
        <v>1.0061349455204805E-2</v>
      </c>
      <c r="P81" s="236">
        <f>P51/P$32</f>
        <v>1.7061417307632366E-2</v>
      </c>
      <c r="R81" s="236">
        <f>R51/R$32</f>
        <v>2.4430827173211586E-2</v>
      </c>
      <c r="T81" s="236">
        <f>T51/T$32</f>
        <v>3.2273094095997205E-2</v>
      </c>
      <c r="V81" s="236">
        <f>V51/V$32</f>
        <v>4.0733097692558694E-2</v>
      </c>
      <c r="X81" s="236">
        <f>X51/X$32</f>
        <v>5.0020841140491254E-2</v>
      </c>
      <c r="Z81" s="236">
        <f>Z51/Z$32</f>
        <v>6.04496071918596E-2</v>
      </c>
      <c r="AB81" s="236">
        <f>AB51/AB$32</f>
        <v>7.249224898849374E-2</v>
      </c>
      <c r="AD81" s="236">
        <f>AD51/AD$32</f>
        <v>8.6837747488624467E-2</v>
      </c>
      <c r="AF81" s="236">
        <f>AF51/AF$32</f>
        <v>0.10431052866430146</v>
      </c>
      <c r="AH81" s="236">
        <f>AH51/AH$32</f>
        <v>0.12501503024112615</v>
      </c>
      <c r="AJ81" s="236">
        <f>AJ51/AJ$32</f>
        <v>0.14505154125713196</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0.14002986059581082</v>
      </c>
      <c r="F82" s="236">
        <f>F52/F$32</f>
        <v>0.14099372048768943</v>
      </c>
      <c r="H82" s="236">
        <f>H52/H$32</f>
        <v>0.14197522286014025</v>
      </c>
      <c r="J82" s="236">
        <f>J52/J$32</f>
        <v>0.14297993606500162</v>
      </c>
      <c r="L82" s="236">
        <f>L52/L$32</f>
        <v>0.14401422664924807</v>
      </c>
      <c r="N82" s="236">
        <f>N52/N$32</f>
        <v>0.14508573236022954</v>
      </c>
      <c r="P82" s="236">
        <f>P52/P$32</f>
        <v>0.1462039473381555</v>
      </c>
      <c r="R82" s="236">
        <f>R52/R$32</f>
        <v>0.14738116879022256</v>
      </c>
      <c r="T82" s="236">
        <f>T52/T$32</f>
        <v>0.14863392227213787</v>
      </c>
      <c r="V82" s="236">
        <f>V52/V$32</f>
        <v>0.1499853548391962</v>
      </c>
      <c r="X82" s="236">
        <f>X52/X$32</f>
        <v>0.15146901390850881</v>
      </c>
      <c r="Z82" s="236">
        <f>Z52/Z$32</f>
        <v>0.15313494117526258</v>
      </c>
      <c r="AB82" s="236">
        <f>AB52/AB$32</f>
        <v>0.15505867820484664</v>
      </c>
      <c r="AD82" s="236">
        <f>AD52/AD$32</f>
        <v>0.15735028120028499</v>
      </c>
      <c r="AF82" s="236">
        <f>AF52/AF$32</f>
        <v>0.16014144755008508</v>
      </c>
      <c r="AH82" s="236">
        <f>AH52/AH$32</f>
        <v>0.16344886078352297</v>
      </c>
      <c r="AJ82" s="236">
        <f>AJ52/AJ$32</f>
        <v>0.16664956625556898</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0.18259988455982776</v>
      </c>
      <c r="F83" s="236">
        <f>F53/F$32</f>
        <v>0.17914748337098646</v>
      </c>
      <c r="H83" s="236">
        <f>H53/H$32</f>
        <v>0.17563186613936654</v>
      </c>
      <c r="J83" s="236">
        <f>J53/J$32</f>
        <v>0.1720331369155047</v>
      </c>
      <c r="L83" s="236">
        <f>L53/L$32</f>
        <v>0.16832844621681403</v>
      </c>
      <c r="N83" s="236">
        <f>N53/N$32</f>
        <v>0.16449046083329388</v>
      </c>
      <c r="P83" s="236">
        <f>P53/P$32</f>
        <v>0.16048517130387424</v>
      </c>
      <c r="R83" s="236">
        <f>R53/R$32</f>
        <v>0.15626855349516655</v>
      </c>
      <c r="T83" s="236">
        <f>T53/T$32</f>
        <v>0.15178137286871315</v>
      </c>
      <c r="V83" s="236">
        <f>V53/V$32</f>
        <v>0.14694073772813465</v>
      </c>
      <c r="X83" s="236">
        <f>X53/X$32</f>
        <v>0.14162649460700191</v>
      </c>
      <c r="Z83" s="236">
        <f>Z53/Z$32</f>
        <v>0.13565937692954094</v>
      </c>
      <c r="AB83" s="236">
        <f>AB53/AB$32</f>
        <v>0.12876882577244322</v>
      </c>
      <c r="AD83" s="236">
        <f>AD53/AD$32</f>
        <v>0.12056063896243799</v>
      </c>
      <c r="AF83" s="236">
        <f>AF53/AF$32</f>
        <v>0.11056308418895539</v>
      </c>
      <c r="AH83" s="236">
        <f>AH53/AH$32</f>
        <v>9.8716407634305531E-2</v>
      </c>
      <c r="AJ83" s="236">
        <f>AJ53/AJ$32</f>
        <v>8.7251942922663167E-2</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W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4.6257260950744589E-2</v>
      </c>
      <c r="E2" s="227"/>
      <c r="F2" s="226">
        <v>8.9990572299602667E-2</v>
      </c>
      <c r="G2" s="227"/>
      <c r="H2" s="226">
        <v>0.13736710345633904</v>
      </c>
      <c r="I2" s="227"/>
      <c r="J2" s="226">
        <v>0.18884838679660709</v>
      </c>
      <c r="K2" s="227"/>
      <c r="L2" s="226">
        <v>0.24497600763203758</v>
      </c>
      <c r="M2" s="227"/>
      <c r="N2" s="226">
        <v>0.30638865389788472</v>
      </c>
      <c r="O2" s="227"/>
      <c r="P2" s="226">
        <v>0.3738429494290243</v>
      </c>
      <c r="Q2" s="227"/>
      <c r="R2" s="226">
        <v>0.44823733639533125</v>
      </c>
      <c r="S2" s="227"/>
      <c r="T2" s="226">
        <v>0.53063891147853737</v>
      </c>
      <c r="U2" s="227"/>
      <c r="V2" s="226">
        <v>0.62230771208310487</v>
      </c>
      <c r="W2" s="227"/>
      <c r="X2" s="226">
        <v>0.72471141308108211</v>
      </c>
      <c r="Y2" s="227"/>
      <c r="Z2" s="226">
        <v>0.83951130458126944</v>
      </c>
      <c r="AA2" s="227"/>
      <c r="AB2" s="226">
        <v>0.96848945786765928</v>
      </c>
      <c r="AC2" s="227"/>
      <c r="AD2" s="226">
        <v>1.1133716642841205</v>
      </c>
      <c r="AE2" s="227"/>
      <c r="AF2" s="226">
        <v>1.2755018145135393</v>
      </c>
      <c r="AG2" s="227"/>
      <c r="AH2" s="226">
        <v>1.4553682840818822</v>
      </c>
      <c r="AI2" s="227"/>
      <c r="AJ2" s="226">
        <v>1.6521016310255803</v>
      </c>
      <c r="AK2" s="227"/>
      <c r="AL2" s="226">
        <v>1.8631992392969376</v>
      </c>
      <c r="AM2" s="227"/>
      <c r="AN2" s="226">
        <v>2.0847324239218614</v>
      </c>
      <c r="AO2" s="227"/>
      <c r="AP2" s="226">
        <v>2.1298839922178519</v>
      </c>
      <c r="AQ2" s="227"/>
      <c r="AR2" s="226">
        <v>2.1752277215333891</v>
      </c>
      <c r="AS2" s="227"/>
      <c r="AT2" s="226">
        <v>2.220725895289196</v>
      </c>
      <c r="AU2" s="227"/>
      <c r="AV2" s="226">
        <v>2.2663415549364951</v>
      </c>
      <c r="AW2" s="227"/>
    </row>
    <row r="3" spans="1:49" x14ac:dyDescent="0.2">
      <c r="A3" t="s">
        <v>12</v>
      </c>
      <c r="B3" s="84">
        <v>1000</v>
      </c>
      <c r="C3" s="85">
        <v>1000</v>
      </c>
      <c r="D3" s="84">
        <v>998.7793117353109</v>
      </c>
      <c r="E3" s="85">
        <v>1018.6723750585154</v>
      </c>
      <c r="F3" s="84">
        <v>997.53479757619596</v>
      </c>
      <c r="G3" s="85">
        <v>1039.1603861327017</v>
      </c>
      <c r="H3" s="84">
        <v>996.26344709539035</v>
      </c>
      <c r="I3" s="85">
        <v>1061.7080543318684</v>
      </c>
      <c r="J3" s="84">
        <v>994.96213111293605</v>
      </c>
      <c r="K3" s="85">
        <v>1086.6007884850726</v>
      </c>
      <c r="L3" s="84">
        <v>993.62776632535667</v>
      </c>
      <c r="M3" s="85">
        <v>1114.1733704733538</v>
      </c>
      <c r="N3" s="84">
        <v>992.25759857463322</v>
      </c>
      <c r="O3" s="85">
        <v>1144.8192825888555</v>
      </c>
      <c r="P3" s="84">
        <v>990.84960862168589</v>
      </c>
      <c r="Q3" s="85">
        <v>1179.0012763725961</v>
      </c>
      <c r="R3" s="84">
        <v>989.40315611722269</v>
      </c>
      <c r="S3" s="85">
        <v>1217.2624997540991</v>
      </c>
      <c r="T3" s="84">
        <v>987.9199242498845</v>
      </c>
      <c r="U3" s="85">
        <v>1260.2371593242724</v>
      </c>
      <c r="V3" s="84">
        <v>986.40521711821702</v>
      </c>
      <c r="W3" s="85">
        <v>1308.6570322097364</v>
      </c>
      <c r="X3" s="84">
        <v>984.86967876574408</v>
      </c>
      <c r="Y3" s="85">
        <v>1363.3481316126665</v>
      </c>
      <c r="Z3" s="84">
        <v>983.33132512690725</v>
      </c>
      <c r="AA3" s="85">
        <v>1425.2063701915818</v>
      </c>
      <c r="AB3" s="84">
        <v>981.8175231335855</v>
      </c>
      <c r="AC3" s="85">
        <v>1495.1350067306571</v>
      </c>
      <c r="AD3" s="84">
        <v>980.36604398577549</v>
      </c>
      <c r="AE3" s="85">
        <v>1573.9220920246789</v>
      </c>
      <c r="AF3" s="84">
        <v>979.02371982070963</v>
      </c>
      <c r="AG3" s="85">
        <v>1662.0425184078392</v>
      </c>
      <c r="AH3" s="84">
        <v>977.84106202523026</v>
      </c>
      <c r="AI3" s="85">
        <v>1759.401791631652</v>
      </c>
      <c r="AJ3" s="84">
        <v>976.86251373759865</v>
      </c>
      <c r="AK3" s="85">
        <v>1865.1043930853061</v>
      </c>
      <c r="AL3" s="84">
        <v>976.1151077454939</v>
      </c>
      <c r="AM3" s="85">
        <v>1977.3893121190554</v>
      </c>
      <c r="AN3" s="84">
        <v>975.60117282106671</v>
      </c>
      <c r="AO3" s="85">
        <v>2093.8421576476744</v>
      </c>
      <c r="AP3" s="84">
        <v>975.52486726785685</v>
      </c>
      <c r="AQ3" s="85">
        <v>2117.3996829722364</v>
      </c>
      <c r="AR3" s="84">
        <v>975.45683604903695</v>
      </c>
      <c r="AS3" s="85">
        <v>2140.9972769281303</v>
      </c>
      <c r="AT3" s="84">
        <v>975.39679451068912</v>
      </c>
      <c r="AU3" s="85">
        <v>2164.6149144521896</v>
      </c>
      <c r="AV3" s="84">
        <v>975.34444083778328</v>
      </c>
      <c r="AW3" s="85">
        <v>2188.2332519388897</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998.71881159561087</v>
      </c>
      <c r="E5" s="42">
        <v>1016.2480491322397</v>
      </c>
      <c r="F5" s="41">
        <v>997.41193828539667</v>
      </c>
      <c r="G5" s="42">
        <v>1033.7394115695818</v>
      </c>
      <c r="H5" s="41">
        <v>996.07617405226415</v>
      </c>
      <c r="I5" s="42">
        <v>1052.5857279988466</v>
      </c>
      <c r="J5" s="41">
        <v>994.70817993705793</v>
      </c>
      <c r="K5" s="42">
        <v>1072.905810245398</v>
      </c>
      <c r="L5" s="41">
        <v>993.30465641326543</v>
      </c>
      <c r="M5" s="42">
        <v>1094.8236857249278</v>
      </c>
      <c r="N5" s="41">
        <v>991.86264115714584</v>
      </c>
      <c r="O5" s="42">
        <v>1118.4652974250837</v>
      </c>
      <c r="P5" s="41">
        <v>990.37993694066563</v>
      </c>
      <c r="Q5" s="42">
        <v>1143.9526512198604</v>
      </c>
      <c r="R5" s="41">
        <v>988.85579230199426</v>
      </c>
      <c r="S5" s="42">
        <v>1171.3950336490964</v>
      </c>
      <c r="T5" s="41">
        <v>987.29190194427736</v>
      </c>
      <c r="U5" s="42">
        <v>1200.8739011391299</v>
      </c>
      <c r="V5" s="41">
        <v>985.69378407971715</v>
      </c>
      <c r="W5" s="42">
        <v>1232.4227754964354</v>
      </c>
      <c r="X5" s="41">
        <v>984.0726090517278</v>
      </c>
      <c r="Y5" s="42">
        <v>1265.9962899584741</v>
      </c>
      <c r="Z5" s="41">
        <v>982.44736688309581</v>
      </c>
      <c r="AA5" s="42">
        <v>1301.4299543425948</v>
      </c>
      <c r="AB5" s="41">
        <v>980.84698773422372</v>
      </c>
      <c r="AC5" s="42">
        <v>1338.3908330719512</v>
      </c>
      <c r="AD5" s="41">
        <v>979.3114889128949</v>
      </c>
      <c r="AE5" s="42">
        <v>1376.3290789110374</v>
      </c>
      <c r="AF5" s="41">
        <v>977.89058191350762</v>
      </c>
      <c r="AG5" s="42">
        <v>1414.4519649719516</v>
      </c>
      <c r="AH5" s="41">
        <v>976.63798327997927</v>
      </c>
      <c r="AI5" s="42">
        <v>1451.7553396455726</v>
      </c>
      <c r="AJ5" s="41">
        <v>975.60106343612017</v>
      </c>
      <c r="AK5" s="42">
        <v>1487.1418685871663</v>
      </c>
      <c r="AL5" s="41">
        <v>974.80876687350417</v>
      </c>
      <c r="AM5" s="42">
        <v>1519.6179899710169</v>
      </c>
      <c r="AN5" s="41">
        <v>974.26380944119728</v>
      </c>
      <c r="AO5" s="42">
        <v>1548.4957851734794</v>
      </c>
      <c r="AP5" s="41">
        <v>974.18288711704565</v>
      </c>
      <c r="AQ5" s="42">
        <v>1553.8078958511539</v>
      </c>
      <c r="AR5" s="41">
        <v>974.11073740759389</v>
      </c>
      <c r="AS5" s="42">
        <v>1558.9635759393238</v>
      </c>
      <c r="AT5" s="41">
        <v>974.04705922081132</v>
      </c>
      <c r="AU5" s="42">
        <v>1563.9632369055928</v>
      </c>
      <c r="AV5" s="41">
        <v>973.99153313733927</v>
      </c>
      <c r="AW5" s="42">
        <v>1568.8078434512001</v>
      </c>
    </row>
    <row r="6" spans="1:49" x14ac:dyDescent="0.2">
      <c r="A6" t="s">
        <v>77</v>
      </c>
      <c r="B6" s="41">
        <v>999.99999999999943</v>
      </c>
      <c r="C6" s="42">
        <v>999.99999999999909</v>
      </c>
      <c r="D6" s="41">
        <v>998.62094862999925</v>
      </c>
      <c r="E6" s="42">
        <v>1020.1265111710413</v>
      </c>
      <c r="F6" s="41">
        <v>997.21452883306449</v>
      </c>
      <c r="G6" s="42">
        <v>1042.1467365416004</v>
      </c>
      <c r="H6" s="41">
        <v>995.77730793747912</v>
      </c>
      <c r="I6" s="42">
        <v>1066.3104574550309</v>
      </c>
      <c r="J6" s="41">
        <v>994.3057134554299</v>
      </c>
      <c r="K6" s="42">
        <v>1092.9095061047651</v>
      </c>
      <c r="L6" s="41">
        <v>992.79621876643273</v>
      </c>
      <c r="M6" s="42">
        <v>1122.2858648767435</v>
      </c>
      <c r="N6" s="41">
        <v>991.24566343103811</v>
      </c>
      <c r="O6" s="42">
        <v>1154.8411211874729</v>
      </c>
      <c r="P6" s="41">
        <v>989.651712910529</v>
      </c>
      <c r="Q6" s="42">
        <v>1191.0471698275387</v>
      </c>
      <c r="R6" s="41">
        <v>988.01358921301937</v>
      </c>
      <c r="S6" s="42">
        <v>1231.4574508695459</v>
      </c>
      <c r="T6" s="41">
        <v>986.33314417249494</v>
      </c>
      <c r="U6" s="42">
        <v>1276.7176783867073</v>
      </c>
      <c r="V6" s="41">
        <v>984.61633556808124</v>
      </c>
      <c r="W6" s="42">
        <v>1327.5722524769069</v>
      </c>
      <c r="X6" s="41">
        <v>982.87518569849556</v>
      </c>
      <c r="Y6" s="42">
        <v>1384.8605243204468</v>
      </c>
      <c r="Z6" s="41">
        <v>981.13010056358223</v>
      </c>
      <c r="AA6" s="42">
        <v>1449.4914822796825</v>
      </c>
      <c r="AB6" s="41">
        <v>979.41213516272524</v>
      </c>
      <c r="AC6" s="42">
        <v>1522.3792705431997</v>
      </c>
      <c r="AD6" s="41">
        <v>977.76421184983587</v>
      </c>
      <c r="AE6" s="42">
        <v>1604.3173617097982</v>
      </c>
      <c r="AF6" s="41">
        <v>976.23961468761263</v>
      </c>
      <c r="AG6" s="42">
        <v>1695.775894951194</v>
      </c>
      <c r="AH6" s="41">
        <v>974.89588248328255</v>
      </c>
      <c r="AI6" s="42">
        <v>1796.6401250898773</v>
      </c>
      <c r="AJ6" s="41">
        <v>973.78371534808514</v>
      </c>
      <c r="AK6" s="42">
        <v>1905.975185688744</v>
      </c>
      <c r="AL6" s="41">
        <v>972.93404201034923</v>
      </c>
      <c r="AM6" s="42">
        <v>2021.9629676381253</v>
      </c>
      <c r="AN6" s="41">
        <v>972.34967934476651</v>
      </c>
      <c r="AO6" s="42">
        <v>2142.1221010170211</v>
      </c>
      <c r="AP6" s="41">
        <v>972.26290976819121</v>
      </c>
      <c r="AQ6" s="42">
        <v>2166.4154047663692</v>
      </c>
      <c r="AR6" s="41">
        <v>972.18554759836411</v>
      </c>
      <c r="AS6" s="42">
        <v>2190.7457943546083</v>
      </c>
      <c r="AT6" s="41">
        <v>972.11726968487949</v>
      </c>
      <c r="AU6" s="42">
        <v>2215.0927923711201</v>
      </c>
      <c r="AV6" s="41">
        <v>972.05773327499537</v>
      </c>
      <c r="AW6" s="42">
        <v>2239.4366283371478</v>
      </c>
    </row>
    <row r="7" spans="1:49" x14ac:dyDescent="0.2">
      <c r="A7" t="s">
        <v>13</v>
      </c>
      <c r="B7" s="33">
        <v>1015.9116825427475</v>
      </c>
      <c r="C7" s="34">
        <v>1015.9116825427475</v>
      </c>
      <c r="D7" s="33">
        <v>1014.6101082751902</v>
      </c>
      <c r="E7" s="34">
        <v>1014.6101082751902</v>
      </c>
      <c r="F7" s="33">
        <v>1013.2824404117403</v>
      </c>
      <c r="G7" s="34">
        <v>1013.2824404117403</v>
      </c>
      <c r="H7" s="33">
        <v>1011.9254219221782</v>
      </c>
      <c r="I7" s="34">
        <v>1011.9254219221782</v>
      </c>
      <c r="J7" s="33">
        <v>1010.5356607188905</v>
      </c>
      <c r="K7" s="34">
        <v>1010.5356607188905</v>
      </c>
      <c r="L7" s="33">
        <v>1009.1098047743461</v>
      </c>
      <c r="M7" s="34">
        <v>1009.1098047743461</v>
      </c>
      <c r="N7" s="33">
        <v>1007.6448446292494</v>
      </c>
      <c r="O7" s="34">
        <v>1007.6448446292494</v>
      </c>
      <c r="P7" s="33">
        <v>1006.1385480939717</v>
      </c>
      <c r="Q7" s="34">
        <v>1006.1385480939717</v>
      </c>
      <c r="R7" s="33">
        <v>1004.5901517496605</v>
      </c>
      <c r="S7" s="34">
        <v>1004.5901517496605</v>
      </c>
      <c r="T7" s="33">
        <v>1003.00137726504</v>
      </c>
      <c r="U7" s="34">
        <v>1003.00137726504</v>
      </c>
      <c r="V7" s="33">
        <v>1001.377830656353</v>
      </c>
      <c r="W7" s="34">
        <v>1001.377830656353</v>
      </c>
      <c r="X7" s="33">
        <v>999.73086000597209</v>
      </c>
      <c r="Y7" s="34">
        <v>999.73086000597209</v>
      </c>
      <c r="Z7" s="33">
        <v>998.07975749989771</v>
      </c>
      <c r="AA7" s="34">
        <v>998.07975749989771</v>
      </c>
      <c r="AB7" s="33">
        <v>996.45391362606074</v>
      </c>
      <c r="AC7" s="34">
        <v>996.45391362606074</v>
      </c>
      <c r="AD7" s="33">
        <v>994.89398243494225</v>
      </c>
      <c r="AE7" s="34">
        <v>994.89398243494225</v>
      </c>
      <c r="AF7" s="33">
        <v>993.45046641445788</v>
      </c>
      <c r="AG7" s="34">
        <v>993.45046641445788</v>
      </c>
      <c r="AH7" s="33">
        <v>992.1779368291194</v>
      </c>
      <c r="AI7" s="34">
        <v>992.1779368291194</v>
      </c>
      <c r="AJ7" s="33">
        <v>991.12451784588256</v>
      </c>
      <c r="AK7" s="34">
        <v>991.12451784588256</v>
      </c>
      <c r="AL7" s="33">
        <v>990.31961451188249</v>
      </c>
      <c r="AM7" s="34">
        <v>990.31961451188249</v>
      </c>
      <c r="AN7" s="33">
        <v>989.7659858899134</v>
      </c>
      <c r="AO7" s="34">
        <v>989.7659858899134</v>
      </c>
      <c r="AP7" s="33">
        <v>989.68377595542927</v>
      </c>
      <c r="AQ7" s="34">
        <v>989.68377595542927</v>
      </c>
      <c r="AR7" s="33">
        <v>989.61047822270518</v>
      </c>
      <c r="AS7" s="34">
        <v>989.61047822270518</v>
      </c>
      <c r="AT7" s="33">
        <v>989.54578680882958</v>
      </c>
      <c r="AU7" s="34">
        <v>989.54578680882958</v>
      </c>
      <c r="AV7" s="33">
        <v>989.48937721194454</v>
      </c>
      <c r="AW7" s="34">
        <v>989.48937721194454</v>
      </c>
    </row>
    <row r="8" spans="1:49" x14ac:dyDescent="0.2">
      <c r="B8" s="35">
        <v>1005.7716594496609</v>
      </c>
      <c r="C8" s="36">
        <v>1005.7716594496609</v>
      </c>
      <c r="D8" s="35">
        <v>1063.2569003316348</v>
      </c>
      <c r="E8" s="36">
        <v>1063.2569003316348</v>
      </c>
      <c r="F8" s="35">
        <v>1126.7662128253828</v>
      </c>
      <c r="G8" s="36">
        <v>1126.7662128253828</v>
      </c>
      <c r="H8" s="35">
        <v>1197.17638059353</v>
      </c>
      <c r="I8" s="36">
        <v>1197.17638059353</v>
      </c>
      <c r="J8" s="35">
        <v>1275.5223416949482</v>
      </c>
      <c r="K8" s="36">
        <v>1275.5223416949482</v>
      </c>
      <c r="L8" s="35">
        <v>1363.0292213148132</v>
      </c>
      <c r="M8" s="36">
        <v>1363.0292213148132</v>
      </c>
      <c r="N8" s="35">
        <v>1461.1503743346525</v>
      </c>
      <c r="O8" s="36">
        <v>1461.1503743346525</v>
      </c>
      <c r="P8" s="35">
        <v>1571.6112843590449</v>
      </c>
      <c r="Q8" s="36">
        <v>1571.6112843590449</v>
      </c>
      <c r="R8" s="35">
        <v>1696.4580233986869</v>
      </c>
      <c r="S8" s="36">
        <v>1696.4580233986869</v>
      </c>
      <c r="T8" s="35">
        <v>1838.1043208625824</v>
      </c>
      <c r="U8" s="36">
        <v>1838.1043208625824</v>
      </c>
      <c r="V8" s="35">
        <v>1999.368973234732</v>
      </c>
      <c r="W8" s="36">
        <v>1999.368973234732</v>
      </c>
      <c r="X8" s="35">
        <v>2183.4782502096873</v>
      </c>
      <c r="Y8" s="36">
        <v>2183.4782502096873</v>
      </c>
      <c r="Z8" s="35">
        <v>2393.9951131338885</v>
      </c>
      <c r="AA8" s="36">
        <v>2393.9951131338885</v>
      </c>
      <c r="AB8" s="35">
        <v>2634.6082454088501</v>
      </c>
      <c r="AC8" s="36">
        <v>2634.6082454088501</v>
      </c>
      <c r="AD8" s="35">
        <v>2908.6948761008498</v>
      </c>
      <c r="AE8" s="36">
        <v>2908.6948761008498</v>
      </c>
      <c r="AF8" s="35">
        <v>3218.5880128359172</v>
      </c>
      <c r="AG8" s="36">
        <v>3218.5880128359172</v>
      </c>
      <c r="AH8" s="35">
        <v>3564.59401721226</v>
      </c>
      <c r="AI8" s="36">
        <v>3564.59401721226</v>
      </c>
      <c r="AJ8" s="35">
        <v>3944.0513752464531</v>
      </c>
      <c r="AK8" s="36">
        <v>3944.0513752464531</v>
      </c>
      <c r="AL8" s="35">
        <v>4350.9690729069571</v>
      </c>
      <c r="AM8" s="36">
        <v>4350.9690729069571</v>
      </c>
      <c r="AN8" s="35">
        <v>4776.6951568309732</v>
      </c>
      <c r="AO8" s="36">
        <v>4776.6951568309732</v>
      </c>
      <c r="AP8" s="35">
        <v>4863.2384602062302</v>
      </c>
      <c r="AQ8" s="36">
        <v>4863.2384602062302</v>
      </c>
      <c r="AR8" s="35">
        <v>4950.0643631833636</v>
      </c>
      <c r="AS8" s="36">
        <v>4950.0643631833636</v>
      </c>
      <c r="AT8" s="35">
        <v>5037.0968963821542</v>
      </c>
      <c r="AU8" s="36">
        <v>5037.0968963821542</v>
      </c>
      <c r="AV8" s="35">
        <v>5124.2622507749629</v>
      </c>
      <c r="AW8" s="36">
        <v>5124.2622507749629</v>
      </c>
    </row>
    <row r="9" spans="1:49" x14ac:dyDescent="0.2">
      <c r="A9" t="s">
        <v>14</v>
      </c>
      <c r="B9" s="41">
        <v>1015.9116825427475</v>
      </c>
      <c r="C9" s="42">
        <v>1005.7716594496609</v>
      </c>
      <c r="D9" s="41">
        <v>1014.6101082751902</v>
      </c>
      <c r="E9" s="42">
        <v>1063.2569003316348</v>
      </c>
      <c r="F9" s="41">
        <v>1013.2824404117403</v>
      </c>
      <c r="G9" s="42">
        <v>1126.7662128253828</v>
      </c>
      <c r="H9" s="41">
        <v>1011.9254219221782</v>
      </c>
      <c r="I9" s="42">
        <v>1197.17638059353</v>
      </c>
      <c r="J9" s="41">
        <v>1010.5356607188905</v>
      </c>
      <c r="K9" s="42">
        <v>1275.5223416949482</v>
      </c>
      <c r="L9" s="41">
        <v>1009.1098047743461</v>
      </c>
      <c r="M9" s="42">
        <v>1363.0292213148132</v>
      </c>
      <c r="N9" s="41">
        <v>1007.6448446292494</v>
      </c>
      <c r="O9" s="42">
        <v>1461.1503743346525</v>
      </c>
      <c r="P9" s="41">
        <v>1006.1385480939717</v>
      </c>
      <c r="Q9" s="42">
        <v>1571.6112843590449</v>
      </c>
      <c r="R9" s="41">
        <v>1004.5901517496605</v>
      </c>
      <c r="S9" s="42">
        <v>1696.4580233986869</v>
      </c>
      <c r="T9" s="41">
        <v>1003.00137726504</v>
      </c>
      <c r="U9" s="42">
        <v>1838.1043208625824</v>
      </c>
      <c r="V9" s="41">
        <v>1001.377830656353</v>
      </c>
      <c r="W9" s="42">
        <v>1999.368973234732</v>
      </c>
      <c r="X9" s="41">
        <v>999.73086000597209</v>
      </c>
      <c r="Y9" s="42">
        <v>2183.4782502096873</v>
      </c>
      <c r="Z9" s="41">
        <v>998.07975749989771</v>
      </c>
      <c r="AA9" s="42">
        <v>2393.9951131338885</v>
      </c>
      <c r="AB9" s="41">
        <v>996.45391362606074</v>
      </c>
      <c r="AC9" s="42">
        <v>2634.6082454088501</v>
      </c>
      <c r="AD9" s="41">
        <v>994.89398243494225</v>
      </c>
      <c r="AE9" s="42">
        <v>2908.6948761008498</v>
      </c>
      <c r="AF9" s="41">
        <v>993.45046641445788</v>
      </c>
      <c r="AG9" s="42">
        <v>3218.5880128359172</v>
      </c>
      <c r="AH9" s="41">
        <v>992.1779368291194</v>
      </c>
      <c r="AI9" s="42">
        <v>3564.59401721226</v>
      </c>
      <c r="AJ9" s="41">
        <v>991.12451784588256</v>
      </c>
      <c r="AK9" s="42">
        <v>3944.0513752464531</v>
      </c>
      <c r="AL9" s="41">
        <v>990.31961451188249</v>
      </c>
      <c r="AM9" s="42">
        <v>4350.9690729069571</v>
      </c>
      <c r="AN9" s="41">
        <v>989.7659858899134</v>
      </c>
      <c r="AO9" s="42">
        <v>4776.6951568309732</v>
      </c>
      <c r="AP9" s="41">
        <v>989.68377595542927</v>
      </c>
      <c r="AQ9" s="42">
        <v>4863.2384602062302</v>
      </c>
      <c r="AR9" s="41">
        <v>989.61047822270518</v>
      </c>
      <c r="AS9" s="42">
        <v>4950.0643631833636</v>
      </c>
      <c r="AT9" s="41">
        <v>989.54578680882958</v>
      </c>
      <c r="AU9" s="42">
        <v>5037.0968963821542</v>
      </c>
      <c r="AV9" s="41">
        <v>989.48937721194454</v>
      </c>
      <c r="AW9" s="42">
        <v>5124.2622507749629</v>
      </c>
    </row>
    <row r="10" spans="1:49" x14ac:dyDescent="0.2">
      <c r="A10" t="s">
        <v>15</v>
      </c>
      <c r="B10" s="41">
        <v>1015.9116825427475</v>
      </c>
      <c r="C10" s="42">
        <v>1005.7716594496609</v>
      </c>
      <c r="D10" s="41">
        <v>1014.6101082751902</v>
      </c>
      <c r="E10" s="42">
        <v>1063.2569003316348</v>
      </c>
      <c r="F10" s="41">
        <v>1013.2824404117403</v>
      </c>
      <c r="G10" s="42">
        <v>1126.7662128253828</v>
      </c>
      <c r="H10" s="41">
        <v>1011.9254219221782</v>
      </c>
      <c r="I10" s="42">
        <v>1197.17638059353</v>
      </c>
      <c r="J10" s="41">
        <v>1010.5356607188905</v>
      </c>
      <c r="K10" s="42">
        <v>1275.5223416949482</v>
      </c>
      <c r="L10" s="41">
        <v>1009.1098047743461</v>
      </c>
      <c r="M10" s="42">
        <v>1363.0292213148132</v>
      </c>
      <c r="N10" s="41">
        <v>1007.6448446292494</v>
      </c>
      <c r="O10" s="42">
        <v>1461.1503743346525</v>
      </c>
      <c r="P10" s="41">
        <v>1006.1385480939717</v>
      </c>
      <c r="Q10" s="42">
        <v>1571.6112843590449</v>
      </c>
      <c r="R10" s="41">
        <v>1004.5901517496605</v>
      </c>
      <c r="S10" s="42">
        <v>1696.4580233986869</v>
      </c>
      <c r="T10" s="41">
        <v>1003.00137726504</v>
      </c>
      <c r="U10" s="42">
        <v>1838.1043208625824</v>
      </c>
      <c r="V10" s="41">
        <v>1001.377830656353</v>
      </c>
      <c r="W10" s="42">
        <v>1999.368973234732</v>
      </c>
      <c r="X10" s="41">
        <v>999.73086000597209</v>
      </c>
      <c r="Y10" s="42">
        <v>2183.4782502096873</v>
      </c>
      <c r="Z10" s="41">
        <v>998.07975749989771</v>
      </c>
      <c r="AA10" s="42">
        <v>2393.9951131338885</v>
      </c>
      <c r="AB10" s="41">
        <v>996.45391362606074</v>
      </c>
      <c r="AC10" s="42">
        <v>2634.6082454088501</v>
      </c>
      <c r="AD10" s="41">
        <v>994.89398243494225</v>
      </c>
      <c r="AE10" s="42">
        <v>2908.6948761008498</v>
      </c>
      <c r="AF10" s="41">
        <v>993.45046641445788</v>
      </c>
      <c r="AG10" s="42">
        <v>3218.5880128359172</v>
      </c>
      <c r="AH10" s="41">
        <v>992.1779368291194</v>
      </c>
      <c r="AI10" s="42">
        <v>3564.59401721226</v>
      </c>
      <c r="AJ10" s="41">
        <v>991.12451784588256</v>
      </c>
      <c r="AK10" s="42">
        <v>3944.0513752464531</v>
      </c>
      <c r="AL10" s="41">
        <v>990.31961451188249</v>
      </c>
      <c r="AM10" s="42">
        <v>4350.9690729069571</v>
      </c>
      <c r="AN10" s="41">
        <v>989.7659858899134</v>
      </c>
      <c r="AO10" s="42">
        <v>4776.6951568309732</v>
      </c>
      <c r="AP10" s="41">
        <v>989.68377595542927</v>
      </c>
      <c r="AQ10" s="42">
        <v>4863.2384602062302</v>
      </c>
      <c r="AR10" s="41">
        <v>989.61047822270518</v>
      </c>
      <c r="AS10" s="42">
        <v>4950.0643631833636</v>
      </c>
      <c r="AT10" s="41">
        <v>989.54578680882958</v>
      </c>
      <c r="AU10" s="42">
        <v>5037.0968963821542</v>
      </c>
      <c r="AV10" s="41">
        <v>989.48937721194454</v>
      </c>
      <c r="AW10" s="42">
        <v>5124.2622507749629</v>
      </c>
    </row>
    <row r="11" spans="1:49" x14ac:dyDescent="0.2">
      <c r="A11" t="s">
        <v>29</v>
      </c>
      <c r="B11" s="41">
        <v>1015.9116825427475</v>
      </c>
      <c r="C11" s="42">
        <v>1005.7716594496609</v>
      </c>
      <c r="D11" s="41">
        <v>1014.6101082751902</v>
      </c>
      <c r="E11" s="42">
        <v>1063.2569003316348</v>
      </c>
      <c r="F11" s="41">
        <v>1013.2824404117403</v>
      </c>
      <c r="G11" s="42">
        <v>1126.7662128253828</v>
      </c>
      <c r="H11" s="41">
        <v>1011.9254219221782</v>
      </c>
      <c r="I11" s="42">
        <v>1197.17638059353</v>
      </c>
      <c r="J11" s="41">
        <v>1010.5356607188905</v>
      </c>
      <c r="K11" s="42">
        <v>1275.5223416949482</v>
      </c>
      <c r="L11" s="41">
        <v>1009.1098047743461</v>
      </c>
      <c r="M11" s="42">
        <v>1363.0292213148132</v>
      </c>
      <c r="N11" s="41">
        <v>1007.6448446292494</v>
      </c>
      <c r="O11" s="42">
        <v>1461.1503743346525</v>
      </c>
      <c r="P11" s="41">
        <v>1006.1385480939717</v>
      </c>
      <c r="Q11" s="42">
        <v>1571.6112843590449</v>
      </c>
      <c r="R11" s="41">
        <v>1004.5901517496605</v>
      </c>
      <c r="S11" s="42">
        <v>1696.4580233986869</v>
      </c>
      <c r="T11" s="41">
        <v>1003.00137726504</v>
      </c>
      <c r="U11" s="42">
        <v>1838.1043208625824</v>
      </c>
      <c r="V11" s="41">
        <v>1001.377830656353</v>
      </c>
      <c r="W11" s="42">
        <v>1999.368973234732</v>
      </c>
      <c r="X11" s="41">
        <v>999.73086000597209</v>
      </c>
      <c r="Y11" s="42">
        <v>2183.4782502096873</v>
      </c>
      <c r="Z11" s="41">
        <v>998.07975749989771</v>
      </c>
      <c r="AA11" s="42">
        <v>2393.9951131338885</v>
      </c>
      <c r="AB11" s="41">
        <v>996.45391362606074</v>
      </c>
      <c r="AC11" s="42">
        <v>2634.6082454088501</v>
      </c>
      <c r="AD11" s="41">
        <v>994.89398243494225</v>
      </c>
      <c r="AE11" s="42">
        <v>2908.6948761008498</v>
      </c>
      <c r="AF11" s="41">
        <v>993.45046641445788</v>
      </c>
      <c r="AG11" s="42">
        <v>3218.5880128359172</v>
      </c>
      <c r="AH11" s="41">
        <v>992.1779368291194</v>
      </c>
      <c r="AI11" s="42">
        <v>3564.59401721226</v>
      </c>
      <c r="AJ11" s="41">
        <v>991.12451784588256</v>
      </c>
      <c r="AK11" s="42">
        <v>3944.0513752464531</v>
      </c>
      <c r="AL11" s="41">
        <v>990.31961451188249</v>
      </c>
      <c r="AM11" s="42">
        <v>4350.9690729069571</v>
      </c>
      <c r="AN11" s="41">
        <v>989.7659858899134</v>
      </c>
      <c r="AO11" s="42">
        <v>4776.6951568309732</v>
      </c>
      <c r="AP11" s="41">
        <v>989.68377595542927</v>
      </c>
      <c r="AQ11" s="42">
        <v>4863.2384602062302</v>
      </c>
      <c r="AR11" s="41">
        <v>989.61047822270518</v>
      </c>
      <c r="AS11" s="42">
        <v>4950.0643631833636</v>
      </c>
      <c r="AT11" s="41">
        <v>989.54578680882958</v>
      </c>
      <c r="AU11" s="42">
        <v>5037.0968963821542</v>
      </c>
      <c r="AV11" s="41">
        <v>989.48937721194454</v>
      </c>
      <c r="AW11" s="42">
        <v>5124.2622507749629</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996.84291140447294</v>
      </c>
      <c r="E13" s="98">
        <v>996.84291140447294</v>
      </c>
      <c r="F13" s="97">
        <v>993.50692029392621</v>
      </c>
      <c r="G13" s="98">
        <v>993.50692029392621</v>
      </c>
      <c r="H13" s="97">
        <v>989.97879439650512</v>
      </c>
      <c r="I13" s="98">
        <v>989.97879439650512</v>
      </c>
      <c r="J13" s="97">
        <v>986.24476068949969</v>
      </c>
      <c r="K13" s="98">
        <v>986.24476068949969</v>
      </c>
      <c r="L13" s="97">
        <v>982.2908278503985</v>
      </c>
      <c r="M13" s="98">
        <v>982.2908278503985</v>
      </c>
      <c r="N13" s="97">
        <v>978.10333145767049</v>
      </c>
      <c r="O13" s="98">
        <v>978.10333145767049</v>
      </c>
      <c r="P13" s="97">
        <v>973.66968639698018</v>
      </c>
      <c r="Q13" s="98">
        <v>973.66968639698018</v>
      </c>
      <c r="R13" s="97">
        <v>968.97956826705126</v>
      </c>
      <c r="S13" s="98">
        <v>968.97956826705126</v>
      </c>
      <c r="T13" s="97">
        <v>964.02677652891191</v>
      </c>
      <c r="U13" s="98">
        <v>964.02677652891191</v>
      </c>
      <c r="V13" s="97">
        <v>958.81168003560401</v>
      </c>
      <c r="W13" s="98">
        <v>958.81168003560401</v>
      </c>
      <c r="X13" s="97">
        <v>953.34478770366661</v>
      </c>
      <c r="Y13" s="98">
        <v>953.34478770366661</v>
      </c>
      <c r="Z13" s="97">
        <v>947.65131010509083</v>
      </c>
      <c r="AA13" s="98">
        <v>947.65131010509083</v>
      </c>
      <c r="AB13" s="97">
        <v>941.77651922544771</v>
      </c>
      <c r="AC13" s="98">
        <v>941.77651922544771</v>
      </c>
      <c r="AD13" s="97">
        <v>935.79078291031828</v>
      </c>
      <c r="AE13" s="98">
        <v>935.79078291031828</v>
      </c>
      <c r="AF13" s="97">
        <v>929.7918484207928</v>
      </c>
      <c r="AG13" s="98">
        <v>929.7918484207928</v>
      </c>
      <c r="AH13" s="97">
        <v>923.90067585650502</v>
      </c>
      <c r="AI13" s="98">
        <v>923.90067585650502</v>
      </c>
      <c r="AJ13" s="97">
        <v>918.24772322194804</v>
      </c>
      <c r="AK13" s="98">
        <v>918.24772322194804</v>
      </c>
      <c r="AL13" s="97">
        <v>912.95093561071553</v>
      </c>
      <c r="AM13" s="98">
        <v>912.95093561071553</v>
      </c>
      <c r="AN13" s="97">
        <v>908.0935554459661</v>
      </c>
      <c r="AO13" s="98">
        <v>908.0935554459661</v>
      </c>
      <c r="AP13" s="97">
        <v>907.17887792326576</v>
      </c>
      <c r="AQ13" s="98">
        <v>907.17887792326576</v>
      </c>
      <c r="AR13" s="97">
        <v>906.28346071585565</v>
      </c>
      <c r="AS13" s="98">
        <v>906.28346071585565</v>
      </c>
      <c r="AT13" s="97">
        <v>905.40730271078746</v>
      </c>
      <c r="AU13" s="98">
        <v>905.40730271078746</v>
      </c>
      <c r="AV13" s="97">
        <v>904.55033986404624</v>
      </c>
      <c r="AW13" s="98">
        <v>904.55033986404624</v>
      </c>
    </row>
    <row r="14" spans="1:49" x14ac:dyDescent="0.2">
      <c r="A14" t="s">
        <v>36</v>
      </c>
      <c r="B14" s="41">
        <v>1457.0034251455234</v>
      </c>
      <c r="C14" s="42">
        <v>1457.0034251455236</v>
      </c>
      <c r="D14" s="41">
        <v>1452.4035362483526</v>
      </c>
      <c r="E14" s="42">
        <v>1452.4035362483528</v>
      </c>
      <c r="F14" s="41">
        <v>1447.542985774031</v>
      </c>
      <c r="G14" s="42">
        <v>1447.5429857740312</v>
      </c>
      <c r="H14" s="41">
        <v>1442.4024942571436</v>
      </c>
      <c r="I14" s="42">
        <v>1442.4024942571439</v>
      </c>
      <c r="J14" s="41">
        <v>1436.961994356428</v>
      </c>
      <c r="K14" s="42">
        <v>1436.9619943564282</v>
      </c>
      <c r="L14" s="41">
        <v>1431.2011006670623</v>
      </c>
      <c r="M14" s="42">
        <v>1431.2011006670623</v>
      </c>
      <c r="N14" s="41">
        <v>1425.099904080073</v>
      </c>
      <c r="O14" s="42">
        <v>1425.0999040800732</v>
      </c>
      <c r="P14" s="41">
        <v>1418.6400680407676</v>
      </c>
      <c r="Q14" s="42">
        <v>1418.6400680407678</v>
      </c>
      <c r="R14" s="41">
        <v>1411.806549861124</v>
      </c>
      <c r="S14" s="42">
        <v>1411.8065498611243</v>
      </c>
      <c r="T14" s="41">
        <v>1404.5903153346226</v>
      </c>
      <c r="U14" s="42">
        <v>1404.5903153346228</v>
      </c>
      <c r="V14" s="41">
        <v>1396.9919018814087</v>
      </c>
      <c r="W14" s="42">
        <v>1396.9919018814087</v>
      </c>
      <c r="X14" s="41">
        <v>1389.0266210288739</v>
      </c>
      <c r="Y14" s="42">
        <v>1389.0266210288742</v>
      </c>
      <c r="Z14" s="41">
        <v>1380.7312046667598</v>
      </c>
      <c r="AA14" s="42">
        <v>1380.73120466676</v>
      </c>
      <c r="AB14" s="41">
        <v>1372.1716142331061</v>
      </c>
      <c r="AC14" s="42">
        <v>1372.1716142331063</v>
      </c>
      <c r="AD14" s="41">
        <v>1363.4503759199445</v>
      </c>
      <c r="AE14" s="42">
        <v>1363.4503759199447</v>
      </c>
      <c r="AF14" s="41">
        <v>1354.7099078214824</v>
      </c>
      <c r="AG14" s="42">
        <v>1354.7099078214826</v>
      </c>
      <c r="AH14" s="41">
        <v>1346.1264492171917</v>
      </c>
      <c r="AI14" s="42">
        <v>1346.126449217192</v>
      </c>
      <c r="AJ14" s="41">
        <v>1337.8900778664567</v>
      </c>
      <c r="AK14" s="42">
        <v>1337.890077866457</v>
      </c>
      <c r="AL14" s="41">
        <v>1330.1726401746225</v>
      </c>
      <c r="AM14" s="42">
        <v>1330.1726401746228</v>
      </c>
      <c r="AN14" s="41">
        <v>1323.0954206373488</v>
      </c>
      <c r="AO14" s="42">
        <v>1323.095420637349</v>
      </c>
      <c r="AP14" s="41">
        <v>1321.7627323538707</v>
      </c>
      <c r="AQ14" s="42">
        <v>1321.7627323538709</v>
      </c>
      <c r="AR14" s="41">
        <v>1320.4581064157401</v>
      </c>
      <c r="AS14" s="42">
        <v>1320.4581064157401</v>
      </c>
      <c r="AT14" s="41">
        <v>1319.1815412013871</v>
      </c>
      <c r="AU14" s="42">
        <v>1319.1815412013871</v>
      </c>
      <c r="AV14" s="41">
        <v>1317.9329433984626</v>
      </c>
      <c r="AW14" s="42">
        <v>1317.9329433984628</v>
      </c>
    </row>
    <row r="15" spans="1:49" x14ac:dyDescent="0.2">
      <c r="A15" t="s">
        <v>18</v>
      </c>
      <c r="B15" s="154">
        <v>1000</v>
      </c>
      <c r="C15" s="155">
        <v>1000</v>
      </c>
      <c r="D15" s="154">
        <v>995.74887640509087</v>
      </c>
      <c r="E15" s="155">
        <v>995.74887640509087</v>
      </c>
      <c r="F15" s="154">
        <v>991.27880746807512</v>
      </c>
      <c r="G15" s="155">
        <v>991.27880746807512</v>
      </c>
      <c r="H15" s="154">
        <v>986.55909013513997</v>
      </c>
      <c r="I15" s="155">
        <v>986.55909013513997</v>
      </c>
      <c r="J15" s="154">
        <v>981.55432960365727</v>
      </c>
      <c r="K15" s="155">
        <v>981.55432960365727</v>
      </c>
      <c r="L15" s="154">
        <v>976.22380507285038</v>
      </c>
      <c r="M15" s="155">
        <v>976.22380507285038</v>
      </c>
      <c r="N15" s="154">
        <v>970.52086498564927</v>
      </c>
      <c r="O15" s="155">
        <v>970.52086498564927</v>
      </c>
      <c r="P15" s="154">
        <v>964.39242507192205</v>
      </c>
      <c r="Q15" s="155">
        <v>964.39242507192205</v>
      </c>
      <c r="R15" s="154">
        <v>957.77877483438908</v>
      </c>
      <c r="S15" s="155">
        <v>957.77877483438908</v>
      </c>
      <c r="T15" s="154">
        <v>950.61398982536525</v>
      </c>
      <c r="U15" s="155">
        <v>950.61398982536525</v>
      </c>
      <c r="V15" s="154">
        <v>942.82748291299959</v>
      </c>
      <c r="W15" s="155">
        <v>942.82748291299959</v>
      </c>
      <c r="X15" s="154">
        <v>934.34753297493967</v>
      </c>
      <c r="Y15" s="155">
        <v>934.34753297493967</v>
      </c>
      <c r="Z15" s="154">
        <v>925.10800239644516</v>
      </c>
      <c r="AA15" s="155">
        <v>925.10800239644516</v>
      </c>
      <c r="AB15" s="154">
        <v>915.0597325395521</v>
      </c>
      <c r="AC15" s="155">
        <v>915.0597325395521</v>
      </c>
      <c r="AD15" s="154">
        <v>904.18770297694266</v>
      </c>
      <c r="AE15" s="155">
        <v>904.18770297694266</v>
      </c>
      <c r="AF15" s="154">
        <v>892.53300644301328</v>
      </c>
      <c r="AG15" s="155">
        <v>892.53300644301328</v>
      </c>
      <c r="AH15" s="154">
        <v>880.21403174346676</v>
      </c>
      <c r="AI15" s="155">
        <v>880.21403174346676</v>
      </c>
      <c r="AJ15" s="154">
        <v>867.43529713208591</v>
      </c>
      <c r="AK15" s="155">
        <v>867.43529713208591</v>
      </c>
      <c r="AL15" s="154">
        <v>854.47101891111311</v>
      </c>
      <c r="AM15" s="155">
        <v>854.47101891111311</v>
      </c>
      <c r="AN15" s="154">
        <v>841.6212647270645</v>
      </c>
      <c r="AO15" s="155">
        <v>841.6212647270645</v>
      </c>
      <c r="AP15" s="154">
        <v>839.08997949218076</v>
      </c>
      <c r="AQ15" s="155">
        <v>839.08997949218076</v>
      </c>
      <c r="AR15" s="154">
        <v>836.57624501729549</v>
      </c>
      <c r="AS15" s="155">
        <v>836.57624501729549</v>
      </c>
      <c r="AT15" s="154">
        <v>834.08181917451191</v>
      </c>
      <c r="AU15" s="155">
        <v>834.08181917451191</v>
      </c>
      <c r="AV15" s="154">
        <v>831.60832768502257</v>
      </c>
      <c r="AW15" s="155">
        <v>831.60832768502257</v>
      </c>
    </row>
    <row r="16" spans="1:49" s="29" customFormat="1" x14ac:dyDescent="0.2">
      <c r="A16" t="s">
        <v>61</v>
      </c>
      <c r="B16" s="41">
        <v>1000</v>
      </c>
      <c r="C16" s="42">
        <v>1000</v>
      </c>
      <c r="D16" s="41">
        <v>996.33214699257371</v>
      </c>
      <c r="E16" s="42">
        <v>996.06113321343616</v>
      </c>
      <c r="F16" s="41">
        <v>992.46664927235054</v>
      </c>
      <c r="G16" s="42">
        <v>991.9147304764399</v>
      </c>
      <c r="H16" s="41">
        <v>988.38211040911733</v>
      </c>
      <c r="I16" s="42">
        <v>987.53507203303468</v>
      </c>
      <c r="J16" s="41">
        <v>984.05465097137028</v>
      </c>
      <c r="K16" s="42">
        <v>982.89292939270911</v>
      </c>
      <c r="L16" s="41">
        <v>979.45778245491852</v>
      </c>
      <c r="M16" s="42">
        <v>977.95520336183358</v>
      </c>
      <c r="N16" s="41">
        <v>974.56241277309971</v>
      </c>
      <c r="O16" s="42">
        <v>972.68464632457017</v>
      </c>
      <c r="P16" s="41">
        <v>969.33700913595203</v>
      </c>
      <c r="Q16" s="42">
        <v>967.03971689733089</v>
      </c>
      <c r="R16" s="41">
        <v>963.74813166883769</v>
      </c>
      <c r="S16" s="42">
        <v>960.97477547639335</v>
      </c>
      <c r="T16" s="41">
        <v>957.7616106787998</v>
      </c>
      <c r="U16" s="42">
        <v>954.44090898847219</v>
      </c>
      <c r="V16" s="41">
        <v>951.34456281054975</v>
      </c>
      <c r="W16" s="42">
        <v>947.38773062068412</v>
      </c>
      <c r="X16" s="41">
        <v>944.46892598537681</v>
      </c>
      <c r="Y16" s="42">
        <v>939.76691477851659</v>
      </c>
      <c r="Z16" s="41">
        <v>937.11700740277251</v>
      </c>
      <c r="AA16" s="42">
        <v>931.53829074937062</v>
      </c>
      <c r="AB16" s="41">
        <v>929.28963984039706</v>
      </c>
      <c r="AC16" s="42">
        <v>922.67950661785812</v>
      </c>
      <c r="AD16" s="41">
        <v>921.01686223999116</v>
      </c>
      <c r="AE16" s="42">
        <v>913.19972177239526</v>
      </c>
      <c r="AF16" s="41">
        <v>912.36940483377316</v>
      </c>
      <c r="AG16" s="42">
        <v>903.15596482515571</v>
      </c>
      <c r="AH16" s="41">
        <v>903.46641053752739</v>
      </c>
      <c r="AI16" s="42">
        <v>892.66710298576174</v>
      </c>
      <c r="AJ16" s="41">
        <v>894.4723585675606</v>
      </c>
      <c r="AK16" s="42">
        <v>881.9162855378645</v>
      </c>
      <c r="AL16" s="41">
        <v>885.5778073662708</v>
      </c>
      <c r="AM16" s="42">
        <v>871.13298140026814</v>
      </c>
      <c r="AN16" s="41">
        <v>876.96721436617827</v>
      </c>
      <c r="AO16" s="42">
        <v>860.55536375268809</v>
      </c>
      <c r="AP16" s="41">
        <v>875.29300031102218</v>
      </c>
      <c r="AQ16" s="42">
        <v>858.48350323933391</v>
      </c>
      <c r="AR16" s="41">
        <v>873.63711447149979</v>
      </c>
      <c r="AS16" s="42">
        <v>856.4296256588724</v>
      </c>
      <c r="AT16" s="41">
        <v>872.00038156295125</v>
      </c>
      <c r="AU16" s="42">
        <v>854.39498872368188</v>
      </c>
      <c r="AV16" s="41">
        <v>870.38353138810021</v>
      </c>
      <c r="AW16" s="42">
        <v>852.38073789136411</v>
      </c>
    </row>
    <row r="17" spans="1:49" x14ac:dyDescent="0.2">
      <c r="A17" t="s">
        <v>62</v>
      </c>
      <c r="B17" s="35">
        <v>1000.0000000000002</v>
      </c>
      <c r="C17" s="36">
        <v>999.99999999999977</v>
      </c>
      <c r="D17" s="35">
        <v>998.83557659910082</v>
      </c>
      <c r="E17" s="36">
        <v>1028.4586681581691</v>
      </c>
      <c r="F17" s="35">
        <v>997.64905895651805</v>
      </c>
      <c r="G17" s="36">
        <v>1059.7479737885305</v>
      </c>
      <c r="H17" s="35">
        <v>996.4376220541501</v>
      </c>
      <c r="I17" s="36">
        <v>1094.2615857803833</v>
      </c>
      <c r="J17" s="35">
        <v>995.19833235009912</v>
      </c>
      <c r="K17" s="36">
        <v>1132.461999092548</v>
      </c>
      <c r="L17" s="35">
        <v>993.9283053803448</v>
      </c>
      <c r="M17" s="36">
        <v>1174.894127620486</v>
      </c>
      <c r="N17" s="35">
        <v>992.62498423305192</v>
      </c>
      <c r="O17" s="36">
        <v>1222.2013628877248</v>
      </c>
      <c r="P17" s="35">
        <v>991.28651686980152</v>
      </c>
      <c r="Q17" s="36">
        <v>1275.1439312633415</v>
      </c>
      <c r="R17" s="35">
        <v>989.91236269435342</v>
      </c>
      <c r="S17" s="36">
        <v>1334.6189209559141</v>
      </c>
      <c r="T17" s="35">
        <v>988.50419881734717</v>
      </c>
      <c r="U17" s="36">
        <v>1401.679166189381</v>
      </c>
      <c r="V17" s="35">
        <v>987.06713044529261</v>
      </c>
      <c r="W17" s="36">
        <v>1477.5473093435392</v>
      </c>
      <c r="X17" s="35">
        <v>985.61131188703348</v>
      </c>
      <c r="Y17" s="36">
        <v>1563.6135860506208</v>
      </c>
      <c r="Z17" s="35">
        <v>984.15385323674559</v>
      </c>
      <c r="AA17" s="36">
        <v>1661.4005755200212</v>
      </c>
      <c r="AB17" s="35">
        <v>982.72066667446973</v>
      </c>
      <c r="AC17" s="36">
        <v>1772.4656357800054</v>
      </c>
      <c r="AD17" s="35">
        <v>981.34743128655805</v>
      </c>
      <c r="AE17" s="36">
        <v>1898.2042354998912</v>
      </c>
      <c r="AF17" s="35">
        <v>980.07829553377178</v>
      </c>
      <c r="AG17" s="36">
        <v>2039.5260423050672</v>
      </c>
      <c r="AH17" s="35">
        <v>978.960784563277</v>
      </c>
      <c r="AI17" s="36">
        <v>2196.4278169887516</v>
      </c>
      <c r="AJ17" s="35">
        <v>978.03661221628204</v>
      </c>
      <c r="AK17" s="36">
        <v>2367.5946612260427</v>
      </c>
      <c r="AL17" s="35">
        <v>977.3310267504778</v>
      </c>
      <c r="AM17" s="36">
        <v>2550.2656794298618</v>
      </c>
      <c r="AN17" s="35">
        <v>976.8459944328838</v>
      </c>
      <c r="AO17" s="36">
        <v>2740.5536829835937</v>
      </c>
      <c r="AP17" s="35">
        <v>976.77399024074646</v>
      </c>
      <c r="AQ17" s="36">
        <v>2779.1444220582262</v>
      </c>
      <c r="AR17" s="35">
        <v>976.7097961857628</v>
      </c>
      <c r="AS17" s="36">
        <v>2817.8322065872258</v>
      </c>
      <c r="AT17" s="35">
        <v>976.65314290879508</v>
      </c>
      <c r="AU17" s="36">
        <v>2856.583805442368</v>
      </c>
      <c r="AV17" s="35">
        <v>976.60374498843419</v>
      </c>
      <c r="AW17" s="36">
        <v>2895.3670173926439</v>
      </c>
    </row>
    <row r="18" spans="1:49" x14ac:dyDescent="0.2">
      <c r="A18" t="s">
        <v>19</v>
      </c>
      <c r="B18" s="33">
        <v>27857.010133999996</v>
      </c>
      <c r="C18" s="34">
        <v>1236.7674480000003</v>
      </c>
      <c r="D18" s="33">
        <v>27675.66188758106</v>
      </c>
      <c r="E18" s="34">
        <v>1153.8663852042259</v>
      </c>
      <c r="F18" s="33">
        <v>27469.057493802182</v>
      </c>
      <c r="G18" s="34">
        <v>1071.4373307430276</v>
      </c>
      <c r="H18" s="33">
        <v>27232.737425857769</v>
      </c>
      <c r="I18" s="34">
        <v>989.56672302495087</v>
      </c>
      <c r="J18" s="33">
        <v>26961.197739608186</v>
      </c>
      <c r="K18" s="34">
        <v>908.36279021687017</v>
      </c>
      <c r="L18" s="33">
        <v>26647.58552082341</v>
      </c>
      <c r="M18" s="34">
        <v>827.96239452184909</v>
      </c>
      <c r="N18" s="33">
        <v>26283.284140556982</v>
      </c>
      <c r="O18" s="34">
        <v>748.54261342713937</v>
      </c>
      <c r="P18" s="33">
        <v>25857.3811454805</v>
      </c>
      <c r="Q18" s="34">
        <v>670.32974691701861</v>
      </c>
      <c r="R18" s="33">
        <v>25355.94587652335</v>
      </c>
      <c r="S18" s="34">
        <v>593.61498405306691</v>
      </c>
      <c r="T18" s="33">
        <v>24761.061541259885</v>
      </c>
      <c r="U18" s="34">
        <v>518.77100736676834</v>
      </c>
      <c r="V18" s="33">
        <v>24049.593382246872</v>
      </c>
      <c r="W18" s="34">
        <v>446.27197979527506</v>
      </c>
      <c r="X18" s="33">
        <v>23191.637027809989</v>
      </c>
      <c r="Y18" s="34">
        <v>376.71039590705197</v>
      </c>
      <c r="Z18" s="33">
        <v>22148.738815982211</v>
      </c>
      <c r="AA18" s="34">
        <v>310.8083684383879</v>
      </c>
      <c r="AB18" s="33">
        <v>20872.183982555689</v>
      </c>
      <c r="AC18" s="34">
        <v>249.40866867970001</v>
      </c>
      <c r="AD18" s="33">
        <v>19302.060524095883</v>
      </c>
      <c r="AE18" s="34">
        <v>193.42972709971539</v>
      </c>
      <c r="AF18" s="33">
        <v>17368.378988504355</v>
      </c>
      <c r="AG18" s="34">
        <v>143.76539848761911</v>
      </c>
      <c r="AH18" s="33">
        <v>14995.883696995061</v>
      </c>
      <c r="AI18" s="34">
        <v>101.12422938981028</v>
      </c>
      <c r="AJ18" s="33">
        <v>12113.466930102022</v>
      </c>
      <c r="AK18" s="34">
        <v>65.84029745515825</v>
      </c>
      <c r="AL18" s="33">
        <v>8666.557685901671</v>
      </c>
      <c r="AM18" s="34">
        <v>37.737308543527085</v>
      </c>
      <c r="AN18" s="33">
        <v>4627.6836351516868</v>
      </c>
      <c r="AO18" s="34">
        <v>16.133211287772106</v>
      </c>
      <c r="AP18" s="33">
        <v>3748.6424432225699</v>
      </c>
      <c r="AQ18" s="34">
        <v>12.505257868885577</v>
      </c>
      <c r="AR18" s="33">
        <v>2846.1301356755976</v>
      </c>
      <c r="AS18" s="34">
        <v>9.0872703099768817</v>
      </c>
      <c r="AT18" s="33">
        <v>1920.3521304682988</v>
      </c>
      <c r="AU18" s="34">
        <v>5.8699425800361302</v>
      </c>
      <c r="AV18" s="33">
        <v>971.55035516217686</v>
      </c>
      <c r="AW18" s="34">
        <v>2.843947965543614</v>
      </c>
    </row>
    <row r="19" spans="1:49" x14ac:dyDescent="0.2">
      <c r="A19" t="s">
        <v>3</v>
      </c>
      <c r="B19" s="41">
        <v>1886.3937399999918</v>
      </c>
      <c r="C19" s="42">
        <v>262.78711299999759</v>
      </c>
      <c r="D19" s="41">
        <v>1868.3553233570346</v>
      </c>
      <c r="E19" s="42">
        <v>266.27267277182784</v>
      </c>
      <c r="F19" s="41">
        <v>1848.586951482896</v>
      </c>
      <c r="G19" s="42">
        <v>270.07903784746389</v>
      </c>
      <c r="H19" s="41">
        <v>1826.7943143720199</v>
      </c>
      <c r="I19" s="42">
        <v>274.19082048304682</v>
      </c>
      <c r="J19" s="41">
        <v>1802.6178318340301</v>
      </c>
      <c r="K19" s="42">
        <v>278.57391403827245</v>
      </c>
      <c r="L19" s="41">
        <v>1775.6146865028777</v>
      </c>
      <c r="M19" s="42">
        <v>283.16664229440948</v>
      </c>
      <c r="N19" s="41">
        <v>1745.2345787867744</v>
      </c>
      <c r="O19" s="42">
        <v>287.86721203972547</v>
      </c>
      <c r="P19" s="41">
        <v>1710.7888857651217</v>
      </c>
      <c r="Q19" s="42">
        <v>292.51611682187382</v>
      </c>
      <c r="R19" s="41">
        <v>1671.4090503379766</v>
      </c>
      <c r="S19" s="42">
        <v>296.87171045136137</v>
      </c>
      <c r="T19" s="41">
        <v>1625.9909493754976</v>
      </c>
      <c r="U19" s="42">
        <v>300.57742867333189</v>
      </c>
      <c r="V19" s="41">
        <v>1573.1241863772011</v>
      </c>
      <c r="W19" s="42">
        <v>303.11880809864823</v>
      </c>
      <c r="X19" s="41">
        <v>1511.0025543803265</v>
      </c>
      <c r="Y19" s="42">
        <v>303.77100259835811</v>
      </c>
      <c r="Z19" s="41">
        <v>1437.3200935254292</v>
      </c>
      <c r="AA19" s="42">
        <v>301.54163990291278</v>
      </c>
      <c r="AB19" s="41">
        <v>1349.1682229422922</v>
      </c>
      <c r="AC19" s="42">
        <v>295.12359581188173</v>
      </c>
      <c r="AD19" s="41">
        <v>1242.9725703135614</v>
      </c>
      <c r="AE19" s="42">
        <v>282.88791786403999</v>
      </c>
      <c r="AF19" s="41">
        <v>1114.5419279379555</v>
      </c>
      <c r="AG19" s="42">
        <v>262.96436177048906</v>
      </c>
      <c r="AH19" s="41">
        <v>959.3262132966529</v>
      </c>
      <c r="AI19" s="42">
        <v>233.45749218649038</v>
      </c>
      <c r="AJ19" s="41">
        <v>772.94651604039848</v>
      </c>
      <c r="AK19" s="42">
        <v>192.79905742527919</v>
      </c>
      <c r="AL19" s="41">
        <v>551.91983751479177</v>
      </c>
      <c r="AM19" s="42">
        <v>140.13343656325719</v>
      </c>
      <c r="AN19" s="41">
        <v>294.31119327742675</v>
      </c>
      <c r="AO19" s="42">
        <v>75.546467457793497</v>
      </c>
      <c r="AP19" s="41">
        <v>238.35817258958801</v>
      </c>
      <c r="AQ19" s="42">
        <v>61.270771127359779</v>
      </c>
      <c r="AR19" s="41">
        <v>180.93939227260935</v>
      </c>
      <c r="AS19" s="42">
        <v>46.566028000161211</v>
      </c>
      <c r="AT19" s="41">
        <v>122.06487245730955</v>
      </c>
      <c r="AU19" s="42">
        <v>31.444176503728979</v>
      </c>
      <c r="AV19" s="41">
        <v>61.746930323713798</v>
      </c>
      <c r="AW19" s="42">
        <v>15.917800995797242</v>
      </c>
    </row>
    <row r="20" spans="1:49" x14ac:dyDescent="0.2">
      <c r="A20" t="s">
        <v>127</v>
      </c>
      <c r="B20" s="82">
        <v>26548.356269999993</v>
      </c>
      <c r="C20" s="83">
        <v>1408.5418709999938</v>
      </c>
      <c r="D20" s="82">
        <v>26361.996856067093</v>
      </c>
      <c r="E20" s="83">
        <v>1338.1147774499941</v>
      </c>
      <c r="F20" s="82">
        <v>26151.466599191182</v>
      </c>
      <c r="G20" s="83">
        <v>1267.6876838999945</v>
      </c>
      <c r="H20" s="82">
        <v>25912.531189773228</v>
      </c>
      <c r="I20" s="83">
        <v>1197.2605903499943</v>
      </c>
      <c r="J20" s="82">
        <v>25639.973660785465</v>
      </c>
      <c r="K20" s="83">
        <v>1126.8334967999951</v>
      </c>
      <c r="L20" s="82">
        <v>25327.310599856359</v>
      </c>
      <c r="M20" s="83">
        <v>1056.4064032499953</v>
      </c>
      <c r="N20" s="82">
        <v>24966.406323911411</v>
      </c>
      <c r="O20" s="83">
        <v>985.97930969999561</v>
      </c>
      <c r="P20" s="82">
        <v>24546.978544539321</v>
      </c>
      <c r="Q20" s="83">
        <v>915.55221614999596</v>
      </c>
      <c r="R20" s="82">
        <v>24055.928064965214</v>
      </c>
      <c r="S20" s="83">
        <v>845.12512259999642</v>
      </c>
      <c r="T20" s="82">
        <v>23476.441310717044</v>
      </c>
      <c r="U20" s="83">
        <v>774.69802904999653</v>
      </c>
      <c r="V20" s="82">
        <v>22786.84840737229</v>
      </c>
      <c r="W20" s="83">
        <v>704.27093549999688</v>
      </c>
      <c r="X20" s="82">
        <v>21959.184197495197</v>
      </c>
      <c r="Y20" s="83">
        <v>633.84384194999711</v>
      </c>
      <c r="Z20" s="82">
        <v>20957.535067764034</v>
      </c>
      <c r="AA20" s="83">
        <v>563.41674839999746</v>
      </c>
      <c r="AB20" s="82">
        <v>19736.442282605432</v>
      </c>
      <c r="AC20" s="83">
        <v>492.98965484999781</v>
      </c>
      <c r="AD20" s="82">
        <v>18240.012698308685</v>
      </c>
      <c r="AE20" s="83">
        <v>422.56256129999809</v>
      </c>
      <c r="AF20" s="82">
        <v>16402.920291776496</v>
      </c>
      <c r="AG20" s="83">
        <v>352.13546774999827</v>
      </c>
      <c r="AH20" s="82">
        <v>14154.82096202062</v>
      </c>
      <c r="AI20" s="83">
        <v>281.70837419999856</v>
      </c>
      <c r="AJ20" s="82">
        <v>11429.051889243088</v>
      </c>
      <c r="AK20" s="83">
        <v>211.28128064999879</v>
      </c>
      <c r="AL20" s="82">
        <v>8174.1469695836358</v>
      </c>
      <c r="AM20" s="83">
        <v>140.85418709999902</v>
      </c>
      <c r="AN20" s="82">
        <v>4363.7406321428771</v>
      </c>
      <c r="AO20" s="83">
        <v>70.42709354999927</v>
      </c>
      <c r="AP20" s="82">
        <v>3534.7145297207444</v>
      </c>
      <c r="AQ20" s="83">
        <v>56.341674839999328</v>
      </c>
      <c r="AR20" s="82">
        <v>2683.6245540920677</v>
      </c>
      <c r="AS20" s="83">
        <v>42.256256129999379</v>
      </c>
      <c r="AT20" s="82">
        <v>1810.6566884604197</v>
      </c>
      <c r="AU20" s="83">
        <v>28.170837419999433</v>
      </c>
      <c r="AV20" s="82">
        <v>916.03127046814348</v>
      </c>
      <c r="AW20" s="83">
        <v>14.08541870999948</v>
      </c>
    </row>
    <row r="21" spans="1:49" x14ac:dyDescent="0.2">
      <c r="A21" t="s">
        <v>76</v>
      </c>
      <c r="B21" s="82">
        <v>24661.962529999968</v>
      </c>
      <c r="C21" s="83">
        <v>1145.7547579999991</v>
      </c>
      <c r="D21" s="82">
        <v>24493.644842565391</v>
      </c>
      <c r="E21" s="83">
        <v>1072.0080990549093</v>
      </c>
      <c r="F21" s="82">
        <v>24302.893046018202</v>
      </c>
      <c r="G21" s="83">
        <v>998.30441534473232</v>
      </c>
      <c r="H21" s="82">
        <v>24085.767391851947</v>
      </c>
      <c r="I21" s="83">
        <v>924.7106152639974</v>
      </c>
      <c r="J21" s="82">
        <v>23837.410749191207</v>
      </c>
      <c r="K21" s="83">
        <v>851.31686688089201</v>
      </c>
      <c r="L21" s="82">
        <v>23551.782757295194</v>
      </c>
      <c r="M21" s="83">
        <v>778.24389880564979</v>
      </c>
      <c r="N21" s="82">
        <v>23221.29819770149</v>
      </c>
      <c r="O21" s="83">
        <v>705.65244173119595</v>
      </c>
      <c r="P21" s="82">
        <v>22836.363422289003</v>
      </c>
      <c r="Q21" s="83">
        <v>633.75523430545138</v>
      </c>
      <c r="R21" s="82">
        <v>22384.747535158327</v>
      </c>
      <c r="S21" s="83">
        <v>562.83199473526008</v>
      </c>
      <c r="T21" s="82">
        <v>21850.740361404485</v>
      </c>
      <c r="U21" s="83">
        <v>493.24703422981565</v>
      </c>
      <c r="V21" s="82">
        <v>21214.080950085994</v>
      </c>
      <c r="W21" s="83">
        <v>425.46890306778124</v>
      </c>
      <c r="X21" s="82">
        <v>20448.607741801021</v>
      </c>
      <c r="Y21" s="83">
        <v>360.08893557243988</v>
      </c>
      <c r="Z21" s="82">
        <v>19520.708863365478</v>
      </c>
      <c r="AA21" s="83">
        <v>297.83259638960863</v>
      </c>
      <c r="AB21" s="82">
        <v>18387.827853037394</v>
      </c>
      <c r="AC21" s="83">
        <v>239.55216067869239</v>
      </c>
      <c r="AD21" s="82">
        <v>16997.637284712921</v>
      </c>
      <c r="AE21" s="83">
        <v>186.18336325182901</v>
      </c>
      <c r="AF21" s="82">
        <v>15288.991674496616</v>
      </c>
      <c r="AG21" s="83">
        <v>138.64706168378669</v>
      </c>
      <c r="AH21" s="82">
        <v>13196.085670173274</v>
      </c>
      <c r="AI21" s="83">
        <v>97.690209906438071</v>
      </c>
      <c r="AJ21" s="82">
        <v>10656.625796479877</v>
      </c>
      <c r="AK21" s="83">
        <v>63.697669535453656</v>
      </c>
      <c r="AL21" s="82">
        <v>7622.6239086298674</v>
      </c>
      <c r="AM21" s="83">
        <v>36.554141567068477</v>
      </c>
      <c r="AN21" s="82">
        <v>4069.650520246867</v>
      </c>
      <c r="AO21" s="83">
        <v>15.643174117992986</v>
      </c>
      <c r="AP21" s="82">
        <v>3296.5365652716769</v>
      </c>
      <c r="AQ21" s="83">
        <v>12.127576177142275</v>
      </c>
      <c r="AR21" s="82">
        <v>2502.8227451539551</v>
      </c>
      <c r="AS21" s="83">
        <v>8.8143208274063092</v>
      </c>
      <c r="AT21" s="82">
        <v>1688.6851014674628</v>
      </c>
      <c r="AU21" s="83">
        <v>5.6945595027415505</v>
      </c>
      <c r="AV21" s="82">
        <v>854.33173645286286</v>
      </c>
      <c r="AW21" s="83">
        <v>2.7594057659667057</v>
      </c>
    </row>
    <row r="22" spans="1:49" x14ac:dyDescent="0.2">
      <c r="A22" t="s">
        <v>28</v>
      </c>
      <c r="B22" s="41">
        <v>6533.6044688320644</v>
      </c>
      <c r="C22" s="42">
        <v>379.90788307663382</v>
      </c>
      <c r="D22" s="41">
        <v>6463.9606978321026</v>
      </c>
      <c r="E22" s="42">
        <v>363.04450314952288</v>
      </c>
      <c r="F22" s="41">
        <v>6387.8119505189352</v>
      </c>
      <c r="G22" s="42">
        <v>346.01671102136424</v>
      </c>
      <c r="H22" s="41">
        <v>6304.1191639454819</v>
      </c>
      <c r="I22" s="42">
        <v>328.81869477355156</v>
      </c>
      <c r="J22" s="41">
        <v>6211.6189498595022</v>
      </c>
      <c r="K22" s="42">
        <v>311.44369978433434</v>
      </c>
      <c r="L22" s="41">
        <v>6108.7627531858107</v>
      </c>
      <c r="M22" s="42">
        <v>293.88370783557457</v>
      </c>
      <c r="N22" s="41">
        <v>5993.6345917908211</v>
      </c>
      <c r="O22" s="42">
        <v>276.12892092979985</v>
      </c>
      <c r="P22" s="41">
        <v>5863.8484000188337</v>
      </c>
      <c r="Q22" s="42">
        <v>258.16740769330715</v>
      </c>
      <c r="R22" s="41">
        <v>5716.4102193993749</v>
      </c>
      <c r="S22" s="42">
        <v>239.98455245489342</v>
      </c>
      <c r="T22" s="41">
        <v>5547.5393510313907</v>
      </c>
      <c r="U22" s="42">
        <v>221.56262045768923</v>
      </c>
      <c r="V22" s="41">
        <v>5352.4456313322462</v>
      </c>
      <c r="W22" s="42">
        <v>202.88049362427111</v>
      </c>
      <c r="X22" s="41">
        <v>5125.0620499140259</v>
      </c>
      <c r="Y22" s="42">
        <v>183.91407642578571</v>
      </c>
      <c r="Z22" s="41">
        <v>4857.7571881212998</v>
      </c>
      <c r="AA22" s="42">
        <v>164.63773376880343</v>
      </c>
      <c r="AB22" s="41">
        <v>4541.0982489270873</v>
      </c>
      <c r="AC22" s="42">
        <v>145.02770544993859</v>
      </c>
      <c r="AD22" s="41">
        <v>4163.8103650238063</v>
      </c>
      <c r="AE22" s="42">
        <v>125.06819292445789</v>
      </c>
      <c r="AF22" s="41">
        <v>3713.1740116763012</v>
      </c>
      <c r="AG22" s="42">
        <v>104.76026087223626</v>
      </c>
      <c r="AH22" s="41">
        <v>3176.1331147291589</v>
      </c>
      <c r="AI22" s="42">
        <v>84.131793907106072</v>
      </c>
      <c r="AJ22" s="41">
        <v>2541.1953951516998</v>
      </c>
      <c r="AK22" s="42">
        <v>63.243991785711742</v>
      </c>
      <c r="AL22" s="41">
        <v>1800.6955937773271</v>
      </c>
      <c r="AM22" s="42">
        <v>42.188471408176909</v>
      </c>
      <c r="AN22" s="41">
        <v>952.46097518456941</v>
      </c>
      <c r="AO22" s="42">
        <v>21.072797969561712</v>
      </c>
      <c r="AP22" s="41">
        <v>770.10575184576601</v>
      </c>
      <c r="AQ22" s="42">
        <v>16.851810669188456</v>
      </c>
      <c r="AR22" s="41">
        <v>583.61998752829288</v>
      </c>
      <c r="AS22" s="42">
        <v>12.633355536435467</v>
      </c>
      <c r="AT22" s="41">
        <v>393.0628966095673</v>
      </c>
      <c r="AU22" s="42">
        <v>8.4181357156821726</v>
      </c>
      <c r="AV22" s="41">
        <v>198.49951015673884</v>
      </c>
      <c r="AW22" s="42">
        <v>4.20681170618899</v>
      </c>
    </row>
    <row r="23" spans="1:49" x14ac:dyDescent="0.2">
      <c r="A23" t="s">
        <v>7</v>
      </c>
      <c r="B23" s="116">
        <v>3278.5018080150408</v>
      </c>
      <c r="C23" s="8">
        <v>0</v>
      </c>
      <c r="D23" s="116">
        <v>3260.5663960866018</v>
      </c>
      <c r="E23" s="8">
        <v>0</v>
      </c>
      <c r="F23" s="116">
        <v>3239.6292456548094</v>
      </c>
      <c r="G23" s="8">
        <v>0</v>
      </c>
      <c r="H23" s="116">
        <v>3215.1534219823193</v>
      </c>
      <c r="I23" s="8">
        <v>0</v>
      </c>
      <c r="J23" s="116">
        <v>3186.4759986958393</v>
      </c>
      <c r="K23" s="8">
        <v>0</v>
      </c>
      <c r="L23" s="116">
        <v>3152.7714912400183</v>
      </c>
      <c r="M23" s="8">
        <v>0</v>
      </c>
      <c r="N23" s="116">
        <v>3113.0019353125886</v>
      </c>
      <c r="O23" s="8">
        <v>0</v>
      </c>
      <c r="P23" s="116">
        <v>3065.8531617407602</v>
      </c>
      <c r="Q23" s="8">
        <v>0</v>
      </c>
      <c r="R23" s="116">
        <v>3009.6480040991378</v>
      </c>
      <c r="S23" s="8">
        <v>0</v>
      </c>
      <c r="T23" s="116">
        <v>2942.2301275921177</v>
      </c>
      <c r="U23" s="8">
        <v>0</v>
      </c>
      <c r="V23" s="116">
        <v>2860.8155793187107</v>
      </c>
      <c r="W23" s="8">
        <v>0</v>
      </c>
      <c r="X23" s="116">
        <v>2761.805329537488</v>
      </c>
      <c r="Y23" s="8">
        <v>0</v>
      </c>
      <c r="Z23" s="116">
        <v>2640.5683963284873</v>
      </c>
      <c r="AA23" s="8">
        <v>0</v>
      </c>
      <c r="AB23" s="116">
        <v>2491.2297708133524</v>
      </c>
      <c r="AC23" s="8">
        <v>0</v>
      </c>
      <c r="AD23" s="116">
        <v>2306.5459773109401</v>
      </c>
      <c r="AE23" s="8">
        <v>0</v>
      </c>
      <c r="AF23" s="116">
        <v>2078.0208694885669</v>
      </c>
      <c r="AG23" s="8">
        <v>0</v>
      </c>
      <c r="AH23" s="116">
        <v>1796.4607593074902</v>
      </c>
      <c r="AI23" s="8">
        <v>0</v>
      </c>
      <c r="AJ23" s="116">
        <v>1453.0886220520606</v>
      </c>
      <c r="AK23" s="8">
        <v>0</v>
      </c>
      <c r="AL23" s="116">
        <v>1041.037752589963</v>
      </c>
      <c r="AM23" s="8">
        <v>0</v>
      </c>
      <c r="AN23" s="116">
        <v>556.65818611159523</v>
      </c>
      <c r="AO23" s="8">
        <v>0</v>
      </c>
      <c r="AP23" s="116">
        <v>451.04513308820384</v>
      </c>
      <c r="AQ23" s="8">
        <v>0</v>
      </c>
      <c r="AR23" s="116">
        <v>342.54809400373307</v>
      </c>
      <c r="AS23" s="8">
        <v>0</v>
      </c>
      <c r="AT23" s="116">
        <v>231.18953280431114</v>
      </c>
      <c r="AU23" s="8">
        <v>0</v>
      </c>
      <c r="AV23" s="116">
        <v>116.99644957125565</v>
      </c>
      <c r="AW23" s="8">
        <v>0</v>
      </c>
    </row>
    <row r="24" spans="1:49" x14ac:dyDescent="0.2">
      <c r="A24" t="s">
        <v>8</v>
      </c>
      <c r="B24" s="97">
        <v>3196.3846373657216</v>
      </c>
      <c r="C24" s="8">
        <v>0</v>
      </c>
      <c r="D24" s="97">
        <v>3206.4066545750843</v>
      </c>
      <c r="E24" s="8">
        <v>0</v>
      </c>
      <c r="F24" s="97">
        <v>3213.6976993134899</v>
      </c>
      <c r="G24" s="8">
        <v>0</v>
      </c>
      <c r="H24" s="97">
        <v>3217.6972929425392</v>
      </c>
      <c r="I24" s="8">
        <v>0</v>
      </c>
      <c r="J24" s="97">
        <v>3217.7013842319216</v>
      </c>
      <c r="K24" s="8">
        <v>0</v>
      </c>
      <c r="L24" s="97">
        <v>3212.8179721452061</v>
      </c>
      <c r="M24" s="8">
        <v>0</v>
      </c>
      <c r="N24" s="97">
        <v>3201.9060256224229</v>
      </c>
      <c r="O24" s="8">
        <v>0</v>
      </c>
      <c r="P24" s="97">
        <v>3183.4958783828497</v>
      </c>
      <c r="Q24" s="8">
        <v>0</v>
      </c>
      <c r="R24" s="97">
        <v>3155.6793729547076</v>
      </c>
      <c r="S24" s="8">
        <v>0</v>
      </c>
      <c r="T24" s="97">
        <v>3115.959063386671</v>
      </c>
      <c r="U24" s="8">
        <v>0</v>
      </c>
      <c r="V24" s="97">
        <v>3061.0510776686274</v>
      </c>
      <c r="W24" s="8">
        <v>0</v>
      </c>
      <c r="X24" s="97">
        <v>2986.6261903274221</v>
      </c>
      <c r="Y24" s="8">
        <v>0</v>
      </c>
      <c r="Z24" s="97">
        <v>2886.9939099356311</v>
      </c>
      <c r="AA24" s="8">
        <v>0</v>
      </c>
      <c r="AB24" s="97">
        <v>2754.7602178056295</v>
      </c>
      <c r="AC24" s="8">
        <v>0</v>
      </c>
      <c r="AD24" s="97">
        <v>2580.5520588135678</v>
      </c>
      <c r="AE24" s="8">
        <v>0</v>
      </c>
      <c r="AF24" s="97">
        <v>2353.0003726968284</v>
      </c>
      <c r="AG24" s="8">
        <v>0</v>
      </c>
      <c r="AH24" s="97">
        <v>2059.2647128301264</v>
      </c>
      <c r="AI24" s="8">
        <v>0</v>
      </c>
      <c r="AJ24" s="97">
        <v>1686.333642393944</v>
      </c>
      <c r="AK24" s="8">
        <v>0</v>
      </c>
      <c r="AL24" s="97">
        <v>1222.9873645567975</v>
      </c>
      <c r="AM24" s="8">
        <v>0</v>
      </c>
      <c r="AN24" s="97">
        <v>661.75968727439431</v>
      </c>
      <c r="AO24" s="8">
        <v>0</v>
      </c>
      <c r="AP24" s="97">
        <v>537.44917951637103</v>
      </c>
      <c r="AQ24" s="8">
        <v>0</v>
      </c>
      <c r="AR24" s="97">
        <v>409.10492388797701</v>
      </c>
      <c r="AS24" s="8">
        <v>0</v>
      </c>
      <c r="AT24" s="97">
        <v>276.73658810322894</v>
      </c>
      <c r="AU24" s="8">
        <v>0</v>
      </c>
      <c r="AV24" s="97">
        <v>140.36065486665618</v>
      </c>
      <c r="AW24" s="8">
        <v>0</v>
      </c>
    </row>
    <row r="25" spans="1:49" x14ac:dyDescent="0.2">
      <c r="A25" t="s">
        <v>0</v>
      </c>
      <c r="B25" s="41">
        <v>3195.0476040000012</v>
      </c>
      <c r="C25" s="42">
        <v>91.012690000004397</v>
      </c>
      <c r="D25" s="41">
        <v>3182.0116933377549</v>
      </c>
      <c r="E25" s="42">
        <v>81.827704565547748</v>
      </c>
      <c r="F25" s="41">
        <v>3166.1426692749073</v>
      </c>
      <c r="G25" s="42">
        <v>73.015575620335369</v>
      </c>
      <c r="H25" s="41">
        <v>3146.9202497842321</v>
      </c>
      <c r="I25" s="42">
        <v>64.602416465473269</v>
      </c>
      <c r="J25" s="41">
        <v>3123.6970655922255</v>
      </c>
      <c r="K25" s="42">
        <v>56.615221227330615</v>
      </c>
      <c r="L25" s="41">
        <v>3095.660014080262</v>
      </c>
      <c r="M25" s="42">
        <v>49.081628957081818</v>
      </c>
      <c r="N25" s="41">
        <v>3061.7772687038123</v>
      </c>
      <c r="O25" s="42">
        <v>42.029726338574044</v>
      </c>
      <c r="P25" s="41">
        <v>3020.7298266206185</v>
      </c>
      <c r="Q25" s="42">
        <v>35.487372607083813</v>
      </c>
      <c r="R25" s="41">
        <v>2970.8181212287323</v>
      </c>
      <c r="S25" s="42">
        <v>29.481547343567769</v>
      </c>
      <c r="T25" s="41">
        <v>2909.8365988273717</v>
      </c>
      <c r="U25" s="42">
        <v>24.03726432439553</v>
      </c>
      <c r="V25" s="41">
        <v>2834.9137334302591</v>
      </c>
      <c r="W25" s="42">
        <v>19.176168526068846</v>
      </c>
      <c r="X25" s="41">
        <v>2742.3109783905402</v>
      </c>
      <c r="Y25" s="42">
        <v>14.914475171718051</v>
      </c>
      <c r="Z25" s="41">
        <v>2627.1936410297753</v>
      </c>
      <c r="AA25" s="42">
        <v>11.26032948868218</v>
      </c>
      <c r="AB25" s="41">
        <v>2483.4142420209205</v>
      </c>
      <c r="AC25" s="42">
        <v>8.2104059137951335</v>
      </c>
      <c r="AD25" s="41">
        <v>2303.4032906607958</v>
      </c>
      <c r="AE25" s="42">
        <v>5.7460666768251842</v>
      </c>
      <c r="AF25" s="41">
        <v>2078.3356639203917</v>
      </c>
      <c r="AG25" s="42">
        <v>3.8298698683433372</v>
      </c>
      <c r="AH25" s="41">
        <v>1798.7812572152786</v>
      </c>
      <c r="AI25" s="42">
        <v>2.4040255002870103</v>
      </c>
      <c r="AJ25" s="41">
        <v>1455.9430933527508</v>
      </c>
      <c r="AK25" s="42">
        <v>1.3928341259389434</v>
      </c>
      <c r="AL25" s="41">
        <v>1043.2475992470227</v>
      </c>
      <c r="AM25" s="42">
        <v>0.71023237066789402</v>
      </c>
      <c r="AN25" s="41">
        <v>557.65020343872959</v>
      </c>
      <c r="AO25" s="42">
        <v>0.27079886944563519</v>
      </c>
      <c r="AP25" s="41">
        <v>451.79368897279198</v>
      </c>
      <c r="AQ25" s="42">
        <v>0.20525836677960194</v>
      </c>
      <c r="AR25" s="41">
        <v>343.06899599627241</v>
      </c>
      <c r="AS25" s="42">
        <v>0.14588650553490129</v>
      </c>
      <c r="AT25" s="41">
        <v>231.50536211764526</v>
      </c>
      <c r="AU25" s="42">
        <v>9.2190562487761779E-2</v>
      </c>
      <c r="AV25" s="41">
        <v>117.13646673635562</v>
      </c>
      <c r="AW25" s="42">
        <v>4.3706730925129798E-2</v>
      </c>
    </row>
    <row r="26" spans="1:49" x14ac:dyDescent="0.2">
      <c r="A26" t="s">
        <v>27</v>
      </c>
      <c r="B26" s="33">
        <v>5036.2953101960647</v>
      </c>
      <c r="C26" s="34">
        <v>74.905331803938267</v>
      </c>
      <c r="D26" s="33">
        <v>5009.2086124893704</v>
      </c>
      <c r="E26" s="34">
        <v>70.206370992016858</v>
      </c>
      <c r="F26" s="33">
        <v>4977.9246136442398</v>
      </c>
      <c r="G26" s="34">
        <v>65.514779373706972</v>
      </c>
      <c r="H26" s="33">
        <v>4941.6536998996162</v>
      </c>
      <c r="I26" s="34">
        <v>60.833221680037589</v>
      </c>
      <c r="J26" s="33">
        <v>4899.4134748977322</v>
      </c>
      <c r="K26" s="34">
        <v>56.165378693965422</v>
      </c>
      <c r="L26" s="33">
        <v>4849.9708219705217</v>
      </c>
      <c r="M26" s="34">
        <v>51.516350524137934</v>
      </c>
      <c r="N26" s="33">
        <v>4791.762533791888</v>
      </c>
      <c r="O26" s="34">
        <v>46.893314683632561</v>
      </c>
      <c r="P26" s="33">
        <v>4722.7926190629105</v>
      </c>
      <c r="Q26" s="34">
        <v>42.306163672269626</v>
      </c>
      <c r="R26" s="33">
        <v>4640.4919196711407</v>
      </c>
      <c r="S26" s="34">
        <v>37.768530887449678</v>
      </c>
      <c r="T26" s="33">
        <v>4541.5280295557386</v>
      </c>
      <c r="U26" s="34">
        <v>33.298988888570491</v>
      </c>
      <c r="V26" s="33">
        <v>4421.5607501346522</v>
      </c>
      <c r="W26" s="34">
        <v>28.922566580441437</v>
      </c>
      <c r="X26" s="33">
        <v>4274.9290031072023</v>
      </c>
      <c r="Y26" s="34">
        <v>24.672289036743486</v>
      </c>
      <c r="Z26" s="33">
        <v>4094.2831848070432</v>
      </c>
      <c r="AA26" s="34">
        <v>20.590573014362104</v>
      </c>
      <c r="AB26" s="33">
        <v>3870.2145825471084</v>
      </c>
      <c r="AC26" s="34">
        <v>16.729640473063498</v>
      </c>
      <c r="AD26" s="33">
        <v>3591.0141420235182</v>
      </c>
      <c r="AE26" s="34">
        <v>13.149835034044946</v>
      </c>
      <c r="AF26" s="33">
        <v>3242.8096610090615</v>
      </c>
      <c r="AG26" s="34">
        <v>9.9143323124605125</v>
      </c>
      <c r="AH26" s="33">
        <v>2810.4151796872493</v>
      </c>
      <c r="AI26" s="34">
        <v>7.0793507676050549</v>
      </c>
      <c r="AJ26" s="33">
        <v>2279.1091752352795</v>
      </c>
      <c r="AK26" s="34">
        <v>4.6812306362430576</v>
      </c>
      <c r="AL26" s="33">
        <v>1637.0774834371452</v>
      </c>
      <c r="AM26" s="34">
        <v>2.7253419105356329</v>
      </c>
      <c r="AN26" s="33">
        <v>877.61084593570592</v>
      </c>
      <c r="AO26" s="34">
        <v>1.1831667245211122</v>
      </c>
      <c r="AP26" s="33">
        <v>711.46096632167905</v>
      </c>
      <c r="AQ26" s="34">
        <v>0.91987148010036612</v>
      </c>
      <c r="AR26" s="33">
        <v>540.59059530258935</v>
      </c>
      <c r="AS26" s="34">
        <v>0.67045003354449373</v>
      </c>
      <c r="AT26" s="33">
        <v>365.03035380327827</v>
      </c>
      <c r="AU26" s="34">
        <v>0.43436368718672858</v>
      </c>
      <c r="AV26" s="33">
        <v>184.81843471617819</v>
      </c>
      <c r="AW26" s="34">
        <v>0.21106459618474965</v>
      </c>
    </row>
    <row r="27" spans="1:49" x14ac:dyDescent="0.2">
      <c r="A27" t="s">
        <v>2</v>
      </c>
      <c r="B27" s="35">
        <v>6425.1981590000305</v>
      </c>
      <c r="C27" s="36">
        <v>273.22915400000028</v>
      </c>
      <c r="D27" s="35">
        <v>6391.6942646333464</v>
      </c>
      <c r="E27" s="36">
        <v>256.11006035393717</v>
      </c>
      <c r="F27" s="35">
        <v>6352.8692229730614</v>
      </c>
      <c r="G27" s="36">
        <v>239.01585553919557</v>
      </c>
      <c r="H27" s="35">
        <v>6307.7295593589897</v>
      </c>
      <c r="I27" s="36">
        <v>221.95647506175774</v>
      </c>
      <c r="J27" s="35">
        <v>6255.0384912098134</v>
      </c>
      <c r="K27" s="36">
        <v>204.94546794702657</v>
      </c>
      <c r="L27" s="35">
        <v>6193.2422655604014</v>
      </c>
      <c r="M27" s="36">
        <v>188.00143783918978</v>
      </c>
      <c r="N27" s="35">
        <v>6120.3689848868253</v>
      </c>
      <c r="O27" s="36">
        <v>171.15070124212303</v>
      </c>
      <c r="P27" s="35">
        <v>6033.8970496312595</v>
      </c>
      <c r="Q27" s="36">
        <v>154.42931892808957</v>
      </c>
      <c r="R27" s="35">
        <v>5930.5745712555063</v>
      </c>
      <c r="S27" s="36">
        <v>137.88693577928871</v>
      </c>
      <c r="T27" s="35">
        <v>5806.1743362612833</v>
      </c>
      <c r="U27" s="36">
        <v>121.59108386996495</v>
      </c>
      <c r="V27" s="35">
        <v>5655.175630717783</v>
      </c>
      <c r="W27" s="36">
        <v>105.63279058623783</v>
      </c>
      <c r="X27" s="35">
        <v>5470.3545868295423</v>
      </c>
      <c r="Y27" s="36">
        <v>90.13207316502033</v>
      </c>
      <c r="Z27" s="35">
        <v>5242.2971678366066</v>
      </c>
      <c r="AA27" s="36">
        <v>75.243138561151994</v>
      </c>
      <c r="AB27" s="35">
        <v>4958.8976614756684</v>
      </c>
      <c r="AC27" s="36">
        <v>61.15588867849705</v>
      </c>
      <c r="AD27" s="35">
        <v>4605.0089447666796</v>
      </c>
      <c r="AE27" s="36">
        <v>48.089875559920713</v>
      </c>
      <c r="AF27" s="35">
        <v>4162.5648659658418</v>
      </c>
      <c r="AG27" s="36">
        <v>36.275205214484174</v>
      </c>
      <c r="AH27" s="35">
        <v>3611.6143606370333</v>
      </c>
      <c r="AI27" s="36">
        <v>25.917045223756219</v>
      </c>
      <c r="AJ27" s="35">
        <v>2932.573348610179</v>
      </c>
      <c r="AK27" s="36">
        <v>17.14859641198402</v>
      </c>
      <c r="AL27" s="35">
        <v>2109.3910010253999</v>
      </c>
      <c r="AM27" s="36">
        <v>9.9905996041353937</v>
      </c>
      <c r="AN27" s="35">
        <v>1132.4770392910609</v>
      </c>
      <c r="AO27" s="36">
        <v>4.3404656567017756</v>
      </c>
      <c r="AP27" s="35">
        <v>918.35179072246035</v>
      </c>
      <c r="AQ27" s="36">
        <v>3.3750700972826428</v>
      </c>
      <c r="AR27" s="35">
        <v>698.00350329025946</v>
      </c>
      <c r="AS27" s="36">
        <v>2.4602973815542777</v>
      </c>
      <c r="AT27" s="35">
        <v>471.465172107841</v>
      </c>
      <c r="AU27" s="36">
        <v>1.5941913474806244</v>
      </c>
      <c r="AV27" s="35">
        <v>238.77987168911869</v>
      </c>
      <c r="AW27" s="36">
        <v>0.77476187969431387</v>
      </c>
    </row>
    <row r="28" spans="1:49" x14ac:dyDescent="0.2">
      <c r="A28" t="s">
        <v>35</v>
      </c>
      <c r="B28" s="41">
        <v>13763.097676000029</v>
      </c>
      <c r="C28" s="42">
        <v>382.36647899999997</v>
      </c>
      <c r="D28" s="41">
        <v>13690.128062133301</v>
      </c>
      <c r="E28" s="42">
        <v>358.40098004289126</v>
      </c>
      <c r="F28" s="41">
        <v>13605.721154898905</v>
      </c>
      <c r="G28" s="42">
        <v>334.4711005878508</v>
      </c>
      <c r="H28" s="41">
        <v>13507.732906916674</v>
      </c>
      <c r="I28" s="42">
        <v>310.5906589626785</v>
      </c>
      <c r="J28" s="41">
        <v>13393.495023662997</v>
      </c>
      <c r="K28" s="42">
        <v>286.77856717343974</v>
      </c>
      <c r="L28" s="41">
        <v>13259.656864703084</v>
      </c>
      <c r="M28" s="42">
        <v>263.06085973532242</v>
      </c>
      <c r="N28" s="41">
        <v>13101.968597546358</v>
      </c>
      <c r="O28" s="42">
        <v>239.47431035363334</v>
      </c>
      <c r="P28" s="41">
        <v>12914.999976999992</v>
      </c>
      <c r="Q28" s="42">
        <v>216.06939268680779</v>
      </c>
      <c r="R28" s="41">
        <v>12691.755171002827</v>
      </c>
      <c r="S28" s="42">
        <v>192.91561488670598</v>
      </c>
      <c r="T28" s="41">
        <v>12423.150715044076</v>
      </c>
      <c r="U28" s="42">
        <v>170.10756888050358</v>
      </c>
      <c r="V28" s="41">
        <v>12097.340981218458</v>
      </c>
      <c r="W28" s="42">
        <v>147.77274903516422</v>
      </c>
      <c r="X28" s="41">
        <v>11698.85233598167</v>
      </c>
      <c r="Y28" s="42">
        <v>126.07929116693144</v>
      </c>
      <c r="Z28" s="41">
        <v>11207.560562818866</v>
      </c>
      <c r="AA28" s="42">
        <v>105.24320606554396</v>
      </c>
      <c r="AB28" s="41">
        <v>10597.649792646716</v>
      </c>
      <c r="AC28" s="42">
        <v>85.530488479263909</v>
      </c>
      <c r="AD28" s="41">
        <v>9836.9122361146419</v>
      </c>
      <c r="AE28" s="42">
        <v>67.248620619566481</v>
      </c>
      <c r="AF28" s="41">
        <v>8887.0723506553895</v>
      </c>
      <c r="AG28" s="42">
        <v>50.719769305197616</v>
      </c>
      <c r="AH28" s="41">
        <v>7706.0616343140455</v>
      </c>
      <c r="AI28" s="42">
        <v>36.231029541315692</v>
      </c>
      <c r="AJ28" s="41">
        <v>6252.8653148016529</v>
      </c>
      <c r="AK28" s="42">
        <v>23.9685673017974</v>
      </c>
      <c r="AL28" s="41">
        <v>4494.2512370296199</v>
      </c>
      <c r="AM28" s="42">
        <v>13.960960413007145</v>
      </c>
      <c r="AN28" s="41">
        <v>2410.8993070741358</v>
      </c>
      <c r="AO28" s="42">
        <v>6.0640731443558691</v>
      </c>
      <c r="AP28" s="41">
        <v>1954.7310162934705</v>
      </c>
      <c r="AQ28" s="42">
        <v>4.7151043955913252</v>
      </c>
      <c r="AR28" s="41">
        <v>1485.4684652402009</v>
      </c>
      <c r="AS28" s="42">
        <v>3.4369753668466498</v>
      </c>
      <c r="AT28" s="41">
        <v>1003.1897366566055</v>
      </c>
      <c r="AU28" s="42">
        <v>2.2269449173223825</v>
      </c>
      <c r="AV28" s="41">
        <v>507.99402504190368</v>
      </c>
      <c r="AW28" s="42">
        <v>1.0822246146784407</v>
      </c>
    </row>
    <row r="29" spans="1:49" x14ac:dyDescent="0.2">
      <c r="A29" t="s">
        <v>53</v>
      </c>
      <c r="B29" s="35">
        <v>14362.768558000025</v>
      </c>
      <c r="C29" s="36">
        <v>817.26650999999993</v>
      </c>
      <c r="D29" s="35">
        <v>14268.704737756094</v>
      </c>
      <c r="E29" s="36">
        <v>759.93748494052102</v>
      </c>
      <c r="F29" s="35">
        <v>14161.608969180013</v>
      </c>
      <c r="G29" s="36">
        <v>703.17014988652238</v>
      </c>
      <c r="H29" s="35">
        <v>14039.182337468035</v>
      </c>
      <c r="I29" s="36">
        <v>647.03850290676587</v>
      </c>
      <c r="J29" s="35">
        <v>13898.587970088065</v>
      </c>
      <c r="K29" s="36">
        <v>591.63141252603145</v>
      </c>
      <c r="L29" s="35">
        <v>13736.294300681438</v>
      </c>
      <c r="M29" s="36">
        <v>537.05675465652769</v>
      </c>
      <c r="N29" s="35">
        <v>13547.861620382513</v>
      </c>
      <c r="O29" s="36">
        <v>483.44842124161357</v>
      </c>
      <c r="P29" s="35">
        <v>13327.668366439993</v>
      </c>
      <c r="Q29" s="36">
        <v>430.97136746950002</v>
      </c>
      <c r="R29" s="35">
        <v>13068.539551618958</v>
      </c>
      <c r="S29" s="36">
        <v>379.8306004007901</v>
      </c>
      <c r="T29" s="35">
        <v>12761.248854449663</v>
      </c>
      <c r="U29" s="36">
        <v>330.2802734802396</v>
      </c>
      <c r="V29" s="35">
        <v>12393.885152995461</v>
      </c>
      <c r="W29" s="36">
        <v>282.6342789846903</v>
      </c>
      <c r="X29" s="35">
        <v>11951.054497079343</v>
      </c>
      <c r="Y29" s="36">
        <v>237.27409649122191</v>
      </c>
      <c r="Z29" s="35">
        <v>11412.964750063946</v>
      </c>
      <c r="AA29" s="36">
        <v>194.65230426875149</v>
      </c>
      <c r="AB29" s="35">
        <v>10754.544900795057</v>
      </c>
      <c r="AC29" s="36">
        <v>155.28271148100922</v>
      </c>
      <c r="AD29" s="35">
        <v>9944.9627929398739</v>
      </c>
      <c r="AE29" s="36">
        <v>119.7079461527772</v>
      </c>
      <c r="AF29" s="35">
        <v>8948.1994758028868</v>
      </c>
      <c r="AG29" s="36">
        <v>88.434054162603871</v>
      </c>
      <c r="AH29" s="35">
        <v>7725.5215152939327</v>
      </c>
      <c r="AI29" s="36">
        <v>61.831205621878958</v>
      </c>
      <c r="AJ29" s="35">
        <v>6240.3212881291911</v>
      </c>
      <c r="AK29" s="36">
        <v>40.022661771862701</v>
      </c>
      <c r="AL29" s="35">
        <v>4464.4898097691776</v>
      </c>
      <c r="AM29" s="36">
        <v>22.812555796889178</v>
      </c>
      <c r="AN29" s="35">
        <v>2383.8540974317825</v>
      </c>
      <c r="AO29" s="36">
        <v>9.7024954441610216</v>
      </c>
      <c r="AP29" s="35">
        <v>1931.0283897220854</v>
      </c>
      <c r="AQ29" s="36">
        <v>7.5132945140299077</v>
      </c>
      <c r="AR29" s="35">
        <v>1466.1154587787596</v>
      </c>
      <c r="AS29" s="36">
        <v>5.4544937532183289</v>
      </c>
      <c r="AT29" s="35">
        <v>989.22073750942445</v>
      </c>
      <c r="AU29" s="36">
        <v>3.5200294466339419</v>
      </c>
      <c r="AV29" s="35">
        <v>500.46846150089436</v>
      </c>
      <c r="AW29" s="36">
        <v>1.7038595759548658</v>
      </c>
    </row>
    <row r="30" spans="1:49" x14ac:dyDescent="0.2">
      <c r="A30" t="s">
        <v>48</v>
      </c>
      <c r="B30" s="119">
        <v>2924829.9599999995</v>
      </c>
      <c r="D30" s="119">
        <v>2952154.7102881991</v>
      </c>
      <c r="F30" s="119">
        <v>2976984.8134675333</v>
      </c>
      <c r="H30" s="119">
        <v>2998778.0073899901</v>
      </c>
      <c r="J30" s="119">
        <v>3016847.2500915816</v>
      </c>
      <c r="L30" s="119">
        <v>3030315.5625051856</v>
      </c>
      <c r="N30" s="119">
        <v>3038053.8977940343</v>
      </c>
      <c r="P30" s="119">
        <v>3038598.5514801433</v>
      </c>
      <c r="R30" s="119">
        <v>3030036.8188936235</v>
      </c>
      <c r="T30" s="119">
        <v>3009849.9411901273</v>
      </c>
      <c r="V30" s="119">
        <v>2974702.409714804</v>
      </c>
      <c r="X30" s="119">
        <v>2920161.8782733418</v>
      </c>
      <c r="Z30" s="119">
        <v>2840346.6882771002</v>
      </c>
      <c r="AB30" s="119">
        <v>2727524.7247712417</v>
      </c>
      <c r="AD30" s="119">
        <v>2571750.2528408761</v>
      </c>
      <c r="AF30" s="119">
        <v>2360734.3243103521</v>
      </c>
      <c r="AH30" s="119">
        <v>2080260.907782265</v>
      </c>
      <c r="AJ30" s="119">
        <v>1715449.0842328551</v>
      </c>
      <c r="AL30" s="119">
        <v>1252828.2574205352</v>
      </c>
      <c r="AN30" s="119">
        <v>682586.76765321614</v>
      </c>
      <c r="AP30" s="119">
        <v>555113.71479952533</v>
      </c>
      <c r="AR30" s="119">
        <v>423118.22876343969</v>
      </c>
      <c r="AT30" s="119">
        <v>286596.70935188374</v>
      </c>
      <c r="AV30" s="119">
        <v>145553.40304657171</v>
      </c>
    </row>
    <row r="31" spans="1:49" x14ac:dyDescent="0.2">
      <c r="A31" t="s">
        <v>47</v>
      </c>
      <c r="B31" s="80">
        <v>1</v>
      </c>
      <c r="D31" s="80">
        <v>0.98745478718715329</v>
      </c>
      <c r="F31" s="80">
        <v>0.97383959704147083</v>
      </c>
      <c r="H31" s="80">
        <v>0.95899547643907679</v>
      </c>
      <c r="J31" s="80">
        <v>0.94273100447280977</v>
      </c>
      <c r="L31" s="80">
        <v>0.92481386591850712</v>
      </c>
      <c r="N31" s="80">
        <v>0.90495953717722188</v>
      </c>
      <c r="P31" s="80">
        <v>0.88281740505978101</v>
      </c>
      <c r="R31" s="80">
        <v>0.85795231336544653</v>
      </c>
      <c r="T31" s="80">
        <v>0.82982100974390816</v>
      </c>
      <c r="V31" s="80">
        <v>0.7977434449026467</v>
      </c>
      <c r="X31" s="80">
        <v>0.76086939556482891</v>
      </c>
      <c r="Z31" s="80">
        <v>0.71814449593622409</v>
      </c>
      <c r="AB31" s="80">
        <v>0.66828629223553437</v>
      </c>
      <c r="AD31" s="80">
        <v>0.60979072723323313</v>
      </c>
      <c r="AF31" s="80">
        <v>0.54100107583978752</v>
      </c>
      <c r="AH31" s="80">
        <v>0.46027223337099443</v>
      </c>
      <c r="AJ31" s="80">
        <v>0.36623315677763235</v>
      </c>
      <c r="AL31" s="80">
        <v>0.25808009452024033</v>
      </c>
      <c r="AN31" s="80">
        <v>0.13576899162396186</v>
      </c>
      <c r="AP31" s="80">
        <v>0.10965823964279608</v>
      </c>
      <c r="AR31" s="80">
        <v>8.3016145801479854E-2</v>
      </c>
      <c r="AT31" s="80">
        <v>5.5852197147360935E-2</v>
      </c>
      <c r="AV31" s="80">
        <v>2.8176562867840697E-2</v>
      </c>
    </row>
    <row r="32" spans="1:49" x14ac:dyDescent="0.2">
      <c r="A32" t="s">
        <v>64</v>
      </c>
      <c r="B32" s="86">
        <v>14734457.915000005</v>
      </c>
      <c r="D32" s="86">
        <v>14635077.065534234</v>
      </c>
      <c r="F32" s="86">
        <v>14522072.752302144</v>
      </c>
      <c r="H32" s="86">
        <v>14393055.124961071</v>
      </c>
      <c r="J32" s="86">
        <v>14245086.020850437</v>
      </c>
      <c r="L32" s="86">
        <v>14074523.525638714</v>
      </c>
      <c r="N32" s="86">
        <v>13876810.52855101</v>
      </c>
      <c r="P32" s="86">
        <v>13646205.893025761</v>
      </c>
      <c r="R32" s="86">
        <v>13375419.202357395</v>
      </c>
      <c r="T32" s="86">
        <v>13055122.406908248</v>
      </c>
      <c r="V32" s="86">
        <v>12673326.253127119</v>
      </c>
      <c r="X32" s="86">
        <v>12214591.360151181</v>
      </c>
      <c r="Z32" s="86">
        <v>11659111.329685228</v>
      </c>
      <c r="AB32" s="86">
        <v>10981806.395078039</v>
      </c>
      <c r="AD32" s="86">
        <v>10151768.384954905</v>
      </c>
      <c r="AF32" s="86">
        <v>9132693.9374645483</v>
      </c>
      <c r="AH32" s="86">
        <v>7885152.211242632</v>
      </c>
      <c r="AJ32" s="86">
        <v>6371227.3457271038</v>
      </c>
      <c r="AL32" s="86">
        <v>4560837.9394106455</v>
      </c>
      <c r="AN32" s="86">
        <v>2437383.7173780371</v>
      </c>
      <c r="AP32" s="86">
        <v>1974782.3295738092</v>
      </c>
      <c r="AR32" s="86">
        <v>1499645.5427089289</v>
      </c>
      <c r="AT32" s="86">
        <v>1012061.355250961</v>
      </c>
      <c r="AV32" s="86">
        <v>512137.52624311839</v>
      </c>
    </row>
    <row r="33" spans="1:49 16319:16321" x14ac:dyDescent="0.2">
      <c r="A33" t="s">
        <v>54</v>
      </c>
      <c r="B33" s="117">
        <v>7019665.6909999885</v>
      </c>
      <c r="D33" s="117">
        <v>6944409.4366152035</v>
      </c>
      <c r="F33" s="117">
        <v>6862537.6211649422</v>
      </c>
      <c r="H33" s="117">
        <v>6772952.419703708</v>
      </c>
      <c r="J33" s="117">
        <v>6674315.8568853028</v>
      </c>
      <c r="L33" s="117">
        <v>6564984.4707283601</v>
      </c>
      <c r="N33" s="117">
        <v>6442920.873190755</v>
      </c>
      <c r="P33" s="117">
        <v>6305582.7266226308</v>
      </c>
      <c r="R33" s="117">
        <v>6149773.1292735729</v>
      </c>
      <c r="T33" s="117">
        <v>5971444.8195214067</v>
      </c>
      <c r="V33" s="117">
        <v>5765453.3592364704</v>
      </c>
      <c r="X33" s="117">
        <v>5525255.0765276235</v>
      </c>
      <c r="Z33" s="117">
        <v>5242571.0463934457</v>
      </c>
      <c r="AB33" s="117">
        <v>4907086.3108949792</v>
      </c>
      <c r="AD33" s="117">
        <v>4506335.0880849883</v>
      </c>
      <c r="AF33" s="117">
        <v>4026034.5736428071</v>
      </c>
      <c r="AH33" s="117">
        <v>3451184.8900852269</v>
      </c>
      <c r="AJ33" s="117">
        <v>2768078.6135504162</v>
      </c>
      <c r="AL33" s="117">
        <v>1966824.9006130043</v>
      </c>
      <c r="AN33" s="117">
        <v>1043371.8081273064</v>
      </c>
      <c r="AP33" s="117">
        <v>844115.5421422231</v>
      </c>
      <c r="AR33" s="117">
        <v>640092.37798653753</v>
      </c>
      <c r="AT33" s="117">
        <v>431356.69857765816</v>
      </c>
      <c r="AV33" s="117">
        <v>217969.96310400992</v>
      </c>
    </row>
    <row r="34" spans="1:49 16319:16321" x14ac:dyDescent="0.2">
      <c r="A34" t="s">
        <v>75</v>
      </c>
      <c r="B34" s="117">
        <v>1136879.4410000162</v>
      </c>
      <c r="D34" s="117">
        <v>1129211.40177444</v>
      </c>
      <c r="F34" s="117">
        <v>1120492.2555648829</v>
      </c>
      <c r="H34" s="117">
        <v>1110537.5313946388</v>
      </c>
      <c r="J34" s="117">
        <v>1099120.5409472538</v>
      </c>
      <c r="L34" s="117">
        <v>1085960.3142400566</v>
      </c>
      <c r="N34" s="117">
        <v>1070705.2042158865</v>
      </c>
      <c r="P34" s="117">
        <v>1052912.1966407066</v>
      </c>
      <c r="R34" s="117">
        <v>1032018.9077829621</v>
      </c>
      <c r="T34" s="117">
        <v>1007305.4851029378</v>
      </c>
      <c r="V34" s="117">
        <v>977846.90748047829</v>
      </c>
      <c r="X34" s="117">
        <v>942451.89658357343</v>
      </c>
      <c r="Z34" s="117">
        <v>899592.2370901152</v>
      </c>
      <c r="AB34" s="117">
        <v>847332.82918054156</v>
      </c>
      <c r="AD34" s="117">
        <v>783288.86916001944</v>
      </c>
      <c r="AF34" s="117">
        <v>704659.2440802902</v>
      </c>
      <c r="AH34" s="117">
        <v>608401.57723242242</v>
      </c>
      <c r="AJ34" s="117">
        <v>491590.35401301214</v>
      </c>
      <c r="AL34" s="117">
        <v>351904.55753964162</v>
      </c>
      <c r="AN34" s="117">
        <v>188063.34157295502</v>
      </c>
      <c r="AP34" s="117">
        <v>152370.0036226238</v>
      </c>
      <c r="AR34" s="117">
        <v>115709.46222903677</v>
      </c>
      <c r="AT34" s="117">
        <v>78088.5037190945</v>
      </c>
      <c r="AV34" s="117">
        <v>39515.442147769711</v>
      </c>
    </row>
    <row r="35" spans="1:49 16319:16321" x14ac:dyDescent="0.2">
      <c r="A35" t="s">
        <v>78</v>
      </c>
      <c r="B35" s="233">
        <v>1</v>
      </c>
      <c r="D35" s="233">
        <v>1.0018483143233361</v>
      </c>
      <c r="F35" s="233">
        <v>1.0038838837996882</v>
      </c>
      <c r="H35" s="233">
        <v>1.0061309460501169</v>
      </c>
      <c r="J35" s="233">
        <v>1.0086181679564004</v>
      </c>
      <c r="L35" s="233">
        <v>1.0113796574714931</v>
      </c>
      <c r="N35" s="233">
        <v>1.0144562258178578</v>
      </c>
      <c r="P35" s="233">
        <v>1.017896875394523</v>
      </c>
      <c r="R35" s="233">
        <v>1.0217605618660144</v>
      </c>
      <c r="T35" s="233">
        <v>1.0261180545638491</v>
      </c>
      <c r="V35" s="233">
        <v>1.0310536760088103</v>
      </c>
      <c r="X35" s="233">
        <v>1.0366661252345126</v>
      </c>
      <c r="Z35" s="233">
        <v>1.0430671212696572</v>
      </c>
      <c r="AB35" s="233">
        <v>1.0503755319004262</v>
      </c>
      <c r="AD35" s="233">
        <v>1.0587038388390333</v>
      </c>
      <c r="AF35" s="233">
        <v>1.0681341234192583</v>
      </c>
      <c r="AH35" s="233">
        <v>1.0786845435593724</v>
      </c>
      <c r="AJ35" s="233">
        <v>1.0902759196348002</v>
      </c>
      <c r="AL35" s="233">
        <v>1.1027172366992501</v>
      </c>
      <c r="AN35" s="233">
        <v>1.1157266073723269</v>
      </c>
      <c r="AP35" s="233">
        <v>1.1183684600742128</v>
      </c>
      <c r="AR35" s="233">
        <v>1.1210176096730537</v>
      </c>
      <c r="AT35" s="233">
        <v>1.1236715609008325</v>
      </c>
      <c r="AV35" s="233">
        <v>1.1263278918934942</v>
      </c>
    </row>
    <row r="36" spans="1:49 16319:16321" x14ac:dyDescent="0.2">
      <c r="A36" t="s">
        <v>21</v>
      </c>
      <c r="B36" s="37">
        <v>0.47195767671988198</v>
      </c>
      <c r="C36" s="38">
        <v>0.31738834428178964</v>
      </c>
      <c r="D36" s="37">
        <v>0.47197768980498211</v>
      </c>
      <c r="E36" s="38">
        <v>0.3195934920613569</v>
      </c>
      <c r="F36" s="37">
        <v>0.47199837035656528</v>
      </c>
      <c r="G36" s="38">
        <v>0.32197620774573077</v>
      </c>
      <c r="H36" s="37">
        <v>0.47201978815160761</v>
      </c>
      <c r="I36" s="38">
        <v>0.3245565436938353</v>
      </c>
      <c r="J36" s="37">
        <v>0.47204201792975481</v>
      </c>
      <c r="K36" s="38">
        <v>0.32735726829561379</v>
      </c>
      <c r="L36" s="37">
        <v>0.4720651369234361</v>
      </c>
      <c r="M36" s="38">
        <v>0.3304042156639308</v>
      </c>
      <c r="N36" s="37">
        <v>0.4720892215544974</v>
      </c>
      <c r="O36" s="38">
        <v>0.33372663162204474</v>
      </c>
      <c r="P36" s="37">
        <v>0.47211433863902907</v>
      </c>
      <c r="Q36" s="38">
        <v>0.33735746419858187</v>
      </c>
      <c r="R36" s="37">
        <v>0.47214053232758857</v>
      </c>
      <c r="S36" s="38">
        <v>0.34133350681183428</v>
      </c>
      <c r="T36" s="37">
        <v>0.47216780725987278</v>
      </c>
      <c r="U36" s="38">
        <v>0.34569517752239864</v>
      </c>
      <c r="V36" s="37">
        <v>0.47219609862530215</v>
      </c>
      <c r="W36" s="38">
        <v>0.35048570809542634</v>
      </c>
      <c r="X36" s="37">
        <v>0.4722252344462205</v>
      </c>
      <c r="Y36" s="38">
        <v>0.35574912618201576</v>
      </c>
      <c r="Z36" s="37">
        <v>0.47225488772563035</v>
      </c>
      <c r="AA36" s="38">
        <v>0.36152633200827494</v>
      </c>
      <c r="AB36" s="37">
        <v>0.47228452541721822</v>
      </c>
      <c r="AC36" s="38">
        <v>0.36784823385842758</v>
      </c>
      <c r="AD36" s="37">
        <v>0.47231337310936489</v>
      </c>
      <c r="AE36" s="38">
        <v>0.3747251210258144</v>
      </c>
      <c r="AF36" s="37">
        <v>0.47234042930408099</v>
      </c>
      <c r="AG36" s="38">
        <v>0.38213263310702661</v>
      </c>
      <c r="AH36" s="37">
        <v>0.47236457072525573</v>
      </c>
      <c r="AI36" s="38">
        <v>0.38999763208328908</v>
      </c>
      <c r="AJ36" s="37">
        <v>0.47238476219410447</v>
      </c>
      <c r="AK36" s="38">
        <v>0.3981913136642658</v>
      </c>
      <c r="AL36" s="37">
        <v>0.47240031699115714</v>
      </c>
      <c r="AM36" s="38">
        <v>0.40653827341576337</v>
      </c>
      <c r="AN36" s="37">
        <v>0.47241107991727299</v>
      </c>
      <c r="AO36" s="38">
        <v>0.41484375159191339</v>
      </c>
      <c r="AP36" s="37">
        <v>0.47241268258703134</v>
      </c>
      <c r="AQ36" s="38">
        <v>0.41648349510841381</v>
      </c>
      <c r="AR36" s="37">
        <v>0.4724141124909299</v>
      </c>
      <c r="AS36" s="38">
        <v>0.41811302639463549</v>
      </c>
      <c r="AT36" s="37">
        <v>0.47241537526494537</v>
      </c>
      <c r="AU36" s="38">
        <v>0.41973116929828586</v>
      </c>
      <c r="AV36" s="37">
        <v>0.47241647696288108</v>
      </c>
      <c r="AW36" s="38">
        <v>0.42133683132850985</v>
      </c>
    </row>
    <row r="37" spans="1:49 16319:16321" x14ac:dyDescent="0.2">
      <c r="B37" s="39">
        <v>2.1403217525954466E-2</v>
      </c>
      <c r="C37" s="40">
        <v>0.3496246130199252</v>
      </c>
      <c r="D37" s="39">
        <v>2.080364975980906E-2</v>
      </c>
      <c r="E37" s="40">
        <v>0.34606740337227443</v>
      </c>
      <c r="F37" s="39">
        <v>2.0196026554047182E-2</v>
      </c>
      <c r="G37" s="40">
        <v>0.34244201010117609</v>
      </c>
      <c r="H37" s="39">
        <v>1.9580402113403075E-2</v>
      </c>
      <c r="I37" s="40">
        <v>0.33874819209792956</v>
      </c>
      <c r="J37" s="39">
        <v>1.89569029023532E-2</v>
      </c>
      <c r="K37" s="40">
        <v>0.3349862424803341</v>
      </c>
      <c r="L37" s="39">
        <v>1.8325750549525923E-2</v>
      </c>
      <c r="M37" s="40">
        <v>0.3311571629785669</v>
      </c>
      <c r="N37" s="39">
        <v>1.7687292925542272E-2</v>
      </c>
      <c r="O37" s="40">
        <v>0.32726289669768971</v>
      </c>
      <c r="P37" s="39">
        <v>1.7042047562100239E-2</v>
      </c>
      <c r="Q37" s="40">
        <v>0.32330664688843302</v>
      </c>
      <c r="R37" s="39">
        <v>1.6390762508610809E-2</v>
      </c>
      <c r="S37" s="40">
        <v>0.31929331466513006</v>
      </c>
      <c r="T37" s="39">
        <v>1.5734509236234602E-2</v>
      </c>
      <c r="U37" s="40">
        <v>0.31523014730463089</v>
      </c>
      <c r="V37" s="39">
        <v>1.5074804984355445E-2</v>
      </c>
      <c r="W37" s="40">
        <v>0.3111275838073479</v>
      </c>
      <c r="X37" s="39">
        <v>1.4413794576010223E-2</v>
      </c>
      <c r="Y37" s="40">
        <v>0.30700048009183412</v>
      </c>
      <c r="Z37" s="39">
        <v>1.37544885172044E-2</v>
      </c>
      <c r="AA37" s="40">
        <v>0.30286968811668019</v>
      </c>
      <c r="AB37" s="39">
        <v>1.3101054894221295E-2</v>
      </c>
      <c r="AC37" s="40">
        <v>0.29876395263515704</v>
      </c>
      <c r="AD37" s="39">
        <v>1.2459106662418208E-2</v>
      </c>
      <c r="AE37" s="40">
        <v>0.29472172063385593</v>
      </c>
      <c r="AF37" s="39">
        <v>1.1835842110822942E-2</v>
      </c>
      <c r="AG37" s="40">
        <v>0.29079190971525948</v>
      </c>
      <c r="AH37" s="39">
        <v>1.1239796691205636E-2</v>
      </c>
      <c r="AI37" s="40">
        <v>0.28703205172528734</v>
      </c>
      <c r="AJ37" s="39">
        <v>1.067996597433497E-2</v>
      </c>
      <c r="AK37" s="40">
        <v>0.28350229048214554</v>
      </c>
      <c r="AL37" s="39">
        <v>1.0164315828739869E-2</v>
      </c>
      <c r="AM37" s="40">
        <v>0.28025545155920478</v>
      </c>
      <c r="AN37" s="39">
        <v>9.6981835393230263E-3</v>
      </c>
      <c r="AO37" s="40">
        <v>0.27732659105263707</v>
      </c>
      <c r="AP37" s="39">
        <v>9.6111200890402013E-3</v>
      </c>
      <c r="AQ37" s="40">
        <v>0.27678040446889057</v>
      </c>
      <c r="AR37" s="39">
        <v>9.5261161022226083E-3</v>
      </c>
      <c r="AS37" s="40">
        <v>0.27624744061909257</v>
      </c>
      <c r="AT37" s="39">
        <v>9.4431625633654911E-3</v>
      </c>
      <c r="AU37" s="40">
        <v>0.27572763777152942</v>
      </c>
      <c r="AV37" s="39">
        <v>9.3622453950546469E-3</v>
      </c>
      <c r="AW37" s="40">
        <v>0.27522090113031628</v>
      </c>
    </row>
    <row r="38" spans="1:49 16319:16321" x14ac:dyDescent="0.2">
      <c r="A38" t="s">
        <v>22</v>
      </c>
      <c r="B38" s="37">
        <v>0.18079094942242827</v>
      </c>
      <c r="C38" s="38">
        <v>6.0565413429233668E-2</v>
      </c>
      <c r="D38" s="37">
        <v>0.18099688574158943</v>
      </c>
      <c r="E38" s="38">
        <v>6.0844454689258358E-2</v>
      </c>
      <c r="F38" s="37">
        <v>0.18121934524937394</v>
      </c>
      <c r="G38" s="38">
        <v>6.114662751975735E-2</v>
      </c>
      <c r="H38" s="37">
        <v>0.18146004283827391</v>
      </c>
      <c r="I38" s="38">
        <v>6.1474603242598874E-2</v>
      </c>
      <c r="J38" s="37">
        <v>0.18172091322560557</v>
      </c>
      <c r="K38" s="38">
        <v>6.1831439265093664E-2</v>
      </c>
      <c r="L38" s="37">
        <v>0.18200413760490888</v>
      </c>
      <c r="M38" s="38">
        <v>6.2220640532700509E-2</v>
      </c>
      <c r="N38" s="37">
        <v>0.18231216875968162</v>
      </c>
      <c r="O38" s="38">
        <v>6.2646152460092377E-2</v>
      </c>
      <c r="P38" s="37">
        <v>0.18264775510293266</v>
      </c>
      <c r="Q38" s="38">
        <v>6.3112466464220307E-2</v>
      </c>
      <c r="R38" s="37">
        <v>0.18301395429178982</v>
      </c>
      <c r="S38" s="38">
        <v>6.3624625223532627E-2</v>
      </c>
      <c r="T38" s="37">
        <v>0.18341410855863727</v>
      </c>
      <c r="U38" s="38">
        <v>6.4188222579347587E-2</v>
      </c>
      <c r="V38" s="37">
        <v>0.18385178825512269</v>
      </c>
      <c r="W38" s="38">
        <v>6.4809281984742825E-2</v>
      </c>
      <c r="X38" s="37">
        <v>0.18433062737145159</v>
      </c>
      <c r="Y38" s="38">
        <v>6.5494048756836079E-2</v>
      </c>
      <c r="Z38" s="37">
        <v>0.18485400992008932</v>
      </c>
      <c r="AA38" s="38">
        <v>6.6248451152768145E-2</v>
      </c>
      <c r="AB38" s="37">
        <v>0.1854245145492063</v>
      </c>
      <c r="AC38" s="38">
        <v>6.7077221339681387E-2</v>
      </c>
      <c r="AD38" s="37">
        <v>0.18604304641676192</v>
      </c>
      <c r="AE38" s="38">
        <v>6.7982492821623247E-2</v>
      </c>
      <c r="AF38" s="37">
        <v>0.18670767508904468</v>
      </c>
      <c r="AG38" s="38">
        <v>6.8961881069834211E-2</v>
      </c>
      <c r="AH38" s="37">
        <v>0.18741244173895616</v>
      </c>
      <c r="AI38" s="38">
        <v>7.0006474317008752E-2</v>
      </c>
      <c r="AJ38" s="37">
        <v>0.1881467286274322</v>
      </c>
      <c r="AK38" s="38">
        <v>7.1099779575438518E-2</v>
      </c>
      <c r="AL38" s="37">
        <v>0.18889593109156386</v>
      </c>
      <c r="AM38" s="38">
        <v>7.2218767467005771E-2</v>
      </c>
      <c r="AN38" s="37">
        <v>0.18964365655193272</v>
      </c>
      <c r="AO38" s="38">
        <v>7.333733522834808E-2</v>
      </c>
      <c r="AP38" s="37">
        <v>0.18979163179672645</v>
      </c>
      <c r="AQ38" s="38">
        <v>7.3558777415466584E-2</v>
      </c>
      <c r="AR38" s="37">
        <v>0.18993881851234015</v>
      </c>
      <c r="AS38" s="38">
        <v>7.3779034921896081E-2</v>
      </c>
      <c r="AT38" s="37">
        <v>0.1900851140849161</v>
      </c>
      <c r="AU38" s="38">
        <v>7.3997944828968834E-2</v>
      </c>
      <c r="AV38" s="37">
        <v>0.19023042267873724</v>
      </c>
      <c r="AW38" s="38">
        <v>7.4215350893174714E-2</v>
      </c>
    </row>
    <row r="39" spans="1:49 16319:16321" x14ac:dyDescent="0.2">
      <c r="A39" t="s">
        <v>23</v>
      </c>
      <c r="B39" s="39">
        <v>0.23064923795098732</v>
      </c>
      <c r="C39" s="40">
        <v>0.22092201281804777</v>
      </c>
      <c r="D39" s="39">
        <v>0.23095000548122394</v>
      </c>
      <c r="E39" s="40">
        <v>0.22195816052705925</v>
      </c>
      <c r="F39" s="39">
        <v>0.23127365124946328</v>
      </c>
      <c r="G39" s="40">
        <v>0.22307964141350314</v>
      </c>
      <c r="H39" s="39">
        <v>0.23162304474649451</v>
      </c>
      <c r="I39" s="40">
        <v>0.22429662386308977</v>
      </c>
      <c r="J39" s="39">
        <v>0.23200150644719522</v>
      </c>
      <c r="K39" s="40">
        <v>0.2256207213178516</v>
      </c>
      <c r="L39" s="39">
        <v>0.23241288636528712</v>
      </c>
      <c r="M39" s="40">
        <v>0.22706518929251757</v>
      </c>
      <c r="N39" s="39">
        <v>0.2328616527583271</v>
      </c>
      <c r="O39" s="40">
        <v>0.2286452343154172</v>
      </c>
      <c r="P39" s="39">
        <v>0.23335298403511751</v>
      </c>
      <c r="Q39" s="40">
        <v>0.23037813798110718</v>
      </c>
      <c r="R39" s="39">
        <v>0.23389285495937767</v>
      </c>
      <c r="S39" s="40">
        <v>0.23228344884057398</v>
      </c>
      <c r="T39" s="39">
        <v>0.23448810248245339</v>
      </c>
      <c r="U39" s="40">
        <v>0.23438295923118291</v>
      </c>
      <c r="V39" s="39">
        <v>0.23514641353114799</v>
      </c>
      <c r="W39" s="40">
        <v>0.23670047721727078</v>
      </c>
      <c r="X39" s="39">
        <v>0.23587617296139243</v>
      </c>
      <c r="Y39" s="40">
        <v>0.23926091274438616</v>
      </c>
      <c r="Z39" s="39">
        <v>0.23668603487498982</v>
      </c>
      <c r="AA39" s="40">
        <v>0.24208852206650791</v>
      </c>
      <c r="AB39" s="39">
        <v>0.2375840336411445</v>
      </c>
      <c r="AC39" s="40">
        <v>0.24520354084819618</v>
      </c>
      <c r="AD39" s="39">
        <v>0.23857602865859734</v>
      </c>
      <c r="AE39" s="40">
        <v>0.24861677820146949</v>
      </c>
      <c r="AF39" s="39">
        <v>0.23966340605078501</v>
      </c>
      <c r="AG39" s="40">
        <v>0.25232222493097423</v>
      </c>
      <c r="AH39" s="39">
        <v>0.2408403821750594</v>
      </c>
      <c r="AI39" s="40">
        <v>0.2562891740203237</v>
      </c>
      <c r="AJ39" s="39">
        <v>0.24209199278224142</v>
      </c>
      <c r="AK39" s="40">
        <v>0.26045745652445429</v>
      </c>
      <c r="AL39" s="39">
        <v>0.24339432996065477</v>
      </c>
      <c r="AM39" s="40">
        <v>0.2647406502933829</v>
      </c>
      <c r="AN39" s="39">
        <v>0.24471790393984882</v>
      </c>
      <c r="AO39" s="40">
        <v>0.26903916271099471</v>
      </c>
      <c r="AP39" s="39">
        <v>0.24498249823287685</v>
      </c>
      <c r="AQ39" s="40">
        <v>0.26989208320767055</v>
      </c>
      <c r="AR39" s="39">
        <v>0.24524651720627366</v>
      </c>
      <c r="AS39" s="40">
        <v>0.27074108039386985</v>
      </c>
      <c r="AT39" s="39">
        <v>0.24550975033566844</v>
      </c>
      <c r="AU39" s="40">
        <v>0.2715855096951923</v>
      </c>
      <c r="AV39" s="39">
        <v>0.24577199773578401</v>
      </c>
      <c r="AW39" s="40">
        <v>0.27242477326627879</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0.11354719123440857</v>
      </c>
      <c r="E42" s="135"/>
      <c r="F42" s="177">
        <f>10.8%+(1-10.8%)*(1-SUM(F26:G26)/SUM($B$26:$C$26))</f>
        <v>0.11982560386992423</v>
      </c>
      <c r="G42" s="135"/>
      <c r="H42" s="177">
        <f>10.8%+(1-10.8%)*(1-SUM(H26:I26)/SUM($B$26:$C$26))</f>
        <v>0.12697257521414909</v>
      </c>
      <c r="I42" s="135"/>
      <c r="J42" s="177">
        <f>10.8%+(1-10.8%)*(1-SUM(J26:K26)/SUM($B$26:$C$26))</f>
        <v>0.13515890941935144</v>
      </c>
      <c r="K42" s="135"/>
      <c r="L42" s="177">
        <f>10.8%+(1-10.8%)*(1-SUM(L26:M26)/SUM($B$26:$C$26))</f>
        <v>0.14459891831708035</v>
      </c>
      <c r="M42" s="135"/>
      <c r="N42" s="177">
        <f>10.8%+(1-10.8%)*(1-SUM(N26:O26)/SUM($B$26:$C$26))</f>
        <v>0.15556415817961522</v>
      </c>
      <c r="O42" s="135"/>
      <c r="P42" s="177">
        <f>10.8%+(1-10.8%)*(1-SUM(P26:Q26)/SUM($B$26:$C$26))</f>
        <v>0.16840124035189896</v>
      </c>
      <c r="Q42" s="135"/>
      <c r="R42" s="177">
        <f>10.8%+(1-10.8%)*(1-SUM(R26:S26)/SUM($B$26:$C$26))</f>
        <v>0.18355615163928057</v>
      </c>
      <c r="S42" s="135"/>
      <c r="T42" s="177">
        <f>10.8%+(1-10.8%)*(1-SUM(T26:U26)/SUM($B$26:$C$26))</f>
        <v>0.2016072178971367</v>
      </c>
      <c r="U42" s="135"/>
      <c r="V42" s="177">
        <f>10.8%+(1-10.8%)*(1-SUM(V26:W26)/SUM($B$26:$C$26))</f>
        <v>0.22330751685058564</v>
      </c>
      <c r="W42" s="135"/>
      <c r="X42" s="177">
        <f>10.8%+(1-10.8%)*(1-SUM(X26:Y26)/SUM($B$26:$C$26))</f>
        <v>0.24963924893160216</v>
      </c>
      <c r="Y42" s="162"/>
      <c r="Z42" s="177">
        <f>10.8%+(1-10.8%)*(1-SUM(Z26:AA26)/SUM($B$26:$C$26))</f>
        <v>0.28187765476949733</v>
      </c>
      <c r="AA42" s="135"/>
      <c r="AB42" s="177">
        <f>10.8%+(1-10.8%)*(1-SUM(AB26:AC26)/SUM($B$26:$C$26))</f>
        <v>0.32165561679509758</v>
      </c>
      <c r="AC42" s="135"/>
      <c r="AD42" s="177">
        <f>10.8%+(1-10.8%)*(1-SUM(AD26:AE26)/SUM($B$26:$C$26))</f>
        <v>0.37100605264493081</v>
      </c>
      <c r="AE42" s="135"/>
      <c r="AF42" s="177">
        <f>10.8%+(1-10.8%)*(1-SUM(AF26:AG26)/SUM($B$26:$C$26))</f>
        <v>0.43233889544444237</v>
      </c>
      <c r="AG42" s="135"/>
      <c r="AH42" s="177">
        <f>10.8%+(1-10.8%)*(1-SUM(AH26:AI26)/SUM($B$26:$C$26))</f>
        <v>0.50829456771583181</v>
      </c>
      <c r="AI42" s="135"/>
      <c r="AJ42" s="177">
        <f>10.8%+(1-10.8%)*(1-SUM(AJ26:AK26)/SUM($B$26:$C$26))</f>
        <v>0.60143590817043946</v>
      </c>
      <c r="AK42" s="135"/>
      <c r="AL42" s="177">
        <f>10.8%+(1-10.8%)*(1-SUM(AL26:AM26)/SUM($B$26:$C$26))</f>
        <v>0.71382377201342306</v>
      </c>
      <c r="AM42" s="135"/>
      <c r="AN42" s="177">
        <f>10.8%+(1-10.8%)*(1-SUM(AN26:AO26)/SUM($B$26:$C$26))</f>
        <v>0.84663402707153557</v>
      </c>
      <c r="AO42" s="135"/>
      <c r="AP42" s="177">
        <f>10.8%+(1-10.8%)*(1-SUM(AP26:AQ26)/SUM($B$26:$C$26))</f>
        <v>0.87567623503221759</v>
      </c>
      <c r="AQ42" s="135"/>
      <c r="AR42" s="177">
        <f>10.8%+(1-10.8%)*(1-SUM(AR26:AS26)/SUM($B$26:$C$26))</f>
        <v>0.90553983569486507</v>
      </c>
      <c r="AS42" s="135"/>
      <c r="AT42" s="177">
        <f>10.8%+(1-10.8%)*(1-SUM(AT26:AU26)/SUM($B$26:$C$26))</f>
        <v>0.93621957914883702</v>
      </c>
      <c r="AU42" s="135"/>
      <c r="AV42" s="177">
        <f>10.8%+(1-10.8%)*(1-SUM(AV26:AW26)/SUM($B$26:$C$26))</f>
        <v>0.96770889563004014</v>
      </c>
    </row>
    <row r="43" spans="1:49 16319:16321" x14ac:dyDescent="0.2">
      <c r="A43" t="s">
        <v>108</v>
      </c>
      <c r="B43" s="162">
        <f>SUM(B15:C15*B27:C27)/SUM(B15:C15*B27:C27,B13:C13*B26:C26)</f>
        <v>0.56058995943839174</v>
      </c>
      <c r="C43" s="135"/>
      <c r="D43" s="162">
        <f t="array" ref="D43">SUM(D15:E15*D27:E27)/SUM(D15:E15*D27:E27,D13:E13*D26:E26)</f>
        <v>0.56659998240160492</v>
      </c>
      <c r="E43" s="135"/>
      <c r="F43" s="162">
        <f t="array" ref="F43">SUM(F15:G15*F27:G27)/SUM(F15:G15*F27:G27,F13:G13*F26:G26)</f>
        <v>0.56598927835307988</v>
      </c>
      <c r="G43" s="135"/>
      <c r="H43" s="162">
        <f t="array" ref="H43">SUM(H15:I15*H27:I27)/SUM(H15:I15*H27:I27,H13:I13*H26:I26)</f>
        <v>0.56536461814634598</v>
      </c>
      <c r="I43" s="135"/>
      <c r="J43" s="162">
        <f t="array" ref="J43">SUM(J15:K15*J27:K27)/SUM(J15:K15*J27:K27,J13:K13*J26:K26)</f>
        <v>0.56472126021108682</v>
      </c>
      <c r="K43" s="135"/>
      <c r="L43" s="162">
        <f t="array" ref="L43">SUM(L15:M15*L27:M27)/SUM(L15:M15*L27:M27,L13:M13*L26:M26)</f>
        <v>0.56405330873286708</v>
      </c>
      <c r="M43" s="135"/>
      <c r="N43" s="162">
        <f t="array" ref="N43">SUM(N15:O15*N27:O27)/SUM(N15:O15*N27:O27,N13:O13*N26:O26)</f>
        <v>0.56335347225949262</v>
      </c>
      <c r="O43" s="135"/>
      <c r="P43" s="162">
        <f t="array" ref="P43">SUM(P15:Q15*P27:Q27)/SUM(P15:Q15*P27:Q27,P13:Q13*P26:Q26)</f>
        <v>0.56261274561319208</v>
      </c>
      <c r="Q43" s="135"/>
      <c r="R43" s="162">
        <f t="array" ref="R43">SUM(R15:S15*R27:S27)/SUM(R15:S15*R27:S27,R13:S13*R26:S26)</f>
        <v>0.56182008474476841</v>
      </c>
      <c r="S43" s="135"/>
      <c r="T43" s="162">
        <f t="array" ref="T43">SUM(T15:U15*T27:U27)/SUM(T15:U15*T27:U27,T13:U13*T26:U26)</f>
        <v>0.56096205928625742</v>
      </c>
      <c r="U43" s="135"/>
      <c r="V43" s="162">
        <f t="array" ref="V43">SUM(V15:W15*V27:W27)/SUM(V15:W15*V27:W27,V13:W13*V26:W26)</f>
        <v>0.56002259345369021</v>
      </c>
      <c r="W43" s="135"/>
      <c r="X43" s="162">
        <f t="array" ref="X43">SUM(X15:Y15*X27:Y27)/SUM(X15:Y15*X27:Y27,X13:Y13*X26:Y26)</f>
        <v>0.55898288404396512</v>
      </c>
      <c r="Y43" s="135"/>
      <c r="Z43" s="162">
        <f t="array" ref="Z43">SUM(Z15:AA15*Z27:AA27)/SUM(Z15:AA15*Z27:AA27,Z13:AA13*Z26:AA26)</f>
        <v>0.55782179417882594</v>
      </c>
      <c r="AA43" s="135"/>
      <c r="AB43" s="162">
        <f t="array" ref="AB43">SUM(AB15:AC15*AB27:AC27)/SUM(AB15:AC15*AB27:AC27,AB13:AC13*AB26:AC26)</f>
        <v>0.55651709601285937</v>
      </c>
      <c r="AC43" s="135"/>
      <c r="AD43" s="162">
        <f t="array" ref="AD43">SUM(AD15:AE15*AD27:AE27)/SUM(AD15:AE15*AD27:AE27,AD13:AE13*AD26:AE26)</f>
        <v>0.5550481071550748</v>
      </c>
      <c r="AE43" s="135"/>
      <c r="AF43" s="162">
        <f t="array" ref="AF43">SUM(AF15:AG15*AF27:AG27)/SUM(AF15:AG15*AF27:AG27,AF13:AG13*AF26:AG26)</f>
        <v>0.5534001338003609</v>
      </c>
      <c r="AG43" s="135"/>
      <c r="AH43" s="162">
        <f t="array" ref="AH43">SUM(AH15:AI15*AH27:AI27)/SUM(AH15:AI15*AH27:AI27,AH13:AI13*AH26:AI26)</f>
        <v>0.55157039589679524</v>
      </c>
      <c r="AI43" s="135"/>
      <c r="AJ43" s="162">
        <f t="array" ref="AJ43">SUM(AJ15:AK15*AJ27:AK27)/SUM(AJ15:AK15*AJ27:AK27,AJ13:AK13*AJ26:AK26)</f>
        <v>0.54957362274655552</v>
      </c>
      <c r="AK43" s="135"/>
      <c r="AL43" s="162">
        <f t="array" ref="AL43">SUM(AL15:AM15*AL27:AM27)/SUM(AL15:AM15*AL27:AM27,AL13:AM13*AL26:AM26)</f>
        <v>0.54744403169233447</v>
      </c>
      <c r="AM43" s="135"/>
      <c r="AN43" s="162">
        <f t="array" ref="AN43">SUM(AN15:AO15*AN27:AO27)/SUM(AN15:AO15*AN27:AO27,AN13:AO13*AN26:AO26)</f>
        <v>0.54523104664415534</v>
      </c>
      <c r="AO43" s="135"/>
      <c r="AP43" s="162">
        <f t="array" ref="AP43">SUM(AP15:AQ15*AP27:AQ27)/SUM(AP15:AQ15*AP27:AQ27,AP13:AQ13*AP26:AQ26)</f>
        <v>0.54478331129391977</v>
      </c>
      <c r="AQ43" s="135"/>
      <c r="AR43" s="162">
        <f t="array" ref="AR43">SUM(AR15:AS15*AR27:AS27)/SUM(AR15:AS15*AR27:AS27,AR13:AS13*AR26:AS26)</f>
        <v>0.54433489145158209</v>
      </c>
      <c r="AS43" s="135"/>
      <c r="AT43" s="162">
        <f t="array" ref="AT43">SUM(AT15:AU15*AT27:AU27)/SUM(AT15:AU15*AT27:AU27,AT13:AU13*AT26:AU26)</f>
        <v>0.543886212343066</v>
      </c>
      <c r="AU43" s="135"/>
      <c r="AV43" s="162">
        <f t="array" ref="AV43">SUM(AV15:AW15*AV27:AW27)/SUM(AV15:AW15*AV27:AW27,AV13:AW13*AV26:AW26)</f>
        <v>0.54343768534659842</v>
      </c>
    </row>
    <row r="44" spans="1:49 16319:16321" x14ac:dyDescent="0.2">
      <c r="A44" t="s">
        <v>142</v>
      </c>
      <c r="B44" s="193">
        <f>(SUM(B11:C11*B24:C24)+B34)/B32</f>
        <v>0.29754226190682465</v>
      </c>
      <c r="D44" s="193">
        <f>(SUM(D11:E11*D24:E24)+D34)/D32</f>
        <v>0.29944932883666914</v>
      </c>
      <c r="F44" s="193">
        <f>(SUM(F11:G11*F24:G24)+F34)/F32</f>
        <v>0.30139469604137586</v>
      </c>
      <c r="H44" s="193">
        <f>(SUM(H11:I11*H24:I24)+H34)/H32</f>
        <v>0.30338292907671882</v>
      </c>
      <c r="J44" s="193">
        <f>(SUM(J11:K11*J24:K24)+J34)/J32</f>
        <v>0.30541918307057075</v>
      </c>
      <c r="L44" s="193">
        <f>(SUM(L11:M11*L24:M24)+L34)/L32</f>
        <v>0.30750926828910929</v>
      </c>
      <c r="N44" s="193">
        <f>(SUM(N11:O11*N24:O24)+N34)/N32</f>
        <v>0.3096597229659187</v>
      </c>
      <c r="P44" s="193">
        <f>(SUM(P11:Q11*P24:Q24)+P34)/P32</f>
        <v>0.31187790591339981</v>
      </c>
      <c r="R44" s="193">
        <f>(SUM(R11:S11*R24:S24)+R34)/R32</f>
        <v>0.31417208420594228</v>
      </c>
      <c r="T44" s="193">
        <f>(SUM(T11:U11*T24:U24)+T34)/T32</f>
        <v>0.31655135726605199</v>
      </c>
      <c r="V44" s="193">
        <f>(SUM(V11:W11*V24:W24)+V34)/V32</f>
        <v>0.31902560657009432</v>
      </c>
      <c r="X44" s="193">
        <f>(SUM(X11:Y11*X24:Y24)+X34)/X32</f>
        <v>0.32160505010192553</v>
      </c>
      <c r="Z44" s="193">
        <f>(SUM(Z11:AA11*Z24:AA24)+Z34)/Z32</f>
        <v>0.32429936653880737</v>
      </c>
      <c r="AB44" s="193">
        <f>(SUM(AB11:AC11*AB24:AC24)+AB34)/AB32</f>
        <v>0.32711598621192162</v>
      </c>
      <c r="AD44" s="193">
        <f>(SUM(AD11:AE11*AD24:AE24)+AD34)/AD32</f>
        <v>0.33005723306290968</v>
      </c>
      <c r="AF44" s="193">
        <f>(SUM(AF11:AG11*AF24:AG24)+AF34)/AF32</f>
        <v>0.33311622864413515</v>
      </c>
      <c r="AH44" s="193">
        <f>(SUM(AH11:AI11*AH24:AI24)+AH34)/AH32</f>
        <v>0.3362723407688491</v>
      </c>
      <c r="AJ44" s="193">
        <f>(SUM(AJ11:AK11*AJ24:AK24)+AJ34)/AJ32</f>
        <v>0.33948827359120992</v>
      </c>
      <c r="AL44" s="193">
        <f>(SUM(AL11:AM11*AL24:AM24)+AL34)/AL32</f>
        <v>0.34271178974677868</v>
      </c>
      <c r="AN44" s="193">
        <f>(SUM(AN11:AO11*AN24:AO24)+AN34)/AN32</f>
        <v>0.34588340147655955</v>
      </c>
      <c r="AP44" s="193">
        <f>(SUM(AP11:AQ11*AP24:AQ24)+AP34)/AP32</f>
        <v>0.34650641072842248</v>
      </c>
      <c r="AR44" s="193">
        <f>(SUM(AR11:AS11*AR24:AS24)+AR34)/AR32</f>
        <v>0.3471246816502685</v>
      </c>
      <c r="AT44" s="193">
        <f>(SUM(AT11:AU11*AT24:AU24)+AT34)/AT32</f>
        <v>0.34773783892304283</v>
      </c>
      <c r="AV44" s="193">
        <f>(SUM(AV11:AW11*AV24:AW24)+AV34)/AV32</f>
        <v>0.34834553215721359</v>
      </c>
    </row>
    <row r="45" spans="1:49 16319:16321" x14ac:dyDescent="0.2">
      <c r="A45" t="s">
        <v>82</v>
      </c>
      <c r="B45" s="193">
        <f>SUM(B11:C11*B24:C24)/B32</f>
        <v>0.22038438833194082</v>
      </c>
      <c r="D45" s="193">
        <f>SUM(D11:E11*D24:E24)/D32</f>
        <v>0.22229145691580687</v>
      </c>
      <c r="F45" s="193">
        <f>SUM(F11:G11*F24:G24)/F32</f>
        <v>0.22423682232205749</v>
      </c>
      <c r="H45" s="193">
        <f>SUM(H11:I11*H24:I24)/H32</f>
        <v>0.22622505524431083</v>
      </c>
      <c r="J45" s="193">
        <f>SUM(J11:K11*J24:K24)/J32</f>
        <v>0.22826130986864843</v>
      </c>
      <c r="L45" s="193">
        <f>SUM(L11:M11*L24:M24)/L32</f>
        <v>0.23035139418688283</v>
      </c>
      <c r="N45" s="193">
        <f>SUM(N11:O11*N24:O24)/N32</f>
        <v>0.23250184853843764</v>
      </c>
      <c r="P45" s="193">
        <f>SUM(P11:Q11*P24:Q24)/P32</f>
        <v>0.23472003471501607</v>
      </c>
      <c r="R45" s="193">
        <f>SUM(R11:S11*R24:S24)/R32</f>
        <v>0.2370142103352624</v>
      </c>
      <c r="T45" s="193">
        <f>SUM(T11:U11*T24:U24)/T32</f>
        <v>0.23939348362023213</v>
      </c>
      <c r="V45" s="193">
        <f>SUM(V11:W11*V24:W24)/V32</f>
        <v>0.2418677327846549</v>
      </c>
      <c r="X45" s="193">
        <f>SUM(X11:Y11*X24:Y24)/X32</f>
        <v>0.24444717647397726</v>
      </c>
      <c r="Z45" s="193">
        <f>SUM(Z11:AA11*Z24:AA24)/Z32</f>
        <v>0.24714149303950678</v>
      </c>
      <c r="AB45" s="193">
        <f>SUM(AB11:AC11*AB24:AC24)/AB32</f>
        <v>0.24995811266205559</v>
      </c>
      <c r="AD45" s="193">
        <f>SUM(AD11:AE11*AD24:AE24)/AD32</f>
        <v>0.25289935874409969</v>
      </c>
      <c r="AF45" s="193">
        <f>SUM(AF11:AG11*AF24:AG24)/AF32</f>
        <v>0.25595835508509635</v>
      </c>
      <c r="AH45" s="193">
        <f>SUM(AH11:AI11*AH24:AI24)/AH32</f>
        <v>0.25911446721950088</v>
      </c>
      <c r="AJ45" s="193">
        <f>SUM(AJ11:AK11*AJ24:AK24)/AJ32</f>
        <v>0.26233040002345848</v>
      </c>
      <c r="AL45" s="193">
        <f>SUM(AL11:AM11*AL24:AM24)/AL32</f>
        <v>0.26555391608088935</v>
      </c>
      <c r="AN45" s="193">
        <f>SUM(AN11:AO11*AN24:AO24)/AN32</f>
        <v>0.26872552919239573</v>
      </c>
      <c r="AP45" s="193">
        <f>SUM(AP11:AQ11*AP24:AQ24)/AP32</f>
        <v>0.26934853801466985</v>
      </c>
      <c r="AR45" s="193">
        <f>SUM(AR11:AS11*AR24:AS24)/AR32</f>
        <v>0.26996680738351236</v>
      </c>
      <c r="AT45" s="193">
        <f>SUM(AT11:AU11*AT24:AU24)/AT32</f>
        <v>0.27057996374685761</v>
      </c>
      <c r="AV45" s="193">
        <f>SUM(AV11:AW11*AV24:AW24)/AV32</f>
        <v>0.27118765927560168</v>
      </c>
      <c r="XCQ45" s="193"/>
    </row>
    <row r="46" spans="1:49 16319:16321" x14ac:dyDescent="0.2">
      <c r="A46" t="s">
        <v>139</v>
      </c>
      <c r="B46" s="193">
        <f>B34/B32</f>
        <v>7.7157873574883795E-2</v>
      </c>
      <c r="D46" s="193">
        <f>D34/D32</f>
        <v>7.715787192086232E-2</v>
      </c>
      <c r="F46" s="193">
        <f>F34/F32</f>
        <v>7.7157873719318371E-2</v>
      </c>
      <c r="H46" s="193">
        <f>H34/H32</f>
        <v>7.7157873832407936E-2</v>
      </c>
      <c r="J46" s="193">
        <f>J34/J32</f>
        <v>7.71578732019223E-2</v>
      </c>
      <c r="L46" s="193">
        <f>L34/L32</f>
        <v>7.7157874102226465E-2</v>
      </c>
      <c r="N46" s="193">
        <f>N34/N32</f>
        <v>7.7157874427481107E-2</v>
      </c>
      <c r="P46" s="193">
        <f>P34/P32</f>
        <v>7.7157871198383729E-2</v>
      </c>
      <c r="R46" s="193">
        <f>R34/R32</f>
        <v>7.7157873870679919E-2</v>
      </c>
      <c r="T46" s="193">
        <f>T34/T32</f>
        <v>7.715787364581983E-2</v>
      </c>
      <c r="V46" s="193">
        <f>V34/V32</f>
        <v>7.7157873785439438E-2</v>
      </c>
      <c r="X46" s="193">
        <f>X34/X32</f>
        <v>7.7157873627948251E-2</v>
      </c>
      <c r="Z46" s="193">
        <f>Z34/Z32</f>
        <v>7.7157873499300603E-2</v>
      </c>
      <c r="AB46" s="193">
        <f>AB34/AB32</f>
        <v>7.7157873549866043E-2</v>
      </c>
      <c r="AD46" s="193">
        <f>AD34/AD32</f>
        <v>7.7157874318810007E-2</v>
      </c>
      <c r="AF46" s="193">
        <f>AF34/AF32</f>
        <v>7.7157873559038845E-2</v>
      </c>
      <c r="AH46" s="193">
        <f>AH34/AH32</f>
        <v>7.7157873549348208E-2</v>
      </c>
      <c r="AJ46" s="193">
        <f>AJ34/AJ32</f>
        <v>7.7157873567751389E-2</v>
      </c>
      <c r="AL46" s="193">
        <f>AL34/AL32</f>
        <v>7.7157873665889332E-2</v>
      </c>
      <c r="AN46" s="193">
        <f>AN34/AN32</f>
        <v>7.715787228416382E-2</v>
      </c>
      <c r="AP46" s="193">
        <f>AP34/AP32</f>
        <v>7.7157872713752601E-2</v>
      </c>
      <c r="AR46" s="193">
        <f>AR34/AR32</f>
        <v>7.7157874266756105E-2</v>
      </c>
      <c r="AT46" s="193">
        <f>AT34/AT32</f>
        <v>7.715787517618522E-2</v>
      </c>
      <c r="AV46" s="193">
        <f>AV34/AV32</f>
        <v>7.7157872881611911E-2</v>
      </c>
      <c r="XCS46" s="193"/>
    </row>
    <row r="48" spans="1:49 16319:16321" x14ac:dyDescent="0.2">
      <c r="A48" t="s">
        <v>159</v>
      </c>
      <c r="B48" s="191">
        <f>B24/$B$24</f>
        <v>1</v>
      </c>
      <c r="C48" s="191"/>
      <c r="D48" s="191">
        <f>D24/$B$24</f>
        <v>1.0031354227811651</v>
      </c>
      <c r="E48" s="191"/>
      <c r="F48" s="191">
        <f>F24/$B$24</f>
        <v>1.0054164513698942</v>
      </c>
      <c r="G48" s="191"/>
      <c r="H48" s="191">
        <f>H24/$B$24</f>
        <v>1.0066677380837314</v>
      </c>
      <c r="I48" s="191"/>
      <c r="J48" s="191">
        <f>J24/$B$24</f>
        <v>1.0066690180577791</v>
      </c>
      <c r="K48" s="191"/>
      <c r="L48" s="191">
        <f>L24/$B$24</f>
        <v>1.005141225679594</v>
      </c>
      <c r="M48" s="191"/>
      <c r="N48" s="191">
        <f>N24/$B$24</f>
        <v>1.0017273854317019</v>
      </c>
      <c r="O48" s="191"/>
      <c r="P48" s="191">
        <f>P24/$B$24</f>
        <v>0.99596770713004867</v>
      </c>
      <c r="Q48" s="191"/>
      <c r="R48" s="191">
        <f>R24/$B$24</f>
        <v>0.98726521710335802</v>
      </c>
      <c r="S48" s="191"/>
      <c r="T48" s="191">
        <f>T24/$B$24</f>
        <v>0.97483858073935281</v>
      </c>
      <c r="U48" s="191"/>
      <c r="V48" s="191">
        <f>V24/$B$24</f>
        <v>0.9576604273105791</v>
      </c>
      <c r="W48" s="191"/>
      <c r="X48" s="191">
        <f>X24/$B$24</f>
        <v>0.93437634363955324</v>
      </c>
      <c r="Y48" s="191"/>
      <c r="Z48" s="191">
        <f>Z24/$B$24</f>
        <v>0.90320603978216063</v>
      </c>
      <c r="AA48" s="191"/>
      <c r="AB48" s="191">
        <f>AB24/$B$24</f>
        <v>0.86183627139315322</v>
      </c>
      <c r="AC48" s="191"/>
      <c r="AD48" s="191">
        <f>AD24/$B$24</f>
        <v>0.80733464572658942</v>
      </c>
      <c r="AE48" s="191"/>
      <c r="AF48" s="191">
        <f>AF24/$B$24</f>
        <v>0.73614431291849702</v>
      </c>
      <c r="AG48" s="191"/>
      <c r="AH48" s="191">
        <f>AH24/$B$24</f>
        <v>0.64424809478725797</v>
      </c>
      <c r="AI48" s="191"/>
      <c r="AJ48" s="191">
        <f>AJ24/$B$24</f>
        <v>0.52757531827700321</v>
      </c>
      <c r="AK48" s="191"/>
      <c r="AL48" s="191">
        <f>AL24/$B$24</f>
        <v>0.38261583110495556</v>
      </c>
      <c r="AM48" s="191"/>
      <c r="AN48" s="191">
        <f>AN24/$B$24</f>
        <v>0.20703380924136183</v>
      </c>
      <c r="AO48" s="191"/>
      <c r="AP48" s="191">
        <f>AP24/$B$24</f>
        <v>0.16814283651397663</v>
      </c>
      <c r="AQ48" s="191"/>
      <c r="AR48" s="191">
        <f>AR24/$B$24</f>
        <v>0.12798989180011139</v>
      </c>
      <c r="AS48" s="191"/>
      <c r="AT48" s="191">
        <f>AT24/$B$24</f>
        <v>8.6577999677566811E-2</v>
      </c>
      <c r="AU48" s="191"/>
      <c r="AV48" s="191">
        <f>AV24/$B$24</f>
        <v>4.3912316817519635E-2</v>
      </c>
    </row>
    <row r="49" spans="1:48 16321:16384" x14ac:dyDescent="0.2">
      <c r="A49" t="s">
        <v>160</v>
      </c>
      <c r="B49" s="191">
        <f>B13/B35/$B$13*$B$35</f>
        <v>1</v>
      </c>
      <c r="C49" s="191"/>
      <c r="D49" s="191">
        <f>D13/D35/$B$13*$B$35</f>
        <v>0.99500383157080641</v>
      </c>
      <c r="E49" s="191"/>
      <c r="F49" s="191">
        <f>F13/F35/$B$13*$B$35</f>
        <v>0.98966318348842763</v>
      </c>
      <c r="G49" s="191"/>
      <c r="H49" s="191">
        <f>H13/H35/$B$13*$B$35</f>
        <v>0.98394627288125647</v>
      </c>
      <c r="I49" s="191"/>
      <c r="J49" s="191">
        <f>J13/J35/$B$13*$B$35</f>
        <v>0.97781776297740874</v>
      </c>
      <c r="K49" s="191"/>
      <c r="L49" s="191">
        <f>L13/L35/$B$13*$B$35</f>
        <v>0.97123846677535686</v>
      </c>
      <c r="M49" s="191"/>
      <c r="N49" s="191">
        <f>N13/N35/$B$13*$B$35</f>
        <v>0.9641651424329527</v>
      </c>
      <c r="O49" s="191"/>
      <c r="P49" s="191">
        <f>P13/P35/$B$13*$B$35</f>
        <v>0.95655042267380874</v>
      </c>
      <c r="Q49" s="191"/>
      <c r="R49" s="191">
        <f>R13/R35/$B$13*$B$35</f>
        <v>0.94834308979143744</v>
      </c>
      <c r="S49" s="191"/>
      <c r="T49" s="191">
        <f>T13/T35/$B$13*$B$35</f>
        <v>0.93948914770695746</v>
      </c>
      <c r="U49" s="191"/>
      <c r="V49" s="191">
        <f>V13/V35/$B$13*$B$35</f>
        <v>0.92993381658571483</v>
      </c>
      <c r="W49" s="191"/>
      <c r="X49" s="191">
        <f>X13/X35/$B$13*$B$35</f>
        <v>0.91962567744557377</v>
      </c>
      <c r="Y49" s="191"/>
      <c r="Z49" s="191">
        <f>Z13/Z35/$B$13*$B$35</f>
        <v>0.90852380520975207</v>
      </c>
      <c r="AA49" s="191"/>
      <c r="AB49" s="191">
        <f>AB13/AB35/$B$13*$B$35</f>
        <v>0.89660934648916257</v>
      </c>
      <c r="AC49" s="191"/>
      <c r="AD49" s="191">
        <f>AD13/AD35/$B$13*$B$35</f>
        <v>0.88390232336977204</v>
      </c>
      <c r="AE49" s="191"/>
      <c r="AF49" s="191">
        <f>AF13/AF35/$B$13*$B$35</f>
        <v>0.87048229996097215</v>
      </c>
      <c r="AG49" s="191"/>
      <c r="AH49" s="191">
        <f>AH13/AH35/$B$13*$B$35</f>
        <v>0.85650682710987802</v>
      </c>
      <c r="AI49" s="191"/>
      <c r="AJ49" s="191">
        <f>AJ13/AJ35/$B$13*$B$35</f>
        <v>0.84221590762962573</v>
      </c>
      <c r="AK49" s="191"/>
      <c r="AL49" s="191">
        <f>AL13/AL35/$B$13*$B$35</f>
        <v>0.8279102794687786</v>
      </c>
      <c r="AM49" s="191"/>
      <c r="AN49" s="191">
        <f>AN13/AN35/$B$13*$B$35</f>
        <v>0.81390328907243492</v>
      </c>
      <c r="AO49" s="191"/>
      <c r="AP49" s="191">
        <f>AP13/AP35/$B$13*$B$35</f>
        <v>0.81116278785532547</v>
      </c>
      <c r="AQ49" s="191"/>
      <c r="AR49" s="191">
        <f>AR13/AR35/$B$13*$B$35</f>
        <v>0.80844712241422723</v>
      </c>
      <c r="AS49" s="191"/>
      <c r="AT49" s="191">
        <f>AT13/AT35/$B$13*$B$35</f>
        <v>0.80575795829960717</v>
      </c>
      <c r="AU49" s="191"/>
      <c r="AV49" s="191">
        <f>AV13/AV35/$B$13*$B$35</f>
        <v>0.80309681254841958</v>
      </c>
    </row>
    <row r="51" spans="1:48 16321:16384" x14ac:dyDescent="0.2">
      <c r="A51" t="s">
        <v>166</v>
      </c>
      <c r="B51" s="29">
        <f>B30-B10*B23</f>
        <v>-405838.32800000021</v>
      </c>
      <c r="D51" s="29">
        <f>D30-D10*D23</f>
        <v>-356048.91388367489</v>
      </c>
      <c r="F51" s="29">
        <f>F30-F10*F23</f>
        <v>-305674.61459881719</v>
      </c>
      <c r="H51" s="29">
        <f>H30-H10*H23</f>
        <v>-254717.47569400351</v>
      </c>
      <c r="J51" s="29">
        <f>J30-J10*J23</f>
        <v>-203200.37861540494</v>
      </c>
      <c r="L51" s="29">
        <f>L30-L10*L23</f>
        <v>-151177.06151815318</v>
      </c>
      <c r="N51" s="29">
        <f>N30-N10*N23</f>
        <v>-98746.453644571826</v>
      </c>
      <c r="P51" s="29">
        <f>P30-P10*P23</f>
        <v>-46074.49734301772</v>
      </c>
      <c r="R51" s="29">
        <f>R30-R10*R23</f>
        <v>6574.0737426076084</v>
      </c>
      <c r="T51" s="29">
        <f>T30-T10*T23</f>
        <v>58789.07098453911</v>
      </c>
      <c r="V51" s="29">
        <f>V30-V10*V23</f>
        <v>109945.11098873569</v>
      </c>
      <c r="X51" s="29">
        <f>X30-X10*X23</f>
        <v>159099.86100575188</v>
      </c>
      <c r="Z51" s="29">
        <f>Z30-Z10*Z23</f>
        <v>204848.82360766968</v>
      </c>
      <c r="AB51" s="29">
        <f>AB30-AB10*AB23</f>
        <v>245129.06990252249</v>
      </c>
      <c r="AD51" s="29">
        <f>AD30-AD10*AD23</f>
        <v>276981.5398046989</v>
      </c>
      <c r="AF51" s="29">
        <f>AF30-AF10*AF23</f>
        <v>296323.52229795814</v>
      </c>
      <c r="AH51" s="29">
        <f>AH30-AH10*AH23</f>
        <v>297852.17801808612</v>
      </c>
      <c r="AJ51" s="29">
        <f>AJ30-AJ10*AJ23</f>
        <v>275257.32431416865</v>
      </c>
      <c r="AL51" s="29">
        <f>AL30-AL10*AL23</f>
        <v>221868.15158332651</v>
      </c>
      <c r="AN51" s="29">
        <f>AN30-AN10*AN23</f>
        <v>131625.42927278217</v>
      </c>
      <c r="AP51" s="29">
        <f>AP30-AP10*AP23</f>
        <v>108721.66435847263</v>
      </c>
      <c r="AQ51" s="29"/>
      <c r="AR51" s="29">
        <f>AR30-AR10*AR23</f>
        <v>84129.045642129262</v>
      </c>
      <c r="AT51" s="29">
        <f>AT30-AT10*AT23</f>
        <v>57824.081211075943</v>
      </c>
      <c r="AV51" s="29">
        <f>AV30-AV10*AV23</f>
        <v>29786.659024301276</v>
      </c>
      <c r="XFD51" s="29"/>
    </row>
    <row r="52" spans="1:48 16321:16384" x14ac:dyDescent="0.2">
      <c r="A52" t="s">
        <v>167</v>
      </c>
      <c r="B52" s="29">
        <f t="array" ref="B52">Calibration!sL*SUM(B13:C13*B26:C26)</f>
        <v>2049247.8195702801</v>
      </c>
      <c r="D52" s="29">
        <f t="array" ref="D52">Calibration!sL*SUM(D13:E13*D26:E26)</f>
        <v>2030074.4842666441</v>
      </c>
      <c r="F52" s="29">
        <f t="array" ref="F52">Calibration!sL*SUM(F13:G13*F26:G26)</f>
        <v>2008950.5871190298</v>
      </c>
      <c r="H52" s="29">
        <f t="array" ref="H52">Calibration!sL*SUM(H13:I13*H26:I26)</f>
        <v>1985561.7862393144</v>
      </c>
      <c r="J52" s="29">
        <f t="array" ref="J52">Calibration!sL*SUM(J13:K13*J26:K26)</f>
        <v>1959524.2937405801</v>
      </c>
      <c r="L52" s="29">
        <f t="array" ref="L52">Calibration!sL*SUM(L13:M13*L26:M26)</f>
        <v>1930365.3403420195</v>
      </c>
      <c r="N52" s="29">
        <f t="array" ref="N52">Calibration!sL*SUM(N13:O13*N26:O26)</f>
        <v>1897496.6767143484</v>
      </c>
      <c r="P52" s="29">
        <f t="array" ref="P52">Calibration!sL*SUM(P13:Q13*P26:Q26)</f>
        <v>1860180.5939776499</v>
      </c>
      <c r="R52" s="29">
        <f t="array" ref="R52">Calibration!sL*SUM(R13:S13*R26:S26)</f>
        <v>1817483.8820078264</v>
      </c>
      <c r="T52" s="29">
        <f t="array" ref="T52">Calibration!sL*SUM(T13:U13*T26:U26)</f>
        <v>1768216.0415302995</v>
      </c>
      <c r="V52" s="29">
        <f t="array" ref="V52">Calibration!sL*SUM(V13:W13*V26:W26)</f>
        <v>1710850.4376373715</v>
      </c>
      <c r="X52" s="29">
        <f t="array" ref="X52">Calibration!sL*SUM(X13:Y13*X26:Y26)</f>
        <v>1643424.409466685</v>
      </c>
      <c r="Z52" s="29">
        <f t="array" ref="Z52">Calibration!sL*SUM(Z13:AA13*Z26:AA26)</f>
        <v>1563423.4984054312</v>
      </c>
      <c r="AB52" s="29">
        <f t="array" ref="AB52">Calibration!sL*SUM(AB13:AC13*AB26:AC26)</f>
        <v>1467667.6402805611</v>
      </c>
      <c r="AD52" s="29">
        <f t="array" ref="AD52">Calibration!sL*SUM(AD13:AE13*AD26:AE26)</f>
        <v>1352243.3579990019</v>
      </c>
      <c r="AF52" s="29">
        <f t="array" ref="AF52">Calibration!sL*SUM(AF13:AG13*AF26:AG26)</f>
        <v>1212563.5234311228</v>
      </c>
      <c r="AH52" s="29">
        <f t="array" ref="AH52">Calibration!sL*SUM(AH13:AI13*AH26:AI26)</f>
        <v>1043662.1140168796</v>
      </c>
      <c r="AJ52" s="29">
        <f t="array" ref="AJ52">Calibration!sL*SUM(AJ13:AK13*AJ26:AK26)</f>
        <v>840790.22963311535</v>
      </c>
      <c r="AL52" s="29">
        <f t="array" ref="AL52">Calibration!sL*SUM(AL13:AM13*AL26:AM26)</f>
        <v>600220.21818756068</v>
      </c>
      <c r="AN52" s="29">
        <f t="array" ref="AN52">Calibration!sL*SUM(AN13:AO13*AN26:AO26)</f>
        <v>319955.24574611138</v>
      </c>
      <c r="AP52" s="29">
        <f t="array" ref="AP52">Calibration!sL*SUM(AP13:AQ13*AP26:AQ26)</f>
        <v>259105.54713891857</v>
      </c>
      <c r="AQ52" s="29"/>
      <c r="AR52" s="29">
        <f t="array" ref="AR52">Calibration!sL*SUM(AR13:AS13*AR26:AS26)</f>
        <v>196671.92939216355</v>
      </c>
      <c r="AT52" s="29">
        <f t="array" ref="AT52">Calibration!sL*SUM(AT13:AU13*AT26:AU26)</f>
        <v>132666.41726424379</v>
      </c>
      <c r="AV52" s="29">
        <f t="array" ref="AV52">Calibration!sL*SUM(AV13:AW13*AV26:AW26)</f>
        <v>67103.514519500648</v>
      </c>
    </row>
    <row r="53" spans="1:48 16321:16384" x14ac:dyDescent="0.2">
      <c r="A53" t="s">
        <v>168</v>
      </c>
      <c r="B53" s="29">
        <f t="array" ref="B53">Calibration!sK*SUM(B15:C15*B27:C27)</f>
        <v>2740714.4444297408</v>
      </c>
      <c r="D53" s="29">
        <f t="array" ref="D53">Calibration!sK*SUM(D15:E15*D27:E27)</f>
        <v>2708438.5858367817</v>
      </c>
      <c r="F53" s="29">
        <f t="array" ref="F53">Calibration!sK*SUM(F15:G15*F27:G27)</f>
        <v>2673599.7287214939</v>
      </c>
      <c r="H53" s="29">
        <f t="array" ref="H53">Calibration!sK*SUM(H15:I15*H27:I27)</f>
        <v>2635762.9066114314</v>
      </c>
      <c r="J53" s="29">
        <f t="array" ref="J53">Calibration!sK*SUM(J15:K15*J27:K27)</f>
        <v>2594398.7252146411</v>
      </c>
      <c r="L53" s="29">
        <f t="array" ref="L53">Calibration!sK*SUM(L15:M15*L27:M27)</f>
        <v>2548858.1356185172</v>
      </c>
      <c r="N53" s="29">
        <f t="array" ref="N53">Calibration!sK*SUM(N15:O15*N27:O27)</f>
        <v>2498339.0492367153</v>
      </c>
      <c r="P53" s="29">
        <f t="array" ref="P53">Calibration!sK*SUM(P15:Q15*P27:Q27)</f>
        <v>2441844.1410528743</v>
      </c>
      <c r="R53" s="29">
        <f t="array" ref="R53">Calibration!sK*SUM(R15:S15*R27:S27)</f>
        <v>2378125.3896825481</v>
      </c>
      <c r="T53" s="29">
        <f t="array" ref="T53">Calibration!sK*SUM(T15:U15*T27:U27)</f>
        <v>2305611.6075369981</v>
      </c>
      <c r="V53" s="29">
        <f t="array" ref="V53">Calibration!sK*SUM(V15:W15*V27:W27)</f>
        <v>2222320.056912486</v>
      </c>
      <c r="X53" s="29">
        <f t="array" ref="X53">Calibration!sK*SUM(X15:Y15*X27:Y27)</f>
        <v>2125749.9916141182</v>
      </c>
      <c r="Z53" s="29">
        <f t="array" ref="Z53">Calibration!sK*SUM(Z15:AA15*Z27:AA27)</f>
        <v>2012770.0792805967</v>
      </c>
      <c r="AB53" s="29">
        <f t="array" ref="AB53">Calibration!sK*SUM(AB15:AC15*AB27:AC27)</f>
        <v>1879527.71479605</v>
      </c>
      <c r="AD53" s="29">
        <f t="array" ref="AD53">Calibration!sK*SUM(AD15:AE15*AD27:AE27)</f>
        <v>1721439.6897294316</v>
      </c>
      <c r="AF53" s="29">
        <f t="array" ref="AF53">Calibration!sK*SUM(AF15:AG15*AF27:AG27)</f>
        <v>1533361.5130403922</v>
      </c>
      <c r="AH53" s="29">
        <f t="array" ref="AH53">Calibration!sK*SUM(AH15:AI15*AH27:AI27)</f>
        <v>1310044.2906458811</v>
      </c>
      <c r="AJ53" s="29">
        <f t="array" ref="AJ53">Calibration!sK*SUM(AJ15:AK15*AJ27:AK27)</f>
        <v>1046909.42358022</v>
      </c>
      <c r="AL53" s="29">
        <f t="array" ref="AL53">Calibration!sK*SUM(AL15:AM15*AL27:AM27)</f>
        <v>740964.56049878255</v>
      </c>
      <c r="AN53" s="29">
        <f t="array" ref="AN53">Calibration!sK*SUM(AN15:AO15*AN27:AO27)</f>
        <v>391469.91535713983</v>
      </c>
      <c r="AP53" s="29">
        <f t="array" ref="AP53">Calibration!sK*SUM(AP15:AQ15*AP27:AQ27)</f>
        <v>316447.53581693885</v>
      </c>
      <c r="AQ53" s="29"/>
      <c r="AR53" s="29">
        <f t="array" ref="AR53">Calibration!sK*SUM(AR15:AS15*AR27:AS27)</f>
        <v>239763.00015554851</v>
      </c>
      <c r="AT53" s="29">
        <f t="array" ref="AT53">Calibration!sK*SUM(AT15:AU15*AT27:AU27)</f>
        <v>161441.51985968288</v>
      </c>
      <c r="AV53" s="29">
        <f t="array" ref="AV53">Calibration!sK*SUM(AV15:AW15*AV27:AW27)</f>
        <v>81510.647840482707</v>
      </c>
      <c r="XFD53" s="29"/>
    </row>
    <row r="55" spans="1:48 16321:16384" x14ac:dyDescent="0.2">
      <c r="A55" t="s">
        <v>169</v>
      </c>
      <c r="B55" s="193">
        <f>B30/B32</f>
        <v>0.19850271905982084</v>
      </c>
      <c r="D55" s="193">
        <f>D30/D32</f>
        <v>0.20171774272651805</v>
      </c>
      <c r="F55" s="193">
        <f>F30/F32</f>
        <v>0.20499723863424388</v>
      </c>
      <c r="H55" s="193">
        <f>H30/H32</f>
        <v>0.20834895589258023</v>
      </c>
      <c r="J55" s="193">
        <f>J30/J32</f>
        <v>0.21178160986011896</v>
      </c>
      <c r="L55" s="193">
        <f>L30/L32</f>
        <v>0.21530501952588602</v>
      </c>
      <c r="N55" s="193">
        <f>N30/N32</f>
        <v>0.21893027158822656</v>
      </c>
      <c r="P55" s="193">
        <f>P30/P32</f>
        <v>0.22266984503239073</v>
      </c>
      <c r="R55" s="193">
        <f>R30/R32</f>
        <v>0.22653770869174589</v>
      </c>
      <c r="T55" s="193">
        <f>T30/T32</f>
        <v>0.23054934663787108</v>
      </c>
      <c r="V55" s="193">
        <f>V30/V32</f>
        <v>0.23472152064110258</v>
      </c>
      <c r="X55" s="193">
        <f>X30/X32</f>
        <v>0.23907159823619337</v>
      </c>
      <c r="Z55" s="193">
        <f>Z30/Z32</f>
        <v>0.24361605339896722</v>
      </c>
      <c r="AB55" s="193">
        <f>AB30/AB32</f>
        <v>0.24836758422491378</v>
      </c>
      <c r="AD55" s="193">
        <f>AD30/AD32</f>
        <v>0.25333027265005909</v>
      </c>
      <c r="AF55" s="193">
        <f>AF30/AF32</f>
        <v>0.2584926573117754</v>
      </c>
      <c r="AH55" s="193">
        <f>AH30/AH32</f>
        <v>0.26382000652013204</v>
      </c>
      <c r="AJ55" s="193">
        <f>AJ30/AJ32</f>
        <v>0.26924939123124053</v>
      </c>
      <c r="AL55" s="193">
        <f>AL30/AL32</f>
        <v>0.27469256177570445</v>
      </c>
      <c r="AN55" s="193">
        <f>AN30/AN32</f>
        <v>0.28004895691495557</v>
      </c>
      <c r="AP55" s="193">
        <f>AP30/AP32</f>
        <v>0.28110121631447255</v>
      </c>
      <c r="AR55" s="193">
        <f>AR30/AR32</f>
        <v>0.28214549152670276</v>
      </c>
      <c r="AT55" s="193">
        <f>AT30/AT32</f>
        <v>0.2831811607714399</v>
      </c>
      <c r="AV55" s="193">
        <f>AV30/AV32</f>
        <v>0.28420765046120755</v>
      </c>
      <c r="XCS55" s="193"/>
      <c r="XFD55" s="193"/>
    </row>
    <row r="56" spans="1:48 16321:16384" x14ac:dyDescent="0.2">
      <c r="A56" t="s">
        <v>170</v>
      </c>
      <c r="B56" s="193">
        <f>(Model!$C$52*B5*B20+B2*C5*C20)/B32</f>
        <v>2.9221206744340551E-2</v>
      </c>
      <c r="D56" s="193">
        <f>(Model!$C$52*D5*D20+D2*E5*E20)/D32</f>
        <v>3.2922925476181759E-2</v>
      </c>
      <c r="F56" s="193">
        <f>(Model!$C$52*F5*F20+F2*G5*G20)/F32</f>
        <v>3.6700397084126431E-2</v>
      </c>
      <c r="H56" s="193">
        <f>(Model!$C$52*H5*H20+H2*I5*I20)/H32</f>
        <v>4.0561702486342541E-2</v>
      </c>
      <c r="J56" s="193">
        <f>(Model!$C$52*J5*J20+J2*K5*K20)/J32</f>
        <v>4.4515791907285475E-2</v>
      </c>
      <c r="L56" s="193">
        <f>(Model!$C$52*L5*L20+L2*M5*M20)/L32</f>
        <v>4.8572581910628375E-2</v>
      </c>
      <c r="N56" s="193">
        <f>(Model!$C$52*N5*N20+N2*O5*O20)/N32</f>
        <v>5.2743049178419113E-2</v>
      </c>
      <c r="P56" s="193">
        <f>(Model!$C$52*P5*P20+P2*Q5*Q20)/P32</f>
        <v>5.7039304939405067E-2</v>
      </c>
      <c r="R56" s="193">
        <f>(Model!$C$52*R5*R20+R2*S5*S20)/R32</f>
        <v>6.1474599798807941E-2</v>
      </c>
      <c r="T56" s="193">
        <f>(Model!$C$52*T5*T20+T2*U5*U20)/T32</f>
        <v>6.6063243125481827E-2</v>
      </c>
      <c r="V56" s="193">
        <f>(Model!$C$52*V5*V20+V2*W5*W20)/V32</f>
        <v>7.0820232193882213E-2</v>
      </c>
      <c r="X56" s="193">
        <f>(Model!$C$52*X5*X20+X2*Y5*Y20)/X32</f>
        <v>7.5760431129875058E-2</v>
      </c>
      <c r="Z56" s="193">
        <f>(Model!$C$52*Z5*Z20+Z2*AA5*AA20)/Z32</f>
        <v>8.0896893172680187E-2</v>
      </c>
      <c r="AB56" s="193">
        <f>(Model!$C$52*AB5*AB20+AB2*AC5*AC20)/AB32</f>
        <v>8.6237813044685238E-2</v>
      </c>
      <c r="AD56" s="193">
        <f>(Model!$C$52*AD5*AD20+AD2*AE5*AE20)/AD32</f>
        <v>9.1781575435010906E-2</v>
      </c>
      <c r="AF56" s="193">
        <f>(Model!$C$52*AF5*AF20+AF2*AG5*AG20)/AF32</f>
        <v>9.7509874130828428E-2</v>
      </c>
      <c r="AH56" s="193">
        <f>(Model!$C$52*AH5*AH20+AH2*AI5*AI20)/AH32</f>
        <v>0.10338032636682848</v>
      </c>
      <c r="AJ56" s="193">
        <f>(Model!$C$52*AJ5*AJ20+AJ2*AK5*AK20)/AJ32</f>
        <v>0.10932231972929483</v>
      </c>
      <c r="AL56" s="193">
        <f>(Model!$C$52*AL5*AL20+AL2*AM5*AM20)/AL32</f>
        <v>0.1152410171952932</v>
      </c>
      <c r="AN56" s="193">
        <f>(Model!$C$52*AN5*AN20+AN2*AO5*AO20)/AN32</f>
        <v>0.1210314872863032</v>
      </c>
      <c r="AP56" s="193">
        <f>(Model!$C$52*AP5*AP20+AP2*AQ5*AQ20)/AP32</f>
        <v>0.12216540230797779</v>
      </c>
      <c r="AR56" s="193">
        <f>(Model!$C$52*AR5*AR20+AR2*AS5*AS20)/AR32</f>
        <v>0.12328960624117857</v>
      </c>
      <c r="AT56" s="193">
        <f>(Model!$C$52*AT5*AT20+AT2*AU5*AU20)/AT32</f>
        <v>0.12440348381614953</v>
      </c>
      <c r="AV56" s="193">
        <f>(Model!$C$52*AV5*AV20+AV2*AW5*AW20)/AV32</f>
        <v>0.12550647147487717</v>
      </c>
      <c r="XFD56" s="193"/>
    </row>
    <row r="57" spans="1:48 16321:16384" x14ac:dyDescent="0.2">
      <c r="A57" t="s">
        <v>171</v>
      </c>
      <c r="B57" s="193">
        <f t="array" ref="B57">SUM(Model!tauL*B13:C13*B26:C26)/B32</f>
        <v>0.15852881819439493</v>
      </c>
      <c r="D57" s="193">
        <f t="array" ref="D57">SUM(Model!tauL*D13:E13*D26:E26)/D32</f>
        <v>0.1581120108458873</v>
      </c>
      <c r="F57" s="193">
        <f t="array" ref="F57">SUM(Model!tauL*F13:G13*F26:G26)/F32</f>
        <v>0.15768433456788902</v>
      </c>
      <c r="H57" s="193">
        <f t="array" ref="H57">SUM(Model!tauL*H13:I13*H26:I26)/H32</f>
        <v>0.15724553417713982</v>
      </c>
      <c r="J57" s="193">
        <f t="array" ref="J57">SUM(Model!tauL*J13:K13*J26:K26)/J32</f>
        <v>0.15679545836647979</v>
      </c>
      <c r="L57" s="193">
        <f t="array" ref="L57">SUM(Model!tauL*L13:M13*L26:M26)/L32</f>
        <v>0.15633409825943664</v>
      </c>
      <c r="N57" s="193">
        <f t="array" ref="N57">SUM(Model!tauL*N13:O13*N26:O26)/N32</f>
        <v>0.15586164961450569</v>
      </c>
      <c r="P57" s="193">
        <f t="array" ref="P57">SUM(Model!tauL*P13:Q13*P26:Q26)/P32</f>
        <v>0.1553785602053438</v>
      </c>
      <c r="R57" s="193">
        <f t="array" ref="R57">SUM(Model!tauL*R13:S13*R26:S26)/R32</f>
        <v>0.15488560942199564</v>
      </c>
      <c r="T57" s="193">
        <f t="array" ref="T57">SUM(Model!tauL*T13:U13*T26:U26)/T32</f>
        <v>0.15438399716599213</v>
      </c>
      <c r="V57" s="193">
        <f t="array" ref="V57">SUM(Model!tauL*V13:W13*V26:W26)/V32</f>
        <v>0.15387544896179767</v>
      </c>
      <c r="X57" s="193">
        <f t="array" ref="X57">SUM(Model!tauL*X13:Y13*X26:Y26)/X32</f>
        <v>0.15336232857040252</v>
      </c>
      <c r="Y57" s="193"/>
      <c r="Z57" s="193">
        <f t="array" ref="Z57">SUM(Model!tauL*Z13:AA13*Z26:AA26)/Z32</f>
        <v>0.15284776367428213</v>
      </c>
      <c r="AB57" s="193">
        <f t="array" ref="AB57">SUM(Model!tauL*AB13:AC13*AB26:AC26)/AB32</f>
        <v>0.15233575133012969</v>
      </c>
      <c r="AD57" s="193">
        <f t="array" ref="AD57">SUM(Model!tauL*AD13:AE13*AD26:AE26)/AD32</f>
        <v>0.15183121217114334</v>
      </c>
      <c r="AF57" s="193">
        <f t="array" ref="AF57">SUM(Model!tauL*AF13:AG13*AF26:AG26)/AF32</f>
        <v>0.15133991968551153</v>
      </c>
      <c r="AH57" s="193">
        <f t="array" ref="AH57">SUM(Model!tauL*AH13:AI13*AH26:AI26)/AH32</f>
        <v>0.1508682109350597</v>
      </c>
      <c r="AJ57" s="193">
        <f t="array" ref="AJ57">SUM(Model!tauL*AJ13:AK13*AJ26:AK26)/AJ32</f>
        <v>0.15042238040323633</v>
      </c>
      <c r="AL57" s="193">
        <f t="array" ref="AL57">SUM(Model!tauL*AL13:AM13*AL26:AM26)/AL32</f>
        <v>0.15000781414054762</v>
      </c>
      <c r="AN57" s="193">
        <f t="array" ref="AN57">SUM(Model!tauL*AN13:AO13*AN26:AO26)/AN32</f>
        <v>0.14962812452252416</v>
      </c>
      <c r="AP57" s="193">
        <f t="array" ref="AP57">SUM(Model!tauL*AP13:AQ13*AP26:AQ26)/AP32</f>
        <v>0.1495565304263711</v>
      </c>
      <c r="AR57" s="193">
        <f t="array" ref="AR57">SUM(Model!tauL*AR13:AS13*AR26:AS26)/AR32</f>
        <v>0.14948639214990381</v>
      </c>
      <c r="AT57" s="193">
        <f t="array" ref="AT57">SUM(Model!tauL*AT13:AU13*AT26:AU26)/AT32</f>
        <v>0.14941770515217551</v>
      </c>
      <c r="AV57" s="193">
        <f t="array" ref="AV57">SUM(Model!tauL*AV13:AW13*AV26:AW26)/AV32</f>
        <v>0.14935046200872273</v>
      </c>
      <c r="XFD57" s="193"/>
    </row>
    <row r="58" spans="1:48 16321:16384" x14ac:dyDescent="0.2">
      <c r="A58" t="s">
        <v>172</v>
      </c>
      <c r="B58" s="193">
        <f t="array" ref="B58">SUM(Model!tauY/(1+Model!tauY)*B3:C3*B18:C18)/B32</f>
        <v>1.075269412108535E-2</v>
      </c>
      <c r="D58" s="193">
        <f t="array" ref="D58">SUM(Model!tauY/(1+Model!tauY)*D3:E3*D18:E18)/D32</f>
        <v>1.0682806404448988E-2</v>
      </c>
      <c r="F58" s="193">
        <f t="array" ref="F58">SUM(Model!tauY/(1+Model!tauY)*F3:G3*F18:G18)/F32</f>
        <v>1.0612506982228407E-2</v>
      </c>
      <c r="H58" s="193">
        <f t="array" ref="H58">SUM(Model!tauY/(1+Model!tauY)*H3:I3*H18:I18)/H32</f>
        <v>1.0541719229097867E-2</v>
      </c>
      <c r="J58" s="193">
        <f t="array" ref="J58">SUM(Model!tauY/(1+Model!tauY)*J3:K3*J18:K18)/J32</f>
        <v>1.0470359586353704E-2</v>
      </c>
      <c r="L58" s="193">
        <f t="array" ref="L58">SUM(Model!tauY/(1+Model!tauY)*L3:M3*L18:M18)/L32</f>
        <v>1.0398339355820962E-2</v>
      </c>
      <c r="N58" s="193">
        <f t="array" ref="N58">SUM(Model!tauY/(1+Model!tauY)*N3:O3*N18:O18)/N32</f>
        <v>1.0325572795301802E-2</v>
      </c>
      <c r="P58" s="193">
        <f t="array" ref="P58">SUM(Model!tauY/(1+Model!tauY)*P3:Q3*P18:Q18)/P32</f>
        <v>1.0251979887641845E-2</v>
      </c>
      <c r="R58" s="193">
        <f t="array" ref="R58">SUM(Model!tauY/(1+Model!tauY)*R3:S3*R18:S18)/R32</f>
        <v>1.0177499470942259E-2</v>
      </c>
      <c r="T58" s="193">
        <f t="array" ref="T58">SUM(Model!tauY/(1+Model!tauY)*T3:U3*T18:U18)/T32</f>
        <v>1.010210634639714E-2</v>
      </c>
      <c r="V58" s="193">
        <f t="array" ref="V58">SUM(Model!tauY/(1+Model!tauY)*V3:W3*V18:W18)/V32</f>
        <v>1.0025839485422728E-2</v>
      </c>
      <c r="X58" s="193">
        <f t="array" ref="X58">SUM(Model!tauY/(1+Model!tauY)*X3:Y3*X18:Y18)/X32</f>
        <v>9.9488385359157838E-3</v>
      </c>
      <c r="Y58" s="193"/>
      <c r="Z58" s="193">
        <f t="array" ref="Z58">SUM(Model!tauY/(1+Model!tauY)*Z3:AA3*Z18:AA18)/Z32</f>
        <v>9.8713965520049463E-3</v>
      </c>
      <c r="AB58" s="193">
        <f t="array" ref="AB58">SUM(Model!tauY/(1+Model!tauY)*AB3:AC3*AB18:AC18)/AB32</f>
        <v>9.7940198500988587E-3</v>
      </c>
      <c r="AD58" s="193">
        <f t="array" ref="AD58">SUM(Model!tauY/(1+Model!tauY)*AD3:AE3*AD18:AE18)/AD32</f>
        <v>9.7174850439048343E-3</v>
      </c>
      <c r="AF58" s="193">
        <f t="array" ref="AF58">SUM(Model!tauY/(1+Model!tauY)*AF3:AG3*AF18:AG18)/AF32</f>
        <v>9.642863495435406E-3</v>
      </c>
      <c r="AH58" s="193">
        <f t="array" ref="AH58">SUM(Model!tauY/(1+Model!tauY)*AH3:AI3*AH18:AI18)/AH32</f>
        <v>9.5714692182439168E-3</v>
      </c>
      <c r="AJ58" s="193">
        <f t="array" ref="AJ58">SUM(Model!tauY/(1+Model!tauY)*AJ3:AK3*AJ18:AK18)/AJ32</f>
        <v>9.5046910987093593E-3</v>
      </c>
      <c r="AL58" s="193">
        <f t="array" ref="AL58">SUM(Model!tauY/(1+Model!tauY)*AL3:AM3*AL18:AM18)/AL32</f>
        <v>9.4437304398636117E-3</v>
      </c>
      <c r="AN58" s="193">
        <f t="array" ref="AN58">SUM(Model!tauY/(1+Model!tauY)*AN3:AO3*AN18:AO18)/AN32</f>
        <v>9.3893451061282038E-3</v>
      </c>
      <c r="AP58" s="193">
        <f t="array" ref="AP58">SUM(Model!tauY/(1+Model!tauY)*AP3:AQ3*AP18:AQ18)/AP32</f>
        <v>9.3792835801236405E-3</v>
      </c>
      <c r="AR58" s="193">
        <f t="array" ref="AR58">SUM(Model!tauY/(1+Model!tauY)*AR3:AS3*AR18:AS18)/AR32</f>
        <v>9.3694931356203773E-3</v>
      </c>
      <c r="AT58" s="193">
        <f t="array" ref="AT58">SUM(Model!tauY/(1+Model!tauY)*AT3:AU3*AT18:AU18)/AT32</f>
        <v>9.3599718031148662E-3</v>
      </c>
      <c r="AV58" s="193">
        <f t="array" ref="AV58">SUM(Model!tauY/(1+Model!tauY)*AV3:AW3*AV18:AW18)/AV32</f>
        <v>9.3507169776076652E-3</v>
      </c>
      <c r="XFD58" s="193"/>
    </row>
    <row r="59" spans="1:48 16321:16384" x14ac:dyDescent="0.2">
      <c r="A59" t="s">
        <v>173</v>
      </c>
      <c r="B59" s="193">
        <f>(B2*C5*C20)/B32</f>
        <v>5.5174232040962052E-4</v>
      </c>
      <c r="D59" s="193">
        <f>(D2*E5*E20)/D32</f>
        <v>4.298114603646078E-3</v>
      </c>
      <c r="F59" s="193">
        <f>(F2*G5*G20)/F32</f>
        <v>8.1206679126364194E-3</v>
      </c>
      <c r="H59" s="193">
        <f>(H2*I5*I20)/H32</f>
        <v>1.2027515255213748E-2</v>
      </c>
      <c r="J59" s="193">
        <f>(J2*K5*K20)/J32</f>
        <v>1.6027638886041081E-2</v>
      </c>
      <c r="L59" s="193">
        <f>(L2*M5*M20)/L32</f>
        <v>2.0130986648899115E-2</v>
      </c>
      <c r="N59" s="193">
        <f>(N2*O5*O20)/N32</f>
        <v>2.434856301313694E-2</v>
      </c>
      <c r="P59" s="193">
        <f>(P2*Q5*Q20)/P32</f>
        <v>2.8692503425173061E-2</v>
      </c>
      <c r="R59" s="193">
        <f>(R2*S5*S20)/R32</f>
        <v>3.317607596976356E-2</v>
      </c>
      <c r="T59" s="193">
        <f>(T2*U5*U20)/T32</f>
        <v>3.7813597975093288E-2</v>
      </c>
      <c r="V59" s="193">
        <f>(V2*W5*W20)/V32</f>
        <v>4.26200592781266E-2</v>
      </c>
      <c r="X59" s="193">
        <f>(X2*Y5*Y20)/X32</f>
        <v>4.7610294397785372E-2</v>
      </c>
      <c r="Z59" s="193">
        <f>(Z2*AA5*AA20)/Z32</f>
        <v>5.2797292329992425E-2</v>
      </c>
      <c r="AB59" s="193">
        <f>(AB2*AC5*AC20)/AB32</f>
        <v>5.8189131344086494E-2</v>
      </c>
      <c r="AD59" s="193">
        <f>(AD2*AE5*AE20)/AD32</f>
        <v>6.3784002112250396E-2</v>
      </c>
      <c r="AF59" s="193">
        <f>(AF2*AG5*AG20)/AF32</f>
        <v>6.9563295939772299E-2</v>
      </c>
      <c r="AH59" s="193">
        <f>(AH2*AI5*AI20)/AH32</f>
        <v>7.5484192677415338E-2</v>
      </c>
      <c r="AJ59" s="193">
        <f>(AJ2*AK5*AK20)/AJ32</f>
        <v>8.147550838164129E-2</v>
      </c>
      <c r="AL59" s="193">
        <f>(AL2*AM5*AM20)/AL32</f>
        <v>8.7441750941314525E-2</v>
      </c>
      <c r="AN59" s="193">
        <f>(AN2*AO5*AO20)/AN32</f>
        <v>9.3277352074190814E-2</v>
      </c>
      <c r="AP59" s="193">
        <f>(AP2*AQ5*AQ20)/AP32</f>
        <v>9.4419956047859757E-2</v>
      </c>
      <c r="AR59" s="193">
        <f>(AR2*AS5*AS20)/AR32</f>
        <v>9.5552728526489758E-2</v>
      </c>
      <c r="AT59" s="193">
        <f>(AT2*AU5*AU20)/AT32</f>
        <v>9.667505151876904E-2</v>
      </c>
      <c r="AV59" s="193">
        <f>(AV2*AW5*AW20)/AV32</f>
        <v>9.7786359064214665E-2</v>
      </c>
      <c r="XFD59" s="193"/>
    </row>
    <row r="60" spans="1:48 16321:16384" x14ac:dyDescent="0.2">
      <c r="A60" t="s">
        <v>174</v>
      </c>
      <c r="B60" s="193">
        <f>Model!$C$52*B5*B20/B32</f>
        <v>2.8669464423930927E-2</v>
      </c>
      <c r="D60" s="193">
        <f>Model!$C$52*D5*D20/D32</f>
        <v>2.862481087253568E-2</v>
      </c>
      <c r="F60" s="193">
        <f>Model!$C$52*F5*F20/F32</f>
        <v>2.8579729171490011E-2</v>
      </c>
      <c r="H60" s="193">
        <f>Model!$C$52*H5*H20/H32</f>
        <v>2.8534187231128785E-2</v>
      </c>
      <c r="J60" s="193">
        <f>Model!$C$52*J5*J20/J32</f>
        <v>2.8488153021244397E-2</v>
      </c>
      <c r="L60" s="193">
        <f>Model!$C$52*L5*L20/L32</f>
        <v>2.8441595261729267E-2</v>
      </c>
      <c r="N60" s="193">
        <f>Model!$C$52*N5*N20/N32</f>
        <v>2.8394486165282173E-2</v>
      </c>
      <c r="P60" s="193">
        <f>Model!$C$52*P5*P20/P32</f>
        <v>2.8346801514232009E-2</v>
      </c>
      <c r="R60" s="193">
        <f>Model!$C$52*R5*R20/R32</f>
        <v>2.8298523829044381E-2</v>
      </c>
      <c r="T60" s="193">
        <f>Model!$C$52*T5*T20/T32</f>
        <v>2.8249645150388532E-2</v>
      </c>
      <c r="V60" s="193">
        <f>Model!$C$52*V5*V20/V32</f>
        <v>2.820017291575562E-2</v>
      </c>
      <c r="X60" s="193">
        <f>Model!$C$52*X5*X20/X32</f>
        <v>2.815013673208968E-2</v>
      </c>
      <c r="Z60" s="193">
        <f>Model!$C$52*Z5*Z20/Z32</f>
        <v>2.8099600842687769E-2</v>
      </c>
      <c r="AB60" s="193">
        <f>Model!$C$52*AB5*AB20/AB32</f>
        <v>2.8048681700598745E-2</v>
      </c>
      <c r="AD60" s="193">
        <f>Model!$C$52*AD5*AD20/AD32</f>
        <v>2.7997573322760507E-2</v>
      </c>
      <c r="AF60" s="193">
        <f>Model!$C$52*AF5*AF20/AF32</f>
        <v>2.7946578191056122E-2</v>
      </c>
      <c r="AH60" s="193">
        <f>Model!$C$52*AH5*AH20/AH32</f>
        <v>2.7896133689413134E-2</v>
      </c>
      <c r="AJ60" s="193">
        <f>Model!$C$52*AJ5*AJ20/AJ32</f>
        <v>2.7846811347653544E-2</v>
      </c>
      <c r="AL60" s="193">
        <f>Model!$C$52*AL5*AL20/AL32</f>
        <v>2.7799266253978661E-2</v>
      </c>
      <c r="AN60" s="193">
        <f>Model!$C$52*AN5*AN20/AN32</f>
        <v>2.7754135212112386E-2</v>
      </c>
      <c r="AP60" s="193">
        <f>Model!$C$52*AP5*AP20/AP32</f>
        <v>2.7745446260118035E-2</v>
      </c>
      <c r="AR60" s="193">
        <f>Model!$C$52*AR5*AR20/AR32</f>
        <v>2.7736877714688819E-2</v>
      </c>
      <c r="AT60" s="193">
        <f>Model!$C$52*AT5*AT20/AT32</f>
        <v>2.7728432297380482E-2</v>
      </c>
      <c r="AV60" s="193">
        <f>Model!$C$52*AV5*AV20/AV32</f>
        <v>2.7720112410662506E-2</v>
      </c>
      <c r="XFD60" s="193"/>
    </row>
    <row r="62" spans="1:48 16321:16384" x14ac:dyDescent="0.2">
      <c r="A62" t="s">
        <v>175</v>
      </c>
      <c r="B62">
        <f>B13/B15</f>
        <v>1</v>
      </c>
      <c r="D62">
        <f>D13/D15</f>
        <v>1.0010987057332486</v>
      </c>
      <c r="F62">
        <f>F13/F15</f>
        <v>1.0022477155862357</v>
      </c>
      <c r="H62">
        <f>H13/H15</f>
        <v>1.0034662944121235</v>
      </c>
      <c r="J62">
        <f>J13/J15</f>
        <v>1.0047785751072347</v>
      </c>
      <c r="L62">
        <f>L13/L15</f>
        <v>1.0062147867589599</v>
      </c>
      <c r="N62">
        <f>N13/N15</f>
        <v>1.0078127804827084</v>
      </c>
      <c r="P62">
        <f>P13/P15</f>
        <v>1.0096197990401743</v>
      </c>
      <c r="R62">
        <f>R13/R15</f>
        <v>1.0116945517346623</v>
      </c>
      <c r="T62">
        <f>T13/T15</f>
        <v>1.0141096037372759</v>
      </c>
      <c r="V62">
        <f>V13/V15</f>
        <v>1.0169534696562079</v>
      </c>
      <c r="X62">
        <f>X13/X15</f>
        <v>1.0203321077632004</v>
      </c>
      <c r="Z62">
        <f>Z13/Z15</f>
        <v>1.0243682982422035</v>
      </c>
      <c r="AB62">
        <f>AB13/AB15</f>
        <v>1.0291967679658998</v>
      </c>
      <c r="AD62">
        <f>AD13/AD15</f>
        <v>1.0349519019439501</v>
      </c>
      <c r="AF62">
        <f>AF13/AF15</f>
        <v>1.0417450578396716</v>
      </c>
      <c r="AH62">
        <f>AH13/AH15</f>
        <v>1.0496318424128126</v>
      </c>
      <c r="AJ62">
        <f>AJ13/AJ15</f>
        <v>1.0585777708814226</v>
      </c>
      <c r="AL62">
        <f>AL13/AL15</f>
        <v>1.0684399065683068</v>
      </c>
      <c r="AN62">
        <f>AN13/AN15</f>
        <v>1.0789812395489535</v>
      </c>
      <c r="AP62">
        <f>AP13/AP15</f>
        <v>1.0811461226986556</v>
      </c>
      <c r="AR62">
        <f>AR13/AR15</f>
        <v>1.0833244024244544</v>
      </c>
      <c r="AT62">
        <f>AT13/AT15</f>
        <v>1.0855137732253488</v>
      </c>
      <c r="AV62">
        <f>AV13/AV15</f>
        <v>1.08771197900588</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0.99883476577932007</v>
      </c>
      <c r="E65" s="191"/>
      <c r="F65" s="191">
        <f t="array" ref="F65">SQRT((F9:G9*$B$22:$C$22+F10:G10*$B$23:$C$23+F11:G11*$B$24:$C$24+F4:G4*($B$25:$C$25-$B$19:$C$19))/($B$9:$C$9*$B$22:$C$22+$B$10:$C$10*$B$23:$C$23+$B$11:$C$11*$B$24:$C$24+$B$4:$C$4*($B$25:$C$25-$B$19:$C$19))*(F9:G9*F22:G22+F10:G10*F23:G23+F11:G11*F24:G24+F4:G4*(F25:G25-F19:G19))/($B$9:$C$9*F22:G22+$B$10:$C$10*F23:G23+$B$11:$C$11*F24:G24+$B$4:$C$4*(F25:G25-F19:G19)))</f>
        <v>0.99764723779473086</v>
      </c>
      <c r="G65" s="191"/>
      <c r="H65" s="191">
        <f t="array" ref="H65">SQRT((H9:I9*$B$22:$C$22+H10:I10*$B$23:$C$23+H11:I11*$B$24:$C$24+H4:I4*($B$25:$C$25-$B$19:$C$19))/($B$9:$C$9*$B$22:$C$22+$B$10:$C$10*$B$23:$C$23+$B$11:$C$11*$B$24:$C$24+$B$4:$C$4*($B$25:$C$25-$B$19:$C$19))*(H9:I9*H22:I22+H10:I10*H23:I23+H11:I11*H24:I24+H4:I4*(H25:I25-H19:I19))/($B$9:$C$9*H22:I22+$B$10:$C$10*H23:I23+$B$11:$C$11*H24:I24+$B$4:$C$4*(H25:I25-H19:I19)))</f>
        <v>0.99643457440153971</v>
      </c>
      <c r="I65" s="191"/>
      <c r="J65" s="191">
        <f t="array" ref="J65">SQRT((J9:K9*$B$22:$C$22+J10:K10*$B$23:$C$23+J11:K11*$B$24:$C$24+J4:K4*($B$25:$C$25-$B$19:$C$19))/($B$9:$C$9*$B$22:$C$22+$B$10:$C$10*$B$23:$C$23+$B$11:$C$11*$B$24:$C$24+$B$4:$C$4*($B$25:$C$25-$B$19:$C$19))*(J9:K9*J22:K22+J10:K10*J23:K23+J11:K11*J24:K24+J4:K4*(J25:K25-J19:K19))/($B$9:$C$9*J22:K22+$B$10:$C$10*J23:K23+$B$11:$C$11*J24:K24+$B$4:$C$4*(J25:K25-J19:K19)))</f>
        <v>0.99519382695207192</v>
      </c>
      <c r="K65" s="191"/>
      <c r="L65" s="191">
        <f t="array" ref="L65">SQRT((L9:M9*$B$22:$C$22+L10:M10*$B$23:$C$23+L11:M11*$B$24:$C$24+L4:M4*($B$25:$C$25-$B$19:$C$19))/($B$9:$C$9*$B$22:$C$22+$B$10:$C$10*$B$23:$C$23+$B$11:$C$11*$B$24:$C$24+$B$4:$C$4*($B$25:$C$25-$B$19:$C$19))*(L9:M9*L22:M22+L10:M10*L23:M23+L11:M11*L24:M24+L4:M4*(L25:M25-L19:M19))/($B$9:$C$9*L22:M22+$B$10:$C$10*L23:M23+$B$11:$C$11*L24:M24+$B$4:$C$4*(L25:M25-L19:M19)))</f>
        <v>0.9939220973143984</v>
      </c>
      <c r="M65" s="191"/>
      <c r="N65" s="191">
        <f t="array" ref="N65">SQRT((N9:O9*$B$22:$C$22+N10:O10*$B$23:$C$23+N11:O11*$B$24:$C$24+N4:O4*($B$25:$C$25-$B$19:$C$19))/($B$9:$C$9*$B$22:$C$22+$B$10:$C$10*$B$23:$C$23+$B$11:$C$11*$B$24:$C$24+$B$4:$C$4*($B$25:$C$25-$B$19:$C$19))*(N9:O9*N22:O22+N10:O10*N23:O23+N11:O11*N24:O24+N4:O4*(N25:O25-N19:O19))/($B$9:$C$9*N22:O22+$B$10:$C$10*N23:O23+$B$11:$C$11*N24:O24+$B$4:$C$4*(N25:O25-N19:O19)))</f>
        <v>0.99261680799557017</v>
      </c>
      <c r="O65" s="191"/>
      <c r="P65" s="191">
        <f t="array" ref="P65">SQRT((P9:Q9*$B$22:$C$22+P10:Q10*$B$23:$C$23+P11:Q11*$B$24:$C$24+P4:Q4*($B$25:$C$25-$B$19:$C$19))/($B$9:$C$9*$B$22:$C$22+$B$10:$C$10*$B$23:$C$23+$B$11:$C$11*$B$24:$C$24+$B$4:$C$4*($B$25:$C$25-$B$19:$C$19))*(P9:Q9*P22:Q22+P10:Q10*P23:Q23+P11:Q11*P24:Q24+P4:Q4*(P25:Q25-P19:Q19))/($B$9:$C$9*P22:Q22+$B$10:$C$10*P23:Q23+$B$11:$C$11*P24:Q24+$B$4:$C$4*(P25:Q25-P19:Q19)))</f>
        <v>0.99127608814357215</v>
      </c>
      <c r="Q65" s="191"/>
      <c r="R65" s="191">
        <f t="array" ref="R65">SQRT((R9:S9*$B$22:$C$22+R10:S10*$B$23:$C$23+R11:S11*$B$24:$C$24+R4:S4*($B$25:$C$25-$B$19:$C$19))/($B$9:$C$9*$B$22:$C$22+$B$10:$C$10*$B$23:$C$23+$B$11:$C$11*$B$24:$C$24+$B$4:$C$4*($B$25:$C$25-$B$19:$C$19))*(R9:S9*R22:S22+R10:S10*R23:S23+R11:S11*R24:S24+R4:S4*(R25:S25-R19:S19))/($B$9:$C$9*R22:S22+$B$10:$C$10*R23:S23+$B$11:$C$11*R24:S24+$B$4:$C$4*(R25:S25-R19:S19)))</f>
        <v>0.9898993850428186</v>
      </c>
      <c r="S65" s="191"/>
      <c r="T65" s="191">
        <f t="array" ref="T65">SQRT((T9:U9*$B$22:$C$22+T10:U10*$B$23:$C$23+T11:U11*$B$24:$C$24+T4:U4*($B$25:$C$25-$B$19:$C$19))/($B$9:$C$9*$B$22:$C$22+$B$10:$C$10*$B$23:$C$23+$B$11:$C$11*$B$24:$C$24+$B$4:$C$4*($B$25:$C$25-$B$19:$C$19))*(T9:U9*T22:U22+T10:U10*T23:U23+T11:U11*T24:U24+T4:U4*(T25:U25-T19:U19))/($B$9:$C$9*T22:U22+$B$10:$C$10*T23:U23+$B$11:$C$11*T24:U24+$B$4:$C$4*(T25:U25-T19:U19)))</f>
        <v>0.98848835921032163</v>
      </c>
      <c r="U65" s="191"/>
      <c r="V65" s="191">
        <f t="array" ref="V65">SQRT((V9:W9*$B$22:$C$22+V10:W10*$B$23:$C$23+V11:W11*$B$24:$C$24+V4:W4*($B$25:$C$25-$B$19:$C$19))/($B$9:$C$9*$B$22:$C$22+$B$10:$C$10*$B$23:$C$23+$B$11:$C$11*$B$24:$C$24+$B$4:$C$4*($B$25:$C$25-$B$19:$C$19))*(V9:W9*V22:W22+V10:W10*V23:W23+V11:W11*V24:W24+V4:W4*(V25:W25-V19:W19))/($B$9:$C$9*V22:W22+$B$10:$C$10*V23:W23+$B$11:$C$11*V24:W24+$B$4:$C$4*(V25:W25-V19:W19)))</f>
        <v>0.98704811184394481</v>
      </c>
      <c r="W65" s="191"/>
      <c r="X65" s="191">
        <f t="array" ref="X65">SQRT((X9:Y9*$B$22:$C$22+X10:Y10*$B$23:$C$23+X11:Y11*$B$24:$C$24+X4:Y4*($B$25:$C$25-$B$19:$C$19))/($B$9:$C$9*$B$22:$C$22+$B$10:$C$10*$B$23:$C$23+$B$11:$C$11*$B$24:$C$24+$B$4:$C$4*($B$25:$C$25-$B$19:$C$19))*(X9:Y9*X22:Y22+X10:Y10*X23:Y23+X11:Y11*X24:Y24+X4:Y4*(X25:Y25-X19:Y19))/($B$9:$C$9*X22:Y22+$B$10:$C$10*X23:Y23+$B$11:$C$11*X24:Y24+$B$4:$C$4*(X25:Y25-X19:Y19)))</f>
        <v>0.98558880793280323</v>
      </c>
      <c r="Y65" s="191"/>
      <c r="Z65" s="191">
        <f t="array" ref="Z65">SQRT((Z9:AA9*$B$22:$C$22+Z10:AA10*$B$23:$C$23+Z11:AA11*$B$24:$C$24+Z4:AA4*($B$25:$C$25-$B$19:$C$19))/($B$9:$C$9*$B$22:$C$22+$B$10:$C$10*$B$23:$C$23+$B$11:$C$11*$B$24:$C$24+$B$4:$C$4*($B$25:$C$25-$B$19:$C$19))*(Z9:AA9*Z22:AA22+Z10:AA10*Z23:AA23+Z11:AA11*Z24:AA24+Z4:AA4*(Z25:AA25-Z19:AA19))/($B$9:$C$9*Z22:AA22+$B$10:$C$10*Z23:AA23+$B$11:$C$11*Z24:AA24+$B$4:$C$4*(Z25:AA25-Z19:AA19)))</f>
        <v>0.98412759056319599</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0.98269043849322057</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0.98131314111211332</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0.98004000357849574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0.9789187393688904</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0.97799125365267725</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0.97728294466717303</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0.97679584853395762</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0.97672351070477148</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0.97665900843050502</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0.97660207175639224</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0.97655241457356856</v>
      </c>
    </row>
    <row r="66" spans="1:48 16384:16384" x14ac:dyDescent="0.2">
      <c r="A66" t="s">
        <v>182</v>
      </c>
      <c r="B66" s="191">
        <f t="array" ref="B66">SQRT((B9:C9*$B$22:$C$22)/($B$9:$C$9*$B$22:$C$22)*(B9:C9*B22:C22)/($B$9:$C$9*B22:C22))</f>
        <v>1</v>
      </c>
      <c r="C66" s="191"/>
      <c r="D66" s="191">
        <f t="array" ref="D66">SQRT((D9:E9*$B$22:$C$22)/($B$9:$C$9*$B$22:$C$22)*(D9:E9*D22:E22)/($B$9:$C$9*D22:E22))</f>
        <v>0.99871881159561082</v>
      </c>
      <c r="E66" s="191"/>
      <c r="F66" s="191">
        <f t="array" ref="F66">SQRT((F9:G9*$B$22:$C$22)/($B$9:$C$9*$B$22:$C$22)*(F9:G9*F22:G22)/($B$9:$C$9*F22:G22))</f>
        <v>0.99741193828539665</v>
      </c>
      <c r="G66" s="191"/>
      <c r="H66" s="191">
        <f t="array" ref="H66">SQRT((H9:I9*$B$22:$C$22)/($B$9:$C$9*$B$22:$C$22)*(H9:I9*H22:I22)/($B$9:$C$9*H22:I22))</f>
        <v>0.99607617405226412</v>
      </c>
      <c r="I66" s="191"/>
      <c r="J66" s="191">
        <f t="array" ref="J66">SQRT((J9:K9*$B$22:$C$22)/($B$9:$C$9*$B$22:$C$22)*(J9:K9*J22:K22)/($B$9:$C$9*J22:K22))</f>
        <v>0.99470817993705796</v>
      </c>
      <c r="K66" s="191"/>
      <c r="L66" s="191">
        <f t="array" ref="L66">SQRT((L9:M9*$B$22:$C$22)/($B$9:$C$9*$B$22:$C$22)*(L9:M9*L22:M22)/($B$9:$C$9*L22:M22))</f>
        <v>0.99330465641326537</v>
      </c>
      <c r="M66" s="191"/>
      <c r="N66" s="191">
        <f t="array" ref="N66">SQRT((N9:O9*$B$22:$C$22)/($B$9:$C$9*$B$22:$C$22)*(N9:O9*N22:O22)/($B$9:$C$9*N22:O22))</f>
        <v>0.99186264115714584</v>
      </c>
      <c r="O66" s="191"/>
      <c r="P66" s="191">
        <f t="array" ref="P66">SQRT((P9:Q9*$B$22:$C$22)/($B$9:$C$9*$B$22:$C$22)*(P9:Q9*P22:Q22)/($B$9:$C$9*P22:Q22))</f>
        <v>0.99037993694066551</v>
      </c>
      <c r="Q66" s="191"/>
      <c r="R66" s="191">
        <f t="array" ref="R66">SQRT((R9:S9*$B$22:$C$22)/($B$9:$C$9*$B$22:$C$22)*(R9:S9*R22:S22)/($B$9:$C$9*R22:S22))</f>
        <v>0.98885579230199427</v>
      </c>
      <c r="S66" s="191"/>
      <c r="T66" s="191">
        <f t="array" ref="T66">SQRT((T9:U9*$B$22:$C$22)/($B$9:$C$9*$B$22:$C$22)*(T9:U9*T22:U22)/($B$9:$C$9*T22:U22))</f>
        <v>0.98729190194427718</v>
      </c>
      <c r="U66" s="191"/>
      <c r="V66" s="191">
        <f t="array" ref="V66">SQRT((V9:W9*$B$22:$C$22)/($B$9:$C$9*$B$22:$C$22)*(V9:W9*V22:W22)/($B$9:$C$9*V22:W22))</f>
        <v>0.98569378407971708</v>
      </c>
      <c r="W66" s="191"/>
      <c r="X66" s="191">
        <f t="array" ref="X66">SQRT((X9:Y9*$B$22:$C$22)/($B$9:$C$9*$B$22:$C$22)*(X9:Y9*X22:Y22)/($B$9:$C$9*X22:Y22))</f>
        <v>0.98407260905172766</v>
      </c>
      <c r="Y66" s="191"/>
      <c r="Z66" s="191">
        <f t="array" ref="Z66">SQRT((Z9:AA9*$B$22:$C$22)/($B$9:$C$9*$B$22:$C$22)*(Z9:AA9*Z22:AA22)/($B$9:$C$9*Z22:AA22))</f>
        <v>0.98244736688309564</v>
      </c>
      <c r="AA66" s="191"/>
      <c r="AB66" s="191">
        <f t="array" ref="AB66">SQRT((AB9:AC9*$B$22:$C$22)/($B$9:$C$9*$B$22:$C$22)*(AB9:AC9*AB22:AC22)/($B$9:$C$9*AB22:AC22))</f>
        <v>0.98084698773422363</v>
      </c>
      <c r="AC66" s="191"/>
      <c r="AD66" s="191">
        <f t="array" ref="AD66">SQRT((AD9:AE9*$B$22:$C$22)/($B$9:$C$9*$B$22:$C$22)*(AD9:AE9*AD22:AE22)/($B$9:$C$9*AD22:AE22))</f>
        <v>0.97931148891289499</v>
      </c>
      <c r="AE66" s="191"/>
      <c r="AF66" s="191">
        <f t="array" ref="AF66">SQRT((AF9:AG9*$B$22:$C$22)/($B$9:$C$9*$B$22:$C$22)*(AF9:AG9*AF22:AG22)/($B$9:$C$9*AF22:AG22))</f>
        <v>0.97789058191350753</v>
      </c>
      <c r="AG66" s="191"/>
      <c r="AH66" s="191">
        <f t="array" ref="AH66">SQRT((AH9:AI9*$B$22:$C$22)/($B$9:$C$9*$B$22:$C$22)*(AH9:AI9*AH22:AI22)/($B$9:$C$9*AH22:AI22))</f>
        <v>0.97663798327997919</v>
      </c>
      <c r="AI66" s="191"/>
      <c r="AJ66" s="191">
        <f t="array" ref="AJ66">SQRT((AJ9:AK9*$B$22:$C$22)/($B$9:$C$9*$B$22:$C$22)*(AJ9:AK9*AJ22:AK22)/($B$9:$C$9*AJ22:AK22))</f>
        <v>0.97560106343612019</v>
      </c>
      <c r="AK66" s="191"/>
      <c r="AL66" s="191">
        <f t="array" ref="AL66">SQRT((AL9:AM9*$B$22:$C$22)/($B$9:$C$9*$B$22:$C$22)*(AL9:AM9*AL22:AM22)/($B$9:$C$9*AL22:AM22))</f>
        <v>0.97480876687350426</v>
      </c>
      <c r="AM66" s="191"/>
      <c r="AN66" s="191">
        <f t="array" ref="AN66">SQRT((AN9:AO9*$B$22:$C$22)/($B$9:$C$9*$B$22:$C$22)*(AN9:AO9*AN22:AO22)/($B$9:$C$9*AN22:AO22))</f>
        <v>0.97426380944119728</v>
      </c>
      <c r="AO66" s="191"/>
      <c r="AP66" s="191">
        <f t="array" ref="AP66">SQRT((AP9:AQ9*$B$22:$C$22)/($B$9:$C$9*$B$22:$C$22)*(AP9:AQ9*AP22:AQ22)/($B$9:$C$9*AP22:AQ22))</f>
        <v>0.97418288711704559</v>
      </c>
      <c r="AQ66" s="191"/>
      <c r="AR66" s="191">
        <f t="array" ref="AR66">SQRT((AR9:AS9*$B$22:$C$22)/($B$9:$C$9*$B$22:$C$22)*(AR9:AS9*AR22:AS22)/($B$9:$C$9*AR22:AS22))</f>
        <v>0.97411073740759391</v>
      </c>
      <c r="AS66" s="191"/>
      <c r="AT66" s="191">
        <f t="array" ref="AT66">SQRT((AT9:AU9*$B$22:$C$22)/($B$9:$C$9*$B$22:$C$22)*(AT9:AU9*AT22:AU22)/($B$9:$C$9*AT22:AU22))</f>
        <v>0.97404705922081125</v>
      </c>
      <c r="AU66" s="191"/>
      <c r="AV66" s="191">
        <f t="array" ref="AV66">SQRT((AV9:AW9*$B$22:$C$22)/($B$9:$C$9*$B$22:$C$22)*(AV9:AW9*AV22:AW22)/($B$9:$C$9*AV22:AW22))</f>
        <v>0.97399153313733922</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0.99871881159561082</v>
      </c>
      <c r="E68" s="191"/>
      <c r="F68" s="191">
        <f>F66/F67</f>
        <v>0.99741193828539665</v>
      </c>
      <c r="G68" s="191"/>
      <c r="H68" s="191">
        <f>H66/H67</f>
        <v>0.99607617405226412</v>
      </c>
      <c r="I68" s="191"/>
      <c r="J68" s="191">
        <f>J66/J67</f>
        <v>0.99470817993705796</v>
      </c>
      <c r="K68" s="191"/>
      <c r="L68" s="191">
        <f>L66/L67</f>
        <v>0.99330465641326537</v>
      </c>
      <c r="M68" s="191"/>
      <c r="N68" s="191">
        <f>N66/N67</f>
        <v>0.99186264115714584</v>
      </c>
      <c r="O68" s="191"/>
      <c r="P68" s="191">
        <f>P66/P67</f>
        <v>0.99037993694066551</v>
      </c>
      <c r="Q68" s="191"/>
      <c r="R68" s="191">
        <f>R66/R67</f>
        <v>0.98885579230199427</v>
      </c>
      <c r="S68" s="191"/>
      <c r="T68" s="191">
        <f>T66/T67</f>
        <v>0.98729190194427718</v>
      </c>
      <c r="U68" s="191"/>
      <c r="V68" s="191">
        <f>V66/V67</f>
        <v>0.98569378407971708</v>
      </c>
      <c r="W68" s="191"/>
      <c r="X68" s="191">
        <f>X66/X67</f>
        <v>0.98407260905172766</v>
      </c>
      <c r="Y68" s="191"/>
      <c r="Z68" s="191">
        <f>Z66/Z67</f>
        <v>0.98244736688309564</v>
      </c>
      <c r="AA68" s="191"/>
      <c r="AB68" s="191">
        <f>AB66/AB67</f>
        <v>0.98084698773422363</v>
      </c>
      <c r="AC68" s="191"/>
      <c r="AD68" s="191">
        <f>AD66/AD67</f>
        <v>0.97931148891289499</v>
      </c>
      <c r="AE68" s="191"/>
      <c r="AF68" s="191">
        <f>AF66/AF67</f>
        <v>0.97789058191350753</v>
      </c>
      <c r="AG68" s="191"/>
      <c r="AH68" s="191">
        <f>AH66/AH67</f>
        <v>0.97663798327997919</v>
      </c>
      <c r="AI68" s="191"/>
      <c r="AJ68" s="191">
        <f>AJ66/AJ67</f>
        <v>0.97560106343612019</v>
      </c>
      <c r="AK68" s="191"/>
      <c r="AL68" s="191">
        <f>AL66/AL67</f>
        <v>0.97480876687350426</v>
      </c>
      <c r="AM68" s="191"/>
      <c r="AN68" s="191">
        <f>AN66/AN67</f>
        <v>0.97426380944119728</v>
      </c>
      <c r="AO68" s="191"/>
      <c r="AP68" s="191">
        <f>AP66/AP67</f>
        <v>0.97418288711704559</v>
      </c>
      <c r="AQ68" s="191"/>
      <c r="AR68" s="191">
        <f>AR66/AR67</f>
        <v>0.97411073740759391</v>
      </c>
      <c r="AS68" s="191"/>
      <c r="AT68" s="191">
        <f>AT66/AT67</f>
        <v>0.97404705922081125</v>
      </c>
      <c r="AU68" s="191"/>
      <c r="AV68" s="191">
        <f>AV66/AV67</f>
        <v>0.97399153313733922</v>
      </c>
      <c r="XFD68" s="191"/>
    </row>
    <row r="69" spans="1:48 16384:16384" x14ac:dyDescent="0.2">
      <c r="A69" t="s">
        <v>177</v>
      </c>
      <c r="B69" s="191">
        <f>B32/B65/($B$32)</f>
        <v>1</v>
      </c>
      <c r="C69" s="191"/>
      <c r="D69" s="191">
        <f>D32/D65/($B$32)</f>
        <v>0.99441393344363749</v>
      </c>
      <c r="E69" s="191"/>
      <c r="F69" s="191">
        <f>F32/F65/($B$32)</f>
        <v>0.98791013531367999</v>
      </c>
      <c r="G69" s="191"/>
      <c r="H69" s="191">
        <f>H32/H65/($B$32)</f>
        <v>0.98032490902752101</v>
      </c>
      <c r="I69" s="191"/>
      <c r="J69" s="191">
        <f>J32/J65/($B$32)</f>
        <v>0.97145623493891586</v>
      </c>
      <c r="K69" s="191"/>
      <c r="L69" s="191">
        <f>L32/L65/($B$32)</f>
        <v>0.96105267642863068</v>
      </c>
      <c r="M69" s="191"/>
      <c r="N69" s="191">
        <f>N32/N65/($B$32)</f>
        <v>0.94879824139858504</v>
      </c>
      <c r="O69" s="191"/>
      <c r="P69" s="191">
        <f>P32/P65/($B$32)</f>
        <v>0.93429306845099258</v>
      </c>
      <c r="Q69" s="191"/>
      <c r="R69" s="191">
        <f>R32/R65/($B$32)</f>
        <v>0.91702713164559391</v>
      </c>
      <c r="S69" s="191"/>
      <c r="T69" s="191">
        <f>T32/T65/($B$32)</f>
        <v>0.89634505370126272</v>
      </c>
      <c r="U69" s="191"/>
      <c r="V69" s="191">
        <f>V32/V65/($B$32)</f>
        <v>0.87140115342671021</v>
      </c>
      <c r="W69" s="191"/>
      <c r="X69" s="191">
        <f>X32/X65/($B$32)</f>
        <v>0.84110267933349792</v>
      </c>
      <c r="Y69" s="191"/>
      <c r="Z69" s="191">
        <f>Z32/Z65/($B$32)</f>
        <v>0.80404411756053606</v>
      </c>
      <c r="AA69" s="191"/>
      <c r="AB69" s="191">
        <f>AB32/AB65/($B$32)</f>
        <v>0.75844289962858913</v>
      </c>
      <c r="AC69" s="191"/>
      <c r="AD69" s="191">
        <f>AD32/AD65/($B$32)</f>
        <v>0.70210153629515437</v>
      </c>
      <c r="AE69" s="191"/>
      <c r="AF69" s="191">
        <f>AF32/AF65/($B$32)</f>
        <v>0.63244234102280705</v>
      </c>
      <c r="AG69" s="191"/>
      <c r="AH69" s="191">
        <f>AH32/AH65/($B$32)</f>
        <v>0.54667507883267696</v>
      </c>
      <c r="AI69" s="191"/>
      <c r="AJ69" s="191">
        <f>AJ32/AJ65/($B$32)</f>
        <v>0.44213405654896643</v>
      </c>
      <c r="AK69" s="191"/>
      <c r="AL69" s="191">
        <f>AL32/AL65/($B$32)</f>
        <v>0.31673069840197393</v>
      </c>
      <c r="AM69" s="191"/>
      <c r="AN69" s="191">
        <f>AN32/AN65/($B$32)</f>
        <v>0.16935028729683971</v>
      </c>
      <c r="AO69" s="191"/>
      <c r="AP69" s="191">
        <f>AP32/AP65/($B$32)</f>
        <v>0.13721874029812872</v>
      </c>
      <c r="AQ69" s="191"/>
      <c r="AR69" s="191">
        <f>AR32/AR65/($B$32)</f>
        <v>0.10421050443943242</v>
      </c>
      <c r="AS69" s="191"/>
      <c r="AT69" s="191">
        <f>AT32/AT65/($B$32)</f>
        <v>7.0332335331846463E-2</v>
      </c>
      <c r="AU69" s="191"/>
      <c r="AV69" s="191">
        <f>AV32/AV65/($B$32)</f>
        <v>3.5592367631080229E-2</v>
      </c>
    </row>
    <row r="70" spans="1:48 16384:16384" x14ac:dyDescent="0.2">
      <c r="A70" t="s">
        <v>178</v>
      </c>
      <c r="B70" s="138">
        <f>B18/$B$18</f>
        <v>1</v>
      </c>
      <c r="C70" s="138"/>
      <c r="D70" s="138">
        <f>D18/$B$18</f>
        <v>0.99349003193283847</v>
      </c>
      <c r="E70" s="138"/>
      <c r="F70" s="138">
        <f>F18/$B$18</f>
        <v>0.98607342861521552</v>
      </c>
      <c r="G70" s="138"/>
      <c r="H70" s="138">
        <f>H18/$B$18</f>
        <v>0.97759010370677613</v>
      </c>
      <c r="I70" s="138"/>
      <c r="J70" s="138">
        <f>J18/$B$18</f>
        <v>0.96784247878423768</v>
      </c>
      <c r="K70" s="138"/>
      <c r="L70" s="138">
        <f>L18/$B$18</f>
        <v>0.95658455062625469</v>
      </c>
      <c r="M70" s="138"/>
      <c r="N70" s="138">
        <f>N18/$B$18</f>
        <v>0.94350700287385636</v>
      </c>
      <c r="O70" s="138"/>
      <c r="P70" s="138">
        <f>P18/$B$18</f>
        <v>0.92821810456683174</v>
      </c>
      <c r="Q70" s="138"/>
      <c r="R70" s="138">
        <f>R18/$B$18</f>
        <v>0.91021777838160556</v>
      </c>
      <c r="S70" s="138"/>
      <c r="T70" s="138">
        <f>T18/$B$18</f>
        <v>0.88886285434625845</v>
      </c>
      <c r="U70" s="138"/>
      <c r="V70" s="138">
        <f>V18/$B$18</f>
        <v>0.86332285003170162</v>
      </c>
      <c r="W70" s="138"/>
      <c r="X70" s="138">
        <f>X18/$B$18</f>
        <v>0.83252427005811969</v>
      </c>
      <c r="Y70" s="138"/>
      <c r="Z70" s="138">
        <f>Z18/$B$18</f>
        <v>0.79508671998324998</v>
      </c>
      <c r="AA70" s="138"/>
      <c r="AB70" s="138">
        <f>AB18/$B$18</f>
        <v>0.74926145634993335</v>
      </c>
      <c r="AC70" s="138"/>
      <c r="AD70" s="138">
        <f>AD18/$B$18</f>
        <v>0.69289778160856397</v>
      </c>
      <c r="AE70" s="138"/>
      <c r="AF70" s="138">
        <f>AF18/$B$18</f>
        <v>0.62348324191855486</v>
      </c>
      <c r="AG70" s="138"/>
      <c r="AH70" s="138">
        <f>AH18/$B$18</f>
        <v>0.53831633850368987</v>
      </c>
      <c r="AI70" s="138"/>
      <c r="AJ70" s="138">
        <f>AJ18/$B$18</f>
        <v>0.43484447440098073</v>
      </c>
      <c r="AK70" s="138"/>
      <c r="AL70" s="138">
        <f>AL18/$B$18</f>
        <v>0.31110868123366825</v>
      </c>
      <c r="AM70" s="138"/>
      <c r="AN70" s="138">
        <f>AN18/$B$18</f>
        <v>0.16612276812519494</v>
      </c>
      <c r="AO70" s="138"/>
      <c r="AP70" s="138">
        <f>AP18/$B$18</f>
        <v>0.13456729294316055</v>
      </c>
      <c r="AQ70" s="138"/>
      <c r="AR70" s="138">
        <f>AR18/$B$18</f>
        <v>0.10216926087849762</v>
      </c>
      <c r="AS70" s="138"/>
      <c r="AT70" s="138">
        <f>AT18/$B$18</f>
        <v>6.8936045944301597E-2</v>
      </c>
      <c r="AU70" s="138"/>
      <c r="AV70" s="138">
        <f>AV18/$B$18</f>
        <v>3.4876332761080549E-2</v>
      </c>
    </row>
    <row r="71" spans="1:48 16384:16384" x14ac:dyDescent="0.2">
      <c r="A71" t="s">
        <v>179</v>
      </c>
      <c r="B71" s="138">
        <f>C18/$C$18</f>
        <v>1</v>
      </c>
      <c r="D71" s="138">
        <f>E18/$C$18</f>
        <v>0.93296956276635901</v>
      </c>
      <c r="E71" s="138"/>
      <c r="F71" s="138">
        <f>G18/$C$18</f>
        <v>0.86632077232924332</v>
      </c>
      <c r="G71" s="138"/>
      <c r="H71" s="138">
        <f>I18/$C$18</f>
        <v>0.80012351928019909</v>
      </c>
      <c r="I71" s="138"/>
      <c r="J71" s="138">
        <f>K18/$C$18</f>
        <v>0.73446531252564951</v>
      </c>
      <c r="K71" s="138"/>
      <c r="L71" s="138">
        <f>M18/$C$18</f>
        <v>0.66945681329239581</v>
      </c>
      <c r="M71" s="138"/>
      <c r="N71" s="138">
        <f>O18/$C$18</f>
        <v>0.60524119925505926</v>
      </c>
      <c r="O71" s="138"/>
      <c r="P71" s="138">
        <f>Q18/$C$18</f>
        <v>0.54200144740308398</v>
      </c>
      <c r="Q71" s="138"/>
      <c r="R71" s="138">
        <f>S18/$C$18</f>
        <v>0.47997300140217369</v>
      </c>
      <c r="S71" s="138"/>
      <c r="T71" s="138">
        <f>U18/$C$18</f>
        <v>0.41945719723273978</v>
      </c>
      <c r="U71" s="138"/>
      <c r="V71" s="138">
        <f>W18/$C$18</f>
        <v>0.36083742381556838</v>
      </c>
      <c r="W71" s="138"/>
      <c r="X71" s="138">
        <f>Y18/$C$18</f>
        <v>0.30459274822945687</v>
      </c>
      <c r="Y71" s="138"/>
      <c r="Z71" s="138">
        <f>AA18/$C$18</f>
        <v>0.25130704154689865</v>
      </c>
      <c r="AA71" s="138"/>
      <c r="AB71" s="138">
        <f>AC18/$C$18</f>
        <v>0.20166173445381622</v>
      </c>
      <c r="AC71" s="138"/>
      <c r="AD71" s="138">
        <f>AE18/$C$18</f>
        <v>0.15639943257927286</v>
      </c>
      <c r="AE71" s="138"/>
      <c r="AF71" s="138">
        <f>AG18/$C$18</f>
        <v>0.11624287065454772</v>
      </c>
      <c r="AG71" s="138"/>
      <c r="AH71" s="138">
        <f>AI18/$C$18</f>
        <v>8.1764950681181142E-2</v>
      </c>
      <c r="AI71" s="138"/>
      <c r="AJ71" s="138">
        <f>AK18/$C$18</f>
        <v>5.3235794297165427E-2</v>
      </c>
      <c r="AK71" s="138"/>
      <c r="AL71" s="138">
        <f>AM18/$C$18</f>
        <v>3.0512857210587805E-2</v>
      </c>
      <c r="AM71" s="138"/>
      <c r="AN71" s="138">
        <f>AO18/$C$18</f>
        <v>1.3044660347312199E-2</v>
      </c>
      <c r="AO71" s="138"/>
      <c r="AP71" s="138">
        <f>AQ18/$C$18</f>
        <v>1.0111244348408476E-2</v>
      </c>
      <c r="AQ71" s="138"/>
      <c r="AR71" s="138">
        <f>AS18/$C$18</f>
        <v>7.3475982284883674E-3</v>
      </c>
      <c r="AS71" s="138"/>
      <c r="AT71" s="138">
        <f>AU18/$C$18</f>
        <v>4.7461975082935147E-3</v>
      </c>
      <c r="AU71" s="138"/>
      <c r="AV71" s="138">
        <f>AW18/$C$18</f>
        <v>2.2995009855269195E-3</v>
      </c>
      <c r="XFD71" s="138"/>
    </row>
    <row r="72" spans="1:48 16384:16384" x14ac:dyDescent="0.2">
      <c r="A72" t="s">
        <v>180</v>
      </c>
      <c r="B72" s="138">
        <f>C19/$C$19</f>
        <v>1</v>
      </c>
      <c r="D72" s="138">
        <f>E19/$C$19</f>
        <v>1.0132638154589806</v>
      </c>
      <c r="E72" s="138"/>
      <c r="F72" s="138">
        <f>G19/$C$19</f>
        <v>1.027748411115831</v>
      </c>
      <c r="G72" s="138"/>
      <c r="H72" s="138">
        <f>I19/$C$19</f>
        <v>1.0433952310403034</v>
      </c>
      <c r="I72" s="138"/>
      <c r="J72" s="138">
        <f>K19/$C$19</f>
        <v>1.0600744871316234</v>
      </c>
      <c r="K72" s="138"/>
      <c r="L72" s="138">
        <f>M19/$C$19</f>
        <v>1.077551479072766</v>
      </c>
      <c r="M72" s="138"/>
      <c r="N72" s="138">
        <f>O19/$C$19</f>
        <v>1.0954388468803191</v>
      </c>
      <c r="O72" s="138"/>
      <c r="P72" s="138">
        <f>Q19/$C$19</f>
        <v>1.1131296108187638</v>
      </c>
      <c r="Q72" s="138"/>
      <c r="R72" s="138">
        <f>S19/$C$19</f>
        <v>1.1297042197475038</v>
      </c>
      <c r="S72" s="138"/>
      <c r="T72" s="138">
        <f>U19/$C$19</f>
        <v>1.1438058177279593</v>
      </c>
      <c r="U72" s="138"/>
      <c r="V72" s="138">
        <f>W19/$C$19</f>
        <v>1.1534766855125465</v>
      </c>
      <c r="W72" s="138"/>
      <c r="X72" s="138">
        <f>Y19/$C$19</f>
        <v>1.1559585214453074</v>
      </c>
      <c r="Y72" s="138"/>
      <c r="Z72" s="138">
        <f>AA19/$C$19</f>
        <v>1.1474749901564447</v>
      </c>
      <c r="AA72" s="138"/>
      <c r="AB72" s="138">
        <f>AC19/$C$19</f>
        <v>1.123052011351426</v>
      </c>
      <c r="AC72" s="138"/>
      <c r="AD72" s="138">
        <f>AE19/$C$19</f>
        <v>1.0764908318165609</v>
      </c>
      <c r="AE72" s="138"/>
      <c r="AF72" s="138">
        <f>AG19/$C$19</f>
        <v>1.0006744956724398</v>
      </c>
      <c r="AG72" s="138"/>
      <c r="AH72" s="138">
        <f>AI19/$C$19</f>
        <v>0.88839018596202057</v>
      </c>
      <c r="AI72" s="138"/>
      <c r="AJ72" s="138">
        <f>AK19/$C$19</f>
        <v>0.73367013787042501</v>
      </c>
      <c r="AK72" s="138"/>
      <c r="AL72" s="138">
        <f>AM19/$C$19</f>
        <v>0.53325840435432037</v>
      </c>
      <c r="AM72" s="138"/>
      <c r="AN72" s="138">
        <f>AO19/$C$19</f>
        <v>0.28748162950362866</v>
      </c>
      <c r="AO72" s="138"/>
      <c r="AP72" s="138">
        <f>AQ19/$C$19</f>
        <v>0.23315744226529228</v>
      </c>
      <c r="AQ72" s="138"/>
      <c r="AR72" s="138">
        <f>AS19/$C$19</f>
        <v>0.17720057680363357</v>
      </c>
      <c r="AS72" s="138"/>
      <c r="AT72" s="138">
        <f>AU19/$C$19</f>
        <v>0.11965646315285357</v>
      </c>
      <c r="AU72" s="138"/>
      <c r="AV72" s="138">
        <f>AW19/$C$19</f>
        <v>6.0572989345171531E-2</v>
      </c>
      <c r="XFD72" s="138"/>
    </row>
    <row r="73" spans="1:48 16384:16384" x14ac:dyDescent="0.2">
      <c r="A73" t="s">
        <v>184</v>
      </c>
      <c r="B73" s="193">
        <f t="array" ref="B73">SUM(B9:C9*B22:C22)/B32</f>
        <v>0.47641153352875065</v>
      </c>
      <c r="D73" s="193">
        <f t="array" ref="D73">SUM(D9:E9*D22:E22)/D32</f>
        <v>0.47450446659890594</v>
      </c>
      <c r="E73" s="138"/>
      <c r="F73" s="193">
        <f t="array" ref="F73">SUM(F9:G9*F22:G22)/F32</f>
        <v>0.47255909939419938</v>
      </c>
      <c r="G73" s="138"/>
      <c r="H73" s="193">
        <f t="array" ref="H73">SUM(H9:I9*H22:I22)/H32</f>
        <v>0.47057086635885653</v>
      </c>
      <c r="I73" s="138"/>
      <c r="J73" s="193">
        <f t="array" ref="J73">SUM(J9:K9*J22:K22)/J32</f>
        <v>0.46853461236500465</v>
      </c>
      <c r="K73" s="138"/>
      <c r="L73" s="193">
        <f t="array" ref="L73">SUM(L9:M9*L22:M22)/L32</f>
        <v>0.46644452714646617</v>
      </c>
      <c r="M73" s="138"/>
      <c r="N73" s="193">
        <f t="array" ref="N73">SUM(N9:O9*N22:O22)/N32</f>
        <v>0.4642940724696567</v>
      </c>
      <c r="O73" s="138"/>
      <c r="P73" s="193">
        <f t="array" ref="P73">SUM(P9:Q9*P22:Q22)/P32</f>
        <v>0.46207588952217549</v>
      </c>
      <c r="Q73" s="138"/>
      <c r="R73" s="193">
        <f t="array" ref="R73">SUM(R9:S9*R22:S22)/R32</f>
        <v>0.45978171122963302</v>
      </c>
      <c r="S73" s="138"/>
      <c r="T73" s="193">
        <f t="array" ref="T73">SUM(T9:U9*T22:U22)/T32</f>
        <v>0.45740243816952314</v>
      </c>
      <c r="U73" s="138"/>
      <c r="V73" s="193">
        <f t="array" ref="V73">SUM(V9:W9*V22:W22)/V32</f>
        <v>0.45492818886548109</v>
      </c>
      <c r="W73" s="138"/>
      <c r="X73" s="193">
        <f t="array" ref="X73">SUM(X9:Y9*X22:Y22)/X32</f>
        <v>0.45234874533364972</v>
      </c>
      <c r="Y73" s="138"/>
      <c r="Z73" s="193">
        <f t="array" ref="Z73">SUM(Z9:AA9*Z22:AA22)/Z32</f>
        <v>0.44965442889676777</v>
      </c>
      <c r="AA73" s="138"/>
      <c r="AB73" s="193">
        <f t="array" ref="AB73">SUM(AB9:AC9*AB22:AC22)/AB32</f>
        <v>0.44683780922365374</v>
      </c>
      <c r="AC73" s="138"/>
      <c r="AD73" s="193">
        <f t="array" ref="AD73">SUM(AD9:AE9*AD22:AE22)/AD32</f>
        <v>0.44389656237266545</v>
      </c>
      <c r="AE73" s="138"/>
      <c r="AF73" s="193">
        <f t="array" ref="AF73">SUM(AF9:AG9*AF22:AG22)/AF32</f>
        <v>0.44083756679144009</v>
      </c>
      <c r="AG73" s="138"/>
      <c r="AH73" s="193">
        <f t="array" ref="AH73">SUM(AH9:AI9*AH22:AI22)/AH32</f>
        <v>0.43768145466672609</v>
      </c>
      <c r="AI73" s="138"/>
      <c r="AJ73" s="193">
        <f t="array" ref="AJ73">SUM(AJ9:AK9*AJ22:AK22)/AJ32</f>
        <v>0.43446552184436538</v>
      </c>
      <c r="AK73" s="138"/>
      <c r="AL73" s="193">
        <f t="array" ref="AL73">SUM(AL9:AM9*AL22:AM22)/AL32</f>
        <v>0.43124200568879661</v>
      </c>
      <c r="AM73" s="138"/>
      <c r="AN73" s="193">
        <f t="array" ref="AN73">SUM(AN9:AO9*AN22:AO22)/AN32</f>
        <v>0.42807039395901575</v>
      </c>
      <c r="AO73" s="138"/>
      <c r="AP73" s="193">
        <f t="array" ref="AP73">SUM(AP9:AQ9*AP22:AQ22)/AP32</f>
        <v>0.42744738470715282</v>
      </c>
      <c r="AQ73" s="138"/>
      <c r="AR73" s="193">
        <f t="array" ref="AR73">SUM(AR9:AS9*AR22:AS22)/AR32</f>
        <v>0.42682911378530675</v>
      </c>
      <c r="AS73" s="138"/>
      <c r="AT73" s="193">
        <f t="array" ref="AT73">SUM(AT9:AU9*AT22:AU22)/AT32</f>
        <v>0.42621595651253252</v>
      </c>
      <c r="AU73" s="138"/>
      <c r="AV73" s="193">
        <f t="array" ref="AV73">SUM(AV9:AW9*AV22:AW22)/AV32</f>
        <v>0.42560826327836176</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0.22604620456442481</v>
      </c>
      <c r="Y74" s="138"/>
      <c r="Z74" s="193">
        <f t="array" ref="Z74">SUM(Z10:AA10*Z23:AA23)/Z32</f>
        <v>0.22604620456442487</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0.22604620456442481</v>
      </c>
      <c r="AO74" s="138"/>
      <c r="AP74" s="193">
        <f t="array" ref="AP74">SUM(AP10:AQ10*AP23:AQ23)/AP32</f>
        <v>0.22604620456442484</v>
      </c>
      <c r="AQ74" s="138"/>
      <c r="AR74" s="193">
        <f t="array" ref="AR74">SUM(AR10:AS10*AR23:AS23)/AR32</f>
        <v>0.22604620456442481</v>
      </c>
      <c r="AS74" s="138"/>
      <c r="AT74" s="193">
        <f t="array" ref="AT74">SUM(AT10:AU10*AT23:AU23)/AT32</f>
        <v>0.22604620456442487</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0.22229145691580687</v>
      </c>
      <c r="E75" s="138"/>
      <c r="F75" s="193">
        <f t="array" ref="F75">SUM(F11:G11*F24:G24)/F32</f>
        <v>0.22423682232205749</v>
      </c>
      <c r="G75" s="138"/>
      <c r="H75" s="193">
        <f t="array" ref="H75">SUM(H11:I11*H24:I24)/H32</f>
        <v>0.22622505524431083</v>
      </c>
      <c r="I75" s="138"/>
      <c r="J75" s="193">
        <f t="array" ref="J75">SUM(J11:K11*J24:K24)/J32</f>
        <v>0.22826130986864843</v>
      </c>
      <c r="K75" s="138"/>
      <c r="L75" s="193">
        <f t="array" ref="L75">SUM(L11:M11*L24:M24)/L32</f>
        <v>0.23035139418688283</v>
      </c>
      <c r="M75" s="138"/>
      <c r="N75" s="193">
        <f t="array" ref="N75">SUM(N11:O11*N24:O24)/N32</f>
        <v>0.23250184853843764</v>
      </c>
      <c r="O75" s="138"/>
      <c r="P75" s="193">
        <f t="array" ref="P75">SUM(P11:Q11*P24:Q24)/P32</f>
        <v>0.23472003471501607</v>
      </c>
      <c r="Q75" s="138"/>
      <c r="R75" s="193">
        <f t="array" ref="R75">SUM(R11:S11*R24:S24)/R32</f>
        <v>0.2370142103352624</v>
      </c>
      <c r="S75" s="138"/>
      <c r="T75" s="193">
        <f t="array" ref="T75">SUM(T11:U11*T24:U24)/T32</f>
        <v>0.23939348362023213</v>
      </c>
      <c r="U75" s="138"/>
      <c r="V75" s="193">
        <f t="array" ref="V75">SUM(V11:W11*V24:W24)/V32</f>
        <v>0.2418677327846549</v>
      </c>
      <c r="W75" s="138"/>
      <c r="X75" s="193">
        <f t="array" ref="X75">SUM(X11:Y11*X24:Y24)/X32</f>
        <v>0.24444717647397726</v>
      </c>
      <c r="Y75" s="138"/>
      <c r="Z75" s="193">
        <f t="array" ref="Z75">SUM(Z11:AA11*Z24:AA24)/Z32</f>
        <v>0.24714149303950678</v>
      </c>
      <c r="AA75" s="138"/>
      <c r="AB75" s="193">
        <f t="array" ref="AB75">SUM(AB11:AC11*AB24:AC24)/AB32</f>
        <v>0.24995811266205559</v>
      </c>
      <c r="AC75" s="138"/>
      <c r="AD75" s="193">
        <f t="array" ref="AD75">SUM(AD11:AE11*AD24:AE24)/AD32</f>
        <v>0.25289935874409969</v>
      </c>
      <c r="AE75" s="138"/>
      <c r="AF75" s="193">
        <f t="array" ref="AF75">SUM(AF11:AG11*AF24:AG24)/AF32</f>
        <v>0.25595835508509635</v>
      </c>
      <c r="AG75" s="138"/>
      <c r="AH75" s="193">
        <f t="array" ref="AH75">SUM(AH11:AI11*AH24:AI24)/AH32</f>
        <v>0.25911446721950088</v>
      </c>
      <c r="AI75" s="138"/>
      <c r="AJ75" s="193">
        <f t="array" ref="AJ75">SUM(AJ11:AK11*AJ24:AK24)/AJ32</f>
        <v>0.26233040002345848</v>
      </c>
      <c r="AK75" s="138"/>
      <c r="AL75" s="193">
        <f t="array" ref="AL75">SUM(AL11:AM11*AL24:AM24)/AL32</f>
        <v>0.26555391608088935</v>
      </c>
      <c r="AM75" s="138"/>
      <c r="AN75" s="193">
        <f t="array" ref="AN75">SUM(AN11:AO11*AN24:AO24)/AN32</f>
        <v>0.26872552919239573</v>
      </c>
      <c r="AO75" s="138"/>
      <c r="AP75" s="193">
        <f t="array" ref="AP75">SUM(AP11:AQ11*AP24:AQ24)/AP32</f>
        <v>0.26934853801466985</v>
      </c>
      <c r="AQ75" s="138"/>
      <c r="AR75" s="193">
        <f t="array" ref="AR75">SUM(AR11:AS11*AR24:AS24)/AR32</f>
        <v>0.26996680738351236</v>
      </c>
      <c r="AS75" s="138"/>
      <c r="AT75" s="193">
        <f t="array" ref="AT75">SUM(AT11:AU11*AT24:AU24)/AT32</f>
        <v>0.27057996374685761</v>
      </c>
      <c r="AU75" s="138"/>
      <c r="AV75" s="193">
        <f t="array" ref="AV75">SUM(AV11:AW11*AV24:AW24)/AV32</f>
        <v>0.27118765927560168</v>
      </c>
      <c r="XFD75" s="193"/>
    </row>
    <row r="76" spans="1:48 16384:16384" x14ac:dyDescent="0.2">
      <c r="A76" t="s">
        <v>187</v>
      </c>
      <c r="B76" s="193">
        <f t="array" ref="B76">SUM(B12:C12*B25:C25)/B32</f>
        <v>0.22301874374724867</v>
      </c>
      <c r="D76" s="193">
        <f t="array" ref="D76">SUM(D12:E12*D25:E25)/D32</f>
        <v>0.22301484189582302</v>
      </c>
      <c r="E76" s="138"/>
      <c r="F76" s="193">
        <f t="array" ref="F76">SUM(F12:G12*F25:G25)/F32</f>
        <v>0.22305068292553129</v>
      </c>
      <c r="G76" s="138"/>
      <c r="H76" s="193">
        <f t="array" ref="H76">SUM(H12:I12*H25:I25)/H32</f>
        <v>0.22313001919100145</v>
      </c>
      <c r="I76" s="138"/>
      <c r="J76" s="193">
        <f t="array" ref="J76">SUM(J12:K12*J25:K25)/J32</f>
        <v>0.22325679761881076</v>
      </c>
      <c r="K76" s="138"/>
      <c r="L76" s="193">
        <f t="array" ref="L76">SUM(L12:M12*L25:M25)/L32</f>
        <v>0.2234350340392523</v>
      </c>
      <c r="M76" s="138"/>
      <c r="N76" s="193">
        <f t="array" ref="N76">SUM(N12:O12*N25:O25)/N32</f>
        <v>0.223668615252505</v>
      </c>
      <c r="O76" s="138"/>
      <c r="P76" s="193">
        <f t="array" ref="P76">SUM(P12:Q12*P25:Q25)/P32</f>
        <v>0.22396094732746627</v>
      </c>
      <c r="Q76" s="138"/>
      <c r="R76" s="193">
        <f t="array" ref="R76">SUM(R12:S12*R25:S25)/R32</f>
        <v>0.22431444003216755</v>
      </c>
      <c r="S76" s="138"/>
      <c r="T76" s="193">
        <f t="array" ref="T76">SUM(T12:U12*T25:U25)/T32</f>
        <v>0.22472970928248662</v>
      </c>
      <c r="U76" s="138"/>
      <c r="V76" s="193">
        <f t="array" ref="V76">SUM(V12:W12*V25:W25)/V32</f>
        <v>0.22520448420177666</v>
      </c>
      <c r="W76" s="138"/>
      <c r="X76" s="193">
        <f t="array" ref="X76">SUM(X12:Y12*X25:Y25)/X32</f>
        <v>0.2257321077934229</v>
      </c>
      <c r="Y76" s="138"/>
      <c r="Z76" s="193">
        <f t="array" ref="Z76">SUM(Z12:AA12*Z25:AA25)/Z32</f>
        <v>0.22629974926139504</v>
      </c>
      <c r="AA76" s="138"/>
      <c r="AB76" s="193">
        <f t="array" ref="AB76">SUM(AB12:AC12*AB25:AC25)/AB32</f>
        <v>0.22688659390785132</v>
      </c>
      <c r="AC76" s="138"/>
      <c r="AD76" s="193">
        <f t="array" ref="AD76">SUM(AD12:AE12*AD25:AE25)/AD32</f>
        <v>0.22746277000958967</v>
      </c>
      <c r="AE76" s="138"/>
      <c r="AF76" s="193">
        <f t="array" ref="AF76">SUM(AF12:AG12*AF25:AG25)/AF32</f>
        <v>0.22799028939831012</v>
      </c>
      <c r="AG76" s="138"/>
      <c r="AH76" s="193">
        <f t="array" ref="AH76">SUM(AH12:AI12*AH25:AI25)/AH32</f>
        <v>0.22842745890782423</v>
      </c>
      <c r="AI76" s="138"/>
      <c r="AJ76" s="193">
        <f t="array" ref="AJ76">SUM(AJ12:AK12*AJ25:AK25)/AJ32</f>
        <v>0.22873707817945937</v>
      </c>
      <c r="AK76" s="138"/>
      <c r="AL76" s="193">
        <f t="array" ref="AL76">SUM(AL12:AM12*AL25:AM25)/AL32</f>
        <v>0.22889605933961149</v>
      </c>
      <c r="AM76" s="138"/>
      <c r="AN76" s="193">
        <f t="array" ref="AN76">SUM(AN12:AO12*AN25:AO25)/AN32</f>
        <v>0.22890158752202824</v>
      </c>
      <c r="AO76" s="138"/>
      <c r="AP76" s="193">
        <f t="array" ref="AP76">SUM(AP12:AQ12*AP25:AQ25)/AP32</f>
        <v>0.22888545262460419</v>
      </c>
      <c r="AQ76" s="138"/>
      <c r="AR76" s="193">
        <f t="array" ref="AR76">SUM(AR12:AS12*AR25:AS25)/AR32</f>
        <v>0.22886400334430426</v>
      </c>
      <c r="AS76" s="138"/>
      <c r="AT76" s="193">
        <f t="array" ref="AT76">SUM(AT12:AU12*AT25:AU25)/AT32</f>
        <v>0.22883746274721037</v>
      </c>
      <c r="AU76" s="138"/>
      <c r="AV76" s="193">
        <f t="array" ref="AV76">SUM(AV12:AW12*AV25:AW25)/AV32</f>
        <v>0.22880606763358674</v>
      </c>
      <c r="XFD76" s="193"/>
    </row>
    <row r="77" spans="1:48 16384:16384" x14ac:dyDescent="0.2">
      <c r="A77" t="s">
        <v>188</v>
      </c>
      <c r="B77" s="193">
        <f t="array" ref="B77">SUM(B4:C4*B19:C19)/B32</f>
        <v>0.14586087017236485</v>
      </c>
      <c r="D77" s="193">
        <f t="array" ref="D77">SUM(D4:E4*D19:E19)/D32</f>
        <v>0.1458569699749607</v>
      </c>
      <c r="E77" s="138"/>
      <c r="F77" s="193">
        <f t="array" ref="F77">SUM(F4:G4*F19:G19)/F32</f>
        <v>0.14589280920621289</v>
      </c>
      <c r="G77" s="138"/>
      <c r="H77" s="193">
        <f t="array" ref="H77">SUM(H4:I4*H19:I19)/H32</f>
        <v>0.14597214535859349</v>
      </c>
      <c r="I77" s="138"/>
      <c r="J77" s="193">
        <f t="array" ref="J77">SUM(J4:K4*J19:K19)/J32</f>
        <v>0.14609892441688846</v>
      </c>
      <c r="K77" s="138"/>
      <c r="L77" s="193">
        <f t="array" ref="L77">SUM(L4:M4*L19:M19)/L32</f>
        <v>0.14627715993702584</v>
      </c>
      <c r="M77" s="138"/>
      <c r="N77" s="193">
        <f t="array" ref="N77">SUM(N4:O4*N19:O19)/N32</f>
        <v>0.14651074082502388</v>
      </c>
      <c r="O77" s="138"/>
      <c r="P77" s="193">
        <f t="array" ref="P77">SUM(P4:Q4*P19:Q19)/P32</f>
        <v>0.14680307612908255</v>
      </c>
      <c r="Q77" s="138"/>
      <c r="R77" s="193">
        <f t="array" ref="R77">SUM(R4:S4*R19:S19)/R32</f>
        <v>0.14715656616148762</v>
      </c>
      <c r="S77" s="138"/>
      <c r="T77" s="193">
        <f t="array" ref="T77">SUM(T4:U4*T19:U19)/T32</f>
        <v>0.14757183563666679</v>
      </c>
      <c r="U77" s="138"/>
      <c r="V77" s="193">
        <f t="array" ref="V77">SUM(V4:W4*V19:W19)/V32</f>
        <v>0.14804661041633724</v>
      </c>
      <c r="W77" s="138"/>
      <c r="X77" s="193">
        <f t="array" ref="X77">SUM(X4:Y4*X19:Y19)/X32</f>
        <v>0.14857423416547461</v>
      </c>
      <c r="Y77" s="138"/>
      <c r="Z77" s="193">
        <f t="array" ref="Z77">SUM(Z4:AA4*Z19:AA19)/Z32</f>
        <v>0.14914187576209445</v>
      </c>
      <c r="AA77" s="138"/>
      <c r="AB77" s="193">
        <f t="array" ref="AB77">SUM(AB4:AC4*AB19:AC19)/AB32</f>
        <v>0.14972872035798526</v>
      </c>
      <c r="AC77" s="138"/>
      <c r="AD77" s="193">
        <f t="array" ref="AD77">SUM(AD4:AE4*AD19:AE19)/AD32</f>
        <v>0.15030489569077965</v>
      </c>
      <c r="AE77" s="138"/>
      <c r="AF77" s="193">
        <f t="array" ref="AF77">SUM(AF4:AG4*AF19:AG19)/AF32</f>
        <v>0.15083241583927129</v>
      </c>
      <c r="AG77" s="138"/>
      <c r="AH77" s="193">
        <f t="array" ref="AH77">SUM(AH4:AI4*AH19:AI19)/AH32</f>
        <v>0.15126958535847601</v>
      </c>
      <c r="AI77" s="138"/>
      <c r="AJ77" s="193">
        <f t="array" ref="AJ77">SUM(AJ4:AK4*AJ19:AK19)/AJ32</f>
        <v>0.15157920461170796</v>
      </c>
      <c r="AK77" s="138"/>
      <c r="AL77" s="193">
        <f t="array" ref="AL77">SUM(AL4:AM4*AL19:AM19)/AL32</f>
        <v>0.15173818567372219</v>
      </c>
      <c r="AM77" s="138"/>
      <c r="AN77" s="193">
        <f t="array" ref="AN77">SUM(AN4:AO4*AN19:AO19)/AN32</f>
        <v>0.1517437152378644</v>
      </c>
      <c r="AO77" s="138"/>
      <c r="AP77" s="193">
        <f t="array" ref="AP77">SUM(AP4:AQ4*AP19:AQ19)/AP32</f>
        <v>0.15172757991085159</v>
      </c>
      <c r="AQ77" s="138"/>
      <c r="AR77" s="193">
        <f t="array" ref="AR77">SUM(AR4:AS4*AR19:AS19)/AR32</f>
        <v>0.15170612907754819</v>
      </c>
      <c r="AS77" s="138"/>
      <c r="AT77" s="193">
        <f t="array" ref="AT77">SUM(AT4:AU4*AT19:AU19)/AT32</f>
        <v>0.15167958757102515</v>
      </c>
      <c r="AU77" s="138"/>
      <c r="AV77" s="193">
        <f t="array" ref="AV77">SUM(AV4:AW4*AV19:AW19)/AV32</f>
        <v>0.15164819475197486</v>
      </c>
      <c r="XFD77" s="193"/>
    </row>
    <row r="78" spans="1:48 16384:16384" x14ac:dyDescent="0.2">
      <c r="A78" t="s">
        <v>189</v>
      </c>
      <c r="B78" s="193">
        <f t="array" ref="B78">SUM(B13:C13*B26:C26)/B32</f>
        <v>0.346887593115773</v>
      </c>
      <c r="D78" s="193">
        <f t="array" ref="D78">SUM(D13:E13*D26:E26)/D32</f>
        <v>0.34597554886057974</v>
      </c>
      <c r="E78" s="138"/>
      <c r="F78" s="193">
        <f t="array" ref="F78">SUM(F13:G13*F26:G26)/F32</f>
        <v>0.34503972156812102</v>
      </c>
      <c r="G78" s="138"/>
      <c r="H78" s="193">
        <f t="array" ref="H78">SUM(H13:I13*H26:I26)/H32</f>
        <v>0.34407955285470398</v>
      </c>
      <c r="I78" s="138"/>
      <c r="J78" s="193">
        <f t="array" ref="J78">SUM(J13:K13*J26:K26)/J32</f>
        <v>0.34309471163493249</v>
      </c>
      <c r="K78" s="138"/>
      <c r="L78" s="193">
        <f t="array" ref="L78">SUM(L13:M13*L26:M26)/L32</f>
        <v>0.34208517848559944</v>
      </c>
      <c r="M78" s="138"/>
      <c r="N78" s="193">
        <f t="array" ref="N78">SUM(N13:O13*N26:O26)/N32</f>
        <v>0.34105138175906391</v>
      </c>
      <c r="O78" s="138"/>
      <c r="P78" s="193">
        <f t="array" ref="P78">SUM(P13:Q13*P26:Q26)/P32</f>
        <v>0.33999430125904778</v>
      </c>
      <c r="Q78" s="138"/>
      <c r="R78" s="193">
        <f t="array" ref="R78">SUM(R13:S13*R26:S26)/R32</f>
        <v>0.33891564242144473</v>
      </c>
      <c r="S78" s="138"/>
      <c r="T78" s="193">
        <f t="array" ref="T78">SUM(T13:U13*T26:U26)/T32</f>
        <v>0.33781803083167644</v>
      </c>
      <c r="U78" s="138"/>
      <c r="V78" s="193">
        <f t="array" ref="V78">SUM(V13:W13*V26:W26)/V32</f>
        <v>0.33670524222613685</v>
      </c>
      <c r="W78" s="138"/>
      <c r="X78" s="193">
        <f t="array" ref="X78">SUM(X13:Y13*X26:Y26)/X32</f>
        <v>0.33558244890958405</v>
      </c>
      <c r="Y78" s="138"/>
      <c r="Z78" s="193">
        <f t="array" ref="Z78">SUM(Z13:AA13*Z26:AA26)/Z32</f>
        <v>0.33445649477487155</v>
      </c>
      <c r="AA78" s="138"/>
      <c r="AB78" s="193">
        <f t="array" ref="AB78">SUM(AB13:AC13*AB26:AC26)/AB32</f>
        <v>0.33333612605118113</v>
      </c>
      <c r="AC78" s="138"/>
      <c r="AD78" s="193">
        <f t="array" ref="AD78">SUM(AD13:AE13*AD26:AE26)/AD32</f>
        <v>0.33223210990770113</v>
      </c>
      <c r="AE78" s="138"/>
      <c r="AF78" s="193">
        <f t="array" ref="AF78">SUM(AF13:AG13*AF26:AG26)/AF32</f>
        <v>0.33115707970311253</v>
      </c>
      <c r="AG78" s="138"/>
      <c r="AH78" s="193">
        <f t="array" ref="AH78">SUM(AH13:AI13*AH26:AI26)/AH32</f>
        <v>0.33012490198956124</v>
      </c>
      <c r="AI78" s="138"/>
      <c r="AJ78" s="193">
        <f t="array" ref="AJ78">SUM(AJ13:AK13*AJ26:AK26)/AJ32</f>
        <v>0.32914935015057584</v>
      </c>
      <c r="AK78" s="138"/>
      <c r="AL78" s="193">
        <f t="array" ref="AL78">SUM(AL13:AM13*AL26:AM26)/AL32</f>
        <v>0.32824220976632884</v>
      </c>
      <c r="AM78" s="138"/>
      <c r="AN78" s="193">
        <f t="array" ref="AN78">SUM(AN13:AO13*AN26:AO26)/AN32</f>
        <v>0.32741138531921982</v>
      </c>
      <c r="AO78" s="138"/>
      <c r="AP78" s="193">
        <f t="array" ref="AP78">SUM(AP13:AQ13*AP26:AQ26)/AP32</f>
        <v>0.32725472545145129</v>
      </c>
      <c r="AQ78" s="138"/>
      <c r="AR78" s="193">
        <f t="array" ref="AR78">SUM(AR13:AS13*AR26:AS26)/AR32</f>
        <v>0.3271012511608703</v>
      </c>
      <c r="AS78" s="138"/>
      <c r="AT78" s="193">
        <f t="array" ref="AT78">SUM(AT13:AU13*AT26:AU26)/AT32</f>
        <v>0.3269509525111251</v>
      </c>
      <c r="AU78" s="138"/>
      <c r="AV78" s="193">
        <f t="array" ref="AV78">SUM(AV13:AW13*AV26:AW26)/AV32</f>
        <v>0.32680381325624669</v>
      </c>
      <c r="XFD78" s="193"/>
    </row>
    <row r="79" spans="1:48 16384:16384" x14ac:dyDescent="0.2">
      <c r="A79" t="s">
        <v>190</v>
      </c>
      <c r="B79" s="193">
        <f t="array" ref="B79">SUM(B15:C15*B27:C27)/B32</f>
        <v>0.45460968782440808</v>
      </c>
      <c r="D79" s="193">
        <f t="array" ref="D79">SUM(D15:E15*D27:E27)/D32</f>
        <v>0.45230671881845352</v>
      </c>
      <c r="F79" s="193">
        <f t="array" ref="F79">SUM(F15:G15*F27:G27)/F32</f>
        <v>0.44996303840705859</v>
      </c>
      <c r="H79" s="193">
        <f t="array" ref="H79">SUM(H15:I15*H27:I27)/H32</f>
        <v>0.44757148896167287</v>
      </c>
      <c r="J79" s="193">
        <f t="array" ref="J79">SUM(J15:K15*J27:K27)/J32</f>
        <v>0.4451236879159276</v>
      </c>
      <c r="L79" s="193">
        <f t="array" ref="L79">SUM(L15:M15*L27:M27)/L32</f>
        <v>0.44260979761637897</v>
      </c>
      <c r="N79" s="193">
        <f t="array" ref="N79">SUM(N15:O15*N27:O27)/N32</f>
        <v>0.44001833961003783</v>
      </c>
      <c r="P79" s="193">
        <f t="array" ref="P79">SUM(P15:Q15*P27:Q27)/P32</f>
        <v>0.43733585148100068</v>
      </c>
      <c r="R79" s="193">
        <f t="array" ref="R79">SUM(R15:S15*R27:S27)/R32</f>
        <v>0.43454665154068878</v>
      </c>
      <c r="T79" s="193">
        <f t="array" ref="T79">SUM(T15:U15*T27:U27)/T32</f>
        <v>0.43163262366639887</v>
      </c>
      <c r="V79" s="193">
        <f t="array" ref="V79">SUM(V15:W15*V27:W27)/V32</f>
        <v>0.42857324075136793</v>
      </c>
      <c r="X79" s="193">
        <f t="array" ref="X79">SUM(X15:Y15*X27:Y27)/X32</f>
        <v>0.42534595220725235</v>
      </c>
      <c r="Z79" s="193">
        <f t="array" ref="Z79">SUM(Z15:AA15*Z27:AA27)/Z32</f>
        <v>0.42192744810568877</v>
      </c>
      <c r="AB79" s="193">
        <f t="array" ref="AB79">SUM(AB15:AC15*AB27:AC27)/AB32</f>
        <v>0.41829628875966501</v>
      </c>
      <c r="AD79" s="193">
        <f t="array" ref="AD79">SUM(AD15:AE15*AD27:AE27)/AD32</f>
        <v>0.41443762057368089</v>
      </c>
      <c r="AF79" s="193">
        <f t="array" ref="AF79">SUM(AF15:AG15*AF27:AG27)/AF32</f>
        <v>0.41035026225179683</v>
      </c>
      <c r="AH79" s="193">
        <f t="array" ref="AH79">SUM(AH15:AI15*AH27:AI27)/AH32</f>
        <v>0.40605508918154787</v>
      </c>
      <c r="AJ79" s="193">
        <f t="array" ref="AJ79">SUM(AJ15:AK15*AJ27:AK27)/AJ32</f>
        <v>0.40160126032126836</v>
      </c>
      <c r="AL79" s="193">
        <f t="array" ref="AL79">SUM(AL15:AM15*AL27:AM27)/AL32</f>
        <v>0.39706522788340887</v>
      </c>
      <c r="AN79" s="193">
        <f t="array" ref="AN79">SUM(AN15:AO15*AN27:AO27)/AN32</f>
        <v>0.39253966433616216</v>
      </c>
      <c r="AP79" s="193">
        <f t="array" ref="AP79">SUM(AP15:AQ15*AP27:AQ27)/AP32</f>
        <v>0.39164406180885025</v>
      </c>
      <c r="AR79" s="193">
        <f t="array" ref="AR79">SUM(AR15:AS15*AR27:AS27)/AR32</f>
        <v>0.39075325431771463</v>
      </c>
      <c r="AT79" s="193">
        <f t="array" ref="AT79">SUM(AT15:AU15*AT27:AU27)/AT32</f>
        <v>0.38986787945332591</v>
      </c>
      <c r="AV79" s="193">
        <f t="array" ref="AV79">SUM(AV15:AW15*AV27:AW27)/AV32</f>
        <v>0.38898853921668819</v>
      </c>
      <c r="XFD79" s="193"/>
    </row>
    <row r="80" spans="1:48 16384:16384" x14ac:dyDescent="0.2">
      <c r="A80" t="s">
        <v>169</v>
      </c>
      <c r="B80" s="236">
        <f>B55</f>
        <v>0.19850271905982084</v>
      </c>
      <c r="D80" s="236">
        <f>D55</f>
        <v>0.20171774272651805</v>
      </c>
      <c r="F80" s="236">
        <f>F55</f>
        <v>0.20499723863424388</v>
      </c>
      <c r="H80" s="236">
        <f>H55</f>
        <v>0.20834895589258023</v>
      </c>
      <c r="J80" s="236">
        <f>J55</f>
        <v>0.21178160986011896</v>
      </c>
      <c r="L80" s="236">
        <f>L55</f>
        <v>0.21530501952588602</v>
      </c>
      <c r="N80" s="236">
        <f>N55</f>
        <v>0.21893027158822656</v>
      </c>
      <c r="P80" s="236">
        <f>P55</f>
        <v>0.22266984503239073</v>
      </c>
      <c r="R80" s="236">
        <f>R55</f>
        <v>0.22653770869174589</v>
      </c>
      <c r="T80" s="236">
        <f>T55</f>
        <v>0.23054934663787108</v>
      </c>
      <c r="V80" s="236">
        <f>V55</f>
        <v>0.23472152064110258</v>
      </c>
      <c r="X80" s="236">
        <f>X55</f>
        <v>0.23907159823619337</v>
      </c>
      <c r="Z80" s="236">
        <f>Z55</f>
        <v>0.24361605339896722</v>
      </c>
      <c r="AB80" s="236">
        <f>AB55</f>
        <v>0.24836758422491378</v>
      </c>
      <c r="AD80" s="236">
        <f>AD55</f>
        <v>0.25333027265005909</v>
      </c>
      <c r="AF80" s="236">
        <f>AF55</f>
        <v>0.2584926573117754</v>
      </c>
      <c r="AH80" s="236">
        <f>AH55</f>
        <v>0.26382000652013204</v>
      </c>
      <c r="AJ80" s="236">
        <f>AJ55</f>
        <v>0.26924939123124053</v>
      </c>
      <c r="AL80" s="236">
        <f>AL55</f>
        <v>0.27469256177570445</v>
      </c>
      <c r="AN80" s="236">
        <f>AN55</f>
        <v>0.28004895691495557</v>
      </c>
      <c r="AP80" s="236">
        <f>AP55</f>
        <v>0.28110121631447255</v>
      </c>
      <c r="AR80" s="236">
        <f>AR55</f>
        <v>0.28214549152670276</v>
      </c>
      <c r="AT80" s="236">
        <f>AT55</f>
        <v>0.2831811607714399</v>
      </c>
      <c r="AV80" s="236">
        <f>AV55</f>
        <v>0.28420765046120755</v>
      </c>
      <c r="XFD80" s="236"/>
    </row>
    <row r="81" spans="1:48 16384:16384" x14ac:dyDescent="0.2">
      <c r="A81" t="s">
        <v>191</v>
      </c>
      <c r="B81" s="236">
        <f>B51/B$32</f>
        <v>-2.7543485504603994E-2</v>
      </c>
      <c r="D81" s="236">
        <f>D51/D$32</f>
        <v>-2.4328461837906816E-2</v>
      </c>
      <c r="F81" s="236">
        <f>F51/F$32</f>
        <v>-2.104896593018097E-2</v>
      </c>
      <c r="H81" s="236">
        <f>H51/H$32</f>
        <v>-1.7697248671844606E-2</v>
      </c>
      <c r="J81" s="236">
        <f>J51/J$32</f>
        <v>-1.4264594704305886E-2</v>
      </c>
      <c r="L81" s="236">
        <f>L51/L$32</f>
        <v>-1.0741185038538818E-2</v>
      </c>
      <c r="N81" s="236">
        <f>N51/N$32</f>
        <v>-7.1159329761982951E-3</v>
      </c>
      <c r="P81" s="236">
        <f>P51/P$32</f>
        <v>-3.3763595320341205E-3</v>
      </c>
      <c r="R81" s="236">
        <f>R51/R$32</f>
        <v>4.9150412732102929E-4</v>
      </c>
      <c r="T81" s="236">
        <f>T51/T$32</f>
        <v>4.5031420734462273E-3</v>
      </c>
      <c r="V81" s="236">
        <f>V51/V$32</f>
        <v>8.6753160766777342E-3</v>
      </c>
      <c r="X81" s="236">
        <f>X51/X$32</f>
        <v>1.302539367176854E-2</v>
      </c>
      <c r="Z81" s="236">
        <f>Z51/Z$32</f>
        <v>1.7569848834542365E-2</v>
      </c>
      <c r="AB81" s="236">
        <f>AB51/AB$32</f>
        <v>2.2321379660488957E-2</v>
      </c>
      <c r="AD81" s="236">
        <f>AD51/AD$32</f>
        <v>2.7284068085634251E-2</v>
      </c>
      <c r="AF81" s="236">
        <f>AF51/AF$32</f>
        <v>3.2446452747350529E-2</v>
      </c>
      <c r="AH81" s="236">
        <f>AH51/AH$32</f>
        <v>3.7773801955707231E-2</v>
      </c>
      <c r="AJ81" s="236">
        <f>AJ51/AJ$32</f>
        <v>4.3203186666815677E-2</v>
      </c>
      <c r="AL81" s="236">
        <f>AL51/AL$32</f>
        <v>4.8646357211279571E-2</v>
      </c>
      <c r="AN81" s="236">
        <f>AN51/AN$32</f>
        <v>5.4002752350530751E-2</v>
      </c>
      <c r="AP81" s="236">
        <f>AP51/AP$32</f>
        <v>5.5055011750047698E-2</v>
      </c>
      <c r="AR81" s="236">
        <f>AR51/AR$32</f>
        <v>5.609928696227795E-2</v>
      </c>
      <c r="AT81" s="236">
        <f>AT51/AT$32</f>
        <v>5.7134956207015031E-2</v>
      </c>
      <c r="AV81" s="236">
        <f>AV51/AV$32</f>
        <v>5.8161445896782731E-2</v>
      </c>
      <c r="XFD81" s="236"/>
    </row>
    <row r="82" spans="1:48 16384:16384" x14ac:dyDescent="0.2">
      <c r="A82" t="s">
        <v>192</v>
      </c>
      <c r="B82" s="236">
        <f>B52/B$32</f>
        <v>0.13907860278212886</v>
      </c>
      <c r="D82" s="236">
        <f>D52/D$32</f>
        <v>0.1387129343546466</v>
      </c>
      <c r="F82" s="236">
        <f>F52/F$32</f>
        <v>0.13833773052820966</v>
      </c>
      <c r="H82" s="236">
        <f>H52/H$32</f>
        <v>0.1379527674284986</v>
      </c>
      <c r="J82" s="236">
        <f>J52/J$32</f>
        <v>0.1375579123125292</v>
      </c>
      <c r="L82" s="236">
        <f>L52/L$32</f>
        <v>0.13715315739290135</v>
      </c>
      <c r="N82" s="236">
        <f>N52/N$32</f>
        <v>0.13673867441011181</v>
      </c>
      <c r="P82" s="236">
        <f>P52/P$32</f>
        <v>0.1363148561995787</v>
      </c>
      <c r="R82" s="236">
        <f>R52/R$32</f>
        <v>0.13588238652643483</v>
      </c>
      <c r="T82" s="236">
        <f>T52/T$32</f>
        <v>0.13544231807391025</v>
      </c>
      <c r="V82" s="236">
        <f>V52/V$32</f>
        <v>0.1349961646584473</v>
      </c>
      <c r="X82" s="236">
        <f>X52/X$32</f>
        <v>0.13454600002650799</v>
      </c>
      <c r="Z82" s="236">
        <f>Z52/Z$32</f>
        <v>0.13409456811899578</v>
      </c>
      <c r="AB82" s="236">
        <f>AB52/AB$32</f>
        <v>0.13364537558578327</v>
      </c>
      <c r="AD82" s="236">
        <f>AD52/AD$32</f>
        <v>0.13320273933781326</v>
      </c>
      <c r="AF82" s="236">
        <f>AF52/AF$32</f>
        <v>0.13277172450254685</v>
      </c>
      <c r="AH82" s="236">
        <f>AH52/AH$32</f>
        <v>0.13235789063511399</v>
      </c>
      <c r="AJ82" s="236">
        <f>AJ52/AJ$32</f>
        <v>0.13196675993629323</v>
      </c>
      <c r="AL82" s="236">
        <f>AL52/AL$32</f>
        <v>0.13160305763136182</v>
      </c>
      <c r="AN82" s="236">
        <f>AN52/AN$32</f>
        <v>0.13126995288632531</v>
      </c>
      <c r="AP82" s="236">
        <f>AP52/AP$32</f>
        <v>0.13120714281195631</v>
      </c>
      <c r="AR82" s="236">
        <f>AR52/AR$32</f>
        <v>0.13114560993986579</v>
      </c>
      <c r="AT82" s="236">
        <f>AT52/AT$32</f>
        <v>0.13108535028624474</v>
      </c>
      <c r="AV82" s="236">
        <f>AV52/AV$32</f>
        <v>0.1310263573375518</v>
      </c>
    </row>
    <row r="83" spans="1:48 16384:16384" x14ac:dyDescent="0.2">
      <c r="A83" t="s">
        <v>193</v>
      </c>
      <c r="B83" s="236">
        <f>B53/B$32</f>
        <v>0.18600714462930004</v>
      </c>
      <c r="D83" s="236">
        <f>D53/D$32</f>
        <v>0.18506486666989844</v>
      </c>
      <c r="F83" s="236">
        <f>F53/F$32</f>
        <v>0.184105931317391</v>
      </c>
      <c r="H83" s="236">
        <f>H53/H$32</f>
        <v>0.18312740997151988</v>
      </c>
      <c r="J83" s="236">
        <f>J53/J$32</f>
        <v>0.18212587283904338</v>
      </c>
      <c r="L83" s="236">
        <f>L53/L$32</f>
        <v>0.18109729476634967</v>
      </c>
      <c r="N83" s="236">
        <f>N53/N$32</f>
        <v>0.18003697925373252</v>
      </c>
      <c r="P83" s="236">
        <f>P53/P$32</f>
        <v>0.17893941804738858</v>
      </c>
      <c r="R83" s="236">
        <f>R53/R$32</f>
        <v>0.17779819486056989</v>
      </c>
      <c r="T83" s="236">
        <f>T53/T$32</f>
        <v>0.17660589733857729</v>
      </c>
      <c r="V83" s="236">
        <f>V53/V$32</f>
        <v>0.17535412665353997</v>
      </c>
      <c r="X83" s="236">
        <f>X53/X$32</f>
        <v>0.17403365605411522</v>
      </c>
      <c r="Z83" s="236">
        <f>Z53/Z$32</f>
        <v>0.17263494809899352</v>
      </c>
      <c r="AB83" s="236">
        <f>AB53/AB$32</f>
        <v>0.17114923057088677</v>
      </c>
      <c r="AD83" s="236">
        <f>AD53/AD$32</f>
        <v>0.1695704260038709</v>
      </c>
      <c r="AF83" s="236">
        <f>AF53/AF$32</f>
        <v>0.16789805106138153</v>
      </c>
      <c r="AH83" s="236">
        <f>AH53/AH$32</f>
        <v>0.16614064707311837</v>
      </c>
      <c r="AJ83" s="236">
        <f>AJ53/AJ$32</f>
        <v>0.16431832781517916</v>
      </c>
      <c r="AL83" s="236">
        <f>AL53/AL$32</f>
        <v>0.16246237431416616</v>
      </c>
      <c r="AN83" s="236">
        <f>AN53/AN$32</f>
        <v>0.16061070424243876</v>
      </c>
      <c r="AP83" s="236">
        <f>AP53/AP$32</f>
        <v>0.16024426139423351</v>
      </c>
      <c r="AR83" s="236">
        <f>AR53/AR$32</f>
        <v>0.15987978047295465</v>
      </c>
      <c r="AT83" s="236">
        <f>AT53/AT$32</f>
        <v>0.15951752235382033</v>
      </c>
      <c r="AV83" s="236">
        <f>AV53/AV$32</f>
        <v>0.15915773335029648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c r="AR1" s="94"/>
      <c r="AT1" s="94"/>
      <c r="AV1" s="94"/>
    </row>
    <row r="2" spans="1:49" x14ac:dyDescent="0.2">
      <c r="A2" s="229" t="s">
        <v>155</v>
      </c>
      <c r="B2" s="226">
        <v>5.7716594496607888E-3</v>
      </c>
      <c r="C2" s="227"/>
      <c r="D2" s="226">
        <v>4.2982762204895983E-2</v>
      </c>
      <c r="E2" s="227"/>
      <c r="F2" s="226">
        <v>8.2561188105078356E-2</v>
      </c>
      <c r="G2" s="227"/>
      <c r="H2" s="226">
        <v>0.12466623160997088</v>
      </c>
      <c r="I2" s="227"/>
      <c r="J2" s="226">
        <v>0.16945365998887768</v>
      </c>
      <c r="K2" s="227"/>
      <c r="L2" s="226">
        <v>0.21707002126271158</v>
      </c>
      <c r="M2" s="227"/>
      <c r="N2" s="226">
        <v>0.267648632691665</v>
      </c>
      <c r="O2" s="227"/>
      <c r="P2" s="226">
        <v>0.32131119654021822</v>
      </c>
      <c r="Q2" s="227"/>
      <c r="R2" s="226">
        <v>0.37818854325200674</v>
      </c>
      <c r="S2" s="227"/>
      <c r="T2" s="226">
        <v>0.43848882588914795</v>
      </c>
      <c r="U2" s="227"/>
      <c r="V2" s="226">
        <v>0.50267435385928738</v>
      </c>
      <c r="W2" s="227"/>
      <c r="X2" s="226">
        <v>0.57187823279593042</v>
      </c>
      <c r="Y2" s="227"/>
      <c r="Z2" s="226">
        <v>0.64883200718540224</v>
      </c>
      <c r="AA2" s="227"/>
      <c r="AB2" s="226">
        <v>0.73987066798628642</v>
      </c>
      <c r="AC2" s="227"/>
      <c r="AD2" s="226">
        <v>0.85928869014376175</v>
      </c>
      <c r="AE2" s="227"/>
      <c r="AF2" s="226">
        <v>1.0395784179464795</v>
      </c>
      <c r="AG2" s="227"/>
      <c r="AH2" s="226">
        <v>1.3606052134043376</v>
      </c>
      <c r="AI2" s="227"/>
      <c r="AJ2" s="226">
        <v>2.0577805505103837</v>
      </c>
      <c r="AK2" s="227"/>
      <c r="AL2" s="226">
        <v>4.0410941513062282</v>
      </c>
      <c r="AM2" s="227"/>
      <c r="AN2" s="226">
        <v>12.879091059900496</v>
      </c>
      <c r="AO2" s="227"/>
      <c r="AP2" s="226"/>
      <c r="AQ2" s="227"/>
      <c r="AR2" s="226"/>
      <c r="AS2" s="227"/>
      <c r="AT2" s="226"/>
      <c r="AU2" s="227"/>
      <c r="AV2" s="226"/>
      <c r="AW2" s="227"/>
    </row>
    <row r="3" spans="1:49" x14ac:dyDescent="0.2">
      <c r="A3" t="s">
        <v>12</v>
      </c>
      <c r="B3" s="84">
        <v>1000</v>
      </c>
      <c r="C3" s="85">
        <v>1000</v>
      </c>
      <c r="D3" s="84">
        <v>999.22289203843627</v>
      </c>
      <c r="E3" s="85">
        <v>1018.0697567205763</v>
      </c>
      <c r="F3" s="84">
        <v>998.84014288262688</v>
      </c>
      <c r="G3" s="85">
        <v>1037.9356439002322</v>
      </c>
      <c r="H3" s="84">
        <v>998.95334535620111</v>
      </c>
      <c r="I3" s="85">
        <v>1059.8232323829786</v>
      </c>
      <c r="J3" s="84">
        <v>999.69814342015695</v>
      </c>
      <c r="K3" s="85">
        <v>1083.9948026227396</v>
      </c>
      <c r="L3" s="84">
        <v>1001.257994809209</v>
      </c>
      <c r="M3" s="85">
        <v>1110.7591571700939</v>
      </c>
      <c r="N3" s="84">
        <v>1003.8841296435954</v>
      </c>
      <c r="O3" s="85">
        <v>1140.4876611678358</v>
      </c>
      <c r="P3" s="84">
        <v>1007.9254000004858</v>
      </c>
      <c r="Q3" s="85">
        <v>1173.6417188715757</v>
      </c>
      <c r="R3" s="84">
        <v>1013.8731392509969</v>
      </c>
      <c r="S3" s="85">
        <v>1210.8234497196593</v>
      </c>
      <c r="T3" s="84">
        <v>1022.4290209206052</v>
      </c>
      <c r="U3" s="85">
        <v>1252.8722583476747</v>
      </c>
      <c r="V3" s="84">
        <v>1034.6103362142292</v>
      </c>
      <c r="W3" s="85">
        <v>1301.0519070428263</v>
      </c>
      <c r="X3" s="84">
        <v>1051.9126874434444</v>
      </c>
      <c r="Y3" s="85">
        <v>1357.4164910861221</v>
      </c>
      <c r="Z3" s="84">
        <v>1076.5657290812449</v>
      </c>
      <c r="AA3" s="85">
        <v>1425.5263570415227</v>
      </c>
      <c r="AB3" s="84">
        <v>1111.9452345539401</v>
      </c>
      <c r="AC3" s="85">
        <v>1511.8585348802617</v>
      </c>
      <c r="AD3" s="84">
        <v>1163.3010920141649</v>
      </c>
      <c r="AE3" s="85">
        <v>1628.6830094722075</v>
      </c>
      <c r="AF3" s="84">
        <v>1239.3356961621673</v>
      </c>
      <c r="AG3" s="85">
        <v>1800.5813002960067</v>
      </c>
      <c r="AH3" s="84">
        <v>1356.548957070504</v>
      </c>
      <c r="AI3" s="85">
        <v>2082.4452411550133</v>
      </c>
      <c r="AJ3" s="84">
        <v>1553.0306800637522</v>
      </c>
      <c r="AK3" s="85">
        <v>2622.4316069361148</v>
      </c>
      <c r="AL3" s="84">
        <v>1935.2539558447054</v>
      </c>
      <c r="AM3" s="85">
        <v>3939.4485416289622</v>
      </c>
      <c r="AN3" s="84">
        <v>2906.4630676869238</v>
      </c>
      <c r="AO3" s="85">
        <v>8900.8613120981554</v>
      </c>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c r="AQ4" s="102"/>
      <c r="AR4" s="101"/>
      <c r="AS4" s="102"/>
      <c r="AT4" s="101"/>
      <c r="AU4" s="102"/>
      <c r="AV4" s="101"/>
      <c r="AW4" s="102"/>
    </row>
    <row r="5" spans="1:49" x14ac:dyDescent="0.2">
      <c r="A5" t="s">
        <v>128</v>
      </c>
      <c r="B5" s="41">
        <v>1000</v>
      </c>
      <c r="C5" s="42">
        <v>1000</v>
      </c>
      <c r="D5" s="41">
        <v>999.18445285928874</v>
      </c>
      <c r="E5" s="42">
        <v>1015.7282701271087</v>
      </c>
      <c r="F5" s="41">
        <v>998.78267327008098</v>
      </c>
      <c r="G5" s="42">
        <v>1032.7036495161333</v>
      </c>
      <c r="H5" s="41">
        <v>998.90151091990276</v>
      </c>
      <c r="I5" s="42">
        <v>1051.0264131143163</v>
      </c>
      <c r="J5" s="41">
        <v>999.68324383609547</v>
      </c>
      <c r="K5" s="42">
        <v>1070.8023041185352</v>
      </c>
      <c r="L5" s="41">
        <v>1001.3196572235031</v>
      </c>
      <c r="M5" s="42">
        <v>1092.1430817096571</v>
      </c>
      <c r="N5" s="41">
        <v>1004.0722829036384</v>
      </c>
      <c r="O5" s="42">
        <v>1115.1693143892874</v>
      </c>
      <c r="P5" s="41">
        <v>1008.3023576519967</v>
      </c>
      <c r="Q5" s="42">
        <v>1140.0174422819632</v>
      </c>
      <c r="R5" s="41">
        <v>1014.5152428794188</v>
      </c>
      <c r="S5" s="42">
        <v>1166.8561996536635</v>
      </c>
      <c r="T5" s="41">
        <v>1023.4264776172114</v>
      </c>
      <c r="U5" s="42">
        <v>1195.92158848802</v>
      </c>
      <c r="V5" s="41">
        <v>1036.06209610422</v>
      </c>
      <c r="W5" s="42">
        <v>1227.5824205072702</v>
      </c>
      <c r="X5" s="41">
        <v>1053.9093628937358</v>
      </c>
      <c r="Y5" s="42">
        <v>1262.4584947902881</v>
      </c>
      <c r="Z5" s="41">
        <v>1079.1455524871749</v>
      </c>
      <c r="AA5" s="42">
        <v>1301.6064251289558</v>
      </c>
      <c r="AB5" s="41">
        <v>1114.9917013456486</v>
      </c>
      <c r="AC5" s="42">
        <v>1346.7632041837828</v>
      </c>
      <c r="AD5" s="41">
        <v>1166.3165765017691</v>
      </c>
      <c r="AE5" s="42">
        <v>1400.5308270026994</v>
      </c>
      <c r="AF5" s="41">
        <v>1240.9373985951288</v>
      </c>
      <c r="AG5" s="42">
        <v>1466.138930851155</v>
      </c>
      <c r="AH5" s="41">
        <v>1353.2164750813854</v>
      </c>
      <c r="AI5" s="42">
        <v>1545.8649104901285</v>
      </c>
      <c r="AJ5" s="41">
        <v>1535.1863695942402</v>
      </c>
      <c r="AK5" s="42">
        <v>1635.6503417372066</v>
      </c>
      <c r="AL5" s="41">
        <v>1871.1787223076274</v>
      </c>
      <c r="AM5" s="42">
        <v>1713.1007923015823</v>
      </c>
      <c r="AN5" s="41">
        <v>2642.5021696097033</v>
      </c>
      <c r="AO5" s="42">
        <v>1746.7401965326387</v>
      </c>
      <c r="AP5" s="41"/>
      <c r="AQ5" s="42"/>
      <c r="AR5" s="41"/>
      <c r="AS5" s="42"/>
      <c r="AT5" s="41"/>
      <c r="AU5" s="42"/>
      <c r="AV5" s="41"/>
      <c r="AW5" s="42"/>
    </row>
    <row r="6" spans="1:49" x14ac:dyDescent="0.2">
      <c r="A6" t="s">
        <v>77</v>
      </c>
      <c r="B6" s="41">
        <v>999.99999999999943</v>
      </c>
      <c r="C6" s="42">
        <v>999.99999999999909</v>
      </c>
      <c r="D6" s="41">
        <v>999.12212637533344</v>
      </c>
      <c r="E6" s="42">
        <v>1019.4778484355345</v>
      </c>
      <c r="F6" s="41">
        <v>998.68968192546902</v>
      </c>
      <c r="G6" s="42">
        <v>1040.8321642542487</v>
      </c>
      <c r="H6" s="41">
        <v>998.817586840903</v>
      </c>
      <c r="I6" s="42">
        <v>1064.2932050836014</v>
      </c>
      <c r="J6" s="41">
        <v>999.65902345411575</v>
      </c>
      <c r="K6" s="42">
        <v>1090.1284890668214</v>
      </c>
      <c r="L6" s="41">
        <v>1001.4207415093103</v>
      </c>
      <c r="M6" s="42">
        <v>1118.6529041963379</v>
      </c>
      <c r="N6" s="41">
        <v>1004.3851383563192</v>
      </c>
      <c r="O6" s="42">
        <v>1150.2453175878238</v>
      </c>
      <c r="P6" s="41">
        <v>1008.9430843512883</v>
      </c>
      <c r="Q6" s="42">
        <v>1185.3770877708041</v>
      </c>
      <c r="R6" s="41">
        <v>1015.6428832772242</v>
      </c>
      <c r="S6" s="42">
        <v>1224.6646907461914</v>
      </c>
      <c r="T6" s="41">
        <v>1025.2636391302935</v>
      </c>
      <c r="U6" s="42">
        <v>1268.9699253180891</v>
      </c>
      <c r="V6" s="41">
        <v>1038.9278644829026</v>
      </c>
      <c r="W6" s="42">
        <v>1319.5936933295134</v>
      </c>
      <c r="X6" s="41">
        <v>1058.2731819145156</v>
      </c>
      <c r="Y6" s="42">
        <v>1378.6542707722965</v>
      </c>
      <c r="Z6" s="41">
        <v>1085.7183223906779</v>
      </c>
      <c r="AA6" s="42">
        <v>1449.8254082060919</v>
      </c>
      <c r="AB6" s="41">
        <v>1124.885879500797</v>
      </c>
      <c r="AC6" s="42">
        <v>1539.7865801796547</v>
      </c>
      <c r="AD6" s="41">
        <v>1181.3451261283526</v>
      </c>
      <c r="AE6" s="42">
        <v>1661.1732482719121</v>
      </c>
      <c r="AF6" s="41">
        <v>1264.2363960108009</v>
      </c>
      <c r="AG6" s="42">
        <v>1839.2539432954711</v>
      </c>
      <c r="AH6" s="41">
        <v>1390.7922486063112</v>
      </c>
      <c r="AI6" s="42">
        <v>2130.367648070116</v>
      </c>
      <c r="AJ6" s="41">
        <v>1600.7138493895702</v>
      </c>
      <c r="AK6" s="42">
        <v>2686.4435825295714</v>
      </c>
      <c r="AL6" s="41">
        <v>2004.7694805350968</v>
      </c>
      <c r="AM6" s="42">
        <v>4039.4899940776831</v>
      </c>
      <c r="AN6" s="41">
        <v>3022.1957509464455</v>
      </c>
      <c r="AO6" s="42">
        <v>9130.2440255305628</v>
      </c>
      <c r="AP6" s="41"/>
      <c r="AQ6" s="42"/>
      <c r="AR6" s="41"/>
      <c r="AS6" s="42"/>
      <c r="AT6" s="41"/>
      <c r="AU6" s="42"/>
      <c r="AV6" s="41"/>
      <c r="AW6" s="42"/>
    </row>
    <row r="7" spans="1:49" x14ac:dyDescent="0.2">
      <c r="A7" t="s">
        <v>13</v>
      </c>
      <c r="B7" s="33">
        <v>1015.9116825427475</v>
      </c>
      <c r="C7" s="34">
        <v>1015.9116825427475</v>
      </c>
      <c r="D7" s="33">
        <v>1015.0831586748345</v>
      </c>
      <c r="E7" s="34">
        <v>1015.0831586748345</v>
      </c>
      <c r="F7" s="33">
        <v>1014.6749860963512</v>
      </c>
      <c r="G7" s="34">
        <v>1014.6749860963512</v>
      </c>
      <c r="H7" s="33">
        <v>1014.795714653131</v>
      </c>
      <c r="I7" s="34">
        <v>1014.795714653131</v>
      </c>
      <c r="J7" s="33">
        <v>1015.5898862553194</v>
      </c>
      <c r="K7" s="34">
        <v>1015.5898862553194</v>
      </c>
      <c r="L7" s="33">
        <v>1017.2523377330562</v>
      </c>
      <c r="M7" s="34">
        <v>1017.2523377330562</v>
      </c>
      <c r="N7" s="33">
        <v>1020.0487623191729</v>
      </c>
      <c r="O7" s="34">
        <v>1020.0487623191729</v>
      </c>
      <c r="P7" s="33">
        <v>1024.3461446740591</v>
      </c>
      <c r="Q7" s="34">
        <v>1024.3461446740591</v>
      </c>
      <c r="R7" s="33">
        <v>1030.6578873588944</v>
      </c>
      <c r="S7" s="34">
        <v>1030.6578873588944</v>
      </c>
      <c r="T7" s="33">
        <v>1039.7109148348986</v>
      </c>
      <c r="U7" s="34">
        <v>1039.7109148348986</v>
      </c>
      <c r="V7" s="33">
        <v>1052.547587272004</v>
      </c>
      <c r="W7" s="34">
        <v>1052.547587272004</v>
      </c>
      <c r="X7" s="33">
        <v>1070.67883410493</v>
      </c>
      <c r="Y7" s="34">
        <v>1070.67883410493</v>
      </c>
      <c r="Z7" s="33">
        <v>1096.3165739357687</v>
      </c>
      <c r="AA7" s="34">
        <v>1096.3165739357687</v>
      </c>
      <c r="AB7" s="33">
        <v>1132.7330953352584</v>
      </c>
      <c r="AC7" s="34">
        <v>1132.7330953352584</v>
      </c>
      <c r="AD7" s="33">
        <v>1184.8746356114093</v>
      </c>
      <c r="AE7" s="34">
        <v>1184.8746356114093</v>
      </c>
      <c r="AF7" s="33">
        <v>1260.6828005369973</v>
      </c>
      <c r="AG7" s="34">
        <v>1260.6828005369973</v>
      </c>
      <c r="AH7" s="33">
        <v>1374.748426044496</v>
      </c>
      <c r="AI7" s="34">
        <v>1374.748426044496</v>
      </c>
      <c r="AJ7" s="33">
        <v>1559.6137677511767</v>
      </c>
      <c r="AK7" s="34">
        <v>1559.6137677511767</v>
      </c>
      <c r="AL7" s="33">
        <v>1900.9523241177301</v>
      </c>
      <c r="AM7" s="34">
        <v>1900.9523241177301</v>
      </c>
      <c r="AN7" s="33">
        <v>2684.548825251054</v>
      </c>
      <c r="AO7" s="34">
        <v>2684.548825251054</v>
      </c>
      <c r="AP7" s="33"/>
      <c r="AQ7" s="34"/>
      <c r="AR7" s="33"/>
      <c r="AS7" s="34"/>
      <c r="AT7" s="33"/>
      <c r="AU7" s="34"/>
      <c r="AV7" s="33"/>
      <c r="AW7" s="34"/>
    </row>
    <row r="8" spans="1:49" x14ac:dyDescent="0.2">
      <c r="B8" s="35">
        <v>1005.7716594496609</v>
      </c>
      <c r="C8" s="36">
        <v>1005.7716594496609</v>
      </c>
      <c r="D8" s="35">
        <v>1059.3870768267725</v>
      </c>
      <c r="E8" s="36">
        <v>1059.3870768267725</v>
      </c>
      <c r="F8" s="35">
        <v>1117.9648897806355</v>
      </c>
      <c r="G8" s="36">
        <v>1117.9648897806355</v>
      </c>
      <c r="H8" s="35">
        <v>1182.0539153598227</v>
      </c>
      <c r="I8" s="36">
        <v>1182.0539153598227</v>
      </c>
      <c r="J8" s="35">
        <v>1252.2536736759441</v>
      </c>
      <c r="K8" s="36">
        <v>1252.2536736759441</v>
      </c>
      <c r="L8" s="35">
        <v>1329.2146036782958</v>
      </c>
      <c r="M8" s="36">
        <v>1329.2146036782958</v>
      </c>
      <c r="N8" s="35">
        <v>1413.6428566052816</v>
      </c>
      <c r="O8" s="36">
        <v>1413.6428566052816</v>
      </c>
      <c r="P8" s="35">
        <v>1506.3178107383001</v>
      </c>
      <c r="Q8" s="36">
        <v>1506.3178107383001</v>
      </c>
      <c r="R8" s="35">
        <v>1608.1478459852551</v>
      </c>
      <c r="S8" s="36">
        <v>1608.1478459852551</v>
      </c>
      <c r="T8" s="35">
        <v>1720.3198416796167</v>
      </c>
      <c r="U8" s="36">
        <v>1720.3198416796167</v>
      </c>
      <c r="V8" s="35">
        <v>1844.6566205447823</v>
      </c>
      <c r="W8" s="36">
        <v>1844.6566205447823</v>
      </c>
      <c r="X8" s="35">
        <v>1984.4310277691684</v>
      </c>
      <c r="Y8" s="36">
        <v>1984.4310277691684</v>
      </c>
      <c r="Z8" s="35">
        <v>2146.1303345107922</v>
      </c>
      <c r="AA8" s="36">
        <v>2146.1303345107922</v>
      </c>
      <c r="AB8" s="35">
        <v>2343.19379568259</v>
      </c>
      <c r="AC8" s="36">
        <v>2343.19379568259</v>
      </c>
      <c r="AD8" s="35">
        <v>2603.9911268438086</v>
      </c>
      <c r="AE8" s="36">
        <v>2603.9911268438086</v>
      </c>
      <c r="AF8" s="35">
        <v>2990.3053210751418</v>
      </c>
      <c r="AG8" s="36">
        <v>2990.3053210751418</v>
      </c>
      <c r="AH8" s="35">
        <v>3649.1767669218266</v>
      </c>
      <c r="AI8" s="36">
        <v>3649.1767669218266</v>
      </c>
      <c r="AJ8" s="35">
        <v>5001.4598023996932</v>
      </c>
      <c r="AK8" s="36">
        <v>5001.4598023996932</v>
      </c>
      <c r="AL8" s="35">
        <v>8635.9023846695727</v>
      </c>
      <c r="AM8" s="36">
        <v>8635.9023846695727</v>
      </c>
      <c r="AN8" s="35">
        <v>24243.166245664983</v>
      </c>
      <c r="AO8" s="36">
        <v>24243.166245664983</v>
      </c>
      <c r="AP8" s="35"/>
      <c r="AQ8" s="36"/>
      <c r="AR8" s="35"/>
      <c r="AS8" s="36"/>
      <c r="AT8" s="35"/>
      <c r="AU8" s="36"/>
      <c r="AV8" s="35"/>
      <c r="AW8" s="36"/>
    </row>
    <row r="9" spans="1:49" x14ac:dyDescent="0.2">
      <c r="A9" t="s">
        <v>14</v>
      </c>
      <c r="B9" s="41">
        <v>1015.9116825427475</v>
      </c>
      <c r="C9" s="42">
        <v>1005.7716594496609</v>
      </c>
      <c r="D9" s="41">
        <v>1015.0831586748345</v>
      </c>
      <c r="E9" s="42">
        <v>1059.3870768267725</v>
      </c>
      <c r="F9" s="41">
        <v>1014.6749860963512</v>
      </c>
      <c r="G9" s="42">
        <v>1117.9648897806355</v>
      </c>
      <c r="H9" s="41">
        <v>1014.795714653131</v>
      </c>
      <c r="I9" s="42">
        <v>1182.0539153598227</v>
      </c>
      <c r="J9" s="41">
        <v>1015.5898862553194</v>
      </c>
      <c r="K9" s="42">
        <v>1252.2536736759441</v>
      </c>
      <c r="L9" s="41">
        <v>1017.2523377330562</v>
      </c>
      <c r="M9" s="42">
        <v>1329.2146036782958</v>
      </c>
      <c r="N9" s="41">
        <v>1020.0487623191729</v>
      </c>
      <c r="O9" s="42">
        <v>1413.6428566052816</v>
      </c>
      <c r="P9" s="41">
        <v>1024.3461446740591</v>
      </c>
      <c r="Q9" s="42">
        <v>1506.3178107383001</v>
      </c>
      <c r="R9" s="41">
        <v>1030.6578873588944</v>
      </c>
      <c r="S9" s="42">
        <v>1608.1478459852551</v>
      </c>
      <c r="T9" s="41">
        <v>1039.7109148348986</v>
      </c>
      <c r="U9" s="42">
        <v>1720.3198416796167</v>
      </c>
      <c r="V9" s="41">
        <v>1052.547587272004</v>
      </c>
      <c r="W9" s="42">
        <v>1844.6566205447823</v>
      </c>
      <c r="X9" s="41">
        <v>1070.67883410493</v>
      </c>
      <c r="Y9" s="42">
        <v>1984.4310277691684</v>
      </c>
      <c r="Z9" s="41">
        <v>1096.3165739357687</v>
      </c>
      <c r="AA9" s="42">
        <v>2146.1303345107922</v>
      </c>
      <c r="AB9" s="41">
        <v>1132.7330953352584</v>
      </c>
      <c r="AC9" s="42">
        <v>2343.19379568259</v>
      </c>
      <c r="AD9" s="41">
        <v>1184.8746356114093</v>
      </c>
      <c r="AE9" s="42">
        <v>2603.9911268438086</v>
      </c>
      <c r="AF9" s="41">
        <v>1260.6828005369973</v>
      </c>
      <c r="AG9" s="42">
        <v>2990.3053210751418</v>
      </c>
      <c r="AH9" s="41">
        <v>1374.748426044496</v>
      </c>
      <c r="AI9" s="42">
        <v>3649.1767669218266</v>
      </c>
      <c r="AJ9" s="41">
        <v>1559.6137677511767</v>
      </c>
      <c r="AK9" s="42">
        <v>5001.4598023996932</v>
      </c>
      <c r="AL9" s="41">
        <v>1900.9523241177301</v>
      </c>
      <c r="AM9" s="42">
        <v>8635.9023846695727</v>
      </c>
      <c r="AN9" s="41">
        <v>2684.548825251054</v>
      </c>
      <c r="AO9" s="42">
        <v>24243.166245664983</v>
      </c>
      <c r="AP9" s="41"/>
      <c r="AQ9" s="42"/>
      <c r="AR9" s="41"/>
      <c r="AS9" s="42"/>
      <c r="AT9" s="41"/>
      <c r="AU9" s="42"/>
      <c r="AV9" s="41"/>
      <c r="AW9" s="42"/>
    </row>
    <row r="10" spans="1:49" x14ac:dyDescent="0.2">
      <c r="A10" t="s">
        <v>15</v>
      </c>
      <c r="B10" s="41">
        <v>1015.9116825427475</v>
      </c>
      <c r="C10" s="42">
        <v>1005.7716594496609</v>
      </c>
      <c r="D10" s="41">
        <v>1015.0831586748345</v>
      </c>
      <c r="E10" s="42">
        <v>1059.3870768267725</v>
      </c>
      <c r="F10" s="41">
        <v>1014.6749860963512</v>
      </c>
      <c r="G10" s="42">
        <v>1117.9648897806355</v>
      </c>
      <c r="H10" s="41">
        <v>1014.795714653131</v>
      </c>
      <c r="I10" s="42">
        <v>1182.0539153598227</v>
      </c>
      <c r="J10" s="41">
        <v>1015.5898862553194</v>
      </c>
      <c r="K10" s="42">
        <v>1252.2536736759441</v>
      </c>
      <c r="L10" s="41">
        <v>1017.2523377330562</v>
      </c>
      <c r="M10" s="42">
        <v>1329.2146036782958</v>
      </c>
      <c r="N10" s="41">
        <v>1020.0487623191729</v>
      </c>
      <c r="O10" s="42">
        <v>1413.6428566052816</v>
      </c>
      <c r="P10" s="41">
        <v>1024.3461446740591</v>
      </c>
      <c r="Q10" s="42">
        <v>1506.3178107383001</v>
      </c>
      <c r="R10" s="41">
        <v>1030.6578873588944</v>
      </c>
      <c r="S10" s="42">
        <v>1608.1478459852551</v>
      </c>
      <c r="T10" s="41">
        <v>1039.7109148348986</v>
      </c>
      <c r="U10" s="42">
        <v>1720.3198416796167</v>
      </c>
      <c r="V10" s="41">
        <v>1052.547587272004</v>
      </c>
      <c r="W10" s="42">
        <v>1844.6566205447823</v>
      </c>
      <c r="X10" s="41">
        <v>1070.67883410493</v>
      </c>
      <c r="Y10" s="42">
        <v>1984.4310277691684</v>
      </c>
      <c r="Z10" s="41">
        <v>1096.3165739357687</v>
      </c>
      <c r="AA10" s="42">
        <v>2146.1303345107922</v>
      </c>
      <c r="AB10" s="41">
        <v>1132.7330953352584</v>
      </c>
      <c r="AC10" s="42">
        <v>2343.19379568259</v>
      </c>
      <c r="AD10" s="41">
        <v>1184.8746356114093</v>
      </c>
      <c r="AE10" s="42">
        <v>2603.9911268438086</v>
      </c>
      <c r="AF10" s="41">
        <v>1260.6828005369973</v>
      </c>
      <c r="AG10" s="42">
        <v>2990.3053210751418</v>
      </c>
      <c r="AH10" s="41">
        <v>1374.748426044496</v>
      </c>
      <c r="AI10" s="42">
        <v>3649.1767669218266</v>
      </c>
      <c r="AJ10" s="41">
        <v>1559.6137677511767</v>
      </c>
      <c r="AK10" s="42">
        <v>5001.4598023996932</v>
      </c>
      <c r="AL10" s="41">
        <v>1900.9523241177301</v>
      </c>
      <c r="AM10" s="42">
        <v>8635.9023846695727</v>
      </c>
      <c r="AN10" s="41">
        <v>2684.548825251054</v>
      </c>
      <c r="AO10" s="42">
        <v>24243.166245664983</v>
      </c>
      <c r="AP10" s="41"/>
      <c r="AQ10" s="42"/>
      <c r="AR10" s="41"/>
      <c r="AS10" s="42"/>
      <c r="AT10" s="41"/>
      <c r="AU10" s="42"/>
      <c r="AV10" s="41"/>
      <c r="AW10" s="42"/>
    </row>
    <row r="11" spans="1:49" x14ac:dyDescent="0.2">
      <c r="A11" t="s">
        <v>29</v>
      </c>
      <c r="B11" s="41">
        <v>1015.9116825427475</v>
      </c>
      <c r="C11" s="42">
        <v>1005.7716594496609</v>
      </c>
      <c r="D11" s="41">
        <v>1015.0831586748345</v>
      </c>
      <c r="E11" s="42">
        <v>1059.3870768267725</v>
      </c>
      <c r="F11" s="41">
        <v>1014.6749860963512</v>
      </c>
      <c r="G11" s="42">
        <v>1117.9648897806355</v>
      </c>
      <c r="H11" s="41">
        <v>1014.795714653131</v>
      </c>
      <c r="I11" s="42">
        <v>1182.0539153598227</v>
      </c>
      <c r="J11" s="41">
        <v>1015.5898862553194</v>
      </c>
      <c r="K11" s="42">
        <v>1252.2536736759441</v>
      </c>
      <c r="L11" s="41">
        <v>1017.2523377330562</v>
      </c>
      <c r="M11" s="42">
        <v>1329.2146036782958</v>
      </c>
      <c r="N11" s="41">
        <v>1020.0487623191729</v>
      </c>
      <c r="O11" s="42">
        <v>1413.6428566052816</v>
      </c>
      <c r="P11" s="41">
        <v>1024.3461446740591</v>
      </c>
      <c r="Q11" s="42">
        <v>1506.3178107383001</v>
      </c>
      <c r="R11" s="41">
        <v>1030.6578873588944</v>
      </c>
      <c r="S11" s="42">
        <v>1608.1478459852551</v>
      </c>
      <c r="T11" s="41">
        <v>1039.7109148348986</v>
      </c>
      <c r="U11" s="42">
        <v>1720.3198416796167</v>
      </c>
      <c r="V11" s="41">
        <v>1052.547587272004</v>
      </c>
      <c r="W11" s="42">
        <v>1844.6566205447823</v>
      </c>
      <c r="X11" s="41">
        <v>1070.67883410493</v>
      </c>
      <c r="Y11" s="42">
        <v>1984.4310277691684</v>
      </c>
      <c r="Z11" s="41">
        <v>1096.3165739357687</v>
      </c>
      <c r="AA11" s="42">
        <v>2146.1303345107922</v>
      </c>
      <c r="AB11" s="41">
        <v>1132.7330953352584</v>
      </c>
      <c r="AC11" s="42">
        <v>2343.19379568259</v>
      </c>
      <c r="AD11" s="41">
        <v>1184.8746356114093</v>
      </c>
      <c r="AE11" s="42">
        <v>2603.9911268438086</v>
      </c>
      <c r="AF11" s="41">
        <v>1260.6828005369973</v>
      </c>
      <c r="AG11" s="42">
        <v>2990.3053210751418</v>
      </c>
      <c r="AH11" s="41">
        <v>1374.748426044496</v>
      </c>
      <c r="AI11" s="42">
        <v>3649.1767669218266</v>
      </c>
      <c r="AJ11" s="41">
        <v>1559.6137677511767</v>
      </c>
      <c r="AK11" s="42">
        <v>5001.4598023996932</v>
      </c>
      <c r="AL11" s="41">
        <v>1900.9523241177301</v>
      </c>
      <c r="AM11" s="42">
        <v>8635.9023846695727</v>
      </c>
      <c r="AN11" s="41">
        <v>2684.548825251054</v>
      </c>
      <c r="AO11" s="42">
        <v>24243.166245664983</v>
      </c>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c r="AQ12" s="42"/>
      <c r="AR12" s="41"/>
      <c r="AS12" s="42"/>
      <c r="AT12" s="41"/>
      <c r="AU12" s="42"/>
      <c r="AV12" s="41"/>
      <c r="AW12" s="42"/>
    </row>
    <row r="13" spans="1:49" x14ac:dyDescent="0.2">
      <c r="A13" t="s">
        <v>17</v>
      </c>
      <c r="B13" s="97">
        <v>1000</v>
      </c>
      <c r="C13" s="98">
        <v>1000</v>
      </c>
      <c r="D13" s="97">
        <v>994.96789859959904</v>
      </c>
      <c r="E13" s="98">
        <v>994.96789859959904</v>
      </c>
      <c r="F13" s="97">
        <v>990.04350242967371</v>
      </c>
      <c r="G13" s="98">
        <v>990.04350242967371</v>
      </c>
      <c r="H13" s="97">
        <v>985.30089833157547</v>
      </c>
      <c r="I13" s="98">
        <v>985.30089833157547</v>
      </c>
      <c r="J13" s="97">
        <v>980.84565220842251</v>
      </c>
      <c r="K13" s="98">
        <v>980.84565220842251</v>
      </c>
      <c r="L13" s="97">
        <v>976.82839747199171</v>
      </c>
      <c r="M13" s="98">
        <v>976.82839747199171</v>
      </c>
      <c r="N13" s="97">
        <v>973.46447668483631</v>
      </c>
      <c r="O13" s="98">
        <v>973.46447668483631</v>
      </c>
      <c r="P13" s="97">
        <v>971.0632673480668</v>
      </c>
      <c r="Q13" s="98">
        <v>971.0632673480668</v>
      </c>
      <c r="R13" s="97">
        <v>970.07192724361494</v>
      </c>
      <c r="S13" s="98">
        <v>970.07192724361494</v>
      </c>
      <c r="T13" s="97">
        <v>971.14091358030316</v>
      </c>
      <c r="U13" s="98">
        <v>971.14091358030316</v>
      </c>
      <c r="V13" s="97">
        <v>975.22487116206071</v>
      </c>
      <c r="W13" s="98">
        <v>975.22487116206071</v>
      </c>
      <c r="X13" s="97">
        <v>983.73714003223517</v>
      </c>
      <c r="Y13" s="98">
        <v>983.73714003223517</v>
      </c>
      <c r="Z13" s="97">
        <v>998.79159268497756</v>
      </c>
      <c r="AA13" s="98">
        <v>998.79159268497756</v>
      </c>
      <c r="AB13" s="97">
        <v>1023.5916378045769</v>
      </c>
      <c r="AC13" s="98">
        <v>1023.5916378045769</v>
      </c>
      <c r="AD13" s="97">
        <v>1063.1186250046439</v>
      </c>
      <c r="AE13" s="98">
        <v>1063.1186250046439</v>
      </c>
      <c r="AF13" s="97">
        <v>1125.6335613138872</v>
      </c>
      <c r="AG13" s="98">
        <v>1125.6335613138872</v>
      </c>
      <c r="AH13" s="97">
        <v>1226.8724445721434</v>
      </c>
      <c r="AI13" s="98">
        <v>1226.8724445721434</v>
      </c>
      <c r="AJ13" s="97">
        <v>1403.7504958004672</v>
      </c>
      <c r="AK13" s="98">
        <v>1403.7504958004672</v>
      </c>
      <c r="AL13" s="97">
        <v>1763.6972552222981</v>
      </c>
      <c r="AM13" s="98">
        <v>1763.6972552222981</v>
      </c>
      <c r="AN13" s="97">
        <v>2752.7035955669421</v>
      </c>
      <c r="AO13" s="98">
        <v>2752.7035955669421</v>
      </c>
      <c r="AP13" s="97"/>
      <c r="AQ13" s="98"/>
      <c r="AR13" s="97"/>
      <c r="AS13" s="98"/>
      <c r="AT13" s="97"/>
      <c r="AU13" s="98"/>
      <c r="AV13" s="97"/>
      <c r="AW13" s="98"/>
    </row>
    <row r="14" spans="1:49" x14ac:dyDescent="0.2">
      <c r="A14" t="s">
        <v>36</v>
      </c>
      <c r="B14" s="41">
        <v>1457.0034251455234</v>
      </c>
      <c r="C14" s="42">
        <v>1457.0034251455236</v>
      </c>
      <c r="D14" s="41">
        <v>1449.6716361694596</v>
      </c>
      <c r="E14" s="42">
        <v>1449.6716361694598</v>
      </c>
      <c r="F14" s="41">
        <v>1442.4967740831048</v>
      </c>
      <c r="G14" s="42">
        <v>1442.496774083105</v>
      </c>
      <c r="H14" s="41">
        <v>1435.5867836680663</v>
      </c>
      <c r="I14" s="42">
        <v>1435.5867836680666</v>
      </c>
      <c r="J14" s="41">
        <v>1429.0954748067663</v>
      </c>
      <c r="K14" s="42">
        <v>1429.0954748067666</v>
      </c>
      <c r="L14" s="41">
        <v>1423.2423208961045</v>
      </c>
      <c r="M14" s="42">
        <v>1423.2423208961047</v>
      </c>
      <c r="N14" s="41">
        <v>1418.3410767873008</v>
      </c>
      <c r="O14" s="42">
        <v>1418.3410767873011</v>
      </c>
      <c r="P14" s="41">
        <v>1414.8425065591364</v>
      </c>
      <c r="Q14" s="42">
        <v>1414.8425065591366</v>
      </c>
      <c r="R14" s="41">
        <v>1413.3981206314659</v>
      </c>
      <c r="S14" s="42">
        <v>1413.3981206314661</v>
      </c>
      <c r="T14" s="41">
        <v>1414.9556373854543</v>
      </c>
      <c r="U14" s="42">
        <v>1414.9556373854546</v>
      </c>
      <c r="V14" s="41">
        <v>1420.9059775702242</v>
      </c>
      <c r="W14" s="42">
        <v>1420.9059775702244</v>
      </c>
      <c r="X14" s="41">
        <v>1433.3083824698278</v>
      </c>
      <c r="Y14" s="42">
        <v>1433.3083824698281</v>
      </c>
      <c r="Z14" s="41">
        <v>1455.2427715485646</v>
      </c>
      <c r="AA14" s="42">
        <v>1455.2427715485649</v>
      </c>
      <c r="AB14" s="41">
        <v>1491.3765222315844</v>
      </c>
      <c r="AC14" s="42">
        <v>1491.3765222315847</v>
      </c>
      <c r="AD14" s="41">
        <v>1548.9674779677655</v>
      </c>
      <c r="AE14" s="42">
        <v>1548.9674779677657</v>
      </c>
      <c r="AF14" s="41">
        <v>1640.051954293087</v>
      </c>
      <c r="AG14" s="42">
        <v>1640.0519542930872</v>
      </c>
      <c r="AH14" s="41">
        <v>1787.5573539582742</v>
      </c>
      <c r="AI14" s="42">
        <v>1787.5573539582745</v>
      </c>
      <c r="AJ14" s="41">
        <v>2045.2692804310072</v>
      </c>
      <c r="AK14" s="42">
        <v>2045.2692804310075</v>
      </c>
      <c r="AL14" s="41">
        <v>2569.7129417786464</v>
      </c>
      <c r="AM14" s="42">
        <v>2569.7129417786468</v>
      </c>
      <c r="AN14" s="41">
        <v>4010.6985671514321</v>
      </c>
      <c r="AO14" s="42">
        <v>4010.6985671514326</v>
      </c>
      <c r="AP14" s="41"/>
      <c r="AQ14" s="42"/>
      <c r="AR14" s="41"/>
      <c r="AS14" s="42"/>
      <c r="AT14" s="41"/>
      <c r="AU14" s="42"/>
      <c r="AV14" s="41"/>
      <c r="AW14" s="42"/>
    </row>
    <row r="15" spans="1:49" x14ac:dyDescent="0.2">
      <c r="A15" t="s">
        <v>18</v>
      </c>
      <c r="B15" s="154">
        <v>1000</v>
      </c>
      <c r="C15" s="155">
        <v>1000</v>
      </c>
      <c r="D15" s="154">
        <v>999.18445285928874</v>
      </c>
      <c r="E15" s="155">
        <v>999.18445285928874</v>
      </c>
      <c r="F15" s="154">
        <v>998.78267327008098</v>
      </c>
      <c r="G15" s="155">
        <v>998.78267327008098</v>
      </c>
      <c r="H15" s="154">
        <v>998.90151091990276</v>
      </c>
      <c r="I15" s="155">
        <v>998.90151091990276</v>
      </c>
      <c r="J15" s="154">
        <v>999.68324383609547</v>
      </c>
      <c r="K15" s="155">
        <v>999.68324383609547</v>
      </c>
      <c r="L15" s="154">
        <v>1001.3196572235031</v>
      </c>
      <c r="M15" s="155">
        <v>1001.3196572235031</v>
      </c>
      <c r="N15" s="154">
        <v>1004.0722829036384</v>
      </c>
      <c r="O15" s="155">
        <v>1004.0722829036384</v>
      </c>
      <c r="P15" s="154">
        <v>1008.3023576519967</v>
      </c>
      <c r="Q15" s="155">
        <v>1008.3023576519967</v>
      </c>
      <c r="R15" s="154">
        <v>1014.5152428794188</v>
      </c>
      <c r="S15" s="155">
        <v>1014.5152428794188</v>
      </c>
      <c r="T15" s="154">
        <v>1023.4264776172114</v>
      </c>
      <c r="U15" s="155">
        <v>1023.4264776172114</v>
      </c>
      <c r="V15" s="154">
        <v>1036.06209610422</v>
      </c>
      <c r="W15" s="155">
        <v>1036.06209610422</v>
      </c>
      <c r="X15" s="154">
        <v>1053.9093628937358</v>
      </c>
      <c r="Y15" s="155">
        <v>1053.9093628937358</v>
      </c>
      <c r="Z15" s="154">
        <v>1079.1455524871749</v>
      </c>
      <c r="AA15" s="155">
        <v>1079.1455524871749</v>
      </c>
      <c r="AB15" s="154">
        <v>1114.9917013456486</v>
      </c>
      <c r="AC15" s="155">
        <v>1114.9917013456486</v>
      </c>
      <c r="AD15" s="154">
        <v>1166.3165765017691</v>
      </c>
      <c r="AE15" s="155">
        <v>1166.3165765017691</v>
      </c>
      <c r="AF15" s="154">
        <v>1240.9373985951288</v>
      </c>
      <c r="AG15" s="155">
        <v>1240.9373985951288</v>
      </c>
      <c r="AH15" s="154">
        <v>1353.2164750813854</v>
      </c>
      <c r="AI15" s="155">
        <v>1353.2164750813854</v>
      </c>
      <c r="AJ15" s="154">
        <v>1535.1863695942402</v>
      </c>
      <c r="AK15" s="155">
        <v>1535.1863695942402</v>
      </c>
      <c r="AL15" s="154">
        <v>1871.1787223076274</v>
      </c>
      <c r="AM15" s="155">
        <v>1871.1787223076274</v>
      </c>
      <c r="AN15" s="154">
        <v>2642.5021696097033</v>
      </c>
      <c r="AO15" s="155">
        <v>2642.5021696097033</v>
      </c>
      <c r="AP15" s="154"/>
      <c r="AQ15" s="155"/>
      <c r="AR15" s="154"/>
      <c r="AS15" s="155"/>
      <c r="AT15" s="154"/>
      <c r="AU15" s="155"/>
      <c r="AV15" s="154"/>
      <c r="AW15" s="155"/>
    </row>
    <row r="16" spans="1:49" s="29" customFormat="1" x14ac:dyDescent="0.2">
      <c r="A16" t="s">
        <v>61</v>
      </c>
      <c r="B16" s="41">
        <v>1000</v>
      </c>
      <c r="C16" s="42">
        <v>1000</v>
      </c>
      <c r="D16" s="41">
        <v>996.9360322174515</v>
      </c>
      <c r="E16" s="42">
        <v>997.98080240245611</v>
      </c>
      <c r="F16" s="41">
        <v>994.1218844960016</v>
      </c>
      <c r="G16" s="42">
        <v>996.28769981061896</v>
      </c>
      <c r="H16" s="41">
        <v>991.64676060513909</v>
      </c>
      <c r="I16" s="42">
        <v>995.01811794631294</v>
      </c>
      <c r="J16" s="41">
        <v>989.63314902997035</v>
      </c>
      <c r="K16" s="42">
        <v>994.30376823879283</v>
      </c>
      <c r="L16" s="41">
        <v>988.25063363638219</v>
      </c>
      <c r="M16" s="42">
        <v>994.32458400370729</v>
      </c>
      <c r="N16" s="41">
        <v>987.73580756006652</v>
      </c>
      <c r="O16" s="42">
        <v>995.3287865351632</v>
      </c>
      <c r="P16" s="41">
        <v>988.42188873025498</v>
      </c>
      <c r="Q16" s="42">
        <v>997.6626607125221</v>
      </c>
      <c r="R16" s="41">
        <v>990.78277808602786</v>
      </c>
      <c r="S16" s="42">
        <v>1001.8147815156561</v>
      </c>
      <c r="T16" s="41">
        <v>995.49883431095316</v>
      </c>
      <c r="U16" s="42">
        <v>1008.481917326471</v>
      </c>
      <c r="V16" s="41">
        <v>1003.5575211731312</v>
      </c>
      <c r="W16" s="42">
        <v>1018.6695208439629</v>
      </c>
      <c r="X16" s="41">
        <v>1016.4062191511146</v>
      </c>
      <c r="Y16" s="42">
        <v>1033.8435674358391</v>
      </c>
      <c r="Z16" s="41">
        <v>1036.1881163210451</v>
      </c>
      <c r="AA16" s="42">
        <v>1056.1631222494852</v>
      </c>
      <c r="AB16" s="41">
        <v>1066.1150743591766</v>
      </c>
      <c r="AC16" s="42">
        <v>1088.8442829319897</v>
      </c>
      <c r="AD16" s="41">
        <v>1111.1172578164799</v>
      </c>
      <c r="AE16" s="42">
        <v>1136.7885079661346</v>
      </c>
      <c r="AF16" s="41">
        <v>1179.2522863016361</v>
      </c>
      <c r="AG16" s="42">
        <v>1207.9412206310019</v>
      </c>
      <c r="AH16" s="41">
        <v>1285.623924707487</v>
      </c>
      <c r="AI16" s="42">
        <v>1317.0604834388819</v>
      </c>
      <c r="AJ16" s="41">
        <v>1464.8906404904378</v>
      </c>
      <c r="AK16" s="42">
        <v>1497.5816926287437</v>
      </c>
      <c r="AL16" s="41">
        <v>1813.7554334974916</v>
      </c>
      <c r="AM16" s="42">
        <v>1840.4522697796256</v>
      </c>
      <c r="AN16" s="41">
        <v>2701.1728725180801</v>
      </c>
      <c r="AO16" s="42">
        <v>2673.9219980365979</v>
      </c>
      <c r="AP16" s="41"/>
      <c r="AQ16" s="42"/>
      <c r="AR16" s="41"/>
      <c r="AS16" s="42"/>
      <c r="AT16" s="41"/>
      <c r="AU16" s="42"/>
      <c r="AV16" s="41"/>
      <c r="AW16" s="42"/>
    </row>
    <row r="17" spans="1:49" x14ac:dyDescent="0.2">
      <c r="A17" t="s">
        <v>62</v>
      </c>
      <c r="B17" s="35">
        <v>1000.0000000000002</v>
      </c>
      <c r="C17" s="36">
        <v>999.99999999999977</v>
      </c>
      <c r="D17" s="35">
        <v>999.25863899507294</v>
      </c>
      <c r="E17" s="36">
        <v>1027.3295999339969</v>
      </c>
      <c r="F17" s="35">
        <v>998.89358805298184</v>
      </c>
      <c r="G17" s="36">
        <v>1057.2307157684293</v>
      </c>
      <c r="H17" s="35">
        <v>999.00154956578785</v>
      </c>
      <c r="I17" s="36">
        <v>1090.0052750432262</v>
      </c>
      <c r="J17" s="35">
        <v>999.71199904261027</v>
      </c>
      <c r="K17" s="36">
        <v>1125.9946715264027</v>
      </c>
      <c r="L17" s="35">
        <v>1001.2006539219618</v>
      </c>
      <c r="M17" s="36">
        <v>1165.5871503591027</v>
      </c>
      <c r="N17" s="35">
        <v>1003.709179339744</v>
      </c>
      <c r="O17" s="36">
        <v>1209.2310789658575</v>
      </c>
      <c r="P17" s="35">
        <v>1007.574940194772</v>
      </c>
      <c r="Q17" s="36">
        <v>1257.4601400227068</v>
      </c>
      <c r="R17" s="35">
        <v>1013.2762749792656</v>
      </c>
      <c r="S17" s="36">
        <v>1310.9457634982339</v>
      </c>
      <c r="T17" s="35">
        <v>1021.5020559680795</v>
      </c>
      <c r="U17" s="36">
        <v>1370.6079529683122</v>
      </c>
      <c r="V17" s="35">
        <v>1033.2615636302648</v>
      </c>
      <c r="W17" s="36">
        <v>1437.8469553940283</v>
      </c>
      <c r="X17" s="35">
        <v>1050.0582746786451</v>
      </c>
      <c r="Y17" s="36">
        <v>1515.0252445690353</v>
      </c>
      <c r="Z17" s="35">
        <v>1074.170522440897</v>
      </c>
      <c r="AA17" s="36">
        <v>1606.4532413781735</v>
      </c>
      <c r="AB17" s="35">
        <v>1109.1174334140214</v>
      </c>
      <c r="AC17" s="36">
        <v>1720.3965040570536</v>
      </c>
      <c r="AD17" s="35">
        <v>1160.5017707209611</v>
      </c>
      <c r="AE17" s="36">
        <v>1873.2568579042479</v>
      </c>
      <c r="AF17" s="35">
        <v>1237.847506052738</v>
      </c>
      <c r="AG17" s="36">
        <v>2099.1432175199998</v>
      </c>
      <c r="AH17" s="35">
        <v>1359.6531194499157</v>
      </c>
      <c r="AI17" s="36">
        <v>2476.4880036177492</v>
      </c>
      <c r="AJ17" s="35">
        <v>1569.7546558593694</v>
      </c>
      <c r="AK17" s="36">
        <v>3222.9452820966799</v>
      </c>
      <c r="AL17" s="35">
        <v>1996.2040095083808</v>
      </c>
      <c r="AM17" s="36">
        <v>5129.5831166934804</v>
      </c>
      <c r="AN17" s="35">
        <v>3168.0026937019702</v>
      </c>
      <c r="AO17" s="36">
        <v>12799.996276558622</v>
      </c>
      <c r="AP17" s="35"/>
      <c r="AQ17" s="36"/>
      <c r="AR17" s="35"/>
      <c r="AS17" s="36"/>
      <c r="AT17" s="35"/>
      <c r="AU17" s="36"/>
      <c r="AV17" s="35"/>
      <c r="AW17" s="36"/>
    </row>
    <row r="18" spans="1:49" x14ac:dyDescent="0.2">
      <c r="A18" t="s">
        <v>19</v>
      </c>
      <c r="B18" s="33">
        <v>27857.010133999996</v>
      </c>
      <c r="C18" s="34">
        <v>1236.7674480000003</v>
      </c>
      <c r="D18" s="33">
        <v>27590.336256014583</v>
      </c>
      <c r="E18" s="34">
        <v>1154.543051008804</v>
      </c>
      <c r="F18" s="33">
        <v>27284.196669145294</v>
      </c>
      <c r="G18" s="34">
        <v>1072.7289960960252</v>
      </c>
      <c r="H18" s="33">
        <v>26931.215967738695</v>
      </c>
      <c r="I18" s="34">
        <v>991.42670257914961</v>
      </c>
      <c r="J18" s="33">
        <v>26522.474416578982</v>
      </c>
      <c r="K18" s="34">
        <v>910.75900674470518</v>
      </c>
      <c r="L18" s="33">
        <v>26047.245083429127</v>
      </c>
      <c r="M18" s="34">
        <v>830.8738893404369</v>
      </c>
      <c r="N18" s="33">
        <v>25492.782973499227</v>
      </c>
      <c r="O18" s="34">
        <v>751.94768967489711</v>
      </c>
      <c r="P18" s="33">
        <v>24844.248082139569</v>
      </c>
      <c r="Q18" s="34">
        <v>674.18532331157178</v>
      </c>
      <c r="R18" s="33">
        <v>24084.951641156727</v>
      </c>
      <c r="S18" s="34">
        <v>597.81538290111325</v>
      </c>
      <c r="T18" s="33">
        <v>23197.211015269757</v>
      </c>
      <c r="U18" s="34">
        <v>523.07889465047401</v>
      </c>
      <c r="V18" s="33">
        <v>22164.224453281851</v>
      </c>
      <c r="W18" s="34">
        <v>450.20316967842479</v>
      </c>
      <c r="X18" s="33">
        <v>20973.439855050721</v>
      </c>
      <c r="Y18" s="34">
        <v>379.37001925438614</v>
      </c>
      <c r="Z18" s="33">
        <v>19621.63358274143</v>
      </c>
      <c r="AA18" s="34">
        <v>310.68695865151312</v>
      </c>
      <c r="AB18" s="33">
        <v>18120.821353168136</v>
      </c>
      <c r="AC18" s="34">
        <v>244.21943671426618</v>
      </c>
      <c r="AD18" s="33">
        <v>16501.553830543089</v>
      </c>
      <c r="AE18" s="34">
        <v>180.20364469991247</v>
      </c>
      <c r="AF18" s="33">
        <v>14806.593465970616</v>
      </c>
      <c r="AG18" s="34">
        <v>119.64755334478217</v>
      </c>
      <c r="AH18" s="33">
        <v>13067.524009967199</v>
      </c>
      <c r="AI18" s="34">
        <v>65.527564487096043</v>
      </c>
      <c r="AJ18" s="33">
        <v>11262.803519741878</v>
      </c>
      <c r="AK18" s="34">
        <v>24.293106798796906</v>
      </c>
      <c r="AL18" s="33">
        <v>9255.8463337240792</v>
      </c>
      <c r="AM18" s="34">
        <v>3.8047961703345332</v>
      </c>
      <c r="AN18" s="33">
        <v>6624.4126491461866</v>
      </c>
      <c r="AO18" s="34">
        <v>7.8730150404701632E-2</v>
      </c>
      <c r="AP18" s="33"/>
      <c r="AQ18" s="34"/>
      <c r="AR18" s="33"/>
      <c r="AS18" s="34"/>
      <c r="AT18" s="33"/>
      <c r="AU18" s="34"/>
      <c r="AV18" s="33"/>
      <c r="AW18" s="34"/>
    </row>
    <row r="19" spans="1:49" x14ac:dyDescent="0.2">
      <c r="A19" t="s">
        <v>3</v>
      </c>
      <c r="B19" s="41">
        <v>1886.3937399999918</v>
      </c>
      <c r="C19" s="42">
        <v>262.78711299999759</v>
      </c>
      <c r="D19" s="41">
        <v>1864.6803534616326</v>
      </c>
      <c r="E19" s="42">
        <v>265.72831377117097</v>
      </c>
      <c r="F19" s="41">
        <v>1842.2106602184099</v>
      </c>
      <c r="G19" s="42">
        <v>268.99823144242572</v>
      </c>
      <c r="H19" s="41">
        <v>1818.8970475314354</v>
      </c>
      <c r="I19" s="42">
        <v>272.5696641396778</v>
      </c>
      <c r="J19" s="41">
        <v>1794.6578964798778</v>
      </c>
      <c r="K19" s="42">
        <v>276.39567578092425</v>
      </c>
      <c r="L19" s="41">
        <v>1769.4323986412335</v>
      </c>
      <c r="M19" s="42">
        <v>280.40354875959002</v>
      </c>
      <c r="N19" s="41">
        <v>1743.2072597352039</v>
      </c>
      <c r="O19" s="42">
        <v>284.48893590838003</v>
      </c>
      <c r="P19" s="41">
        <v>1716.0644466882291</v>
      </c>
      <c r="Q19" s="42">
        <v>288.51168362746108</v>
      </c>
      <c r="R19" s="41">
        <v>1688.2645613233649</v>
      </c>
      <c r="S19" s="42">
        <v>292.29725738320178</v>
      </c>
      <c r="T19" s="41">
        <v>1660.3876813547288</v>
      </c>
      <c r="U19" s="42">
        <v>295.64977801913727</v>
      </c>
      <c r="V19" s="41">
        <v>1633.5722055924534</v>
      </c>
      <c r="W19" s="42">
        <v>298.38482010991476</v>
      </c>
      <c r="X19" s="41">
        <v>1609.9014249603429</v>
      </c>
      <c r="Y19" s="42">
        <v>300.38971176114427</v>
      </c>
      <c r="Z19" s="41">
        <v>1593.0175906820166</v>
      </c>
      <c r="AA19" s="42">
        <v>301.70524059521625</v>
      </c>
      <c r="AB19" s="41">
        <v>1589.0691181534594</v>
      </c>
      <c r="AC19" s="42">
        <v>302.57781600593597</v>
      </c>
      <c r="AD19" s="41">
        <v>1608.22047767711</v>
      </c>
      <c r="AE19" s="42">
        <v>303.31651865205038</v>
      </c>
      <c r="AF19" s="41">
        <v>1667.585975207634</v>
      </c>
      <c r="AG19" s="42">
        <v>303.56009948553293</v>
      </c>
      <c r="AH19" s="41">
        <v>1799.1577891214642</v>
      </c>
      <c r="AI19" s="42">
        <v>300.13748731124718</v>
      </c>
      <c r="AJ19" s="41">
        <v>2076.0561287100927</v>
      </c>
      <c r="AK19" s="42">
        <v>282.13522644530326</v>
      </c>
      <c r="AL19" s="41">
        <v>2703.3098164338926</v>
      </c>
      <c r="AM19" s="42">
        <v>226.32666307802521</v>
      </c>
      <c r="AN19" s="41">
        <v>4430.0228589496264</v>
      </c>
      <c r="AO19" s="42">
        <v>122.31714221797816</v>
      </c>
      <c r="AP19" s="41"/>
      <c r="AQ19" s="42"/>
      <c r="AR19" s="41"/>
      <c r="AS19" s="42"/>
      <c r="AT19" s="41"/>
      <c r="AU19" s="42"/>
      <c r="AV19" s="41"/>
      <c r="AW19" s="42"/>
    </row>
    <row r="20" spans="1:49" x14ac:dyDescent="0.2">
      <c r="A20" t="s">
        <v>127</v>
      </c>
      <c r="B20" s="82">
        <v>26548.356269999993</v>
      </c>
      <c r="C20" s="83">
        <v>1408.5418709999938</v>
      </c>
      <c r="D20" s="82">
        <v>26285.627547487977</v>
      </c>
      <c r="E20" s="83">
        <v>1338.1147774499941</v>
      </c>
      <c r="F20" s="82">
        <v>25989.778745388423</v>
      </c>
      <c r="G20" s="83">
        <v>1267.6876838999945</v>
      </c>
      <c r="H20" s="82">
        <v>25654.766632589439</v>
      </c>
      <c r="I20" s="83">
        <v>1197.2605903499943</v>
      </c>
      <c r="J20" s="82">
        <v>25273.31085980346</v>
      </c>
      <c r="K20" s="83">
        <v>1126.8334967999951</v>
      </c>
      <c r="L20" s="82">
        <v>24836.693695228187</v>
      </c>
      <c r="M20" s="83">
        <v>1056.4064032499953</v>
      </c>
      <c r="N20" s="82">
        <v>24334.608219947168</v>
      </c>
      <c r="O20" s="83">
        <v>985.97930969999561</v>
      </c>
      <c r="P20" s="82">
        <v>23755.124939128145</v>
      </c>
      <c r="Q20" s="83">
        <v>915.55221614999596</v>
      </c>
      <c r="R20" s="82">
        <v>23084.934166179861</v>
      </c>
      <c r="S20" s="83">
        <v>845.12512259999642</v>
      </c>
      <c r="T20" s="82">
        <v>22310.098906257073</v>
      </c>
      <c r="U20" s="83">
        <v>774.69802904999653</v>
      </c>
      <c r="V20" s="82">
        <v>21417.661725736591</v>
      </c>
      <c r="W20" s="83">
        <v>704.27093549999688</v>
      </c>
      <c r="X20" s="82">
        <v>20398.491391182924</v>
      </c>
      <c r="Y20" s="83">
        <v>633.84384194999723</v>
      </c>
      <c r="Z20" s="82">
        <v>19251.554859625481</v>
      </c>
      <c r="AA20" s="83">
        <v>563.41674839999746</v>
      </c>
      <c r="AB20" s="82">
        <v>17988.908276952941</v>
      </c>
      <c r="AC20" s="83">
        <v>492.98965484999781</v>
      </c>
      <c r="AD20" s="82">
        <v>16638.64597901412</v>
      </c>
      <c r="AE20" s="83">
        <v>422.56256129999809</v>
      </c>
      <c r="AF20" s="82">
        <v>15240.309175789715</v>
      </c>
      <c r="AG20" s="83">
        <v>352.13546774999827</v>
      </c>
      <c r="AH20" s="82">
        <v>13827.382943354172</v>
      </c>
      <c r="AI20" s="83">
        <v>281.70837419999856</v>
      </c>
      <c r="AJ20" s="82">
        <v>12397.158950372452</v>
      </c>
      <c r="AK20" s="83">
        <v>211.28128064999879</v>
      </c>
      <c r="AL20" s="82">
        <v>10866.021782786285</v>
      </c>
      <c r="AM20" s="83">
        <v>140.85418709999905</v>
      </c>
      <c r="AN20" s="82">
        <v>8928.5421385183763</v>
      </c>
      <c r="AO20" s="83">
        <v>70.427093549999285</v>
      </c>
      <c r="AP20" s="82"/>
      <c r="AQ20" s="83"/>
      <c r="AR20" s="82"/>
      <c r="AS20" s="83"/>
      <c r="AT20" s="82"/>
      <c r="AU20" s="83"/>
      <c r="AV20" s="82"/>
      <c r="AW20" s="83"/>
    </row>
    <row r="21" spans="1:49" x14ac:dyDescent="0.2">
      <c r="A21" t="s">
        <v>76</v>
      </c>
      <c r="B21" s="82">
        <v>24661.962529999968</v>
      </c>
      <c r="C21" s="83">
        <v>1145.7547579999991</v>
      </c>
      <c r="D21" s="82">
        <v>24420.948531302907</v>
      </c>
      <c r="E21" s="83">
        <v>1072.5418878620594</v>
      </c>
      <c r="F21" s="82">
        <v>24147.571031094594</v>
      </c>
      <c r="G21" s="83">
        <v>999.34216596653675</v>
      </c>
      <c r="H21" s="82">
        <v>23835.871952962931</v>
      </c>
      <c r="I21" s="83">
        <v>926.23239628706835</v>
      </c>
      <c r="J21" s="82">
        <v>23478.65315728568</v>
      </c>
      <c r="K21" s="83">
        <v>853.31246915671159</v>
      </c>
      <c r="L21" s="82">
        <v>23067.264605009281</v>
      </c>
      <c r="M21" s="83">
        <v>780.70991248258463</v>
      </c>
      <c r="N21" s="82">
        <v>22591.431827968576</v>
      </c>
      <c r="O21" s="83">
        <v>708.58359022540674</v>
      </c>
      <c r="P21" s="82">
        <v>22039.185738740944</v>
      </c>
      <c r="Q21" s="83">
        <v>637.12536719610819</v>
      </c>
      <c r="R21" s="82">
        <v>21397.041638358845</v>
      </c>
      <c r="S21" s="83">
        <v>566.55693496125798</v>
      </c>
      <c r="T21" s="82">
        <v>20650.64775169536</v>
      </c>
      <c r="U21" s="83">
        <v>497.11840824736294</v>
      </c>
      <c r="V21" s="82">
        <v>19786.220006232168</v>
      </c>
      <c r="W21" s="83">
        <v>429.04555391132959</v>
      </c>
      <c r="X21" s="82">
        <v>18793.124484589749</v>
      </c>
      <c r="Y21" s="83">
        <v>362.53603263494654</v>
      </c>
      <c r="Z21" s="82">
        <v>17667.761359535114</v>
      </c>
      <c r="AA21" s="83">
        <v>297.71974174203388</v>
      </c>
      <c r="AB21" s="82">
        <v>16418.033759423553</v>
      </c>
      <c r="AC21" s="83">
        <v>234.683506435624</v>
      </c>
      <c r="AD21" s="82">
        <v>15065.629643997139</v>
      </c>
      <c r="AE21" s="83">
        <v>173.66966002125784</v>
      </c>
      <c r="AF21" s="82">
        <v>13640.39487568551</v>
      </c>
      <c r="AG21" s="83">
        <v>115.65529184877406</v>
      </c>
      <c r="AH21" s="82">
        <v>12160.180384383995</v>
      </c>
      <c r="AI21" s="83">
        <v>63.531573988918723</v>
      </c>
      <c r="AJ21" s="82">
        <v>10592.707328378963</v>
      </c>
      <c r="AK21" s="83">
        <v>23.617505321597466</v>
      </c>
      <c r="AL21" s="82">
        <v>8793.5092341520831</v>
      </c>
      <c r="AM21" s="83">
        <v>3.7061003894876623</v>
      </c>
      <c r="AN21" s="82">
        <v>6340.9754671075898</v>
      </c>
      <c r="AO21" s="83">
        <v>7.6744169538497206E-2</v>
      </c>
      <c r="AP21" s="82"/>
      <c r="AQ21" s="83"/>
      <c r="AR21" s="82"/>
      <c r="AS21" s="83"/>
      <c r="AT21" s="82"/>
      <c r="AU21" s="83"/>
      <c r="AV21" s="82"/>
      <c r="AW21" s="83"/>
    </row>
    <row r="22" spans="1:49" x14ac:dyDescent="0.2">
      <c r="A22" t="s">
        <v>28</v>
      </c>
      <c r="B22" s="41">
        <v>6533.6044688320644</v>
      </c>
      <c r="C22" s="42">
        <v>379.90788307663382</v>
      </c>
      <c r="D22" s="41">
        <v>6448.4402074909303</v>
      </c>
      <c r="E22" s="42">
        <v>363.08247012632933</v>
      </c>
      <c r="F22" s="41">
        <v>6353.8644803132356</v>
      </c>
      <c r="G22" s="42">
        <v>346.117990014763</v>
      </c>
      <c r="H22" s="41">
        <v>6248.2562993630008</v>
      </c>
      <c r="I22" s="42">
        <v>329.00993771920326</v>
      </c>
      <c r="J22" s="41">
        <v>6129.6777640259597</v>
      </c>
      <c r="K22" s="42">
        <v>311.75361651778439</v>
      </c>
      <c r="L22" s="41">
        <v>5995.8265813252819</v>
      </c>
      <c r="M22" s="42">
        <v>294.34422418186051</v>
      </c>
      <c r="N22" s="41">
        <v>5844.0025769334825</v>
      </c>
      <c r="O22" s="42">
        <v>276.77694595904535</v>
      </c>
      <c r="P22" s="41">
        <v>5671.1072942616338</v>
      </c>
      <c r="Q22" s="42">
        <v>259.0473801678728</v>
      </c>
      <c r="R22" s="41">
        <v>5473.7174347873224</v>
      </c>
      <c r="S22" s="42">
        <v>241.15227220783959</v>
      </c>
      <c r="T22" s="41">
        <v>5248.2892339964374</v>
      </c>
      <c r="U22" s="42">
        <v>223.09035862734507</v>
      </c>
      <c r="V22" s="41">
        <v>4991.5855760548657</v>
      </c>
      <c r="W22" s="42">
        <v>204.86391591937542</v>
      </c>
      <c r="X22" s="41">
        <v>4701.4116308090379</v>
      </c>
      <c r="Y22" s="42">
        <v>186.47920034969411</v>
      </c>
      <c r="Z22" s="41">
        <v>4377.7022388876167</v>
      </c>
      <c r="AA22" s="42">
        <v>167.94416251400398</v>
      </c>
      <c r="AB22" s="41">
        <v>4023.7566441768363</v>
      </c>
      <c r="AC22" s="42">
        <v>149.25692594751951</v>
      </c>
      <c r="AD22" s="41">
        <v>3646.8804174517754</v>
      </c>
      <c r="AE22" s="42">
        <v>130.37356977369498</v>
      </c>
      <c r="AF22" s="41">
        <v>3256.9718174373302</v>
      </c>
      <c r="AG22" s="42">
        <v>111.138631219291</v>
      </c>
      <c r="AH22" s="41">
        <v>2861.5849230627164</v>
      </c>
      <c r="AI22" s="42">
        <v>91.16998511011127</v>
      </c>
      <c r="AJ22" s="41">
        <v>2457.3817075846969</v>
      </c>
      <c r="AK22" s="42">
        <v>69.764093288426878</v>
      </c>
      <c r="AL22" s="41">
        <v>2017.7505075578008</v>
      </c>
      <c r="AM22" s="42">
        <v>46.319105517950263</v>
      </c>
      <c r="AN22" s="41">
        <v>1458.1875575609292</v>
      </c>
      <c r="AO22" s="42">
        <v>22.013715627073793</v>
      </c>
      <c r="AP22" s="41"/>
      <c r="AQ22" s="42"/>
      <c r="AR22" s="41"/>
      <c r="AS22" s="42"/>
      <c r="AT22" s="41"/>
      <c r="AU22" s="42"/>
      <c r="AV22" s="41"/>
      <c r="AW22" s="42"/>
    </row>
    <row r="23" spans="1:49" x14ac:dyDescent="0.2">
      <c r="A23" t="s">
        <v>7</v>
      </c>
      <c r="B23" s="116">
        <v>3278.5018080150408</v>
      </c>
      <c r="C23" s="8">
        <v>0</v>
      </c>
      <c r="D23" s="116">
        <v>3250.13319031728</v>
      </c>
      <c r="E23" s="8">
        <v>0</v>
      </c>
      <c r="F23" s="116">
        <v>3216.9401257870841</v>
      </c>
      <c r="G23" s="8">
        <v>0</v>
      </c>
      <c r="H23" s="116">
        <v>3178.0145349830764</v>
      </c>
      <c r="I23" s="8">
        <v>0</v>
      </c>
      <c r="J23" s="116">
        <v>3132.2590463313509</v>
      </c>
      <c r="K23" s="8">
        <v>0</v>
      </c>
      <c r="L23" s="116">
        <v>3078.3558757413853</v>
      </c>
      <c r="M23" s="8">
        <v>0</v>
      </c>
      <c r="N23" s="116">
        <v>3014.7432449746798</v>
      </c>
      <c r="O23" s="8">
        <v>0</v>
      </c>
      <c r="P23" s="116">
        <v>2939.6099906912373</v>
      </c>
      <c r="Q23" s="8">
        <v>0</v>
      </c>
      <c r="R23" s="116">
        <v>2850.9329127184697</v>
      </c>
      <c r="S23" s="8">
        <v>0</v>
      </c>
      <c r="T23" s="116">
        <v>2746.5943392663103</v>
      </c>
      <c r="U23" s="8">
        <v>0</v>
      </c>
      <c r="V23" s="116">
        <v>2624.6328004623706</v>
      </c>
      <c r="W23" s="8">
        <v>0</v>
      </c>
      <c r="X23" s="116">
        <v>2483.6906356917498</v>
      </c>
      <c r="Y23" s="8">
        <v>0</v>
      </c>
      <c r="Z23" s="116">
        <v>2323.6904590938075</v>
      </c>
      <c r="AA23" s="8">
        <v>0</v>
      </c>
      <c r="AB23" s="116">
        <v>2146.6406620786465</v>
      </c>
      <c r="AC23" s="8">
        <v>0</v>
      </c>
      <c r="AD23" s="116">
        <v>1957.1611668234223</v>
      </c>
      <c r="AE23" s="8">
        <v>0</v>
      </c>
      <c r="AF23" s="116">
        <v>1761.9232266573167</v>
      </c>
      <c r="AG23" s="8">
        <v>0</v>
      </c>
      <c r="AH23" s="116">
        <v>1567.2830211220812</v>
      </c>
      <c r="AI23" s="8">
        <v>0</v>
      </c>
      <c r="AJ23" s="116">
        <v>1375.3514455224752</v>
      </c>
      <c r="AK23" s="8">
        <v>0</v>
      </c>
      <c r="AL23" s="116">
        <v>1177.7709056374472</v>
      </c>
      <c r="AM23" s="8">
        <v>0</v>
      </c>
      <c r="AN23" s="116">
        <v>932.01939759251457</v>
      </c>
      <c r="AO23" s="8">
        <v>0</v>
      </c>
      <c r="AP23" s="116"/>
      <c r="AQ23" s="8"/>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c r="AQ24" s="8"/>
      <c r="AR24" s="97"/>
      <c r="AS24" s="8"/>
      <c r="AT24" s="97"/>
      <c r="AU24" s="8"/>
      <c r="AV24" s="97"/>
      <c r="AW24" s="8"/>
    </row>
    <row r="25" spans="1:49" x14ac:dyDescent="0.2">
      <c r="A25" t="s">
        <v>0</v>
      </c>
      <c r="B25" s="41">
        <v>3195.0476040000012</v>
      </c>
      <c r="C25" s="42">
        <v>91.012690000004397</v>
      </c>
      <c r="D25" s="41">
        <v>3169.3855556144167</v>
      </c>
      <c r="E25" s="42">
        <v>81.972647870950937</v>
      </c>
      <c r="F25" s="41">
        <v>3136.6208584209285</v>
      </c>
      <c r="G25" s="42">
        <v>73.276222349148597</v>
      </c>
      <c r="H25" s="41">
        <v>3095.3401600699699</v>
      </c>
      <c r="I25" s="42">
        <v>64.954260930062105</v>
      </c>
      <c r="J25" s="41">
        <v>3043.8209304796233</v>
      </c>
      <c r="K25" s="42">
        <v>57.037828057477931</v>
      </c>
      <c r="L25" s="41">
        <v>2979.975090027448</v>
      </c>
      <c r="M25" s="42">
        <v>49.557479660151159</v>
      </c>
      <c r="N25" s="41">
        <v>2901.3017681894335</v>
      </c>
      <c r="O25" s="42">
        <v>42.542239864982989</v>
      </c>
      <c r="P25" s="41">
        <v>2804.8646493702568</v>
      </c>
      <c r="Q25" s="42">
        <v>36.018209604832784</v>
      </c>
      <c r="R25" s="41">
        <v>2687.3323178992023</v>
      </c>
      <c r="S25" s="42">
        <v>30.006776551915742</v>
      </c>
      <c r="T25" s="41">
        <v>2545.1434659257493</v>
      </c>
      <c r="U25" s="42">
        <v>24.522656568620405</v>
      </c>
      <c r="V25" s="41">
        <v>2374.8804084900048</v>
      </c>
      <c r="W25" s="42">
        <v>19.571909811188704</v>
      </c>
      <c r="X25" s="41">
        <v>2173.9678111376907</v>
      </c>
      <c r="Y25" s="42">
        <v>15.151326923408439</v>
      </c>
      <c r="Z25" s="41">
        <v>1941.7659951137512</v>
      </c>
      <c r="AA25" s="42">
        <v>11.250878258894423</v>
      </c>
      <c r="AB25" s="41">
        <v>1680.9465881616766</v>
      </c>
      <c r="AC25" s="42">
        <v>7.862702035135805</v>
      </c>
      <c r="AD25" s="41">
        <v>1398.5673973122284</v>
      </c>
      <c r="AE25" s="42">
        <v>4.9992441102134215</v>
      </c>
      <c r="AF25" s="41">
        <v>1105.6560993882752</v>
      </c>
      <c r="AG25" s="42">
        <v>2.7157654309872039</v>
      </c>
      <c r="AH25" s="41">
        <v>814.45143746506915</v>
      </c>
      <c r="AI25" s="42">
        <v>1.1119640603451433</v>
      </c>
      <c r="AJ25" s="41">
        <v>535.58606432347892</v>
      </c>
      <c r="AK25" s="42">
        <v>0.25994928243405835</v>
      </c>
      <c r="AL25" s="41">
        <v>283.45429314773713</v>
      </c>
      <c r="AM25" s="42">
        <v>1.8041574524084125E-2</v>
      </c>
      <c r="AN25" s="41">
        <v>89.941596310979662</v>
      </c>
      <c r="AO25" s="42">
        <v>7.3129215997943907E-5</v>
      </c>
      <c r="AP25" s="41"/>
      <c r="AQ25" s="42"/>
      <c r="AR25" s="41"/>
      <c r="AS25" s="42"/>
      <c r="AT25" s="41"/>
      <c r="AU25" s="42"/>
      <c r="AV25" s="41"/>
      <c r="AW25" s="42"/>
    </row>
    <row r="26" spans="1:49" x14ac:dyDescent="0.2">
      <c r="A26" t="s">
        <v>27</v>
      </c>
      <c r="B26" s="33">
        <v>5036.2953101960647</v>
      </c>
      <c r="C26" s="34">
        <v>74.905331803938267</v>
      </c>
      <c r="D26" s="33">
        <v>4995.2456017744698</v>
      </c>
      <c r="E26" s="34">
        <v>70.22696666490026</v>
      </c>
      <c r="F26" s="33">
        <v>4947.4246602710073</v>
      </c>
      <c r="G26" s="34">
        <v>65.548985942166155</v>
      </c>
      <c r="H26" s="33">
        <v>4891.4855886927689</v>
      </c>
      <c r="I26" s="34">
        <v>60.874591544338088</v>
      </c>
      <c r="J26" s="33">
        <v>4825.7840173558079</v>
      </c>
      <c r="K26" s="34">
        <v>56.208003866868125</v>
      </c>
      <c r="L26" s="33">
        <v>4748.3227089011143</v>
      </c>
      <c r="M26" s="34">
        <v>51.554728648874246</v>
      </c>
      <c r="N26" s="33">
        <v>4656.7033299694203</v>
      </c>
      <c r="O26" s="34">
        <v>46.921831883079165</v>
      </c>
      <c r="P26" s="33">
        <v>4548.099853220152</v>
      </c>
      <c r="Q26" s="34">
        <v>42.318111717455729</v>
      </c>
      <c r="R26" s="33">
        <v>4419.2886927028439</v>
      </c>
      <c r="S26" s="34">
        <v>37.754047933346946</v>
      </c>
      <c r="T26" s="33">
        <v>4266.7895731660274</v>
      </c>
      <c r="U26" s="34">
        <v>33.241440347712896</v>
      </c>
      <c r="V26" s="33">
        <v>4087.195666875964</v>
      </c>
      <c r="W26" s="34">
        <v>28.792303051610709</v>
      </c>
      <c r="X26" s="33">
        <v>3877.7877572957323</v>
      </c>
      <c r="Y26" s="34">
        <v>24.417420703451086</v>
      </c>
      <c r="Z26" s="33">
        <v>3637.4819054726913</v>
      </c>
      <c r="AA26" s="34">
        <v>20.125131040619085</v>
      </c>
      <c r="AB26" s="33">
        <v>3367.9605652357463</v>
      </c>
      <c r="AC26" s="34">
        <v>15.923643335059735</v>
      </c>
      <c r="AD26" s="33">
        <v>3074.352332087276</v>
      </c>
      <c r="AE26" s="34">
        <v>11.834059647089171</v>
      </c>
      <c r="AF26" s="33">
        <v>2764.1319452019829</v>
      </c>
      <c r="AG26" s="34">
        <v>7.9269476790966129</v>
      </c>
      <c r="AH26" s="33">
        <v>2442.7521538655956</v>
      </c>
      <c r="AI26" s="34">
        <v>4.3971865743543184</v>
      </c>
      <c r="AJ26" s="33">
        <v>2105.5111819015669</v>
      </c>
      <c r="AK26" s="34">
        <v>1.6660531688483187</v>
      </c>
      <c r="AL26" s="33">
        <v>1725.0522390027595</v>
      </c>
      <c r="AM26" s="34">
        <v>0.27233700822482149</v>
      </c>
      <c r="AN26" s="33">
        <v>1217.6292454267063</v>
      </c>
      <c r="AO26" s="34">
        <v>6.1974496233841289E-3</v>
      </c>
      <c r="AP26" s="33"/>
      <c r="AQ26" s="34"/>
      <c r="AR26" s="33"/>
      <c r="AS26" s="34"/>
      <c r="AT26" s="33"/>
      <c r="AU26" s="34"/>
      <c r="AV26" s="33"/>
      <c r="AW26" s="34"/>
    </row>
    <row r="27" spans="1:49" x14ac:dyDescent="0.2">
      <c r="A27" t="s">
        <v>2</v>
      </c>
      <c r="B27" s="35">
        <v>6425.1981590000305</v>
      </c>
      <c r="C27" s="36">
        <v>273.22915400000028</v>
      </c>
      <c r="D27" s="35">
        <v>6368.786571691584</v>
      </c>
      <c r="E27" s="36">
        <v>256.0828376819199</v>
      </c>
      <c r="F27" s="35">
        <v>6303.5038171926453</v>
      </c>
      <c r="G27" s="36">
        <v>238.94284045776897</v>
      </c>
      <c r="H27" s="35">
        <v>6227.6335389709648</v>
      </c>
      <c r="I27" s="36">
        <v>221.82159270293224</v>
      </c>
      <c r="J27" s="35">
        <v>6139.089409201787</v>
      </c>
      <c r="K27" s="36">
        <v>204.73534747038653</v>
      </c>
      <c r="L27" s="35">
        <v>6035.3491152301367</v>
      </c>
      <c r="M27" s="36">
        <v>187.7051549631108</v>
      </c>
      <c r="N27" s="35">
        <v>5913.3989502470949</v>
      </c>
      <c r="O27" s="36">
        <v>170.75792413791135</v>
      </c>
      <c r="P27" s="35">
        <v>5769.7080895734962</v>
      </c>
      <c r="Q27" s="36">
        <v>153.92701296259077</v>
      </c>
      <c r="R27" s="35">
        <v>5600.277106698245</v>
      </c>
      <c r="S27" s="36">
        <v>137.25200146789311</v>
      </c>
      <c r="T27" s="35">
        <v>5400.8287135287719</v>
      </c>
      <c r="U27" s="36">
        <v>120.77751173738324</v>
      </c>
      <c r="V27" s="35">
        <v>5167.2397859067187</v>
      </c>
      <c r="W27" s="36">
        <v>104.54893808296529</v>
      </c>
      <c r="X27" s="35">
        <v>4896.330727628485</v>
      </c>
      <c r="Y27" s="36">
        <v>88.607352003272041</v>
      </c>
      <c r="Z27" s="35">
        <v>4587.0704343917778</v>
      </c>
      <c r="AA27" s="36">
        <v>72.984831526941704</v>
      </c>
      <c r="AB27" s="35">
        <v>4241.9993755680198</v>
      </c>
      <c r="AC27" s="36">
        <v>57.71263239988339</v>
      </c>
      <c r="AD27" s="35">
        <v>3868.0650435555049</v>
      </c>
      <c r="AE27" s="36">
        <v>42.86772615837414</v>
      </c>
      <c r="AF27" s="35">
        <v>3475.2110386758322</v>
      </c>
      <c r="AG27" s="36">
        <v>28.704090977936261</v>
      </c>
      <c r="AH27" s="35">
        <v>3070.9275024256499</v>
      </c>
      <c r="AI27" s="36">
        <v>15.921962746353479</v>
      </c>
      <c r="AJ27" s="35">
        <v>2650.3437962219291</v>
      </c>
      <c r="AK27" s="36">
        <v>6.0365358047141253</v>
      </c>
      <c r="AL27" s="35">
        <v>2181.3427214855324</v>
      </c>
      <c r="AM27" s="36">
        <v>0.98899510771241372</v>
      </c>
      <c r="AN27" s="35">
        <v>1562.9749724682426</v>
      </c>
      <c r="AO27" s="36">
        <v>2.2675565218964952E-2</v>
      </c>
      <c r="AP27" s="35"/>
      <c r="AQ27" s="36"/>
      <c r="AR27" s="35"/>
      <c r="AS27" s="36"/>
      <c r="AT27" s="35"/>
      <c r="AU27" s="36"/>
      <c r="AV27" s="35"/>
      <c r="AW27" s="36"/>
    </row>
    <row r="28" spans="1:49" x14ac:dyDescent="0.2">
      <c r="A28" t="s">
        <v>35</v>
      </c>
      <c r="B28" s="41">
        <v>13763.097676000029</v>
      </c>
      <c r="C28" s="42">
        <v>382.36647899999997</v>
      </c>
      <c r="D28" s="41">
        <v>13646.87196667104</v>
      </c>
      <c r="E28" s="42">
        <v>358.40371965412413</v>
      </c>
      <c r="F28" s="41">
        <v>13511.899009046168</v>
      </c>
      <c r="G28" s="42">
        <v>334.44774012646258</v>
      </c>
      <c r="H28" s="41">
        <v>13354.497933454268</v>
      </c>
      <c r="I28" s="42">
        <v>310.51563546009879</v>
      </c>
      <c r="J28" s="41">
        <v>13170.184253827931</v>
      </c>
      <c r="K28" s="42">
        <v>286.62981008940812</v>
      </c>
      <c r="L28" s="41">
        <v>12953.523230110854</v>
      </c>
      <c r="M28" s="42">
        <v>262.81934218192907</v>
      </c>
      <c r="N28" s="41">
        <v>12698.004368312195</v>
      </c>
      <c r="O28" s="42">
        <v>239.12144759783135</v>
      </c>
      <c r="P28" s="41">
        <v>12395.977270222686</v>
      </c>
      <c r="Q28" s="42">
        <v>215.58232236354752</v>
      </c>
      <c r="R28" s="41">
        <v>12038.74460257765</v>
      </c>
      <c r="S28" s="42">
        <v>192.2568438346415</v>
      </c>
      <c r="T28" s="41">
        <v>11616.958923542788</v>
      </c>
      <c r="U28" s="42">
        <v>169.20686816098265</v>
      </c>
      <c r="V28" s="41">
        <v>11121.536935083541</v>
      </c>
      <c r="W28" s="42">
        <v>146.49534946921753</v>
      </c>
      <c r="X28" s="41">
        <v>10545.345250411796</v>
      </c>
      <c r="Y28" s="42">
        <v>124.17914635607046</v>
      </c>
      <c r="Z28" s="41">
        <v>9885.7878665318294</v>
      </c>
      <c r="AA28" s="42">
        <v>102.30257574647707</v>
      </c>
      <c r="AB28" s="41">
        <v>9147.878733038342</v>
      </c>
      <c r="AC28" s="42">
        <v>80.908955842743111</v>
      </c>
      <c r="AD28" s="41">
        <v>8346.0679710235836</v>
      </c>
      <c r="AE28" s="42">
        <v>60.106090677694439</v>
      </c>
      <c r="AF28" s="41">
        <v>7501.2272160164548</v>
      </c>
      <c r="AG28" s="42">
        <v>40.250788026343223</v>
      </c>
      <c r="AH28" s="41">
        <v>6628.8353093157148</v>
      </c>
      <c r="AI28" s="42">
        <v>22.327057771054651</v>
      </c>
      <c r="AJ28" s="41">
        <v>5717.2247396090879</v>
      </c>
      <c r="AK28" s="42">
        <v>8.4634680800523157</v>
      </c>
      <c r="AL28" s="41">
        <v>4694.442808033632</v>
      </c>
      <c r="AM28" s="42">
        <v>1.3857542401161753</v>
      </c>
      <c r="AN28" s="41">
        <v>3336.9610355018422</v>
      </c>
      <c r="AO28" s="42">
        <v>3.1704863745089754E-2</v>
      </c>
      <c r="AP28" s="41"/>
      <c r="AQ28" s="42"/>
      <c r="AR28" s="41"/>
      <c r="AS28" s="42"/>
      <c r="AT28" s="41"/>
      <c r="AU28" s="42"/>
      <c r="AV28" s="41"/>
      <c r="AW28" s="42"/>
    </row>
    <row r="29" spans="1:49" x14ac:dyDescent="0.2">
      <c r="A29" t="s">
        <v>53</v>
      </c>
      <c r="B29" s="35">
        <v>14362.768558000025</v>
      </c>
      <c r="C29" s="36">
        <v>817.26650999999993</v>
      </c>
      <c r="D29" s="35">
        <v>14224.918210666447</v>
      </c>
      <c r="E29" s="36">
        <v>760.51799672863751</v>
      </c>
      <c r="F29" s="35">
        <v>14066.905351096342</v>
      </c>
      <c r="G29" s="36">
        <v>704.3133261963045</v>
      </c>
      <c r="H29" s="35">
        <v>13884.970241461504</v>
      </c>
      <c r="I29" s="36">
        <v>648.73594412480838</v>
      </c>
      <c r="J29" s="35">
        <v>13674.563925435692</v>
      </c>
      <c r="K29" s="36">
        <v>593.88305547506991</v>
      </c>
      <c r="L29" s="35">
        <v>13430.211962237348</v>
      </c>
      <c r="M29" s="36">
        <v>539.86736025761138</v>
      </c>
      <c r="N29" s="35">
        <v>13145.402655837917</v>
      </c>
      <c r="O29" s="36">
        <v>486.81812358008614</v>
      </c>
      <c r="P29" s="35">
        <v>12812.540167563471</v>
      </c>
      <c r="Q29" s="36">
        <v>434.87997455409942</v>
      </c>
      <c r="R29" s="35">
        <v>12423.056455782933</v>
      </c>
      <c r="S29" s="36">
        <v>384.20797658055432</v>
      </c>
      <c r="T29" s="35">
        <v>11967.823602340151</v>
      </c>
      <c r="U29" s="36">
        <v>334.95818532829037</v>
      </c>
      <c r="V29" s="35">
        <v>11438.070699649745</v>
      </c>
      <c r="W29" s="36">
        <v>287.2684237672633</v>
      </c>
      <c r="X29" s="35">
        <v>10827.039700371666</v>
      </c>
      <c r="Y29" s="36">
        <v>241.23554580073233</v>
      </c>
      <c r="Z29" s="35">
        <v>10132.484444644475</v>
      </c>
      <c r="AA29" s="36">
        <v>196.89567963227489</v>
      </c>
      <c r="AB29" s="35">
        <v>9359.564581379087</v>
      </c>
      <c r="AC29" s="36">
        <v>154.24631354707665</v>
      </c>
      <c r="AD29" s="35">
        <v>8522.3806977158256</v>
      </c>
      <c r="AE29" s="36">
        <v>113.38953098017529</v>
      </c>
      <c r="AF29" s="35">
        <v>7640.5404867472625</v>
      </c>
      <c r="AG29" s="36">
        <v>74.930600161292801</v>
      </c>
      <c r="AH29" s="35">
        <v>6726.7007966943293</v>
      </c>
      <c r="AI29" s="36">
        <v>40.752828766956704</v>
      </c>
      <c r="AJ29" s="35">
        <v>5763.601513834813</v>
      </c>
      <c r="AK29" s="36">
        <v>14.935392798286546</v>
      </c>
      <c r="AL29" s="35">
        <v>4669.7424021283005</v>
      </c>
      <c r="AM29" s="36">
        <v>2.2923489532454315</v>
      </c>
      <c r="AN29" s="35">
        <v>3215.5593105302141</v>
      </c>
      <c r="AO29" s="36">
        <v>4.5813608965396269E-2</v>
      </c>
      <c r="AP29" s="35"/>
      <c r="AQ29" s="36"/>
      <c r="AR29" s="35"/>
      <c r="AS29" s="36"/>
      <c r="AT29" s="35"/>
      <c r="AU29" s="36"/>
      <c r="AV29" s="35"/>
      <c r="AW29" s="36"/>
    </row>
    <row r="30" spans="1:49" x14ac:dyDescent="0.2">
      <c r="A30" t="s">
        <v>48</v>
      </c>
      <c r="B30" s="119">
        <v>2924829.9599999995</v>
      </c>
      <c r="D30" s="119">
        <v>2935600.0473247883</v>
      </c>
      <c r="F30" s="119">
        <v>2942639.1534448275</v>
      </c>
      <c r="H30" s="119">
        <v>2945216.4432834173</v>
      </c>
      <c r="J30" s="119">
        <v>2942449.0924019455</v>
      </c>
      <c r="L30" s="119">
        <v>2933283.1575619886</v>
      </c>
      <c r="N30" s="119">
        <v>2916487.182505501</v>
      </c>
      <c r="P30" s="119">
        <v>2890672.2384210364</v>
      </c>
      <c r="R30" s="119">
        <v>2854368.6311909817</v>
      </c>
      <c r="T30" s="119">
        <v>2806205.1399364988</v>
      </c>
      <c r="V30" s="119">
        <v>2745263.7687698957</v>
      </c>
      <c r="X30" s="119">
        <v>2671704.3290143008</v>
      </c>
      <c r="Z30" s="119">
        <v>2587756.3791789412</v>
      </c>
      <c r="AB30" s="119">
        <v>2499105.4054045761</v>
      </c>
      <c r="AD30" s="119">
        <v>2416555.158894856</v>
      </c>
      <c r="AF30" s="119">
        <v>2357964.2094198354</v>
      </c>
      <c r="AH30" s="119">
        <v>2352251.8631044175</v>
      </c>
      <c r="AJ30" s="119">
        <v>2453295.8981354618</v>
      </c>
      <c r="AL30" s="119">
        <v>2778068.9000586644</v>
      </c>
      <c r="AN30" s="119">
        <v>3586747.5951348599</v>
      </c>
      <c r="AP30" s="119"/>
      <c r="AR30" s="119"/>
      <c r="AT30" s="119"/>
      <c r="AV30" s="119"/>
    </row>
    <row r="31" spans="1:49" x14ac:dyDescent="0.2">
      <c r="A31" t="s">
        <v>47</v>
      </c>
      <c r="B31" s="80">
        <v>1</v>
      </c>
      <c r="D31" s="80">
        <v>0.98522109333148</v>
      </c>
      <c r="F31" s="80">
        <v>0.96897308790149594</v>
      </c>
      <c r="H31" s="80">
        <v>0.95101999501765266</v>
      </c>
      <c r="J31" s="80">
        <v>0.93108218857876779</v>
      </c>
      <c r="L31" s="80">
        <v>0.90883046401877132</v>
      </c>
      <c r="N31" s="80">
        <v>0.88388229847568356</v>
      </c>
      <c r="P31" s="80">
        <v>0.85580303623885168</v>
      </c>
      <c r="R31" s="80">
        <v>0.82411762748303097</v>
      </c>
      <c r="T31" s="80">
        <v>0.78834060059910838</v>
      </c>
      <c r="V31" s="80">
        <v>0.74803670807352585</v>
      </c>
      <c r="X31" s="80">
        <v>0.70292291514587979</v>
      </c>
      <c r="Z31" s="80">
        <v>0.65301610403959931</v>
      </c>
      <c r="AB31" s="80">
        <v>0.59879494178760884</v>
      </c>
      <c r="AD31" s="80">
        <v>0.54126832669786673</v>
      </c>
      <c r="AF31" s="80">
        <v>0.48173913906388871</v>
      </c>
      <c r="AH31" s="80">
        <v>0.42104341549503627</v>
      </c>
      <c r="AJ31" s="80">
        <v>0.35822165341251033</v>
      </c>
      <c r="AL31" s="80">
        <v>0.28863553727136204</v>
      </c>
      <c r="AN31" s="80">
        <v>0.19946388064469767</v>
      </c>
      <c r="AP31" s="80"/>
      <c r="AR31" s="80"/>
      <c r="AT31" s="80"/>
      <c r="AV31" s="80"/>
    </row>
    <row r="32" spans="1:49" x14ac:dyDescent="0.2">
      <c r="A32" t="s">
        <v>64</v>
      </c>
      <c r="B32" s="86">
        <v>14734457.915000005</v>
      </c>
      <c r="D32" s="86">
        <v>14595049.146250531</v>
      </c>
      <c r="F32" s="86">
        <v>14440183.517770577</v>
      </c>
      <c r="H32" s="86">
        <v>14267151.87463822</v>
      </c>
      <c r="J32" s="86">
        <v>14072745.059867693</v>
      </c>
      <c r="L32" s="86">
        <v>13853206.325699324</v>
      </c>
      <c r="N32" s="86">
        <v>13604232.469517346</v>
      </c>
      <c r="P32" s="86">
        <v>13321073.745132083</v>
      </c>
      <c r="R32" s="86">
        <v>12998831.360545626</v>
      </c>
      <c r="T32" s="86">
        <v>12633099.142989788</v>
      </c>
      <c r="V32" s="86">
        <v>12221178.085802736</v>
      </c>
      <c r="X32" s="86">
        <v>11764121.407054519</v>
      </c>
      <c r="Z32" s="86">
        <v>11269821.441637609</v>
      </c>
      <c r="AB32" s="86">
        <v>10756964.163208757</v>
      </c>
      <c r="AD32" s="86">
        <v>10258923.07655081</v>
      </c>
      <c r="AF32" s="86">
        <v>9826426.0264562983</v>
      </c>
      <c r="AH32" s="86">
        <v>9531767.5012754351</v>
      </c>
      <c r="AJ32" s="86">
        <v>9489285.8478497006</v>
      </c>
      <c r="AL32" s="86">
        <v>9904551.791364627</v>
      </c>
      <c r="AN32" s="86">
        <v>11068761.732759273</v>
      </c>
      <c r="AP32" s="86"/>
      <c r="AR32" s="86"/>
      <c r="AT32" s="86"/>
      <c r="AV32" s="86"/>
    </row>
    <row r="33" spans="1:49 16319:16321" x14ac:dyDescent="0.2">
      <c r="A33" t="s">
        <v>54</v>
      </c>
      <c r="B33" s="117">
        <v>7019665.6909999885</v>
      </c>
      <c r="D33" s="117">
        <v>6930347.9310198734</v>
      </c>
      <c r="F33" s="117">
        <v>6834055.1137778778</v>
      </c>
      <c r="H33" s="117">
        <v>6729611.2017212762</v>
      </c>
      <c r="J33" s="117">
        <v>6615633.354715039</v>
      </c>
      <c r="L33" s="117">
        <v>6490515.2477860274</v>
      </c>
      <c r="N33" s="117">
        <v>6352431.3481190829</v>
      </c>
      <c r="P33" s="117">
        <v>6199384.5754817994</v>
      </c>
      <c r="R33" s="117">
        <v>6029338.5544429366</v>
      </c>
      <c r="T33" s="117">
        <v>5840490.3712306255</v>
      </c>
      <c r="V33" s="117">
        <v>5631784.9335496891</v>
      </c>
      <c r="X33" s="117">
        <v>5403757.0347294919</v>
      </c>
      <c r="Z33" s="117">
        <v>5159777.5819235286</v>
      </c>
      <c r="AB33" s="117">
        <v>4907580.2212771242</v>
      </c>
      <c r="AD33" s="117">
        <v>4660587.7246122099</v>
      </c>
      <c r="AF33" s="117">
        <v>4438346.7923890213</v>
      </c>
      <c r="AH33" s="117">
        <v>4266654.760477555</v>
      </c>
      <c r="AJ33" s="117">
        <v>4181488.6520019174</v>
      </c>
      <c r="AL33" s="117">
        <v>4235654.7906299587</v>
      </c>
      <c r="AN33" s="117">
        <v>4448257.8622778393</v>
      </c>
      <c r="AP33" s="117"/>
      <c r="AR33" s="117"/>
      <c r="AT33" s="117"/>
      <c r="AV33" s="117"/>
    </row>
    <row r="34" spans="1:49 16319:16321" x14ac:dyDescent="0.2">
      <c r="A34" t="s">
        <v>75</v>
      </c>
      <c r="B34" s="117">
        <v>1136879.4410000162</v>
      </c>
      <c r="D34" s="117">
        <v>1120949.5362525638</v>
      </c>
      <c r="F34" s="117">
        <v>1098688.1891092414</v>
      </c>
      <c r="H34" s="117">
        <v>1068827.7093289187</v>
      </c>
      <c r="J34" s="117">
        <v>1029805.1862762992</v>
      </c>
      <c r="L34" s="117">
        <v>979696.62228677538</v>
      </c>
      <c r="N34" s="117">
        <v>916147.81241083238</v>
      </c>
      <c r="P34" s="117">
        <v>836306.72865939955</v>
      </c>
      <c r="R34" s="117">
        <v>736777.27574455144</v>
      </c>
      <c r="T34" s="117">
        <v>613628.66312050377</v>
      </c>
      <c r="V34" s="117">
        <v>462495.29259882541</v>
      </c>
      <c r="X34" s="117">
        <v>278828.00133961189</v>
      </c>
      <c r="Z34" s="117">
        <v>58294.042095412617</v>
      </c>
      <c r="AB34" s="117">
        <v>-202837.64396258286</v>
      </c>
      <c r="AD34" s="117">
        <v>-507970.35490671871</v>
      </c>
      <c r="AF34" s="117">
        <v>-862774.20987390471</v>
      </c>
      <c r="AH34" s="117">
        <v>-1283731.8749072973</v>
      </c>
      <c r="AJ34" s="117">
        <v>-1822345.3415494829</v>
      </c>
      <c r="AL34" s="117">
        <v>-2646164.1447896566</v>
      </c>
      <c r="AN34" s="117">
        <v>-4462398.3317274097</v>
      </c>
      <c r="AP34" s="117"/>
      <c r="AR34" s="117"/>
      <c r="AT34" s="117"/>
      <c r="AV34" s="117"/>
    </row>
    <row r="35" spans="1:49 16319:16321" x14ac:dyDescent="0.2">
      <c r="A35" t="s">
        <v>78</v>
      </c>
      <c r="B35" s="233">
        <v>1</v>
      </c>
      <c r="D35" s="233">
        <v>1.0020863555309274</v>
      </c>
      <c r="F35" s="233">
        <v>1.0047369186892414</v>
      </c>
      <c r="H35" s="233">
        <v>1.0080709055229302</v>
      </c>
      <c r="J35" s="233">
        <v>1.0122430678438805</v>
      </c>
      <c r="L35" s="233">
        <v>1.0174573815727568</v>
      </c>
      <c r="N35" s="233">
        <v>1.023986996901048</v>
      </c>
      <c r="P35" s="233">
        <v>1.0322042404972547</v>
      </c>
      <c r="R35" s="233">
        <v>1.0426263251855969</v>
      </c>
      <c r="T35" s="233">
        <v>1.0559858882563227</v>
      </c>
      <c r="V35" s="233">
        <v>1.07334290073153</v>
      </c>
      <c r="X35" s="233">
        <v>1.0962628869508773</v>
      </c>
      <c r="Z35" s="233">
        <v>1.1271062562986918</v>
      </c>
      <c r="AB35" s="233">
        <v>1.1695110631132937</v>
      </c>
      <c r="AD35" s="233">
        <v>1.2292702620687395</v>
      </c>
      <c r="AF35" s="233">
        <v>1.3162502637814093</v>
      </c>
      <c r="AH35" s="233">
        <v>1.4496626334912039</v>
      </c>
      <c r="AJ35" s="233">
        <v>1.6750855579825568</v>
      </c>
      <c r="AL35" s="233">
        <v>2.1258033268562797</v>
      </c>
      <c r="AN35" s="233">
        <v>3.3577018001307124</v>
      </c>
      <c r="AP35" s="233"/>
      <c r="AR35" s="233"/>
      <c r="AT35" s="233"/>
      <c r="AV35" s="233"/>
    </row>
    <row r="36" spans="1:49 16319:16321" x14ac:dyDescent="0.2">
      <c r="A36" t="s">
        <v>21</v>
      </c>
      <c r="B36" s="37">
        <v>0.47195767671988198</v>
      </c>
      <c r="C36" s="38">
        <v>0.31738834428178964</v>
      </c>
      <c r="D36" s="37">
        <v>0.4719703861542538</v>
      </c>
      <c r="E36" s="38">
        <v>0.319475183032286</v>
      </c>
      <c r="F36" s="37">
        <v>0.4719766859109924</v>
      </c>
      <c r="G36" s="38">
        <v>0.32168867598624862</v>
      </c>
      <c r="H36" s="37">
        <v>0.47197481990456985</v>
      </c>
      <c r="I36" s="38">
        <v>0.32403337323720593</v>
      </c>
      <c r="J36" s="37">
        <v>0.47196260060696771</v>
      </c>
      <c r="K36" s="38">
        <v>0.32651162578596438</v>
      </c>
      <c r="L36" s="37">
        <v>0.4719373317959808</v>
      </c>
      <c r="M36" s="38">
        <v>0.32912242953208837</v>
      </c>
      <c r="N36" s="37">
        <v>0.47189576664682503</v>
      </c>
      <c r="O36" s="38">
        <v>0.33186002260063324</v>
      </c>
      <c r="P36" s="37">
        <v>0.47183415957791852</v>
      </c>
      <c r="Q36" s="38">
        <v>0.33471227401173276</v>
      </c>
      <c r="R36" s="37">
        <v>0.47174855974154223</v>
      </c>
      <c r="S36" s="38">
        <v>0.33765933416521265</v>
      </c>
      <c r="T36" s="37">
        <v>0.47163564250695206</v>
      </c>
      <c r="U36" s="38">
        <v>0.34067363488031743</v>
      </c>
      <c r="V36" s="37">
        <v>0.47149465491872355</v>
      </c>
      <c r="W36" s="38">
        <v>0.34372337458052987</v>
      </c>
      <c r="X36" s="37">
        <v>0.47133159815995002</v>
      </c>
      <c r="Y36" s="38">
        <v>0.34678429709319458</v>
      </c>
      <c r="Z36" s="37">
        <v>0.47116760422903248</v>
      </c>
      <c r="AA36" s="38">
        <v>0.34986806446329144</v>
      </c>
      <c r="AB36" s="37">
        <v>0.47105464275703746</v>
      </c>
      <c r="AC36" s="38">
        <v>0.35308137224609787</v>
      </c>
      <c r="AD36" s="37">
        <v>0.47110318010044683</v>
      </c>
      <c r="AE36" s="38">
        <v>0.35673688390980929</v>
      </c>
      <c r="AF36" s="37">
        <v>0.47153117845479997</v>
      </c>
      <c r="AG36" s="38">
        <v>0.36155383694830812</v>
      </c>
      <c r="AH36" s="37">
        <v>0.47277095905300093</v>
      </c>
      <c r="AI36" s="38">
        <v>0.36907377198701075</v>
      </c>
      <c r="AJ36" s="37">
        <v>0.4757910903283481</v>
      </c>
      <c r="AK36" s="38">
        <v>0.38280803581239098</v>
      </c>
      <c r="AL36" s="37">
        <v>0.48321336757356176</v>
      </c>
      <c r="AM36" s="38">
        <v>0.41186323884070969</v>
      </c>
      <c r="AN36" s="37">
        <v>0.5044843218151871</v>
      </c>
      <c r="AO36" s="38">
        <v>0.48549729252765306</v>
      </c>
      <c r="AP36" s="37"/>
      <c r="AQ36" s="38"/>
      <c r="AR36" s="37"/>
      <c r="AS36" s="38"/>
      <c r="AT36" s="37"/>
      <c r="AU36" s="38"/>
      <c r="AV36" s="37"/>
      <c r="AW36" s="38"/>
    </row>
    <row r="37" spans="1:49 16319:16321" x14ac:dyDescent="0.2">
      <c r="B37" s="39">
        <v>2.1403217525954466E-2</v>
      </c>
      <c r="C37" s="40">
        <v>0.3496246130199252</v>
      </c>
      <c r="D37" s="39">
        <v>2.0846325138897483E-2</v>
      </c>
      <c r="E37" s="40">
        <v>0.34634931812687825</v>
      </c>
      <c r="F37" s="39">
        <v>2.0288877809891578E-2</v>
      </c>
      <c r="G37" s="40">
        <v>0.34305399259439023</v>
      </c>
      <c r="H37" s="39">
        <v>1.9732337313322829E-2</v>
      </c>
      <c r="I37" s="40">
        <v>0.33974757720270832</v>
      </c>
      <c r="J37" s="39">
        <v>1.9178553307289899E-2</v>
      </c>
      <c r="K37" s="40">
        <v>0.33644157325033519</v>
      </c>
      <c r="L37" s="39">
        <v>1.862984248703398E-2</v>
      </c>
      <c r="M37" s="40">
        <v>0.33315057122732361</v>
      </c>
      <c r="N37" s="39">
        <v>1.8089053509765113E-2</v>
      </c>
      <c r="O37" s="40">
        <v>0.32989269481685102</v>
      </c>
      <c r="P37" s="39">
        <v>1.7559609677287272E-2</v>
      </c>
      <c r="Q37" s="40">
        <v>0.32668990167414347</v>
      </c>
      <c r="R37" s="39">
        <v>1.7045460270772608E-2</v>
      </c>
      <c r="S37" s="40">
        <v>0.32356770546783176</v>
      </c>
      <c r="T37" s="39">
        <v>1.6550820621188313E-2</v>
      </c>
      <c r="U37" s="40">
        <v>0.32055355704187799</v>
      </c>
      <c r="V37" s="39">
        <v>1.6079506256893493E-2</v>
      </c>
      <c r="W37" s="40">
        <v>0.31767264227761349</v>
      </c>
      <c r="X37" s="39">
        <v>1.5633415221474978E-2</v>
      </c>
      <c r="Y37" s="40">
        <v>0.3149382790374326</v>
      </c>
      <c r="Z37" s="39">
        <v>1.5209483114469459E-2</v>
      </c>
      <c r="AA37" s="40">
        <v>0.31233262586933841</v>
      </c>
      <c r="AB37" s="39">
        <v>1.4794065259783096E-2</v>
      </c>
      <c r="AC37" s="40">
        <v>0.30977106163345541</v>
      </c>
      <c r="AD37" s="39">
        <v>1.4353715891276538E-2</v>
      </c>
      <c r="AE37" s="40">
        <v>0.30704359094129002</v>
      </c>
      <c r="AF37" s="39">
        <v>1.382196654038487E-2</v>
      </c>
      <c r="AG37" s="40">
        <v>0.30373036597269426</v>
      </c>
      <c r="AH37" s="39">
        <v>1.3081288302005754E-2</v>
      </c>
      <c r="AI37" s="40">
        <v>0.29908542907728369</v>
      </c>
      <c r="AJ37" s="39">
        <v>1.1935484130088039E-2</v>
      </c>
      <c r="AK37" s="40">
        <v>0.29185948873196127</v>
      </c>
      <c r="AL37" s="39">
        <v>1.0098351653312694E-2</v>
      </c>
      <c r="AM37" s="40">
        <v>0.28024902488193204</v>
      </c>
      <c r="AN37" s="39">
        <v>7.3052040328699733E-3</v>
      </c>
      <c r="AO37" s="40">
        <v>0.26282080422475679</v>
      </c>
      <c r="AP37" s="39"/>
      <c r="AQ37" s="40"/>
      <c r="AR37" s="39"/>
      <c r="AS37" s="40"/>
      <c r="AT37" s="39"/>
      <c r="AU37" s="40"/>
      <c r="AV37" s="39"/>
      <c r="AW37" s="40"/>
    </row>
    <row r="38" spans="1:49 16319:16321" x14ac:dyDescent="0.2">
      <c r="A38" t="s">
        <v>22</v>
      </c>
      <c r="B38" s="37">
        <v>0.18079094942242827</v>
      </c>
      <c r="C38" s="38">
        <v>6.0565413429233668E-2</v>
      </c>
      <c r="D38" s="37">
        <v>0.18105055173749562</v>
      </c>
      <c r="E38" s="38">
        <v>6.0826633189241502E-2</v>
      </c>
      <c r="F38" s="37">
        <v>0.18132931382458001</v>
      </c>
      <c r="G38" s="38">
        <v>6.1104888728390955E-2</v>
      </c>
      <c r="H38" s="37">
        <v>0.18162884269883514</v>
      </c>
      <c r="I38" s="38">
        <v>6.1401000584284972E-2</v>
      </c>
      <c r="J38" s="37">
        <v>0.18195074643334372</v>
      </c>
      <c r="K38" s="38">
        <v>6.1715561911125615E-2</v>
      </c>
      <c r="L38" s="37">
        <v>0.18229654206010168</v>
      </c>
      <c r="M38" s="38">
        <v>6.2048801039829696E-2</v>
      </c>
      <c r="N38" s="37">
        <v>0.18266751553999619</v>
      </c>
      <c r="O38" s="38">
        <v>6.2400393707394343E-2</v>
      </c>
      <c r="P38" s="37">
        <v>0.18306450000753949</v>
      </c>
      <c r="Q38" s="38">
        <v>6.2769256841117255E-2</v>
      </c>
      <c r="R38" s="37">
        <v>0.18348754685274504</v>
      </c>
      <c r="S38" s="38">
        <v>6.3153356392623941E-2</v>
      </c>
      <c r="T38" s="37">
        <v>0.18393545544580242</v>
      </c>
      <c r="U38" s="38">
        <v>6.3549572899371368E-2</v>
      </c>
      <c r="V38" s="37">
        <v>0.18440508376419973</v>
      </c>
      <c r="W38" s="38">
        <v>6.3954021185983062E-2</v>
      </c>
      <c r="X38" s="37">
        <v>0.18489040348628852</v>
      </c>
      <c r="Y38" s="38">
        <v>6.4363074212983637E-2</v>
      </c>
      <c r="Z38" s="37">
        <v>0.18538119622578753</v>
      </c>
      <c r="AA38" s="38">
        <v>6.4776233698282629E-2</v>
      </c>
      <c r="AB38" s="37">
        <v>0.18586136354392746</v>
      </c>
      <c r="AC38" s="38">
        <v>6.5202194998468563E-2</v>
      </c>
      <c r="AD38" s="37">
        <v>0.18630683895942513</v>
      </c>
      <c r="AE38" s="38">
        <v>6.567047890066853E-2</v>
      </c>
      <c r="AF38" s="37">
        <v>0.18668250408540449</v>
      </c>
      <c r="AG38" s="38">
        <v>6.6252484547293142E-2</v>
      </c>
      <c r="AH38" s="37">
        <v>0.18693305265805493</v>
      </c>
      <c r="AI38" s="38">
        <v>6.7104379794555469E-2</v>
      </c>
      <c r="AJ38" s="37">
        <v>0.18694379052346474</v>
      </c>
      <c r="AK38" s="38">
        <v>6.8581313318510112E-2</v>
      </c>
      <c r="AL38" s="37">
        <v>0.18637433864015834</v>
      </c>
      <c r="AM38" s="38">
        <v>7.1577292457397662E-2</v>
      </c>
      <c r="AN38" s="37">
        <v>0.18380938958922574</v>
      </c>
      <c r="AO38" s="38">
        <v>7.8717614427598351E-2</v>
      </c>
      <c r="AP38" s="37"/>
      <c r="AQ38" s="38"/>
      <c r="AR38" s="37"/>
      <c r="AS38" s="38"/>
      <c r="AT38" s="37"/>
      <c r="AU38" s="38"/>
      <c r="AV38" s="37"/>
      <c r="AW38" s="38"/>
    </row>
    <row r="39" spans="1:49 16319:16321" x14ac:dyDescent="0.2">
      <c r="A39" t="s">
        <v>23</v>
      </c>
      <c r="B39" s="39">
        <v>0.23064923795098732</v>
      </c>
      <c r="C39" s="40">
        <v>0.22092201281804777</v>
      </c>
      <c r="D39" s="39">
        <v>0.23083395985444774</v>
      </c>
      <c r="E39" s="40">
        <v>0.22180449439123351</v>
      </c>
      <c r="F39" s="39">
        <v>0.23103131434032831</v>
      </c>
      <c r="G39" s="40">
        <v>0.22274296800715923</v>
      </c>
      <c r="H39" s="39">
        <v>0.23124219665503182</v>
      </c>
      <c r="I39" s="40">
        <v>0.22373978038504902</v>
      </c>
      <c r="J39" s="39">
        <v>0.2314674457887041</v>
      </c>
      <c r="K39" s="40">
        <v>0.22479640163226614</v>
      </c>
      <c r="L39" s="39">
        <v>0.23170777162417597</v>
      </c>
      <c r="M39" s="40">
        <v>0.22591293019463474</v>
      </c>
      <c r="N39" s="39">
        <v>0.23196364855081969</v>
      </c>
      <c r="O39" s="40">
        <v>0.22708750420090812</v>
      </c>
      <c r="P39" s="39">
        <v>0.23223516648593268</v>
      </c>
      <c r="Q39" s="40">
        <v>0.22831557976745523</v>
      </c>
      <c r="R39" s="39">
        <v>0.23252183314034175</v>
      </c>
      <c r="S39" s="40">
        <v>0.22958927687980965</v>
      </c>
      <c r="T39" s="39">
        <v>0.23282232980394202</v>
      </c>
      <c r="U39" s="40">
        <v>0.23089731390919116</v>
      </c>
      <c r="V39" s="39">
        <v>0.23313424734523508</v>
      </c>
      <c r="W39" s="40">
        <v>0.23222612616797758</v>
      </c>
      <c r="X39" s="39">
        <v>0.23345387125180492</v>
      </c>
      <c r="Y39" s="40">
        <v>0.23356445556088207</v>
      </c>
      <c r="Z39" s="39">
        <v>0.2337761743969381</v>
      </c>
      <c r="AA39" s="40">
        <v>0.2349143711848114</v>
      </c>
      <c r="AB39" s="39">
        <v>0.23409531460484123</v>
      </c>
      <c r="AC39" s="40">
        <v>0.23631465691818165</v>
      </c>
      <c r="AD39" s="39">
        <v>0.2344061100716478</v>
      </c>
      <c r="AE39" s="40">
        <v>0.23788490088399949</v>
      </c>
      <c r="AF39" s="39">
        <v>0.23470699365541214</v>
      </c>
      <c r="AG39" s="40">
        <v>0.23990537353673388</v>
      </c>
      <c r="AH39" s="39">
        <v>0.23500454256547093</v>
      </c>
      <c r="AI39" s="40">
        <v>0.24298114649887373</v>
      </c>
      <c r="AJ39" s="39">
        <v>0.23531830166230849</v>
      </c>
      <c r="AK39" s="40">
        <v>0.24848759998919032</v>
      </c>
      <c r="AL39" s="39">
        <v>0.23567188162337085</v>
      </c>
      <c r="AM39" s="40">
        <v>0.2599337949884073</v>
      </c>
      <c r="AN39" s="39">
        <v>0.23594166837865888</v>
      </c>
      <c r="AO39" s="40">
        <v>0.28801628222992454</v>
      </c>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0.11598040313285855</v>
      </c>
      <c r="E42" s="135"/>
      <c r="F42" s="177">
        <f>10.8%+(1-10.8%)*(1-SUM(F26:G26)/SUM($B$26:$C$26))</f>
        <v>0.12514244585154216</v>
      </c>
      <c r="G42" s="135"/>
      <c r="H42" s="177">
        <f>10.8%+(1-10.8%)*(1-SUM(H26:I26)/SUM($B$26:$C$26))</f>
        <v>0.13572062805131099</v>
      </c>
      <c r="I42" s="135"/>
      <c r="J42" s="177">
        <f>10.8%+(1-10.8%)*(1-SUM(J26:K26)/SUM($B$26:$C$26))</f>
        <v>0.14800118642444318</v>
      </c>
      <c r="K42" s="135"/>
      <c r="L42" s="177">
        <f>10.8%+(1-10.8%)*(1-SUM(L26:M26)/SUM($B$26:$C$26))</f>
        <v>0.16233171534834315</v>
      </c>
      <c r="M42" s="135"/>
      <c r="N42" s="177">
        <f>10.8%+(1-10.8%)*(1-SUM(N26:O26)/SUM($B$26:$C$26))</f>
        <v>0.17912953565237349</v>
      </c>
      <c r="O42" s="135"/>
      <c r="P42" s="177">
        <f>10.8%+(1-10.8%)*(1-SUM(P26:Q26)/SUM($B$26:$C$26))</f>
        <v>0.19888630646240579</v>
      </c>
      <c r="Q42" s="135"/>
      <c r="R42" s="177">
        <f>10.8%+(1-10.8%)*(1-SUM(R26:S26)/SUM($B$26:$C$26))</f>
        <v>0.22216277483252839</v>
      </c>
      <c r="S42" s="135"/>
      <c r="T42" s="177">
        <f>10.8%+(1-10.8%)*(1-SUM(T26:U26)/SUM($B$26:$C$26))</f>
        <v>0.24956425452447462</v>
      </c>
      <c r="U42" s="135"/>
      <c r="V42" s="177">
        <f>10.8%+(1-10.8%)*(1-SUM(V26:W26)/SUM($B$26:$C$26))</f>
        <v>0.28168320394114676</v>
      </c>
      <c r="W42" s="135"/>
      <c r="X42" s="177">
        <f>10.8%+(1-10.8%)*(1-SUM(X26:Y26)/SUM($B$26:$C$26))</f>
        <v>0.31899229504454479</v>
      </c>
      <c r="Y42" s="162"/>
      <c r="Z42" s="177">
        <f>10.8%+(1-10.8%)*(1-SUM(Z26:AA26)/SUM($B$26:$C$26))</f>
        <v>0.36167924034122256</v>
      </c>
      <c r="AA42" s="135"/>
      <c r="AB42" s="177">
        <f>10.8%+(1-10.8%)*(1-SUM(AB26:AC26)/SUM($B$26:$C$26))</f>
        <v>0.40944898753494152</v>
      </c>
      <c r="AC42" s="135"/>
      <c r="AD42" s="177">
        <f>10.8%+(1-10.8%)*(1-SUM(AD26:AE26)/SUM($B$26:$C$26))</f>
        <v>0.46140281819383688</v>
      </c>
      <c r="AE42" s="135"/>
      <c r="AF42" s="177">
        <f>10.8%+(1-10.8%)*(1-SUM(AF26:AG26)/SUM($B$26:$C$26))</f>
        <v>0.51622393530566446</v>
      </c>
      <c r="AG42" s="135"/>
      <c r="AH42" s="177">
        <f>10.8%+(1-10.8%)*(1-SUM(AH26:AI26)/SUM($B$26:$C$26))</f>
        <v>0.5729267221999943</v>
      </c>
      <c r="AI42" s="135"/>
      <c r="AJ42" s="177">
        <f>10.8%+(1-10.8%)*(1-SUM(AJ26:AK26)/SUM($B$26:$C$26))</f>
        <v>0.63225820598047866</v>
      </c>
      <c r="AK42" s="135"/>
      <c r="AL42" s="177">
        <f>10.8%+(1-10.8%)*(1-SUM(AL26:AM26)/SUM($B$26:$C$26))</f>
        <v>0.69889862879661979</v>
      </c>
      <c r="AM42" s="135"/>
      <c r="AN42" s="177">
        <f>10.8%+(1-10.8%)*(1-SUM(AN26:AO26)/SUM($B$26:$C$26))</f>
        <v>0.78749986722871335</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0.56058995943839174</v>
      </c>
      <c r="C43" s="135"/>
      <c r="D43" s="162">
        <f t="array" ref="D43">SUM(D15:E15*D27:E27)/SUM(D15:E15*D27:E27,D13:E13*D26:E26)</f>
        <v>0.5677340714788619</v>
      </c>
      <c r="E43" s="135"/>
      <c r="F43" s="162">
        <f t="array" ref="F43">SUM(F15:G15*F27:G27)/SUM(F15:G15*F27:G27,F13:G13*F26:G26)</f>
        <v>0.56833721743124732</v>
      </c>
      <c r="G43" s="135"/>
      <c r="H43" s="162">
        <f t="array" ref="H43">SUM(H15:I15*H27:I27)/SUM(H15:I15*H27:I27,H13:I13*H26:I26)</f>
        <v>0.56901671333496151</v>
      </c>
      <c r="I43" s="135"/>
      <c r="J43" s="162">
        <f t="array" ref="J43">SUM(J15:K15*J27:K27)/SUM(J15:K15*J27:K27,J13:K13*J26:K26)</f>
        <v>0.56977957588180417</v>
      </c>
      <c r="K43" s="135"/>
      <c r="L43" s="162">
        <f t="array" ref="L43">SUM(L15:M15*L27:M27)/SUM(L15:M15*L27:M27,L13:M13*L26:M26)</f>
        <v>0.57063282229923273</v>
      </c>
      <c r="M43" s="135"/>
      <c r="N43" s="162">
        <f t="array" ref="N43">SUM(N15:O15*N27:O27)/SUM(N15:O15*N27:O27,N13:O13*N26:O26)</f>
        <v>0.57158297818259374</v>
      </c>
      <c r="O43" s="135"/>
      <c r="P43" s="162">
        <f t="array" ref="P43">SUM(P15:Q15*P27:Q27)/SUM(P15:Q15*P27:Q27,P13:Q13*P26:Q26)</f>
        <v>0.57263521788560601</v>
      </c>
      <c r="Q43" s="135"/>
      <c r="R43" s="162">
        <f t="array" ref="R43">SUM(R15:S15*R27:S27)/SUM(R15:S15*R27:S27,R13:S13*R26:S26)</f>
        <v>0.57379191625317894</v>
      </c>
      <c r="S43" s="135"/>
      <c r="T43" s="162">
        <f t="array" ref="T43">SUM(T15:U15*T27:U27)/SUM(T15:U15*T27:U27,T13:U13*T26:U26)</f>
        <v>0.57505026280431082</v>
      </c>
      <c r="U43" s="135"/>
      <c r="V43" s="162">
        <f t="array" ref="V43">SUM(V15:W15*V27:W27)/SUM(V15:W15*V27:W27,V13:W13*V26:W26)</f>
        <v>0.57639825509450482</v>
      </c>
      <c r="W43" s="135"/>
      <c r="X43" s="162">
        <f t="array" ref="X43">SUM(X15:Y15*X27:Y27)/SUM(X15:Y15*X27:Y27,X13:Y13*X26:Y26)</f>
        <v>0.57780817476436619</v>
      </c>
      <c r="Y43" s="135"/>
      <c r="Z43" s="162">
        <f t="array" ref="Z43">SUM(Z15:AA15*Z27:AA27)/SUM(Z15:AA15*Z27:AA27,Z13:AA13*Z26:AA26)</f>
        <v>0.57922601050217015</v>
      </c>
      <c r="AA43" s="135"/>
      <c r="AB43" s="162">
        <f t="array" ref="AB43">SUM(AB15:AC15*AB27:AC27)/SUM(AB15:AC15*AB27:AC27,AB13:AC13*AB26:AC26)</f>
        <v>0.58055524212180043</v>
      </c>
      <c r="AC43" s="135"/>
      <c r="AD43" s="162">
        <f t="array" ref="AD43">SUM(AD15:AE15*AD27:AE27)/SUM(AD15:AE15*AD27:AE27,AD13:AE13*AD26:AE26)</f>
        <v>0.58163372934159785</v>
      </c>
      <c r="AE43" s="135"/>
      <c r="AF43" s="162">
        <f t="array" ref="AF43">SUM(AF15:AG15*AF27:AG27)/SUM(AF15:AG15*AF27:AG27,AF13:AG13*AF26:AG26)</f>
        <v>0.58220011207405564</v>
      </c>
      <c r="AG43" s="135"/>
      <c r="AH43" s="162">
        <f t="array" ref="AH43">SUM(AH15:AI15*AH27:AI27)/SUM(AH15:AI15*AH27:AI27,AH13:AI13*AH26:AI26)</f>
        <v>0.58181857361772349</v>
      </c>
      <c r="AI43" s="135"/>
      <c r="AJ43" s="162">
        <f t="array" ref="AJ43">SUM(AJ15:AK15*AJ27:AK27)/SUM(AJ15:AK15*AJ27:AK27,AJ13:AK13*AJ26:AK26)</f>
        <v>0.57959702863593365</v>
      </c>
      <c r="AK43" s="135"/>
      <c r="AL43" s="162">
        <f t="array" ref="AL43">SUM(AL15:AM15*AL27:AM27)/SUM(AL15:AM15*AL27:AM27,AL13:AM13*AL26:AM26)</f>
        <v>0.57300813527310934</v>
      </c>
      <c r="AM43" s="135"/>
      <c r="AN43" s="162">
        <f t="array" ref="AN43">SUM(AN15:AO15*AN27:AO27)/SUM(AN15:AO15*AN27:AO27,AN13:AO13*AN26:AO26)</f>
        <v>0.55202043193179628</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0.29911141144810632</v>
      </c>
      <c r="F44" s="193">
        <f>(SUM(F11:G11*F24:G24)+F34)/F32</f>
        <v>0.30068729536875405</v>
      </c>
      <c r="H44" s="193">
        <f>(SUM(H11:I11*H24:I24)+H34)/H32</f>
        <v>0.3022681176736341</v>
      </c>
      <c r="J44" s="193">
        <f>(SUM(J11:K11*J24:K24)+J34)/J32</f>
        <v>0.30385124425802712</v>
      </c>
      <c r="L44" s="193">
        <f>(SUM(L11:M11*L24:M24)+L34)/L32</f>
        <v>0.30543299994685424</v>
      </c>
      <c r="N44" s="193">
        <f>(SUM(N11:O11*N24:O24)+N34)/N32</f>
        <v>0.30700857361929024</v>
      </c>
      <c r="P44" s="193">
        <f>(SUM(P11:Q11*P24:Q24)+P34)/P32</f>
        <v>0.30857204813106526</v>
      </c>
      <c r="R44" s="193">
        <f>(SUM(R11:S11*R24:S24)+R34)/R32</f>
        <v>0.31011682523352041</v>
      </c>
      <c r="T44" s="193">
        <f>(SUM(T11:U11*T24:U24)+T34)/T32</f>
        <v>0.31163728029355936</v>
      </c>
      <c r="V44" s="193">
        <f>(SUM(V11:W11*V24:W24)+V34)/V32</f>
        <v>0.31313202408015256</v>
      </c>
      <c r="X44" s="193">
        <f>(SUM(X11:Y11*X24:Y24)+X34)/X32</f>
        <v>0.31461162718074454</v>
      </c>
      <c r="Z44" s="193">
        <f>(SUM(Z11:AA11*Z24:AA24)+Z34)/Z32</f>
        <v>0.31611357066855661</v>
      </c>
      <c r="AB44" s="193">
        <f>(SUM(AB11:AC11*AB24:AC24)+AB34)/AB32</f>
        <v>0.31773025998287224</v>
      </c>
      <c r="AD44" s="193">
        <f>(SUM(AD11:AE11*AD24:AE24)+AD34)/AD32</f>
        <v>0.31965779478955386</v>
      </c>
      <c r="AF44" s="193">
        <f>(SUM(AF11:AG11*AF24:AG24)+AF34)/AF32</f>
        <v>0.3222792211356838</v>
      </c>
      <c r="AH44" s="193">
        <f>(SUM(AH11:AI11*AH24:AI24)+AH34)/AH32</f>
        <v>0.32632907526624255</v>
      </c>
      <c r="AJ44" s="193">
        <f>(SUM(AJ11:AK11*AJ24:AK24)+AJ34)/AJ32</f>
        <v>0.33330012359477434</v>
      </c>
      <c r="AL44" s="193">
        <f>(SUM(AL11:AM11*AL24:AM24)+AL34)/AL32</f>
        <v>0.34630649954048454</v>
      </c>
      <c r="AN44" s="193">
        <f>(SUM(AN11:AO11*AN24:AO24)+AN34)/AN32</f>
        <v>0.37207886401368828</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0.2223080019480749</v>
      </c>
      <c r="F45" s="193">
        <f>SUM(F11:G11*F24:G24)/F32</f>
        <v>0.22460182264902312</v>
      </c>
      <c r="H45" s="193">
        <f>SUM(H11:I11*H24:I24)/H32</f>
        <v>0.22735283544208348</v>
      </c>
      <c r="J45" s="193">
        <f>SUM(J11:K11*J24:K24)/J32</f>
        <v>0.23067396563219081</v>
      </c>
      <c r="L45" s="193">
        <f>SUM(L11:M11*L24:M24)/L32</f>
        <v>0.23471315363450104</v>
      </c>
      <c r="N45" s="193">
        <f>SUM(N11:O11*N24:O24)/N32</f>
        <v>0.23966572171907305</v>
      </c>
      <c r="P45" s="193">
        <f>SUM(P11:Q11*P24:Q24)/P32</f>
        <v>0.24579131853972802</v>
      </c>
      <c r="R45" s="193">
        <f>SUM(R11:S11*R24:S24)/R32</f>
        <v>0.25343655488392297</v>
      </c>
      <c r="T45" s="193">
        <f>SUM(T11:U11*T24:U24)/T32</f>
        <v>0.26306419017726662</v>
      </c>
      <c r="V45" s="193">
        <f>SUM(V11:W11*V24:W24)/V32</f>
        <v>0.2752882671729438</v>
      </c>
      <c r="X45" s="193">
        <f>SUM(X11:Y11*X24:Y24)/X32</f>
        <v>0.29091006956400584</v>
      </c>
      <c r="Z45" s="193">
        <f>SUM(Z11:AA11*Z24:AA24)/Z32</f>
        <v>0.3109409916354906</v>
      </c>
      <c r="AB45" s="193">
        <f>SUM(AB11:AC11*AB24:AC24)/AB32</f>
        <v>0.33658666229908835</v>
      </c>
      <c r="AD45" s="193">
        <f>SUM(AD11:AE11*AD24:AE24)/AD32</f>
        <v>0.36917277322503944</v>
      </c>
      <c r="AF45" s="193">
        <f>SUM(AF11:AG11*AF24:AG24)/AF32</f>
        <v>0.41008064634877794</v>
      </c>
      <c r="AH45" s="193">
        <f>SUM(AH11:AI11*AH24:AI24)/AH32</f>
        <v>0.46100838576511088</v>
      </c>
      <c r="AJ45" s="193">
        <f>SUM(AJ11:AK11*AJ24:AK24)/AJ32</f>
        <v>0.52534253550740861</v>
      </c>
      <c r="AL45" s="193">
        <f>SUM(AL11:AM11*AL24:AM24)/AL32</f>
        <v>0.61347297012189328</v>
      </c>
      <c r="AN45" s="193">
        <f>SUM(AN11:AO11*AN24:AO24)/AN32</f>
        <v>0.7752313068493154</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7.6803409500031436E-2</v>
      </c>
      <c r="F46" s="193">
        <f>F34/F32</f>
        <v>7.6085472719730929E-2</v>
      </c>
      <c r="H46" s="193">
        <f>H34/H32</f>
        <v>7.4915282231550612E-2</v>
      </c>
      <c r="J46" s="193">
        <f>J34/J32</f>
        <v>7.317727862583627E-2</v>
      </c>
      <c r="L46" s="193">
        <f>L34/L32</f>
        <v>7.0719846312353202E-2</v>
      </c>
      <c r="N46" s="193">
        <f>N34/N32</f>
        <v>6.7342851900217174E-2</v>
      </c>
      <c r="P46" s="193">
        <f>P34/P32</f>
        <v>6.278072959133725E-2</v>
      </c>
      <c r="R46" s="193">
        <f>R34/R32</f>
        <v>5.6680270349597425E-2</v>
      </c>
      <c r="T46" s="193">
        <f>T34/T32</f>
        <v>4.8573090116292759E-2</v>
      </c>
      <c r="V46" s="193">
        <f>V34/V32</f>
        <v>3.7843756907208745E-2</v>
      </c>
      <c r="X46" s="193">
        <f>X34/X32</f>
        <v>2.3701557616738703E-2</v>
      </c>
      <c r="Z46" s="193">
        <f>Z34/Z32</f>
        <v>5.1725790330660248E-3</v>
      </c>
      <c r="AB46" s="193">
        <f>AB34/AB32</f>
        <v>-1.8856402316216072E-2</v>
      </c>
      <c r="AD46" s="193">
        <f>AD34/AD32</f>
        <v>-4.9514978435485579E-2</v>
      </c>
      <c r="AF46" s="193">
        <f>AF34/AF32</f>
        <v>-8.7801425213094156E-2</v>
      </c>
      <c r="AH46" s="193">
        <f>AH34/AH32</f>
        <v>-0.13467931049886839</v>
      </c>
      <c r="AJ46" s="193">
        <f>AJ34/AJ32</f>
        <v>-0.19204241191263424</v>
      </c>
      <c r="AL46" s="193">
        <f>AL34/AL32</f>
        <v>-0.26716647058140874</v>
      </c>
      <c r="AN46" s="193">
        <f>AN34/AN32</f>
        <v>-0.40315244283562712</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0.99289636377939017</v>
      </c>
      <c r="E49" s="191"/>
      <c r="F49" s="191">
        <f>F13/F35/$B$13*$B$35</f>
        <v>0.98537585711617282</v>
      </c>
      <c r="G49" s="191"/>
      <c r="H49" s="191">
        <f>H13/H35/$B$13*$B$35</f>
        <v>0.97741229603334012</v>
      </c>
      <c r="I49" s="191"/>
      <c r="J49" s="191">
        <f>J13/J35/$B$13*$B$35</f>
        <v>0.96898233573252746</v>
      </c>
      <c r="K49" s="191"/>
      <c r="L49" s="191">
        <f>L13/L35/$B$13*$B$35</f>
        <v>0.96006812193159197</v>
      </c>
      <c r="M49" s="191"/>
      <c r="N49" s="191">
        <f>N13/N35/$B$13*$B$35</f>
        <v>0.95066097482769707</v>
      </c>
      <c r="O49" s="191"/>
      <c r="P49" s="191">
        <f>P13/P35/$B$13*$B$35</f>
        <v>0.94076659371237059</v>
      </c>
      <c r="Q49" s="191"/>
      <c r="R49" s="191">
        <f>R13/R35/$B$13*$B$35</f>
        <v>0.93041188756761273</v>
      </c>
      <c r="S49" s="191"/>
      <c r="T49" s="191">
        <f>T13/T35/$B$13*$B$35</f>
        <v>0.91965330633715359</v>
      </c>
      <c r="U49" s="191"/>
      <c r="V49" s="191">
        <f>V13/V35/$B$13*$B$35</f>
        <v>0.90858650157130805</v>
      </c>
      <c r="W49" s="191"/>
      <c r="X49" s="191">
        <f>X13/X35/$B$13*$B$35</f>
        <v>0.89735514331638211</v>
      </c>
      <c r="Y49" s="191"/>
      <c r="Z49" s="191">
        <f>Z13/Z35/$B$13*$B$35</f>
        <v>0.88615566376582167</v>
      </c>
      <c r="AA49" s="191"/>
      <c r="AB49" s="191">
        <f>AB13/AB35/$B$13*$B$35</f>
        <v>0.87523040190806545</v>
      </c>
      <c r="AC49" s="191"/>
      <c r="AD49" s="191">
        <f>AD13/AD35/$B$13*$B$35</f>
        <v>0.86483717845376096</v>
      </c>
      <c r="AE49" s="191"/>
      <c r="AF49" s="191">
        <f>AF13/AF35/$B$13*$B$35</f>
        <v>0.85518202144939659</v>
      </c>
      <c r="AG49" s="191"/>
      <c r="AH49" s="191">
        <f>AH13/AH35/$B$13*$B$35</f>
        <v>0.84631583668365806</v>
      </c>
      <c r="AI49" s="191"/>
      <c r="AJ49" s="191">
        <f>AJ13/AJ35/$B$13*$B$35</f>
        <v>0.83801719208368031</v>
      </c>
      <c r="AK49" s="191"/>
      <c r="AL49" s="191">
        <f>AL13/AL35/$B$13*$B$35</f>
        <v>0.82966153686028987</v>
      </c>
      <c r="AM49" s="191"/>
      <c r="AN49" s="191">
        <f>AN13/AN35/$B$13*$B$35</f>
        <v>0.81981776805188056</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-363555.41761639342</v>
      </c>
      <c r="F51" s="29">
        <f>F30-F10*F23</f>
        <v>-321509.5239609764</v>
      </c>
      <c r="H51" s="29">
        <f>H30-H10*H23</f>
        <v>-279819.08792277146</v>
      </c>
      <c r="J51" s="29">
        <f>J30-J10*J23</f>
        <v>-238641.51618390623</v>
      </c>
      <c r="L51" s="29">
        <f>L30-L10*L23</f>
        <v>-198181.55341022508</v>
      </c>
      <c r="N51" s="29">
        <f>N30-N10*N23</f>
        <v>-158697.93324100785</v>
      </c>
      <c r="P51" s="29">
        <f>P30-P10*P23</f>
        <v>-120505.92238887958</v>
      </c>
      <c r="R51" s="29">
        <f>R30-R10*R23</f>
        <v>-83967.861633375753</v>
      </c>
      <c r="T51" s="29">
        <f>T30-T10*T23</f>
        <v>-49458.973222430795</v>
      </c>
      <c r="V51" s="29">
        <f>V30-V10*V23</f>
        <v>-17287.152831735555</v>
      </c>
      <c r="X51" s="29">
        <f>X30-X10*X23</f>
        <v>12469.334914525505</v>
      </c>
      <c r="Z51" s="29">
        <f>Z30-Z10*Z23</f>
        <v>40256.016177984886</v>
      </c>
      <c r="AB51" s="29">
        <f>AB30-AB10*AB23</f>
        <v>67534.483675702475</v>
      </c>
      <c r="AD51" s="29">
        <f>AD30-AD10*AD23</f>
        <v>97564.534522152971</v>
      </c>
      <c r="AF51" s="29">
        <f>AF30-AF10*AF23</f>
        <v>136737.90170630673</v>
      </c>
      <c r="AH51" s="29">
        <f>AH30-AH10*AH23</f>
        <v>197631.9966505738</v>
      </c>
      <c r="AJ51" s="29">
        <f>AJ30-AJ10*AJ23</f>
        <v>308278.84820212703</v>
      </c>
      <c r="AL51" s="29">
        <f>AL30-AL10*AL23</f>
        <v>539182.55970891519</v>
      </c>
      <c r="AN51" s="29">
        <f>AN30-AN10*AN23</f>
        <v>1084696.0162166799</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2020694.1716130532</v>
      </c>
      <c r="F52" s="29">
        <f t="array" ref="F52">Calibration!sL*SUM(F13:G13*F26:G26)</f>
        <v>1989854.1783337286</v>
      </c>
      <c r="H52" s="29">
        <f t="array" ref="H52">Calibration!sL*SUM(H13:I13*H26:I26)</f>
        <v>1956377.4742481536</v>
      </c>
      <c r="J52" s="29">
        <f t="array" ref="J52">Calibration!sL*SUM(J13:K13*J26:K26)</f>
        <v>1919858.7992429552</v>
      </c>
      <c r="L52" s="29">
        <f t="array" ref="L52">Calibration!sL*SUM(L13:M13*L26:M26)</f>
        <v>1879836.0614840128</v>
      </c>
      <c r="N52" s="29">
        <f t="array" ref="N52">Calibration!sL*SUM(N13:O13*N26:O26)</f>
        <v>1835795.7705392593</v>
      </c>
      <c r="P52" s="29">
        <f t="array" ref="P52">Calibration!sL*SUM(P13:Q13*P26:Q26)</f>
        <v>1787192.3994161228</v>
      </c>
      <c r="R52" s="29">
        <f t="array" ref="R52">Calibration!sL*SUM(R13:S13*R26:S26)</f>
        <v>1733493.7793746479</v>
      </c>
      <c r="T52" s="29">
        <f t="array" ref="T52">Calibration!sL*SUM(T13:U13*T26:U26)</f>
        <v>1674269.5969376648</v>
      </c>
      <c r="V52" s="29">
        <f t="array" ref="V52">Calibration!sL*SUM(V13:W13*V26:W26)</f>
        <v>1609349.6774500036</v>
      </c>
      <c r="X52" s="29">
        <f t="array" ref="X52">Calibration!sL*SUM(X13:Y13*X26:Y26)</f>
        <v>1539078.321139385</v>
      </c>
      <c r="Z52" s="29">
        <f t="array" ref="Z52">Calibration!sL*SUM(Z13:AA13*Z26:AA26)</f>
        <v>1464682.4378792699</v>
      </c>
      <c r="AB52" s="29">
        <f t="array" ref="AB52">Calibration!sL*SUM(AB13:AC13*AB26:AC26)</f>
        <v>1388717.0736254742</v>
      </c>
      <c r="AD52" s="29">
        <f t="array" ref="AD52">Calibration!sL*SUM(AD13:AE13*AD26:AE26)</f>
        <v>1315453.2875048218</v>
      </c>
      <c r="AF52" s="29">
        <f t="array" ref="AF52">Calibration!sL*SUM(AF13:AG13*AF26:AG26)</f>
        <v>1251039.5455108816</v>
      </c>
      <c r="AH52" s="29">
        <f t="array" ref="AH52">Calibration!sL*SUM(AH13:AI13*AH26:AI26)</f>
        <v>1203736.5232222762</v>
      </c>
      <c r="AJ52" s="29">
        <f t="array" ref="AJ52">Calibration!sL*SUM(AJ13:AK13*AJ26:AK26)</f>
        <v>1185939.5165653066</v>
      </c>
      <c r="AL52" s="29">
        <f t="array" ref="AL52">Calibration!sL*SUM(AL13:AM13*AL26:AM26)</f>
        <v>1220018.4532506946</v>
      </c>
      <c r="AN52" s="29">
        <f t="array" ref="AN52">Calibration!sL*SUM(AN13:AO13*AN26:AO26)</f>
        <v>1343842.2255617599</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2740714.4444297408</v>
      </c>
      <c r="D53" s="29">
        <f t="array" ref="D53">Calibration!sK*SUM(D15:E15*D27:E27)</f>
        <v>2708407.0106725241</v>
      </c>
      <c r="F53" s="29">
        <f t="array" ref="F53">Calibration!sK*SUM(F15:G15*F27:G27)</f>
        <v>2673635.0729512912</v>
      </c>
      <c r="H53" s="29">
        <f t="array" ref="H53">Calibration!sK*SUM(H15:I15*H27:I27)</f>
        <v>2635946.7668902813</v>
      </c>
      <c r="J53" s="29">
        <f t="array" ref="J53">Calibration!sK*SUM(J15:K15*J27:K27)</f>
        <v>2594803.8270481788</v>
      </c>
      <c r="L53" s="29">
        <f t="array" ref="L53">Calibration!sK*SUM(L15:M15*L27:M27)</f>
        <v>2549571.9359109546</v>
      </c>
      <c r="N53" s="29">
        <f t="array" ref="N53">Calibration!sK*SUM(N15:O15*N27:O27)</f>
        <v>2499518.3055369328</v>
      </c>
      <c r="P53" s="29">
        <f t="array" ref="P53">Calibration!sK*SUM(P15:Q15*P27:Q27)</f>
        <v>2443824.5332218534</v>
      </c>
      <c r="R53" s="29">
        <f t="array" ref="R53">Calibration!sK*SUM(R15:S15*R27:S27)</f>
        <v>2381630.6901473929</v>
      </c>
      <c r="T53" s="29">
        <f t="array" ref="T53">Calibration!sK*SUM(T15:U15*T27:U27)</f>
        <v>2312134.1053560143</v>
      </c>
      <c r="V53" s="29">
        <f t="array" ref="V53">Calibration!sK*SUM(V15:W15*V27:W27)</f>
        <v>2234779.7218683888</v>
      </c>
      <c r="X53" s="29">
        <f t="array" ref="X53">Calibration!sK*SUM(X15:Y15*X27:Y27)</f>
        <v>2149581.7709428314</v>
      </c>
      <c r="Z53" s="29">
        <f t="array" ref="Z53">Calibration!sK*SUM(Z15:AA15*Z27:AA27)</f>
        <v>2057605.1206767724</v>
      </c>
      <c r="AB53" s="29">
        <f t="array" ref="AB53">Calibration!sK*SUM(AB15:AC15*AB27:AC27)</f>
        <v>1961561.5609883424</v>
      </c>
      <c r="AD53" s="29">
        <f t="array" ref="AD53">Calibration!sK*SUM(AD15:AE15*AD27:AE27)</f>
        <v>1866326.9962108787</v>
      </c>
      <c r="AF53" s="29">
        <f t="array" ref="AF53">Calibration!sK*SUM(AF15:AG15*AF27:AG27)</f>
        <v>1779075.5501270415</v>
      </c>
      <c r="AH53" s="29">
        <f t="array" ref="AH53">Calibration!sK*SUM(AH15:AI15*AH27:AI27)</f>
        <v>1709124.3717868107</v>
      </c>
      <c r="AJ53" s="29">
        <f t="array" ref="AJ53">Calibration!sK*SUM(AJ15:AK15*AJ27:AK27)</f>
        <v>1668561.8184880158</v>
      </c>
      <c r="AL53" s="29">
        <f t="array" ref="AL53">Calibration!sK*SUM(AL15:AM15*AL27:AM27)</f>
        <v>1670809.6480740802</v>
      </c>
      <c r="AN53" s="29">
        <f t="array" ref="AN53">Calibration!sK*SUM(AN15:AO15*AN27:AO27)</f>
        <v>1689914.0498767868</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0.20113670176156578</v>
      </c>
      <c r="F55" s="193">
        <f>F30/F32</f>
        <v>0.20378128503862269</v>
      </c>
      <c r="H55" s="193">
        <f>H30/H32</f>
        <v>0.20643338412335369</v>
      </c>
      <c r="J55" s="193">
        <f>J30/J32</f>
        <v>0.20908849551983635</v>
      </c>
      <c r="L55" s="193">
        <f>L30/L32</f>
        <v>0.21174037898507322</v>
      </c>
      <c r="N55" s="193">
        <f>N30/N32</f>
        <v>0.21438086926553179</v>
      </c>
      <c r="P55" s="193">
        <f>P30/P32</f>
        <v>0.2169999426268002</v>
      </c>
      <c r="R55" s="193">
        <f>R30/R32</f>
        <v>0.21958655759275653</v>
      </c>
      <c r="T55" s="193">
        <f>T30/T32</f>
        <v>0.2221311736869955</v>
      </c>
      <c r="V55" s="193">
        <f>V30/V32</f>
        <v>0.22463168030904082</v>
      </c>
      <c r="X55" s="193">
        <f>X30/X32</f>
        <v>0.22710615069070744</v>
      </c>
      <c r="Z55" s="193">
        <f>Z30/Z32</f>
        <v>0.22961822355216627</v>
      </c>
      <c r="AB55" s="193">
        <f>AB30/AB32</f>
        <v>0.23232441490807232</v>
      </c>
      <c r="AD55" s="193">
        <f>AD30/AD32</f>
        <v>0.23555641667871194</v>
      </c>
      <c r="AF55" s="193">
        <f>AF30/AF32</f>
        <v>0.23996152854266053</v>
      </c>
      <c r="AH55" s="193">
        <f>AH30/AH32</f>
        <v>0.24678023910986763</v>
      </c>
      <c r="AJ55" s="193">
        <f>AJ30/AJ32</f>
        <v>0.25853324870505251</v>
      </c>
      <c r="AL55" s="193">
        <f>AL30/AL32</f>
        <v>0.28048406011473925</v>
      </c>
      <c r="AN55" s="193">
        <f>AN30/AN32</f>
        <v>0.32404235286043498</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3.2636269271319393E-2</v>
      </c>
      <c r="F56" s="193">
        <f>(Model!$C$52*F5*F20+F2*G5*G20)/F32</f>
        <v>3.6088344560392817E-2</v>
      </c>
      <c r="H56" s="193">
        <f>(Model!$C$52*H5*H20+H2*I5*I20)/H32</f>
        <v>3.9575954418839626E-2</v>
      </c>
      <c r="J56" s="193">
        <f>(Model!$C$52*J5*J20+J2*K5*K20)/J32</f>
        <v>4.3095998490290957E-2</v>
      </c>
      <c r="L56" s="193">
        <f>(Model!$C$52*L5*L20+L2*M5*M20)/L32</f>
        <v>4.6643279844673514E-2</v>
      </c>
      <c r="N56" s="193">
        <f>(Model!$C$52*N5*N20+N2*O5*O20)/N32</f>
        <v>5.0210117032288115E-2</v>
      </c>
      <c r="P56" s="193">
        <f>(Model!$C$52*P5*P20+P2*Q5*Q20)/P32</f>
        <v>5.3786150653541809E-2</v>
      </c>
      <c r="R56" s="193">
        <f>(Model!$C$52*R5*R20+R2*S5*S20)/R32</f>
        <v>5.7358890280563436E-2</v>
      </c>
      <c r="T56" s="193">
        <f>(Model!$C$52*T5*T20+T2*U5*U20)/T32</f>
        <v>6.0915986602635301E-2</v>
      </c>
      <c r="V56" s="193">
        <f>(Model!$C$52*V5*V20+V2*W5*W20)/V32</f>
        <v>6.4451077614405577E-2</v>
      </c>
      <c r="X56" s="193">
        <f>(Model!$C$52*X5*X20+X2*Y5*Y20)/X32</f>
        <v>6.7977006573767443E-2</v>
      </c>
      <c r="Z56" s="193">
        <f>(Model!$C$52*Z5*Z20+Z2*AA5*AA20)/Z32</f>
        <v>7.1552844076489819E-2</v>
      </c>
      <c r="AB56" s="193">
        <f>(Model!$C$52*AB5*AB20+AB2*AC5*AC20)/AB32</f>
        <v>7.533522193380815E-2</v>
      </c>
      <c r="AD56" s="193">
        <f>(Model!$C$52*AD5*AD20+AD2*AE5*AE20)/AD32</f>
        <v>7.966900972040801E-2</v>
      </c>
      <c r="AF56" s="193">
        <f>(Model!$C$52*AF5*AF20+AF2*AG5*AG20)/AF32</f>
        <v>8.5243513042222926E-2</v>
      </c>
      <c r="AH56" s="193">
        <f>(Model!$C$52*AH5*AH20+AH2*AI5*AI20)/AH32</f>
        <v>9.3398322491215588E-2</v>
      </c>
      <c r="AJ56" s="193">
        <f>(Model!$C$52*AJ5*AJ20+AJ2*AK5*AK20)/AJ32</f>
        <v>0.10685344368649162</v>
      </c>
      <c r="AL56" s="193">
        <f>(Model!$C$52*AL5*AL20+AL2*AM5*AM20)/AL32</f>
        <v>0.13111408006371111</v>
      </c>
      <c r="AN56" s="193">
        <f>(Model!$C$52*AN5*AN20+AN2*AO5*AO20)/AN32</f>
        <v>0.17705442450534328</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0.15781305608132862</v>
      </c>
      <c r="F57" s="193">
        <f t="array" ref="F57">SUM(Model!tauL*F13:G13*F26:G26)/F32</f>
        <v>0.15707115662002044</v>
      </c>
      <c r="H57" s="193">
        <f t="array" ref="H57">SUM(Model!tauL*H13:I13*H26:I26)/H32</f>
        <v>0.15630154552621925</v>
      </c>
      <c r="J57" s="193">
        <f t="array" ref="J57">SUM(Model!tauL*J13:K13*J26:K26)/J32</f>
        <v>0.15550285663031607</v>
      </c>
      <c r="L57" s="193">
        <f t="array" ref="L57">SUM(Model!tauL*L13:M13*L26:M26)/L32</f>
        <v>0.15467409265944074</v>
      </c>
      <c r="N57" s="193">
        <f t="array" ref="N57">SUM(Model!tauL*N13:O13*N26:O26)/N32</f>
        <v>0.1538148348207096</v>
      </c>
      <c r="P57" s="193">
        <f t="array" ref="P57">SUM(Model!tauL*P13:Q13*P26:Q26)/P32</f>
        <v>0.15292552470744084</v>
      </c>
      <c r="R57" s="193">
        <f t="array" ref="R57">SUM(Model!tauL*R13:S13*R26:S26)/R32</f>
        <v>0.15200780263759478</v>
      </c>
      <c r="T57" s="193">
        <f t="array" ref="T57">SUM(Model!tauL*T13:U13*T26:U26)/T32</f>
        <v>0.15106483809043655</v>
      </c>
      <c r="V57" s="193">
        <f t="array" ref="V57">SUM(Model!tauL*V13:W13*V26:W26)/V32</f>
        <v>0.15010157445713387</v>
      </c>
      <c r="X57" s="193">
        <f t="array" ref="X57">SUM(Model!tauL*X13:Y13*X26:Y26)/X32</f>
        <v>0.1491245431271645</v>
      </c>
      <c r="Y57" s="193"/>
      <c r="Z57" s="193">
        <f t="array" ref="Z57">SUM(Model!tauL*Z13:AA13*Z26:AA26)/Z32</f>
        <v>0.14814068282111623</v>
      </c>
      <c r="AB57" s="193">
        <f t="array" ref="AB57">SUM(Model!tauL*AB13:AC13*AB26:AC26)/AB32</f>
        <v>0.14715396085771559</v>
      </c>
      <c r="AD57" s="193">
        <f t="array" ref="AD57">SUM(Model!tauL*AD13:AE13*AD26:AE26)/AD32</f>
        <v>0.14615765292965444</v>
      </c>
      <c r="AF57" s="193">
        <f t="array" ref="AF57">SUM(Model!tauL*AF13:AG13*AF26:AG26)/AF32</f>
        <v>0.14511869087298696</v>
      </c>
      <c r="AH57" s="193">
        <f t="array" ref="AH57">SUM(Model!tauL*AH13:AI13*AH26:AI26)/AH32</f>
        <v>0.14394808790870178</v>
      </c>
      <c r="AJ57" s="193">
        <f t="array" ref="AJ57">SUM(Model!tauL*AJ13:AK13*AJ26:AK26)/AJ32</f>
        <v>0.14245474322494298</v>
      </c>
      <c r="AL57" s="193">
        <f t="array" ref="AL57">SUM(Model!tauL*AL13:AM13*AL26:AM26)/AL32</f>
        <v>0.14040399827869798</v>
      </c>
      <c r="AN57" s="193">
        <f t="array" ref="AN57">SUM(Model!tauL*AN13:AO13*AN26:AO26)/AN32</f>
        <v>0.13838759035059897</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1.0687376408917745E-2</v>
      </c>
      <c r="F58" s="193">
        <f t="array" ref="F58">SUM(Model!tauY/(1+Model!tauY)*F3:G3*F18:G18)/F32</f>
        <v>1.0621783858209421E-2</v>
      </c>
      <c r="H58" s="193">
        <f t="array" ref="H58">SUM(Model!tauY/(1+Model!tauY)*H3:I3*H18:I18)/H32</f>
        <v>1.0555884178294809E-2</v>
      </c>
      <c r="J58" s="193">
        <f t="array" ref="J58">SUM(Model!tauY/(1+Model!tauY)*J3:K3*J18:K18)/J32</f>
        <v>1.0489640399229365E-2</v>
      </c>
      <c r="L58" s="193">
        <f t="array" ref="L58">SUM(Model!tauY/(1+Model!tauY)*L3:M3*L18:M18)/L32</f>
        <v>1.0423006480959023E-2</v>
      </c>
      <c r="N58" s="193">
        <f t="array" ref="N58">SUM(Model!tauY/(1+Model!tauY)*N3:O3*N18:O18)/N32</f>
        <v>1.0355917412534079E-2</v>
      </c>
      <c r="P58" s="193">
        <f t="array" ref="P58">SUM(Model!tauY/(1+Model!tauY)*P3:Q3*P18:Q18)/P32</f>
        <v>1.0288267265817563E-2</v>
      </c>
      <c r="R58" s="193">
        <f t="array" ref="R58">SUM(Model!tauY/(1+Model!tauY)*R3:S3*R18:S18)/R32</f>
        <v>1.0219864674598341E-2</v>
      </c>
      <c r="T58" s="193">
        <f t="array" ref="T58">SUM(Model!tauY/(1+Model!tauY)*T3:U3*T18:U18)/T32</f>
        <v>1.0150348993923657E-2</v>
      </c>
      <c r="V58" s="193">
        <f t="array" ref="V58">SUM(Model!tauY/(1+Model!tauY)*V3:W3*V18:W18)/V32</f>
        <v>1.0079028237501366E-2</v>
      </c>
      <c r="X58" s="193">
        <f t="array" ref="X58">SUM(Model!tauY/(1+Model!tauY)*X3:Y3*X18:Y18)/X32</f>
        <v>1.0004600989775514E-2</v>
      </c>
      <c r="Y58" s="193"/>
      <c r="Z58" s="193">
        <f t="array" ref="Z58">SUM(Model!tauY/(1+Model!tauY)*Z3:AA3*Z18:AA18)/Z32</f>
        <v>9.9246966545602257E-3</v>
      </c>
      <c r="AB58" s="193">
        <f t="array" ref="AB58">SUM(Model!tauY/(1+Model!tauY)*AB3:AC3*AB18:AC18)/AB32</f>
        <v>9.8352321165485913E-3</v>
      </c>
      <c r="AD58" s="193">
        <f t="array" ref="AD58">SUM(Model!tauY/(1+Model!tauY)*AD3:AE3*AD18:AE18)/AD32</f>
        <v>9.7297540286494979E-3</v>
      </c>
      <c r="AF58" s="193">
        <f t="array" ref="AF58">SUM(Model!tauY/(1+Model!tauY)*AF3:AG3*AF18:AG18)/AF32</f>
        <v>9.5993246274506672E-3</v>
      </c>
      <c r="AH58" s="193">
        <f t="array" ref="AH58">SUM(Model!tauY/(1+Model!tauY)*AH3:AI3*AH18:AI18)/AH32</f>
        <v>9.4338287099503138E-3</v>
      </c>
      <c r="AJ58" s="193">
        <f t="array" ref="AJ58">SUM(Model!tauY/(1+Model!tauY)*AJ3:AK3*AJ18:AK18)/AJ32</f>
        <v>9.2250617936179471E-3</v>
      </c>
      <c r="AL58" s="193">
        <f t="array" ref="AL58">SUM(Model!tauY/(1+Model!tauY)*AL3:AM3*AL18:AM18)/AL32</f>
        <v>8.9659817723301994E-3</v>
      </c>
      <c r="AN58" s="193">
        <f t="array" ref="AN58">SUM(Model!tauY/(1+Model!tauY)*AN3:AO3*AN18:AO18)/AN32</f>
        <v>8.6003380044927351E-3</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4.002761061319293E-3</v>
      </c>
      <c r="F59" s="193">
        <f>(F2*G5*G20)/F32</f>
        <v>7.4849896515744004E-3</v>
      </c>
      <c r="H59" s="193">
        <f>(H2*I5*I20)/H32</f>
        <v>1.0995471700935967E-2</v>
      </c>
      <c r="J59" s="193">
        <f>(J2*K5*K20)/J32</f>
        <v>1.4529182500478393E-2</v>
      </c>
      <c r="L59" s="193">
        <f>(L2*M5*M20)/L32</f>
        <v>1.807840495173229E-2</v>
      </c>
      <c r="N59" s="193">
        <f>(N2*O5*O20)/N32</f>
        <v>2.1632145567730021E-2</v>
      </c>
      <c r="P59" s="193">
        <f>(P2*Q5*Q20)/P32</f>
        <v>2.5175681820642445E-2</v>
      </c>
      <c r="R59" s="193">
        <f>(R2*S5*S20)/R32</f>
        <v>2.8690783529996211E-2</v>
      </c>
      <c r="T59" s="193">
        <f>(T2*U5*U20)/T32</f>
        <v>3.2157611413207547E-2</v>
      </c>
      <c r="V59" s="193">
        <f>(V2*W5*W20)/V32</f>
        <v>3.5560190767385043E-2</v>
      </c>
      <c r="X59" s="193">
        <f>(X2*Y5*Y20)/X32</f>
        <v>3.8899449287499499E-2</v>
      </c>
      <c r="Z59" s="193">
        <f>(Z2*AA5*AA20)/Z32</f>
        <v>4.2220625893148796E-2</v>
      </c>
      <c r="AB59" s="193">
        <f>(AB2*AC5*AC20)/AB32</f>
        <v>4.5666227564938183E-2</v>
      </c>
      <c r="AD59" s="193">
        <f>(AD2*AE5*AE20)/AD32</f>
        <v>4.9570238798856449E-2</v>
      </c>
      <c r="AF59" s="193">
        <f>(AF2*AG5*AG20)/AF32</f>
        <v>5.4619354311051041E-2</v>
      </c>
      <c r="AH59" s="193">
        <f>(AH2*AI5*AI20)/AH32</f>
        <v>6.2162716771225285E-2</v>
      </c>
      <c r="AJ59" s="193">
        <f>(AJ2*AK5*AK20)/AJ32</f>
        <v>7.4940574525299661E-2</v>
      </c>
      <c r="AL59" s="193">
        <f>(AL2*AM5*AM20)/AL32</f>
        <v>9.8450249066063422E-2</v>
      </c>
      <c r="AN59" s="193">
        <f>(AN2*AO5*AO20)/AN32</f>
        <v>0.14313777278390546</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2.8633508210000103E-2</v>
      </c>
      <c r="F60" s="193">
        <f>Model!$C$52*F5*F20/F32</f>
        <v>2.8603354908818421E-2</v>
      </c>
      <c r="H60" s="193">
        <f>Model!$C$52*H5*H20/H32</f>
        <v>2.8580482717903657E-2</v>
      </c>
      <c r="J60" s="193">
        <f>Model!$C$52*J5*J20/J32</f>
        <v>2.8566815989812568E-2</v>
      </c>
      <c r="L60" s="193">
        <f>Model!$C$52*L5*L20/L32</f>
        <v>2.8564874892941225E-2</v>
      </c>
      <c r="N60" s="193">
        <f>Model!$C$52*N5*N20/N32</f>
        <v>2.8577971464558101E-2</v>
      </c>
      <c r="P60" s="193">
        <f>Model!$C$52*P5*P20/P32</f>
        <v>2.8610468832899371E-2</v>
      </c>
      <c r="R60" s="193">
        <f>Model!$C$52*R5*R20/R32</f>
        <v>2.8668106750567232E-2</v>
      </c>
      <c r="T60" s="193">
        <f>Model!$C$52*T5*T20/T32</f>
        <v>2.8758375189427754E-2</v>
      </c>
      <c r="V60" s="193">
        <f>Model!$C$52*V5*V20/V32</f>
        <v>2.8890886847020535E-2</v>
      </c>
      <c r="X60" s="193">
        <f>Model!$C$52*X5*X20/X32</f>
        <v>2.9077557286267947E-2</v>
      </c>
      <c r="Z60" s="193">
        <f>Model!$C$52*Z5*Z20/Z32</f>
        <v>2.933221818334102E-2</v>
      </c>
      <c r="AB60" s="193">
        <f>Model!$C$52*AB5*AB20/AB32</f>
        <v>2.9668994368869959E-2</v>
      </c>
      <c r="AD60" s="193">
        <f>Model!$C$52*AD5*AD20/AD32</f>
        <v>3.0098770921551565E-2</v>
      </c>
      <c r="AF60" s="193">
        <f>Model!$C$52*AF5*AF20/AF32</f>
        <v>3.0624158731171879E-2</v>
      </c>
      <c r="AH60" s="193">
        <f>Model!$C$52*AH5*AH20/AH32</f>
        <v>3.12356057199903E-2</v>
      </c>
      <c r="AJ60" s="193">
        <f>Model!$C$52*AJ5*AJ20/AJ32</f>
        <v>3.1912869161191952E-2</v>
      </c>
      <c r="AL60" s="193">
        <f>Model!$C$52*AL5*AL20/AL32</f>
        <v>3.2663830997647685E-2</v>
      </c>
      <c r="AN60" s="193">
        <f>Model!$C$52*AN5*AN20/AN32</f>
        <v>3.3916651721437818E-2</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0.99578000413474854</v>
      </c>
      <c r="F62">
        <f>F13/F15</f>
        <v>0.99125017776710656</v>
      </c>
      <c r="H62">
        <f>H13/H15</f>
        <v>0.98638443085765048</v>
      </c>
      <c r="J62">
        <f>J13/J15</f>
        <v>0.98115643955840726</v>
      </c>
      <c r="L62">
        <f>L13/L15</f>
        <v>0.97554101772113244</v>
      </c>
      <c r="N62">
        <f>N13/N15</f>
        <v>0.969516331901635</v>
      </c>
      <c r="P62">
        <f>P13/P15</f>
        <v>0.96306753621934649</v>
      </c>
      <c r="R62">
        <f>R13/R15</f>
        <v>0.9561925599957829</v>
      </c>
      <c r="T62">
        <f>T13/T15</f>
        <v>0.94891126506845724</v>
      </c>
      <c r="V62">
        <f>V13/V15</f>
        <v>0.94128032946006013</v>
      </c>
      <c r="X62">
        <f>X13/X15</f>
        <v>0.93341721277736101</v>
      </c>
      <c r="Z62">
        <f>Z13/Z15</f>
        <v>0.92553927538597502</v>
      </c>
      <c r="AB62">
        <f>AB13/AB15</f>
        <v>0.91802623873275124</v>
      </c>
      <c r="AD62">
        <f>AD13/AD15</f>
        <v>0.91151806158268334</v>
      </c>
      <c r="AF62">
        <f>AF13/AF15</f>
        <v>0.90708327639107533</v>
      </c>
      <c r="AH62">
        <f>AH13/AH15</f>
        <v>0.90663428000191659</v>
      </c>
      <c r="AJ62">
        <f>AJ13/AJ15</f>
        <v>0.91438441846737317</v>
      </c>
      <c r="AL62">
        <f>AL13/AL15</f>
        <v>0.94255948627249353</v>
      </c>
      <c r="AN62">
        <f>AN13/AN15</f>
        <v>1.041703438212698</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0.99925812779727652</v>
      </c>
      <c r="E65" s="191"/>
      <c r="F65" s="191">
        <f t="array" ref="F65">SQRT((F9:G9*$B$22:$C$22+F10:G10*$B$23:$C$23+F11:G11*$B$24:$C$24+F4:G4*($B$25:$C$25-$B$19:$C$19))/($B$9:$C$9*$B$22:$C$22+$B$10:$C$10*$B$23:$C$23+$B$11:$C$11*$B$24:$C$24+$B$4:$C$4*($B$25:$C$25-$B$19:$C$19))*(F9:G9*F22:G22+F10:G10*F23:G23+F11:G11*F24:G24+F4:G4*(F25:G25-F19:G19))/($B$9:$C$9*F22:G22+$B$10:$C$10*F23:G23+$B$11:$C$11*F24:G24+$B$4:$C$4*(F25:G25-F19:G19)))</f>
        <v>0.99889274634787184</v>
      </c>
      <c r="G65" s="191"/>
      <c r="H65" s="191">
        <f t="array" ref="H65">SQRT((H9:I9*$B$22:$C$22+H10:I10*$B$23:$C$23+H11:I11*$B$24:$C$24+H4:I4*($B$25:$C$25-$B$19:$C$19))/($B$9:$C$9*$B$22:$C$22+$B$10:$C$10*$B$23:$C$23+$B$11:$C$11*$B$24:$C$24+$B$4:$C$4*($B$25:$C$25-$B$19:$C$19))*(H9:I9*H22:I22+H10:I10*H23:I23+H11:I11*H24:I24+H4:I4*(H25:I25-H19:I19))/($B$9:$C$9*H22:I22+$B$10:$C$10*H23:I23+$B$11:$C$11*H24:I24+$B$4:$C$4*(H25:I25-H19:I19)))</f>
        <v>0.99900072110547289</v>
      </c>
      <c r="I65" s="191"/>
      <c r="J65" s="191">
        <f t="array" ref="J65">SQRT((J9:K9*$B$22:$C$22+J10:K10*$B$23:$C$23+J11:K11*$B$24:$C$24+J4:K4*($B$25:$C$25-$B$19:$C$19))/($B$9:$C$9*$B$22:$C$22+$B$10:$C$10*$B$23:$C$23+$B$11:$C$11*$B$24:$C$24+$B$4:$C$4*($B$25:$C$25-$B$19:$C$19))*(J9:K9*J22:K22+J10:K10*J23:K23+J11:K11*J24:K24+J4:K4*(J25:K25-J19:K19))/($B$9:$C$9*J22:K22+$B$10:$C$10*J23:K23+$B$11:$C$11*J24:K24+$B$4:$C$4*(J25:K25-J19:K19)))</f>
        <v>0.99971174126882167</v>
      </c>
      <c r="K65" s="191"/>
      <c r="L65" s="191">
        <f t="array" ref="L65">SQRT((L9:M9*$B$22:$C$22+L10:M10*$B$23:$C$23+L11:M11*$B$24:$C$24+L4:M4*($B$25:$C$25-$B$19:$C$19))/($B$9:$C$9*$B$22:$C$22+$B$10:$C$10*$B$23:$C$23+$B$11:$C$11*$B$24:$C$24+$B$4:$C$4*($B$25:$C$25-$B$19:$C$19))*(L9:M9*L22:M22+L10:M10*L23:M23+L11:M11*L24:M24+L4:M4*(L25:M25-L19:M19))/($B$9:$C$9*L22:M22+$B$10:$C$10*L23:M23+$B$11:$C$11*L24:M24+$B$4:$C$4*(L25:M25-L19:M19)))</f>
        <v>1.0012018015504458</v>
      </c>
      <c r="M65" s="191"/>
      <c r="N65" s="191">
        <f t="array" ref="N65">SQRT((N9:O9*$B$22:$C$22+N10:O10*$B$23:$C$23+N11:O11*$B$24:$C$24+N4:O4*($B$25:$C$25-$B$19:$C$19))/($B$9:$C$9*$B$22:$C$22+$B$10:$C$10*$B$23:$C$23+$B$11:$C$11*$B$24:$C$24+$B$4:$C$4*($B$25:$C$25-$B$19:$C$19))*(N9:O9*N22:O22+N10:O10*N23:O23+N11:O11*N24:O24+N4:O4*(N25:O25-N19:O19))/($B$9:$C$9*N22:O22+$B$10:$C$10*N23:O23+$B$11:$C$11*N24:O24+$B$4:$C$4*(N25:O25-N19:O19)))</f>
        <v>1.0037129151248383</v>
      </c>
      <c r="O65" s="191"/>
      <c r="P65" s="191">
        <f t="array" ref="P65">SQRT((P9:Q9*$B$22:$C$22+P10:Q10*$B$23:$C$23+P11:Q11*$B$24:$C$24+P4:Q4*($B$25:$C$25-$B$19:$C$19))/($B$9:$C$9*$B$22:$C$22+$B$10:$C$10*$B$23:$C$23+$B$11:$C$11*$B$24:$C$24+$B$4:$C$4*($B$25:$C$25-$B$19:$C$19))*(P9:Q9*P22:Q22+P10:Q10*P23:Q23+P11:Q11*P24:Q24+P4:Q4*(P25:Q25-P19:Q19))/($B$9:$C$9*P22:Q22+$B$10:$C$10*P23:Q23+$B$11:$C$11*P24:Q24+$B$4:$C$4*(P25:Q25-P19:Q19)))</f>
        <v>1.0075828764323047</v>
      </c>
      <c r="Q65" s="191"/>
      <c r="R65" s="191">
        <f t="array" ref="R65">SQRT((R9:S9*$B$22:$C$22+R10:S10*$B$23:$C$23+R11:S11*$B$24:$C$24+R4:S4*($B$25:$C$25-$B$19:$C$19))/($B$9:$C$9*$B$22:$C$22+$B$10:$C$10*$B$23:$C$23+$B$11:$C$11*$B$24:$C$24+$B$4:$C$4*($B$25:$C$25-$B$19:$C$19))*(R9:S9*R22:S22+R10:S10*R23:S23+R11:S11*R24:S24+R4:S4*(R25:S25-R19:S19))/($B$9:$C$9*R22:S22+$B$10:$C$10*R23:S23+$B$11:$C$11*R24:S24+$B$4:$C$4*(R25:S25-R19:S19)))</f>
        <v>1.0132905332661795</v>
      </c>
      <c r="S65" s="191"/>
      <c r="T65" s="191">
        <f t="array" ref="T65">SQRT((T9:U9*$B$22:$C$22+T10:U10*$B$23:$C$23+T11:U11*$B$24:$C$24+T4:U4*($B$25:$C$25-$B$19:$C$19))/($B$9:$C$9*$B$22:$C$22+$B$10:$C$10*$B$23:$C$23+$B$11:$C$11*$B$24:$C$24+$B$4:$C$4*($B$25:$C$25-$B$19:$C$19))*(T9:U9*T22:U22+T10:U10*T23:U23+T11:U11*T24:U24+T4:U4*(T25:U25-T19:U19))/($B$9:$C$9*T22:U22+$B$10:$C$10*T23:U23+$B$11:$C$11*T24:U24+$B$4:$C$4*(T25:U25-T19:U19)))</f>
        <v>1.021525363956679</v>
      </c>
      <c r="U65" s="191"/>
      <c r="V65" s="191">
        <f t="array" ref="V65">SQRT((V9:W9*$B$22:$C$22+V10:W10*$B$23:$C$23+V11:W11*$B$24:$C$24+V4:W4*($B$25:$C$25-$B$19:$C$19))/($B$9:$C$9*$B$22:$C$22+$B$10:$C$10*$B$23:$C$23+$B$11:$C$11*$B$24:$C$24+$B$4:$C$4*($B$25:$C$25-$B$19:$C$19))*(V9:W9*V22:W22+V10:W10*V23:W23+V11:W11*V24:W24+V4:W4*(V25:W25-V19:W19))/($B$9:$C$9*V22:W22+$B$10:$C$10*V23:W23+$B$11:$C$11*V24:W24+$B$4:$C$4*(V25:W25-V19:W19)))</f>
        <v>1.0332974359308607</v>
      </c>
      <c r="W65" s="191"/>
      <c r="X65" s="191">
        <f t="array" ref="X65">SQRT((X9:Y9*$B$22:$C$22+X10:Y10*$B$23:$C$23+X11:Y11*$B$24:$C$24+X4:Y4*($B$25:$C$25-$B$19:$C$19))/($B$9:$C$9*$B$22:$C$22+$B$10:$C$10*$B$23:$C$23+$B$11:$C$11*$B$24:$C$24+$B$4:$C$4*($B$25:$C$25-$B$19:$C$19))*(X9:Y9*X22:Y22+X10:Y10*X23:Y23+X11:Y11*X24:Y24+X4:Y4*(X25:Y25-X19:Y19))/($B$9:$C$9*X22:Y22+$B$10:$C$10*X23:Y23+$B$11:$C$11*X24:Y24+$B$4:$C$4*(X25:Y25-X19:Y19)))</f>
        <v>1.0501117295802296</v>
      </c>
      <c r="Y65" s="191"/>
      <c r="Z65" s="191">
        <f t="array" ref="Z65">SQRT((Z9:AA9*$B$22:$C$22+Z10:AA10*$B$23:$C$23+Z11:AA11*$B$24:$C$24+Z4:AA4*($B$25:$C$25-$B$19:$C$19))/($B$9:$C$9*$B$22:$C$22+$B$10:$C$10*$B$23:$C$23+$B$11:$C$11*$B$24:$C$24+$B$4:$C$4*($B$25:$C$25-$B$19:$C$19))*(Z9:AA9*Z22:AA22+Z10:AA10*Z23:AA23+Z11:AA11*Z24:AA24+Z4:AA4*(Z25:AA25-Z19:AA19))/($B$9:$C$9*Z22:AA22+$B$10:$C$10*Z23:AA23+$B$11:$C$11*Z24:AA24+$B$4:$C$4*(Z25:AA25-Z19:AA19)))</f>
        <v>1.0742511297600263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1.1092517155324275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1.1607819392100704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1.2386252346923556</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1.3623865616091997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1.5816642659385602</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2.0693300558162457</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4.4618201299484159</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0.9991844528592887</v>
      </c>
      <c r="E66" s="191"/>
      <c r="F66" s="191">
        <f t="array" ref="F66">SQRT((F9:G9*$B$22:$C$22)/($B$9:$C$9*$B$22:$C$22)*(F9:G9*F22:G22)/($B$9:$C$9*F22:G22))</f>
        <v>0.99878267327008108</v>
      </c>
      <c r="G66" s="191"/>
      <c r="H66" s="191">
        <f t="array" ref="H66">SQRT((H9:I9*$B$22:$C$22)/($B$9:$C$9*$B$22:$C$22)*(H9:I9*H22:I22)/($B$9:$C$9*H22:I22))</f>
        <v>0.99890151091990265</v>
      </c>
      <c r="I66" s="191"/>
      <c r="J66" s="191">
        <f t="array" ref="J66">SQRT((J9:K9*$B$22:$C$22)/($B$9:$C$9*$B$22:$C$22)*(J9:K9*J22:K22)/($B$9:$C$9*J22:K22))</f>
        <v>0.99968324383609541</v>
      </c>
      <c r="K66" s="191"/>
      <c r="L66" s="191">
        <f t="array" ref="L66">SQRT((L9:M9*$B$22:$C$22)/($B$9:$C$9*$B$22:$C$22)*(L9:M9*L22:M22)/($B$9:$C$9*L22:M22))</f>
        <v>1.001319657223503</v>
      </c>
      <c r="M66" s="191"/>
      <c r="N66" s="191">
        <f t="array" ref="N66">SQRT((N9:O9*$B$22:$C$22)/($B$9:$C$9*$B$22:$C$22)*(N9:O9*N22:O22)/($B$9:$C$9*N22:O22))</f>
        <v>1.0040722829036384</v>
      </c>
      <c r="O66" s="191"/>
      <c r="P66" s="191">
        <f t="array" ref="P66">SQRT((P9:Q9*$B$22:$C$22)/($B$9:$C$9*$B$22:$C$22)*(P9:Q9*P22:Q22)/($B$9:$C$9*P22:Q22))</f>
        <v>1.0083023576519967</v>
      </c>
      <c r="Q66" s="191"/>
      <c r="R66" s="191">
        <f t="array" ref="R66">SQRT((R9:S9*$B$22:$C$22)/($B$9:$C$9*$B$22:$C$22)*(R9:S9*R22:S22)/($B$9:$C$9*R22:S22))</f>
        <v>1.0145152428794186</v>
      </c>
      <c r="S66" s="191"/>
      <c r="T66" s="191">
        <f t="array" ref="T66">SQRT((T9:U9*$B$22:$C$22)/($B$9:$C$9*$B$22:$C$22)*(T9:U9*T22:U22)/($B$9:$C$9*T22:U22))</f>
        <v>1.0234264776172113</v>
      </c>
      <c r="U66" s="191"/>
      <c r="V66" s="191">
        <f t="array" ref="V66">SQRT((V9:W9*$B$22:$C$22)/($B$9:$C$9*$B$22:$C$22)*(V9:W9*V22:W22)/($B$9:$C$9*V22:W22))</f>
        <v>1.0360620961042202</v>
      </c>
      <c r="W66" s="191"/>
      <c r="X66" s="191">
        <f t="array" ref="X66">SQRT((X9:Y9*$B$22:$C$22)/($B$9:$C$9*$B$22:$C$22)*(X9:Y9*X22:Y22)/($B$9:$C$9*X22:Y22))</f>
        <v>1.0539093628937357</v>
      </c>
      <c r="Y66" s="191"/>
      <c r="Z66" s="191">
        <f t="array" ref="Z66">SQRT((Z9:AA9*$B$22:$C$22)/($B$9:$C$9*$B$22:$C$22)*(Z9:AA9*Z22:AA22)/($B$9:$C$9*Z22:AA22))</f>
        <v>1.0791455524871747</v>
      </c>
      <c r="AA66" s="191"/>
      <c r="AB66" s="191">
        <f t="array" ref="AB66">SQRT((AB9:AC9*$B$22:$C$22)/($B$9:$C$9*$B$22:$C$22)*(AB9:AC9*AB22:AC22)/($B$9:$C$9*AB22:AC22))</f>
        <v>1.1149917013456487</v>
      </c>
      <c r="AC66" s="191"/>
      <c r="AD66" s="191">
        <f t="array" ref="AD66">SQRT((AD9:AE9*$B$22:$C$22)/($B$9:$C$9*$B$22:$C$22)*(AD9:AE9*AD22:AE22)/($B$9:$C$9*AD22:AE22))</f>
        <v>1.1663165765017691</v>
      </c>
      <c r="AE66" s="191"/>
      <c r="AF66" s="191">
        <f t="array" ref="AF66">SQRT((AF9:AG9*$B$22:$C$22)/($B$9:$C$9*$B$22:$C$22)*(AF9:AG9*AF22:AG22)/($B$9:$C$9*AF22:AG22))</f>
        <v>1.2409373985951289</v>
      </c>
      <c r="AG66" s="191"/>
      <c r="AH66" s="191">
        <f t="array" ref="AH66">SQRT((AH9:AI9*$B$22:$C$22)/($B$9:$C$9*$B$22:$C$22)*(AH9:AI9*AH22:AI22)/($B$9:$C$9*AH22:AI22))</f>
        <v>1.3532164750813853</v>
      </c>
      <c r="AI66" s="191"/>
      <c r="AJ66" s="191">
        <f t="array" ref="AJ66">SQRT((AJ9:AK9*$B$22:$C$22)/($B$9:$C$9*$B$22:$C$22)*(AJ9:AK9*AJ22:AK22)/($B$9:$C$9*AJ22:AK22))</f>
        <v>1.53518636959424</v>
      </c>
      <c r="AK66" s="191"/>
      <c r="AL66" s="191">
        <f t="array" ref="AL66">SQRT((AL9:AM9*$B$22:$C$22)/($B$9:$C$9*$B$22:$C$22)*(AL9:AM9*AL22:AM22)/($B$9:$C$9*AL22:AM22))</f>
        <v>1.8711787223076273</v>
      </c>
      <c r="AM66" s="191"/>
      <c r="AN66" s="191">
        <f t="array" ref="AN66">SQRT((AN9:AO9*$B$22:$C$22)/($B$9:$C$9*$B$22:$C$22)*(AN9:AO9*AN22:AO22)/($B$9:$C$9*AN22:AO22))</f>
        <v>2.6425021696097031</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0.9991844528592887</v>
      </c>
      <c r="E68" s="191"/>
      <c r="F68" s="191">
        <f>F66/F67</f>
        <v>0.99878267327008108</v>
      </c>
      <c r="G68" s="191"/>
      <c r="H68" s="191">
        <f>H66/H67</f>
        <v>0.99890151091990265</v>
      </c>
      <c r="I68" s="191"/>
      <c r="J68" s="191">
        <f>J66/J67</f>
        <v>0.99968324383609541</v>
      </c>
      <c r="K68" s="191"/>
      <c r="L68" s="191">
        <f>L66/L67</f>
        <v>1.001319657223503</v>
      </c>
      <c r="M68" s="191"/>
      <c r="N68" s="191">
        <f>N66/N67</f>
        <v>1.0040722829036384</v>
      </c>
      <c r="O68" s="191"/>
      <c r="P68" s="191">
        <f>P66/P67</f>
        <v>1.0083023576519967</v>
      </c>
      <c r="Q68" s="191"/>
      <c r="R68" s="191">
        <f>R66/R67</f>
        <v>1.0145152428794186</v>
      </c>
      <c r="S68" s="191"/>
      <c r="T68" s="191">
        <f>T66/T67</f>
        <v>1.0234264776172113</v>
      </c>
      <c r="U68" s="191"/>
      <c r="V68" s="191">
        <f>V66/V67</f>
        <v>1.0360620961042202</v>
      </c>
      <c r="W68" s="191"/>
      <c r="X68" s="191">
        <f>X66/X67</f>
        <v>1.0539093628937357</v>
      </c>
      <c r="Y68" s="191"/>
      <c r="Z68" s="191">
        <f>Z66/Z67</f>
        <v>1.0791455524871747</v>
      </c>
      <c r="AA68" s="191"/>
      <c r="AB68" s="191">
        <f>AB66/AB67</f>
        <v>1.1149917013456487</v>
      </c>
      <c r="AC68" s="191"/>
      <c r="AD68" s="191">
        <f>AD66/AD67</f>
        <v>1.1663165765017691</v>
      </c>
      <c r="AE68" s="191"/>
      <c r="AF68" s="191">
        <f>AF66/AF67</f>
        <v>1.2409373985951289</v>
      </c>
      <c r="AG68" s="191"/>
      <c r="AH68" s="191">
        <f>AH66/AH67</f>
        <v>1.3532164750813853</v>
      </c>
      <c r="AI68" s="191"/>
      <c r="AJ68" s="191">
        <f>AJ66/AJ67</f>
        <v>1.53518636959424</v>
      </c>
      <c r="AK68" s="191"/>
      <c r="AL68" s="191">
        <f>AL66/AL67</f>
        <v>1.8711787223076273</v>
      </c>
      <c r="AM68" s="191"/>
      <c r="AN68" s="191">
        <f>AN66/AN67</f>
        <v>2.6425021696097031</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0.99127398717159476</v>
      </c>
      <c r="E69" s="191"/>
      <c r="F69" s="191">
        <f>F32/F65/($B$32)</f>
        <v>0.98111449165933939</v>
      </c>
      <c r="G69" s="191"/>
      <c r="H69" s="191">
        <f>H32/H65/($B$32)</f>
        <v>0.96925337067788253</v>
      </c>
      <c r="I69" s="191"/>
      <c r="J69" s="191">
        <f>J32/J65/($B$32)</f>
        <v>0.95536618329592427</v>
      </c>
      <c r="K69" s="191"/>
      <c r="L69" s="191">
        <f>L32/L65/($B$32)</f>
        <v>0.93906254205080231</v>
      </c>
      <c r="M69" s="191"/>
      <c r="N69" s="191">
        <f>N32/N65/($B$32)</f>
        <v>0.91987829059222503</v>
      </c>
      <c r="O69" s="191"/>
      <c r="P69" s="191">
        <f>P32/P65/($B$32)</f>
        <v>0.89727236405315303</v>
      </c>
      <c r="Q69" s="191"/>
      <c r="R69" s="191">
        <f>R32/R65/($B$32)</f>
        <v>0.87063507928524286</v>
      </c>
      <c r="S69" s="191"/>
      <c r="T69" s="191">
        <f>T32/T65/($B$32)</f>
        <v>0.83931809717831485</v>
      </c>
      <c r="U69" s="191"/>
      <c r="V69" s="191">
        <f>V32/V65/($B$32)</f>
        <v>0.80270054578421457</v>
      </c>
      <c r="W69" s="191"/>
      <c r="X69" s="191">
        <f>X32/X65/($B$32)</f>
        <v>0.76030846476935565</v>
      </c>
      <c r="Y69" s="191"/>
      <c r="Z69" s="191">
        <f>Z32/Z65/($B$32)</f>
        <v>0.71199517969638071</v>
      </c>
      <c r="AA69" s="191"/>
      <c r="AB69" s="191">
        <f>AB32/AB65/($B$32)</f>
        <v>0.65815085536453122</v>
      </c>
      <c r="AC69" s="191"/>
      <c r="AD69" s="191">
        <f>AD32/AD65/($B$32)</f>
        <v>0.59981451142247866</v>
      </c>
      <c r="AE69" s="191"/>
      <c r="AF69" s="191">
        <f>AF32/AF65/($B$32)</f>
        <v>0.5384203955525374</v>
      </c>
      <c r="AG69" s="191"/>
      <c r="AH69" s="191">
        <f>AH32/AH65/($B$32)</f>
        <v>0.47483084907458861</v>
      </c>
      <c r="AI69" s="191"/>
      <c r="AJ69" s="191">
        <f>AJ32/AJ65/($B$32)</f>
        <v>0.40717871144461654</v>
      </c>
      <c r="AK69" s="191"/>
      <c r="AL69" s="191">
        <f>AL32/AL65/($B$32)</f>
        <v>0.32484104501653482</v>
      </c>
      <c r="AM69" s="191"/>
      <c r="AN69" s="191">
        <f>AN32/AN65/($B$32)</f>
        <v>0.16836538884806104</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0.99042704594991937</v>
      </c>
      <c r="E70" s="138"/>
      <c r="F70" s="138">
        <f>F18/$B$18</f>
        <v>0.97943736739516163</v>
      </c>
      <c r="G70" s="138"/>
      <c r="H70" s="138">
        <f>H18/$B$18</f>
        <v>0.96676620492263987</v>
      </c>
      <c r="I70" s="138"/>
      <c r="J70" s="138">
        <f>J18/$B$18</f>
        <v>0.95209336138366873</v>
      </c>
      <c r="K70" s="138"/>
      <c r="L70" s="138">
        <f>L18/$B$18</f>
        <v>0.93503376558125251</v>
      </c>
      <c r="M70" s="138"/>
      <c r="N70" s="138">
        <f>N18/$B$18</f>
        <v>0.91512990270211425</v>
      </c>
      <c r="O70" s="138"/>
      <c r="P70" s="138">
        <f>P18/$B$18</f>
        <v>0.89184905209251819</v>
      </c>
      <c r="Q70" s="138"/>
      <c r="R70" s="138">
        <f>R18/$B$18</f>
        <v>0.86459212691173193</v>
      </c>
      <c r="S70" s="138"/>
      <c r="T70" s="138">
        <f>T18/$B$18</f>
        <v>0.83272436286897611</v>
      </c>
      <c r="U70" s="138"/>
      <c r="V70" s="138">
        <f>V18/$B$18</f>
        <v>0.79564261730407326</v>
      </c>
      <c r="W70" s="138"/>
      <c r="X70" s="138">
        <f>X18/$B$18</f>
        <v>0.75289629985998563</v>
      </c>
      <c r="Y70" s="138"/>
      <c r="Z70" s="138">
        <f>Z18/$B$18</f>
        <v>0.70436968965283397</v>
      </c>
      <c r="AA70" s="138"/>
      <c r="AB70" s="138">
        <f>AB18/$B$18</f>
        <v>0.65049412216177993</v>
      </c>
      <c r="AC70" s="138"/>
      <c r="AD70" s="138">
        <f>AD18/$B$18</f>
        <v>0.59236629312212641</v>
      </c>
      <c r="AE70" s="138"/>
      <c r="AF70" s="138">
        <f>AF18/$B$18</f>
        <v>0.53152127219492573</v>
      </c>
      <c r="AG70" s="138"/>
      <c r="AH70" s="138">
        <f>AH18/$B$18</f>
        <v>0.46909284044155347</v>
      </c>
      <c r="AI70" s="138"/>
      <c r="AJ70" s="138">
        <f>AJ18/$B$18</f>
        <v>0.40430769366721869</v>
      </c>
      <c r="AK70" s="138"/>
      <c r="AL70" s="138">
        <f>AL18/$B$18</f>
        <v>0.3322627334807603</v>
      </c>
      <c r="AM70" s="138"/>
      <c r="AN70" s="138">
        <f>AN18/$B$18</f>
        <v>0.23780056141276154</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0.93351668729302106</v>
      </c>
      <c r="E71" s="138"/>
      <c r="F71" s="138">
        <f>G18/$C$18</f>
        <v>0.86736516054877999</v>
      </c>
      <c r="G71" s="138"/>
      <c r="H71" s="138">
        <f>I18/$C$18</f>
        <v>0.80162742331422465</v>
      </c>
      <c r="I71" s="138"/>
      <c r="J71" s="138">
        <f>K18/$C$18</f>
        <v>0.73640279602888203</v>
      </c>
      <c r="K71" s="138"/>
      <c r="L71" s="138">
        <f>M18/$C$18</f>
        <v>0.67181092992385805</v>
      </c>
      <c r="M71" s="138"/>
      <c r="N71" s="138">
        <f>O18/$C$18</f>
        <v>0.60799440581241504</v>
      </c>
      <c r="O71" s="138"/>
      <c r="P71" s="138">
        <f>Q18/$C$18</f>
        <v>0.5451189101086138</v>
      </c>
      <c r="Q71" s="138"/>
      <c r="R71" s="138">
        <f>S18/$C$18</f>
        <v>0.48336927355894727</v>
      </c>
      <c r="S71" s="138"/>
      <c r="T71" s="138">
        <f>U18/$C$18</f>
        <v>0.42294038017927676</v>
      </c>
      <c r="U71" s="138"/>
      <c r="V71" s="138">
        <f>W18/$C$18</f>
        <v>0.36401602452138981</v>
      </c>
      <c r="W71" s="138"/>
      <c r="X71" s="138">
        <f>Y18/$C$18</f>
        <v>0.30674321180418557</v>
      </c>
      <c r="Y71" s="138"/>
      <c r="Z71" s="138">
        <f>AA18/$C$18</f>
        <v>0.25120887451713803</v>
      </c>
      <c r="AA71" s="138"/>
      <c r="AB71" s="138">
        <f>AC18/$C$18</f>
        <v>0.1974659319415287</v>
      </c>
      <c r="AC71" s="138"/>
      <c r="AD71" s="138">
        <f>AE18/$C$18</f>
        <v>0.14570535874898968</v>
      </c>
      <c r="AE71" s="138"/>
      <c r="AF71" s="138">
        <f>AG18/$C$18</f>
        <v>9.6742159197564959E-2</v>
      </c>
      <c r="AG71" s="138"/>
      <c r="AH71" s="138">
        <f>AI18/$C$18</f>
        <v>5.298293110241694E-2</v>
      </c>
      <c r="AI71" s="138"/>
      <c r="AJ71" s="138">
        <f>AK18/$C$18</f>
        <v>1.9642420924064378E-2</v>
      </c>
      <c r="AK71" s="138"/>
      <c r="AL71" s="138">
        <f>AM18/$C$18</f>
        <v>3.0764038756739111E-3</v>
      </c>
      <c r="AM71" s="138"/>
      <c r="AN71" s="138">
        <f>AO18/$C$18</f>
        <v>6.3658006630120829E-5</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1.011192332598035</v>
      </c>
      <c r="E72" s="138"/>
      <c r="F72" s="138">
        <f>G19/$C$19</f>
        <v>1.0236355518789393</v>
      </c>
      <c r="G72" s="138"/>
      <c r="H72" s="138">
        <f>I19/$C$19</f>
        <v>1.0372261448744646</v>
      </c>
      <c r="I72" s="138"/>
      <c r="J72" s="138">
        <f>K19/$C$19</f>
        <v>1.0517855028184993</v>
      </c>
      <c r="K72" s="138"/>
      <c r="L72" s="138">
        <f>M19/$C$19</f>
        <v>1.0670369089202354</v>
      </c>
      <c r="M72" s="138"/>
      <c r="N72" s="138">
        <f>O19/$C$19</f>
        <v>1.082583284471726</v>
      </c>
      <c r="O72" s="138"/>
      <c r="P72" s="138">
        <f>Q19/$C$19</f>
        <v>1.0978912943400834</v>
      </c>
      <c r="Q72" s="138"/>
      <c r="R72" s="138">
        <f>S19/$C$19</f>
        <v>1.1122967715057035</v>
      </c>
      <c r="S72" s="138"/>
      <c r="T72" s="138">
        <f>U19/$C$19</f>
        <v>1.1250543249399751</v>
      </c>
      <c r="U72" s="138"/>
      <c r="V72" s="138">
        <f>W19/$C$19</f>
        <v>1.1354621492033268</v>
      </c>
      <c r="W72" s="138"/>
      <c r="X72" s="138">
        <f>Y19/$C$19</f>
        <v>1.1430914869906388</v>
      </c>
      <c r="Y72" s="138"/>
      <c r="Z72" s="138">
        <f>AA19/$C$19</f>
        <v>1.1480975499556518</v>
      </c>
      <c r="AA72" s="138"/>
      <c r="AB72" s="138">
        <f>AC19/$C$19</f>
        <v>1.1514180149539477</v>
      </c>
      <c r="AC72" s="138"/>
      <c r="AD72" s="138">
        <f>AE19/$C$19</f>
        <v>1.1542290456688153</v>
      </c>
      <c r="AE72" s="138"/>
      <c r="AF72" s="138">
        <f>AG19/$C$19</f>
        <v>1.1551559588294411</v>
      </c>
      <c r="AG72" s="138"/>
      <c r="AH72" s="138">
        <f>AI19/$C$19</f>
        <v>1.1421316817436551</v>
      </c>
      <c r="AI72" s="138"/>
      <c r="AJ72" s="138">
        <f>AK19/$C$19</f>
        <v>1.0736265687629281</v>
      </c>
      <c r="AK72" s="138"/>
      <c r="AL72" s="138">
        <f>AM19/$C$19</f>
        <v>0.86125480239218311</v>
      </c>
      <c r="AM72" s="138"/>
      <c r="AN72" s="138">
        <f>AO19/$C$19</f>
        <v>0.46546096123815356</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0.47484238398746892</v>
      </c>
      <c r="E73" s="138"/>
      <c r="F73" s="193">
        <f t="array" ref="F73">SUM(F9:G9*F22:G22)/F32</f>
        <v>0.47326650006682136</v>
      </c>
      <c r="G73" s="138"/>
      <c r="H73" s="193">
        <f t="array" ref="H73">SUM(H9:I9*H22:I22)/H32</f>
        <v>0.47168567776194126</v>
      </c>
      <c r="I73" s="138"/>
      <c r="J73" s="193">
        <f t="array" ref="J73">SUM(J9:K9*J22:K22)/J32</f>
        <v>0.47010255117754829</v>
      </c>
      <c r="K73" s="138"/>
      <c r="L73" s="193">
        <f t="array" ref="L73">SUM(L9:M9*L22:M22)/L32</f>
        <v>0.46852079548872094</v>
      </c>
      <c r="M73" s="138"/>
      <c r="N73" s="193">
        <f t="array" ref="N73">SUM(N9:O9*N22:O22)/N32</f>
        <v>0.46694522181628512</v>
      </c>
      <c r="O73" s="138"/>
      <c r="P73" s="193">
        <f t="array" ref="P73">SUM(P9:Q9*P22:Q22)/P32</f>
        <v>0.46538174730451004</v>
      </c>
      <c r="Q73" s="138"/>
      <c r="R73" s="193">
        <f t="array" ref="R73">SUM(R9:S9*R22:S22)/R32</f>
        <v>0.46383697020205472</v>
      </c>
      <c r="S73" s="138"/>
      <c r="T73" s="193">
        <f t="array" ref="T73">SUM(T9:U9*T22:U22)/T32</f>
        <v>0.46231651514201605</v>
      </c>
      <c r="U73" s="138"/>
      <c r="V73" s="193">
        <f t="array" ref="V73">SUM(V9:W9*V22:W22)/V32</f>
        <v>0.46082177135542263</v>
      </c>
      <c r="W73" s="138"/>
      <c r="X73" s="193">
        <f t="array" ref="X73">SUM(X9:Y9*X22:Y22)/X32</f>
        <v>0.45934216825483087</v>
      </c>
      <c r="Y73" s="138"/>
      <c r="Z73" s="193">
        <f t="array" ref="Z73">SUM(Z9:AA9*Z22:AA22)/Z32</f>
        <v>0.45784022476701869</v>
      </c>
      <c r="AA73" s="138"/>
      <c r="AB73" s="193">
        <f t="array" ref="AB73">SUM(AB9:AC9*AB22:AC22)/AB32</f>
        <v>0.45622353545270278</v>
      </c>
      <c r="AC73" s="138"/>
      <c r="AD73" s="193">
        <f t="array" ref="AD73">SUM(AD9:AE9*AD22:AE22)/AD32</f>
        <v>0.45429600064602144</v>
      </c>
      <c r="AE73" s="138"/>
      <c r="AF73" s="193">
        <f t="array" ref="AF73">SUM(AF9:AG9*AF22:AG22)/AF32</f>
        <v>0.45167457429989133</v>
      </c>
      <c r="AG73" s="138"/>
      <c r="AH73" s="193">
        <f t="array" ref="AH73">SUM(AH9:AI9*AH22:AI22)/AH32</f>
        <v>0.44762472016933269</v>
      </c>
      <c r="AI73" s="138"/>
      <c r="AJ73" s="193">
        <f t="array" ref="AJ73">SUM(AJ9:AK9*AJ22:AK22)/AJ32</f>
        <v>0.44065367184080095</v>
      </c>
      <c r="AK73" s="138"/>
      <c r="AL73" s="193">
        <f t="array" ref="AL73">SUM(AL9:AM9*AL22:AM22)/AL32</f>
        <v>0.42764729589509065</v>
      </c>
      <c r="AM73" s="138"/>
      <c r="AN73" s="193">
        <f t="array" ref="AN73">SUM(AN9:AO9*AN22:AO22)/AN32</f>
        <v>0.40187493142188696</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0.22604620456442487</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0.22604620456442487</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0.22604620456442487</v>
      </c>
      <c r="AM74" s="138"/>
      <c r="AN74" s="193">
        <f t="array" ref="AN74">SUM(AN10:AO10*AN23:AO23)/AN32</f>
        <v>0.22604620456442484</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0.2223080019480749</v>
      </c>
      <c r="E75" s="138"/>
      <c r="F75" s="193">
        <f t="array" ref="F75">SUM(F11:G11*F24:G24)/F32</f>
        <v>0.22460182264902312</v>
      </c>
      <c r="G75" s="138"/>
      <c r="H75" s="193">
        <f t="array" ref="H75">SUM(H11:I11*H24:I24)/H32</f>
        <v>0.22735283544208348</v>
      </c>
      <c r="I75" s="138"/>
      <c r="J75" s="193">
        <f t="array" ref="J75">SUM(J11:K11*J24:K24)/J32</f>
        <v>0.23067396563219081</v>
      </c>
      <c r="K75" s="138"/>
      <c r="L75" s="193">
        <f t="array" ref="L75">SUM(L11:M11*L24:M24)/L32</f>
        <v>0.23471315363450104</v>
      </c>
      <c r="M75" s="138"/>
      <c r="N75" s="193">
        <f t="array" ref="N75">SUM(N11:O11*N24:O24)/N32</f>
        <v>0.23966572171907305</v>
      </c>
      <c r="O75" s="138"/>
      <c r="P75" s="193">
        <f t="array" ref="P75">SUM(P11:Q11*P24:Q24)/P32</f>
        <v>0.24579131853972802</v>
      </c>
      <c r="Q75" s="138"/>
      <c r="R75" s="193">
        <f t="array" ref="R75">SUM(R11:S11*R24:S24)/R32</f>
        <v>0.25343655488392297</v>
      </c>
      <c r="S75" s="138"/>
      <c r="T75" s="193">
        <f t="array" ref="T75">SUM(T11:U11*T24:U24)/T32</f>
        <v>0.26306419017726662</v>
      </c>
      <c r="U75" s="138"/>
      <c r="V75" s="193">
        <f t="array" ref="V75">SUM(V11:W11*V24:W24)/V32</f>
        <v>0.2752882671729438</v>
      </c>
      <c r="W75" s="138"/>
      <c r="X75" s="193">
        <f t="array" ref="X75">SUM(X11:Y11*X24:Y24)/X32</f>
        <v>0.29091006956400584</v>
      </c>
      <c r="Y75" s="138"/>
      <c r="Z75" s="193">
        <f t="array" ref="Z75">SUM(Z11:AA11*Z24:AA24)/Z32</f>
        <v>0.3109409916354906</v>
      </c>
      <c r="AA75" s="138"/>
      <c r="AB75" s="193">
        <f t="array" ref="AB75">SUM(AB11:AC11*AB24:AC24)/AB32</f>
        <v>0.33658666229908835</v>
      </c>
      <c r="AC75" s="138"/>
      <c r="AD75" s="193">
        <f t="array" ref="AD75">SUM(AD11:AE11*AD24:AE24)/AD32</f>
        <v>0.36917277322503944</v>
      </c>
      <c r="AE75" s="138"/>
      <c r="AF75" s="193">
        <f t="array" ref="AF75">SUM(AF11:AG11*AF24:AG24)/AF32</f>
        <v>0.41008064634877794</v>
      </c>
      <c r="AG75" s="138"/>
      <c r="AH75" s="193">
        <f t="array" ref="AH75">SUM(AH11:AI11*AH24:AI24)/AH32</f>
        <v>0.46100838576511088</v>
      </c>
      <c r="AI75" s="138"/>
      <c r="AJ75" s="193">
        <f t="array" ref="AJ75">SUM(AJ11:AK11*AJ24:AK24)/AJ32</f>
        <v>0.52534253550740861</v>
      </c>
      <c r="AK75" s="138"/>
      <c r="AL75" s="193">
        <f t="array" ref="AL75">SUM(AL11:AM11*AL24:AM24)/AL32</f>
        <v>0.61347297012189328</v>
      </c>
      <c r="AM75" s="138"/>
      <c r="AN75" s="193">
        <f t="array" ref="AN75">SUM(AN11:AO11*AN24:AO24)/AN32</f>
        <v>0.7752313068493154</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0.22277130901752676</v>
      </c>
      <c r="E76" s="138"/>
      <c r="F76" s="193">
        <f t="array" ref="F76">SUM(F12:G12*F25:G25)/F32</f>
        <v>0.22228921653383901</v>
      </c>
      <c r="G76" s="138"/>
      <c r="H76" s="193">
        <f t="array" ref="H76">SUM(H12:I12*H25:I25)/H32</f>
        <v>0.22150843060820571</v>
      </c>
      <c r="I76" s="138"/>
      <c r="J76" s="193">
        <f t="array" ref="J76">SUM(J12:K12*J25:K25)/J32</f>
        <v>0.22034498211582426</v>
      </c>
      <c r="K76" s="138"/>
      <c r="L76" s="193">
        <f t="array" ref="L76">SUM(L12:M12*L25:M25)/L32</f>
        <v>0.21868818658013203</v>
      </c>
      <c r="M76" s="138"/>
      <c r="N76" s="193">
        <f t="array" ref="N76">SUM(N12:O12*N25:O25)/N32</f>
        <v>0.21639177474000185</v>
      </c>
      <c r="O76" s="138"/>
      <c r="P76" s="193">
        <f t="array" ref="P76">SUM(P12:Q12*P25:Q25)/P32</f>
        <v>0.21326230252371606</v>
      </c>
      <c r="Q76" s="138"/>
      <c r="R76" s="193">
        <f t="array" ref="R76">SUM(R12:S12*R25:S25)/R32</f>
        <v>0.209044876349335</v>
      </c>
      <c r="S76" s="138"/>
      <c r="T76" s="193">
        <f t="array" ref="T76">SUM(T12:U12*T25:U25)/T32</f>
        <v>0.20340742152097324</v>
      </c>
      <c r="U76" s="138"/>
      <c r="V76" s="193">
        <f t="array" ref="V76">SUM(V12:W12*V25:W25)/V32</f>
        <v>0.19592647300367988</v>
      </c>
      <c r="W76" s="138"/>
      <c r="X76" s="193">
        <f t="array" ref="X76">SUM(X12:Y12*X25:Y25)/X32</f>
        <v>0.18608437148127047</v>
      </c>
      <c r="Y76" s="138"/>
      <c r="Z76" s="193">
        <f t="array" ref="Z76">SUM(Z12:AA12*Z25:AA25)/Z32</f>
        <v>0.1732961683099084</v>
      </c>
      <c r="AA76" s="138"/>
      <c r="AB76" s="193">
        <f t="array" ref="AB76">SUM(AB12:AC12*AB25:AC25)/AB32</f>
        <v>0.15699683150130045</v>
      </c>
      <c r="AC76" s="138"/>
      <c r="AD76" s="193">
        <f t="array" ref="AD76">SUM(AD12:AE12*AD25:AE25)/AD32</f>
        <v>0.13681422805777974</v>
      </c>
      <c r="AE76" s="138"/>
      <c r="AF76" s="193">
        <f t="array" ref="AF76">SUM(AF12:AG12*AF25:AG25)/AF32</f>
        <v>0.11279501436586645</v>
      </c>
      <c r="AG76" s="138"/>
      <c r="AH76" s="193">
        <f t="array" ref="AH76">SUM(AH12:AI12*AH25:AI25)/AH32</f>
        <v>8.5562662057827643E-2</v>
      </c>
      <c r="AI76" s="138"/>
      <c r="AJ76" s="193">
        <f t="array" ref="AJ76">SUM(AJ12:AK12*AJ25:AK25)/AJ32</f>
        <v>5.6468529054516499E-2</v>
      </c>
      <c r="AK76" s="138"/>
      <c r="AL76" s="193">
        <f t="array" ref="AL76">SUM(AL12:AM12*AL25:AM25)/AL32</f>
        <v>2.8620410160246641E-2</v>
      </c>
      <c r="AM76" s="138"/>
      <c r="AN76" s="193">
        <f t="array" ref="AN76">SUM(AN12:AO12*AN25:AO25)/AN32</f>
        <v>8.1257209805142821E-3</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0.14596789951749534</v>
      </c>
      <c r="E77" s="138"/>
      <c r="F77" s="193">
        <f t="array" ref="F77">SUM(F4:G4*F19:G19)/F32</f>
        <v>0.14620374381410808</v>
      </c>
      <c r="G77" s="138"/>
      <c r="H77" s="193">
        <f t="array" ref="H77">SUM(H4:I4*H19:I19)/H32</f>
        <v>0.14659314837665507</v>
      </c>
      <c r="I77" s="138"/>
      <c r="J77" s="193">
        <f t="array" ref="J77">SUM(J4:K4*J19:K19)/J32</f>
        <v>0.14716770348998801</v>
      </c>
      <c r="K77" s="138"/>
      <c r="L77" s="193">
        <f t="array" ref="L77">SUM(L4:M4*L19:M19)/L32</f>
        <v>0.14796834026777883</v>
      </c>
      <c r="M77" s="138"/>
      <c r="N77" s="193">
        <f t="array" ref="N77">SUM(N4:O4*N19:O19)/N32</f>
        <v>0.14904892283978466</v>
      </c>
      <c r="O77" s="138"/>
      <c r="P77" s="193">
        <f t="array" ref="P77">SUM(P4:Q4*P19:Q19)/P32</f>
        <v>0.15048157293237882</v>
      </c>
      <c r="Q77" s="138"/>
      <c r="R77" s="193">
        <f t="array" ref="R77">SUM(R4:S4*R19:S19)/R32</f>
        <v>0.15236460599973756</v>
      </c>
      <c r="S77" s="138"/>
      <c r="T77" s="193">
        <f t="array" ref="T77">SUM(T4:U4*T19:U19)/T32</f>
        <v>0.1548343314046805</v>
      </c>
      <c r="U77" s="138"/>
      <c r="V77" s="193">
        <f t="array" ref="V77">SUM(V4:W4*V19:W19)/V32</f>
        <v>0.15808271609647112</v>
      </c>
      <c r="W77" s="138"/>
      <c r="X77" s="193">
        <f t="array" ref="X77">SUM(X4:Y4*X19:Y19)/X32</f>
        <v>0.16238281386453174</v>
      </c>
      <c r="Y77" s="138"/>
      <c r="Z77" s="193">
        <f t="array" ref="Z77">SUM(Z4:AA4*Z19:AA19)/Z32</f>
        <v>0.16812358927684237</v>
      </c>
      <c r="AA77" s="138"/>
      <c r="AB77" s="193">
        <f t="array" ref="AB77">SUM(AB4:AC4*AB19:AC19)/AB32</f>
        <v>0.1758532338175165</v>
      </c>
      <c r="AC77" s="138"/>
      <c r="AD77" s="193">
        <f t="array" ref="AD77">SUM(AD4:AE4*AD19:AE19)/AD32</f>
        <v>0.18632920649326531</v>
      </c>
      <c r="AE77" s="138"/>
      <c r="AF77" s="193">
        <f t="array" ref="AF77">SUM(AF4:AG4*AF19:AG19)/AF32</f>
        <v>0.20059643957896062</v>
      </c>
      <c r="AG77" s="138"/>
      <c r="AH77" s="193">
        <f t="array" ref="AH77">SUM(AH4:AI4*AH19:AI19)/AH32</f>
        <v>0.22024197255669606</v>
      </c>
      <c r="AI77" s="138"/>
      <c r="AJ77" s="193">
        <f t="array" ref="AJ77">SUM(AJ4:AK4*AJ19:AK19)/AJ32</f>
        <v>0.24851094096715073</v>
      </c>
      <c r="AK77" s="138"/>
      <c r="AL77" s="193">
        <f t="array" ref="AL77">SUM(AL4:AM4*AL19:AM19)/AL32</f>
        <v>0.29578688074165532</v>
      </c>
      <c r="AM77" s="138"/>
      <c r="AN77" s="193">
        <f t="array" ref="AN77">SUM(AN4:AO4*AN19:AO19)/AN32</f>
        <v>0.41127816381614135</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0.34532138578846827</v>
      </c>
      <c r="E78" s="138"/>
      <c r="F78" s="193">
        <f t="array" ref="F78">SUM(F13:G13*F26:G26)/F32</f>
        <v>0.34369798556762315</v>
      </c>
      <c r="G78" s="138"/>
      <c r="H78" s="193">
        <f t="array" ref="H78">SUM(H13:I13*H26:I26)/H32</f>
        <v>0.3420139476557495</v>
      </c>
      <c r="I78" s="138"/>
      <c r="J78" s="193">
        <f t="array" ref="J78">SUM(J13:K13*J26:K26)/J32</f>
        <v>0.34026628264503572</v>
      </c>
      <c r="K78" s="138"/>
      <c r="L78" s="193">
        <f t="array" ref="L78">SUM(L13:M13*L26:M26)/L32</f>
        <v>0.33845280833549102</v>
      </c>
      <c r="M78" s="138"/>
      <c r="N78" s="193">
        <f t="array" ref="N78">SUM(N13:O13*N26:O26)/N32</f>
        <v>0.33657260833817693</v>
      </c>
      <c r="O78" s="138"/>
      <c r="P78" s="193">
        <f t="array" ref="P78">SUM(P13:Q13*P26:Q26)/P32</f>
        <v>0.33462664893319966</v>
      </c>
      <c r="Q78" s="138"/>
      <c r="R78" s="193">
        <f t="array" ref="R78">SUM(R13:S13*R26:S26)/R32</f>
        <v>0.3326185194108579</v>
      </c>
      <c r="S78" s="138"/>
      <c r="T78" s="193">
        <f t="array" ref="T78">SUM(T13:U13*T26:U26)/T32</f>
        <v>0.33055515512237804</v>
      </c>
      <c r="U78" s="138"/>
      <c r="V78" s="193">
        <f t="array" ref="V78">SUM(V13:W13*V26:W26)/V32</f>
        <v>0.32844737303519572</v>
      </c>
      <c r="W78" s="138"/>
      <c r="X78" s="193">
        <f t="array" ref="X78">SUM(X13:Y13*X26:Y26)/X32</f>
        <v>0.32630946492289165</v>
      </c>
      <c r="Y78" s="138"/>
      <c r="Z78" s="193">
        <f t="array" ref="Z78">SUM(Z13:AA13*Z26:AA26)/Z32</f>
        <v>0.32415661386770545</v>
      </c>
      <c r="AA78" s="138"/>
      <c r="AB78" s="193">
        <f t="array" ref="AB78">SUM(AB13:AC13*AB26:AC26)/AB32</f>
        <v>0.3219975010271694</v>
      </c>
      <c r="AC78" s="138"/>
      <c r="AD78" s="193">
        <f t="array" ref="AD78">SUM(AD13:AE13*AD26:AE26)/AD32</f>
        <v>0.31981741249119422</v>
      </c>
      <c r="AE78" s="138"/>
      <c r="AF78" s="193">
        <f t="array" ref="AF78">SUM(AF13:AG13*AF26:AG26)/AF32</f>
        <v>0.31754398958120916</v>
      </c>
      <c r="AG78" s="138"/>
      <c r="AH78" s="193">
        <f t="array" ref="AH78">SUM(AH13:AI13*AH26:AI26)/AH32</f>
        <v>0.31498251432768681</v>
      </c>
      <c r="AI78" s="138"/>
      <c r="AJ78" s="193">
        <f t="array" ref="AJ78">SUM(AJ13:AK13*AJ26:AK26)/AJ32</f>
        <v>0.31171482616258556</v>
      </c>
      <c r="AK78" s="138"/>
      <c r="AL78" s="193">
        <f t="array" ref="AL78">SUM(AL13:AM13*AL26:AM26)/AL32</f>
        <v>0.30722745291020354</v>
      </c>
      <c r="AM78" s="138"/>
      <c r="AN78" s="193">
        <f t="array" ref="AN78">SUM(AN13:AO13*AN26:AO26)/AN32</f>
        <v>0.30281521480179779</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0.45460968782440808</v>
      </c>
      <c r="D79" s="193">
        <f t="array" ref="D79">SUM(D15:E15*D27:E27)/D32</f>
        <v>0.45354191340764649</v>
      </c>
      <c r="F79" s="193">
        <f t="array" ref="F79">SUM(F15:G15*F27:G27)/F32</f>
        <v>0.45252072831438966</v>
      </c>
      <c r="H79" s="193">
        <f t="array" ref="H79">SUM(H15:I15*H27:I27)/H32</f>
        <v>0.4515526667303062</v>
      </c>
      <c r="J79" s="193">
        <f t="array" ref="J79">SUM(J15:K15*J27:K27)/J32</f>
        <v>0.45064522124849687</v>
      </c>
      <c r="L79" s="193">
        <f t="array" ref="L79">SUM(L15:M15*L27:M27)/L32</f>
        <v>0.44980681166593384</v>
      </c>
      <c r="N79" s="193">
        <f t="array" ref="N79">SUM(N15:O15*N27:O27)/N32</f>
        <v>0.44904652255066557</v>
      </c>
      <c r="P79" s="193">
        <f t="array" ref="P79">SUM(P15:Q15*P27:Q27)/P32</f>
        <v>0.44837340848292412</v>
      </c>
      <c r="R79" s="193">
        <f t="array" ref="R79">SUM(R15:S15*R27:S27)/R32</f>
        <v>0.44779492673213483</v>
      </c>
      <c r="T79" s="193">
        <f t="array" ref="T79">SUM(T15:U15*T27:U27)/T32</f>
        <v>0.4473136754451239</v>
      </c>
      <c r="V79" s="193">
        <f t="array" ref="V79">SUM(V15:W15*V27:W27)/V32</f>
        <v>0.44692094634807733</v>
      </c>
      <c r="X79" s="193">
        <f t="array" ref="X79">SUM(X15:Y15*X27:Y27)/X32</f>
        <v>0.44658438431441122</v>
      </c>
      <c r="Z79" s="193">
        <f t="array" ref="Z79">SUM(Z15:AA15*Z27:AA27)/Z32</f>
        <v>0.44622516342458418</v>
      </c>
      <c r="AB79" s="193">
        <f t="array" ref="AB79">SUM(AB15:AC15*AB27:AC27)/AB32</f>
        <v>0.44567808670939874</v>
      </c>
      <c r="AD79" s="193">
        <f t="array" ref="AD79">SUM(AD15:AE15*AD27:AE27)/AD32</f>
        <v>0.44462617419633416</v>
      </c>
      <c r="AF79" s="193">
        <f t="array" ref="AF79">SUM(AF15:AG15*AF27:AG27)/AF32</f>
        <v>0.44249448519572582</v>
      </c>
      <c r="AH79" s="193">
        <f t="array" ref="AH79">SUM(AH15:AI15*AH27:AI27)/AH32</f>
        <v>0.4382372473738973</v>
      </c>
      <c r="AJ79" s="193">
        <f t="array" ref="AJ79">SUM(AJ15:AK15*AJ27:AK27)/AJ32</f>
        <v>0.42975192691762154</v>
      </c>
      <c r="AL79" s="193">
        <f t="array" ref="AL79">SUM(AL15:AM15*AL27:AM27)/AL32</f>
        <v>0.41228848706375826</v>
      </c>
      <c r="AN79" s="193">
        <f t="array" ref="AN79">SUM(AN15:AO15*AN27:AO27)/AN32</f>
        <v>0.37314243234628591</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0.20113670176156578</v>
      </c>
      <c r="F80" s="236">
        <f>F55</f>
        <v>0.20378128503862269</v>
      </c>
      <c r="H80" s="236">
        <f>H55</f>
        <v>0.20643338412335369</v>
      </c>
      <c r="J80" s="236">
        <f>J55</f>
        <v>0.20908849551983635</v>
      </c>
      <c r="L80" s="236">
        <f>L55</f>
        <v>0.21174037898507322</v>
      </c>
      <c r="N80" s="236">
        <f>N55</f>
        <v>0.21438086926553179</v>
      </c>
      <c r="P80" s="236">
        <f>P55</f>
        <v>0.2169999426268002</v>
      </c>
      <c r="R80" s="236">
        <f>R55</f>
        <v>0.21958655759275653</v>
      </c>
      <c r="T80" s="236">
        <f>T55</f>
        <v>0.2221311736869955</v>
      </c>
      <c r="V80" s="236">
        <f>V55</f>
        <v>0.22463168030904082</v>
      </c>
      <c r="X80" s="236">
        <f>X55</f>
        <v>0.22710615069070744</v>
      </c>
      <c r="Z80" s="236">
        <f>Z55</f>
        <v>0.22961822355216627</v>
      </c>
      <c r="AB80" s="236">
        <f>AB55</f>
        <v>0.23232441490807232</v>
      </c>
      <c r="AD80" s="236">
        <f>AD55</f>
        <v>0.23555641667871194</v>
      </c>
      <c r="AF80" s="236">
        <f>AF55</f>
        <v>0.23996152854266053</v>
      </c>
      <c r="AH80" s="236">
        <f>AH55</f>
        <v>0.24678023910986763</v>
      </c>
      <c r="AJ80" s="236">
        <f>AJ55</f>
        <v>0.25853324870505251</v>
      </c>
      <c r="AL80" s="236">
        <f>AL55</f>
        <v>0.28048406011473925</v>
      </c>
      <c r="AN80" s="236">
        <f>AN55</f>
        <v>0.32404235286043498</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-2.4909502802859064E-2</v>
      </c>
      <c r="F81" s="236">
        <f>F51/F$32</f>
        <v>-2.2264919525802142E-2</v>
      </c>
      <c r="H81" s="236">
        <f>H51/H$32</f>
        <v>-1.9612820441071179E-2</v>
      </c>
      <c r="J81" s="236">
        <f>J51/J$32</f>
        <v>-1.695770904458848E-2</v>
      </c>
      <c r="L81" s="236">
        <f>L51/L$32</f>
        <v>-1.4305825579351622E-2</v>
      </c>
      <c r="N81" s="236">
        <f>N51/N$32</f>
        <v>-1.1665335298893064E-2</v>
      </c>
      <c r="P81" s="236">
        <f>P51/P$32</f>
        <v>-9.0462619376246636E-3</v>
      </c>
      <c r="R81" s="236">
        <f>R51/R$32</f>
        <v>-6.4596469716683208E-3</v>
      </c>
      <c r="T81" s="236">
        <f>T51/T$32</f>
        <v>-3.9150308774293114E-3</v>
      </c>
      <c r="V81" s="236">
        <f>V51/V$32</f>
        <v>-1.4145242553840148E-3</v>
      </c>
      <c r="X81" s="236">
        <f>X51/X$32</f>
        <v>1.0599461262825879E-3</v>
      </c>
      <c r="Z81" s="236">
        <f>Z51/Z$32</f>
        <v>3.5720189877414166E-3</v>
      </c>
      <c r="AB81" s="236">
        <f>AB51/AB$32</f>
        <v>6.2782103436474796E-3</v>
      </c>
      <c r="AD81" s="236">
        <f>AD51/AD$32</f>
        <v>9.5102121142870977E-3</v>
      </c>
      <c r="AF81" s="236">
        <f>AF51/AF$32</f>
        <v>1.3915323978235705E-2</v>
      </c>
      <c r="AH81" s="236">
        <f>AH51/AH$32</f>
        <v>2.0734034545442794E-2</v>
      </c>
      <c r="AJ81" s="236">
        <f>AJ51/AJ$32</f>
        <v>3.2487044140627704E-2</v>
      </c>
      <c r="AL81" s="236">
        <f>AL51/AL$32</f>
        <v>5.4437855550314392E-2</v>
      </c>
      <c r="AN81" s="236">
        <f>AN51/AN$32</f>
        <v>9.7996148296010152E-2</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0.13845065894363018</v>
      </c>
      <c r="F82" s="236">
        <f>F52/F$32</f>
        <v>0.13779978460003273</v>
      </c>
      <c r="H82" s="236">
        <f>H52/H$32</f>
        <v>0.13712459861914539</v>
      </c>
      <c r="J82" s="236">
        <f>J52/J$32</f>
        <v>0.13642390244942054</v>
      </c>
      <c r="L82" s="236">
        <f>L52/L$32</f>
        <v>0.13569682117537629</v>
      </c>
      <c r="N82" s="236">
        <f>N52/N$32</f>
        <v>0.13494298738665925</v>
      </c>
      <c r="P82" s="236">
        <f>P52/P$32</f>
        <v>0.13416278849662672</v>
      </c>
      <c r="R82" s="236">
        <f>R52/R$32</f>
        <v>0.13335766356937218</v>
      </c>
      <c r="T82" s="236">
        <f>T52/T$32</f>
        <v>0.13253039321445767</v>
      </c>
      <c r="V82" s="236">
        <f>V52/V$32</f>
        <v>0.13168531430857511</v>
      </c>
      <c r="X82" s="236">
        <f>X52/X$32</f>
        <v>0.13082815689206126</v>
      </c>
      <c r="Z82" s="236">
        <f>Z52/Z$32</f>
        <v>0.12996500836010033</v>
      </c>
      <c r="AB82" s="236">
        <f>AB52/AB$32</f>
        <v>0.12909934927320849</v>
      </c>
      <c r="AD82" s="236">
        <f>AD52/AD$32</f>
        <v>0.12822528034269023</v>
      </c>
      <c r="AF82" s="236">
        <f>AF52/AF$32</f>
        <v>0.12731379060328038</v>
      </c>
      <c r="AH82" s="236">
        <f>AH52/AH$32</f>
        <v>0.12628681124053914</v>
      </c>
      <c r="AJ82" s="236">
        <f>AJ52/AJ$32</f>
        <v>0.12497668798058643</v>
      </c>
      <c r="AL82" s="236">
        <f>AL52/AL$32</f>
        <v>0.12317755300289092</v>
      </c>
      <c r="AN82" s="236">
        <f>AN52/AN$32</f>
        <v>0.12140854216641997</v>
      </c>
      <c r="AP82" s="236" t="e">
        <f>AP52/AP$32</f>
        <v>#DIV/0!</v>
      </c>
      <c r="AR82" s="236" t="e">
        <f>AR52/AR$32</f>
        <v>#DIV/0!</v>
      </c>
      <c r="AT82" s="236" t="e">
        <f>AT52/AT$32</f>
        <v>#DIV/0!</v>
      </c>
      <c r="AV82" s="236" t="e">
        <f>AV52/AV$32</f>
        <v>#DIV/0!</v>
      </c>
    </row>
    <row r="83" spans="1:48 16384:16384" x14ac:dyDescent="0.2">
      <c r="A83" t="s">
        <v>193</v>
      </c>
      <c r="B83" s="236">
        <f>B53/B$32</f>
        <v>0.18600714462930004</v>
      </c>
      <c r="D83" s="236">
        <f>D53/D$32</f>
        <v>0.18557025629258084</v>
      </c>
      <c r="F83" s="236">
        <f>F53/F$32</f>
        <v>0.18515243034557183</v>
      </c>
      <c r="H83" s="236">
        <f>H53/H$32</f>
        <v>0.18475634030195129</v>
      </c>
      <c r="J83" s="236">
        <f>J53/J$32</f>
        <v>0.18438505181536871</v>
      </c>
      <c r="L83" s="236">
        <f>L53/L$32</f>
        <v>0.18404200991226122</v>
      </c>
      <c r="N83" s="236">
        <f>N53/N$32</f>
        <v>0.18373093161540272</v>
      </c>
      <c r="P83" s="236">
        <f>P53/P$32</f>
        <v>0.18345552167781518</v>
      </c>
      <c r="R83" s="236">
        <f>R53/R$32</f>
        <v>0.18321883130018729</v>
      </c>
      <c r="T83" s="236">
        <f>T53/T$32</f>
        <v>0.18302192353481503</v>
      </c>
      <c r="V83" s="236">
        <f>V53/V$32</f>
        <v>0.18286123532268286</v>
      </c>
      <c r="X83" s="236">
        <f>X53/X$32</f>
        <v>0.18272352830818328</v>
      </c>
      <c r="Z83" s="236">
        <f>Z53/Z$32</f>
        <v>0.1825765502437085</v>
      </c>
      <c r="AB83" s="236">
        <f>AB53/AB$32</f>
        <v>0.18235270948445895</v>
      </c>
      <c r="AD83" s="236">
        <f>AD53/AD$32</f>
        <v>0.18192231117092686</v>
      </c>
      <c r="AF83" s="236">
        <f>AF53/AF$32</f>
        <v>0.18105011377861346</v>
      </c>
      <c r="AH83" s="236">
        <f>AH53/AH$32</f>
        <v>0.17930823129688325</v>
      </c>
      <c r="AJ83" s="236">
        <f>AJ53/AJ$32</f>
        <v>0.17583639540862991</v>
      </c>
      <c r="AL83" s="236">
        <f>AL53/AL$32</f>
        <v>0.16869109105278149</v>
      </c>
      <c r="AN83" s="236">
        <f>AN53/AN$32</f>
        <v>0.15267417355956736</v>
      </c>
      <c r="AP83" s="236" t="e">
        <f>AP53/AP$32</f>
        <v>#DIV/0!</v>
      </c>
      <c r="AR83" s="236" t="e">
        <f>AR53/AR$32</f>
        <v>#DIV/0!</v>
      </c>
      <c r="AT83" s="236" t="e">
        <f>AT53/AT$32</f>
        <v>#DIV/0!</v>
      </c>
      <c r="AV83" s="236" t="e">
        <f>AV53/AV$32</f>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workbookViewId="0">
      <selection activeCell="X6" sqref="X6"/>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0.99252888912768267</v>
      </c>
      <c r="D3" s="80">
        <f>NeoClassical!F$31</f>
        <v>0.98457074698995584</v>
      </c>
      <c r="E3" s="80">
        <f>NeoClassical!H$31</f>
        <v>0.9760598669652627</v>
      </c>
      <c r="F3" s="80">
        <f>NeoClassical!J$31</f>
        <v>0.96691741306640455</v>
      </c>
      <c r="G3" s="80">
        <f>NeoClassical!L$31</f>
        <v>0.95704762962531464</v>
      </c>
      <c r="H3" s="80">
        <f>NeoClassical!N$31</f>
        <v>0.9463322802866212</v>
      </c>
      <c r="I3" s="80">
        <f>NeoClassical!P$31</f>
        <v>0.93462285416705793</v>
      </c>
      <c r="J3" s="80">
        <f>NeoClassical!R$31</f>
        <v>0.92172835823327648</v>
      </c>
      <c r="K3" s="80">
        <f>NeoClassical!T$31</f>
        <v>0.90739669080415608</v>
      </c>
      <c r="L3" s="80">
        <f>NeoClassical!V$31</f>
        <v>0.89128412493137821</v>
      </c>
      <c r="M3" s="80">
        <f>NeoClassical!X$31</f>
        <v>0.87290386440917955</v>
      </c>
      <c r="N3" s="80">
        <f>NeoClassical!Z$31</f>
        <v>0.85153532421491229</v>
      </c>
      <c r="O3" s="80">
        <f>NeoClassical!AB$31</f>
        <v>0.82605766459414409</v>
      </c>
      <c r="P3" s="80">
        <f>NeoClassical!AD$31</f>
        <v>0.79463519916899183</v>
      </c>
      <c r="Q3" s="80">
        <f>NeoClassical!AF$31</f>
        <v>0.75412731266518351</v>
      </c>
      <c r="R3" s="80">
        <f>NeoClassical!AH$31</f>
        <v>0.69907491460246374</v>
      </c>
      <c r="S3" s="80">
        <f>NeoClassical!AJ$31</f>
        <v>0.62019036563810592</v>
      </c>
      <c r="T3" s="80">
        <f>NeoClassical!AL$31</f>
        <v>0.50107966188275521</v>
      </c>
      <c r="U3" s="80">
        <f>NeoClassical!AN$31</f>
        <v>0.30540399582537364</v>
      </c>
      <c r="V3" s="80">
        <f>NeoClassical!AP$31</f>
        <v>0.25057056668840255</v>
      </c>
      <c r="W3" s="80">
        <f>NeoClassical!AR$31</f>
        <v>0.18851499643974359</v>
      </c>
      <c r="X3" s="80">
        <f>NeoClassical!AT$31</f>
        <v>0.1192196569059468</v>
      </c>
      <c r="Y3" s="80">
        <f>NeoClassical!AV$31</f>
        <v>4.6902309372485754E-2</v>
      </c>
    </row>
    <row r="4" spans="1:27" x14ac:dyDescent="0.2">
      <c r="A4" t="s">
        <v>163</v>
      </c>
      <c r="B4" s="80">
        <f>Kaldorian!B$31</f>
        <v>1</v>
      </c>
      <c r="C4" s="80">
        <f>Kaldorian!D$31</f>
        <v>0.99788194945239517</v>
      </c>
      <c r="D4" s="80">
        <f>Kaldorian!F$31</f>
        <v>0.99534922342675092</v>
      </c>
      <c r="E4" s="80">
        <f>Kaldorian!H$31</f>
        <v>0.99234585601006309</v>
      </c>
      <c r="F4" s="80">
        <f>Kaldorian!J$31</f>
        <v>0.98880462846509753</v>
      </c>
      <c r="G4" s="80">
        <f>Kaldorian!L$31</f>
        <v>0.98464320438238773</v>
      </c>
      <c r="H4" s="80">
        <f>Kaldorian!N$31</f>
        <v>0.97976060342419247</v>
      </c>
      <c r="I4" s="80">
        <f>Kaldorian!P$31</f>
        <v>0.97402955191556562</v>
      </c>
      <c r="J4" s="80">
        <f>Kaldorian!R$31</f>
        <v>0.9672871515079341</v>
      </c>
      <c r="K4" s="80">
        <f>Kaldorian!T$31</f>
        <v>0.95931987778591643</v>
      </c>
      <c r="L4" s="80">
        <f>Kaldorian!V$31</f>
        <v>0.94983952616234069</v>
      </c>
      <c r="M4" s="80">
        <f>Kaldorian!X$31</f>
        <v>0.93844361510143082</v>
      </c>
      <c r="N4" s="80">
        <f>Kaldorian!Z$31</f>
        <v>0.92454621117684987</v>
      </c>
      <c r="O4" s="80">
        <f>Kaldorian!AB$31</f>
        <v>0.90725144542552882</v>
      </c>
      <c r="P4" s="80">
        <f>Kaldorian!AD$31</f>
        <v>0.8851102687462189</v>
      </c>
      <c r="Q4" s="80">
        <f>Kaldorian!AF$31</f>
        <v>0.85563912056876235</v>
      </c>
      <c r="R4" s="80">
        <f>Kaldorian!AH$31</f>
        <v>0.81436581913806816</v>
      </c>
      <c r="S4" s="80">
        <f>Kaldorian!AJ$31</f>
        <v>0.75290138954358221</v>
      </c>
      <c r="T4" s="80">
        <f>Kaldorian!AL$31</f>
        <v>0.65386187728702505</v>
      </c>
      <c r="U4" s="80">
        <f>Kaldorian!AN$31</f>
        <v>0</v>
      </c>
      <c r="V4" s="80">
        <f>Kaldorian!AP$31</f>
        <v>0</v>
      </c>
      <c r="W4" s="80">
        <f>Kaldorian!AR$31</f>
        <v>0</v>
      </c>
      <c r="X4" s="80">
        <f>Kaldorian!AN$31</f>
        <v>0</v>
      </c>
      <c r="Y4" s="80">
        <f>Kaldorian!AV$31</f>
        <v>0</v>
      </c>
    </row>
    <row r="5" spans="1:27" x14ac:dyDescent="0.2">
      <c r="A5" t="s">
        <v>90</v>
      </c>
      <c r="B5" s="80">
        <f>Johansen!B$31</f>
        <v>1</v>
      </c>
      <c r="C5" s="80">
        <f>Johansen!D$31</f>
        <v>0.9978963757772612</v>
      </c>
      <c r="D5" s="80">
        <f>Johansen!F$31</f>
        <v>0.99537870438636677</v>
      </c>
      <c r="E5" s="80">
        <f>Johansen!H$31</f>
        <v>0.99239112808957597</v>
      </c>
      <c r="F5" s="80">
        <f>Johansen!J$31</f>
        <v>0.98886639420612921</v>
      </c>
      <c r="G5" s="80">
        <f>Johansen!L$31</f>
        <v>0.98472260304840498</v>
      </c>
      <c r="H5" s="80">
        <f>Johansen!N$31</f>
        <v>0.97985847119586977</v>
      </c>
      <c r="I5" s="80">
        <f>Johansen!P$31</f>
        <v>0.97414683523188705</v>
      </c>
      <c r="J5" s="80">
        <f>Johansen!R$31</f>
        <v>0.96742460868266722</v>
      </c>
      <c r="K5" s="80">
        <f>Johansen!T$31</f>
        <v>0.95947781396255749</v>
      </c>
      <c r="L5" s="80">
        <f>Johansen!V$31</f>
        <v>0.95001741429540343</v>
      </c>
      <c r="M5" s="80">
        <f>Johansen!X$31</f>
        <v>0.93863942316403937</v>
      </c>
      <c r="N5" s="80">
        <f>Johansen!Z$31</f>
        <v>0.92475521499811197</v>
      </c>
      <c r="O5" s="80">
        <f>Johansen!AB$31</f>
        <v>0.90746428639717291</v>
      </c>
      <c r="P5" s="80">
        <f>Johansen!AD$31</f>
        <v>0.88531041115248466</v>
      </c>
      <c r="Q5" s="80">
        <f>Johansen!AF$31</f>
        <v>0.85580120179529517</v>
      </c>
      <c r="R5" s="80">
        <f>Johansen!AH$31</f>
        <v>0.8144640218437329</v>
      </c>
      <c r="S5" s="80">
        <f>Johansen!AJ$31</f>
        <v>0.75293630995913874</v>
      </c>
      <c r="T5" s="80">
        <f>Johansen!AL$31</f>
        <v>0.65386697430316643</v>
      </c>
      <c r="U5" s="80">
        <f>Johansen!AN$31</f>
        <v>0.47078231890322431</v>
      </c>
      <c r="V5" s="80">
        <f>Johansen!AP$31</f>
        <v>0.4135289459099718</v>
      </c>
      <c r="W5" s="80">
        <f>Johansen!AR$31</f>
        <v>0.34410505167532562</v>
      </c>
      <c r="X5" s="80">
        <f>Johansen!AT$31</f>
        <v>0.25786215612821467</v>
      </c>
      <c r="Y5" s="80">
        <f>Johansen!AV$31</f>
        <v>0.14733318232448125</v>
      </c>
    </row>
    <row r="6" spans="1:27" x14ac:dyDescent="0.2">
      <c r="A6" t="s">
        <v>146</v>
      </c>
      <c r="B6" s="80">
        <f>'Keynes-K'!B$31</f>
        <v>1</v>
      </c>
      <c r="C6" s="80">
        <f>'Keynes-K'!D$31</f>
        <v>1.0025945862222858</v>
      </c>
      <c r="D6" s="80">
        <f>'Keynes-K'!F$31</f>
        <v>1.0041679729175457</v>
      </c>
      <c r="E6" s="80">
        <f>'Keynes-K'!H$31</f>
        <v>1.0046825583600916</v>
      </c>
      <c r="F6" s="80">
        <f>'Keynes-K'!J$31</f>
        <v>1.0040707820915791</v>
      </c>
      <c r="G6" s="80">
        <f>'Keynes-K'!L$31</f>
        <v>1.0022314066678499</v>
      </c>
      <c r="H6" s="80">
        <f>'Keynes-K'!N$31</f>
        <v>0.99902169236050808</v>
      </c>
      <c r="I6" s="80">
        <f>'Keynes-K'!P$31</f>
        <v>0.99424555845089935</v>
      </c>
      <c r="J6" s="80">
        <f>'Keynes-K'!R$31</f>
        <v>0.98763445461175026</v>
      </c>
      <c r="K6" s="80">
        <f>'Keynes-K'!T$31</f>
        <v>0.97881695781569544</v>
      </c>
      <c r="L6" s="80">
        <f>'Keynes-K'!V$31</f>
        <v>0.96726874007810382</v>
      </c>
      <c r="M6" s="80">
        <f>'Keynes-K'!X$31</f>
        <v>0.95222684459547913</v>
      </c>
      <c r="N6" s="80">
        <f>'Keynes-K'!Z$31</f>
        <v>0.93253538315139317</v>
      </c>
      <c r="O6" s="80">
        <f>'Keynes-K'!AB$31</f>
        <v>0.90634862423340012</v>
      </c>
      <c r="P6" s="80">
        <f>'Keynes-K'!AD$31</f>
        <v>0.87051974827210887</v>
      </c>
      <c r="Q6" s="80">
        <f>'Keynes-K'!AF$31</f>
        <v>0.81925305752022481</v>
      </c>
      <c r="R6" s="80">
        <f>'Keynes-K'!AH$31</f>
        <v>0.74114205885422446</v>
      </c>
      <c r="S6" s="80">
        <f>'Keynes-K'!AJ$31</f>
        <v>0.61556986912424705</v>
      </c>
      <c r="T6" s="80">
        <f>'Keynes-K'!AL$31</f>
        <v>0</v>
      </c>
      <c r="U6" s="80">
        <f>'Keynes-K'!AN$31</f>
        <v>0</v>
      </c>
      <c r="V6" s="80">
        <f>'Keynes-K'!AP$31</f>
        <v>0</v>
      </c>
      <c r="W6" s="80">
        <f>'Keynes-K'!AR$31</f>
        <v>0</v>
      </c>
      <c r="X6" s="80">
        <f>'Keynes-K'!AT$31</f>
        <v>0</v>
      </c>
      <c r="Y6" s="80">
        <f>'Keynes-K'!AV$31</f>
        <v>0</v>
      </c>
    </row>
    <row r="7" spans="1:27" x14ac:dyDescent="0.2">
      <c r="A7" t="s">
        <v>144</v>
      </c>
      <c r="B7" s="80">
        <f>'Keynes-M'!B$31</f>
        <v>1</v>
      </c>
      <c r="C7" s="80">
        <f>'Keynes-M'!D$31</f>
        <v>1.0035639662027487</v>
      </c>
      <c r="D7" s="80">
        <f>'Keynes-M'!F$31</f>
        <v>1.0067261080057168</v>
      </c>
      <c r="E7" s="80">
        <f>'Keynes-M'!H$31</f>
        <v>1.009436462883669</v>
      </c>
      <c r="F7" s="80">
        <f>'Keynes-M'!J$31</f>
        <v>1.01163404326017</v>
      </c>
      <c r="G7" s="80">
        <f>'Keynes-M'!L$31</f>
        <v>1.013243824156145</v>
      </c>
      <c r="H7" s="80">
        <f>'Keynes-M'!N$31</f>
        <v>1.0141724012250519</v>
      </c>
      <c r="I7" s="80">
        <f>'Keynes-M'!P$31</f>
        <v>1.0143020167575676</v>
      </c>
      <c r="J7" s="80">
        <f>'Keynes-M'!R$31</f>
        <v>1.0134817023685911</v>
      </c>
      <c r="K7" s="80">
        <f>'Keynes-M'!T$31</f>
        <v>1.0115138722803971</v>
      </c>
      <c r="L7" s="80">
        <f>'Keynes-M'!V$31</f>
        <v>1.0081328454431739</v>
      </c>
      <c r="M7" s="80">
        <f>'Keynes-M'!X$31</f>
        <v>1.00296908753884</v>
      </c>
      <c r="N7" s="80">
        <f>'Keynes-M'!Z$31</f>
        <v>0.99548414501895155</v>
      </c>
      <c r="O7" s="80">
        <f>'Keynes-M'!AB$31</f>
        <v>0.98484411742628741</v>
      </c>
      <c r="P7" s="80">
        <f>'Keynes-M'!AD$31</f>
        <v>0.96965010340467384</v>
      </c>
      <c r="Q7" s="80">
        <f>'Keynes-M'!AF$31</f>
        <v>0.94732923392592783</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v>
      </c>
      <c r="C8" s="80">
        <f>Keynesian!D$31</f>
        <v>0.97665190836283655</v>
      </c>
      <c r="D8" s="80">
        <f>Keynesian!F$31</f>
        <v>0.94891375291778601</v>
      </c>
      <c r="E8" s="80">
        <f>Keynesian!H$31</f>
        <v>0.91632605734349371</v>
      </c>
      <c r="F8" s="80">
        <f>Keynesian!J$31</f>
        <v>0.87865644458795733</v>
      </c>
      <c r="G8" s="80">
        <f>Keynesian!L$31</f>
        <v>0.83608465324626224</v>
      </c>
      <c r="H8" s="80">
        <f>Keynesian!N$31</f>
        <v>0.78944573098810134</v>
      </c>
      <c r="I8" s="80">
        <f>Keynesian!P$31</f>
        <v>0.74077011888833566</v>
      </c>
      <c r="J8" s="80">
        <f>Keynesian!R$31</f>
        <v>0</v>
      </c>
      <c r="K8" s="80">
        <f>Keynesian!T$31</f>
        <v>0</v>
      </c>
      <c r="L8" s="80">
        <f>Keynesian!V$31</f>
        <v>0</v>
      </c>
      <c r="M8" s="80">
        <f>Keynesian!X$31</f>
        <v>0</v>
      </c>
      <c r="N8" s="80">
        <f>Keynesian!Z$31</f>
        <v>0</v>
      </c>
      <c r="O8" s="80">
        <f>Keynesian!AB$31</f>
        <v>0</v>
      </c>
      <c r="P8" s="80">
        <f>Keynesian!AD$31</f>
        <v>0</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v>
      </c>
      <c r="C9" s="80">
        <f>'Neo-K2'!D$31</f>
        <v>0.98522109333148</v>
      </c>
      <c r="D9" s="80">
        <f>'Neo-K2'!F$31</f>
        <v>0.96897308790149594</v>
      </c>
      <c r="E9" s="80">
        <f>'Neo-K2'!H$31</f>
        <v>0.95101999501765266</v>
      </c>
      <c r="F9" s="80">
        <f>'Neo-K2'!J$31</f>
        <v>0.93108218857876779</v>
      </c>
      <c r="G9" s="80">
        <f>'Neo-K2'!L$31</f>
        <v>0.90883046401877132</v>
      </c>
      <c r="H9" s="80">
        <f>'Neo-K2'!N$31</f>
        <v>0.88388229847568356</v>
      </c>
      <c r="I9" s="80">
        <f>'Neo-K2'!P$31</f>
        <v>0.85580303623885168</v>
      </c>
      <c r="J9" s="80">
        <f>'Neo-K2'!R$31</f>
        <v>0.82411762748303097</v>
      </c>
      <c r="K9" s="80">
        <f>'Neo-K2'!T$31</f>
        <v>0.78834060059910838</v>
      </c>
      <c r="L9" s="80">
        <f>'Neo-K2'!V$31</f>
        <v>0.74803670807352585</v>
      </c>
      <c r="M9" s="80">
        <f>'Neo-K2'!X$31</f>
        <v>0.70292291514587979</v>
      </c>
      <c r="N9" s="80">
        <f>'Neo-K2'!Z$31</f>
        <v>0.65301610403959931</v>
      </c>
      <c r="O9" s="80">
        <f>'Neo-K2'!AB$31</f>
        <v>0.59879494178760884</v>
      </c>
      <c r="P9" s="80">
        <f>'Neo-K2'!AD$31</f>
        <v>0.54126832669786673</v>
      </c>
      <c r="Q9" s="80">
        <f>'Neo-K2'!AF$31</f>
        <v>0.48173913906388871</v>
      </c>
      <c r="R9" s="80">
        <f>'Neo-K2'!AH$31</f>
        <v>0.42104341549503627</v>
      </c>
      <c r="S9" s="80">
        <f>'Neo-K2'!AJ$31</f>
        <v>0.35822165341251033</v>
      </c>
      <c r="T9" s="80">
        <f>'Neo-K2'!AL$31</f>
        <v>0.28863553727136204</v>
      </c>
      <c r="U9" s="80">
        <f>'Neo-K2'!AN$31</f>
        <v>0.19946388064469767</v>
      </c>
      <c r="V9" s="80">
        <f>'Neo-K2'!AP$31</f>
        <v>0</v>
      </c>
      <c r="W9" s="80">
        <f>'Neo-K2'!AR$31</f>
        <v>0</v>
      </c>
      <c r="X9" s="80">
        <f>'Neo-K2'!AT$31</f>
        <v>0</v>
      </c>
      <c r="Y9" s="80">
        <f>'Neo-K2'!AV$31</f>
        <v>0</v>
      </c>
    </row>
    <row r="10" spans="1:27" x14ac:dyDescent="0.2">
      <c r="A10" t="s">
        <v>158</v>
      </c>
      <c r="B10" s="80">
        <f>'Neo-K1'!B$31</f>
        <v>1</v>
      </c>
      <c r="C10" s="80">
        <f>'Neo-K1'!D$31</f>
        <v>0.98745478718715329</v>
      </c>
      <c r="D10" s="80">
        <f>'Neo-K1'!F$31</f>
        <v>0.97383959704147083</v>
      </c>
      <c r="E10" s="80">
        <f>'Neo-K1'!H$31</f>
        <v>0.95899547643907679</v>
      </c>
      <c r="F10" s="80">
        <f>'Neo-K1'!J$31</f>
        <v>0.94273100447280977</v>
      </c>
      <c r="G10" s="80">
        <f>'Neo-K1'!L$31</f>
        <v>0.92481386591850712</v>
      </c>
      <c r="H10" s="80">
        <f>'Neo-K1'!N$31</f>
        <v>0.90495953717722188</v>
      </c>
      <c r="I10" s="80">
        <f>'Neo-K1'!P$31</f>
        <v>0.88281740505978101</v>
      </c>
      <c r="J10" s="80">
        <f>'Neo-K1'!R$31</f>
        <v>0.85795231336544653</v>
      </c>
      <c r="K10" s="80">
        <f>'Neo-K1'!T$31</f>
        <v>0.82982100974390816</v>
      </c>
      <c r="L10" s="80">
        <f>'Neo-K1'!V$31</f>
        <v>0.7977434449026467</v>
      </c>
      <c r="M10" s="80">
        <f>'Neo-K1'!X$31</f>
        <v>0.76086939556482891</v>
      </c>
      <c r="N10" s="80">
        <f>'Neo-K1'!Z$31</f>
        <v>0.71814449593622409</v>
      </c>
      <c r="O10" s="80">
        <f>'Neo-K1'!AB$31</f>
        <v>0.66828629223553437</v>
      </c>
      <c r="P10" s="80">
        <f>'Neo-K1'!AD$31</f>
        <v>0.60979072723323313</v>
      </c>
      <c r="Q10" s="80">
        <f>'Neo-K1'!AF$31</f>
        <v>0.54100107583978752</v>
      </c>
      <c r="R10" s="80">
        <f>'Neo-K1'!AH$31</f>
        <v>0.46027223337099443</v>
      </c>
      <c r="S10" s="80">
        <f>'Neo-K1'!AJ$31</f>
        <v>0.36623315677763235</v>
      </c>
      <c r="T10" s="80">
        <f>'Neo-K1'!AL$31</f>
        <v>0.25808009452024033</v>
      </c>
      <c r="U10" s="80">
        <f>'Neo-K1'!AN$31</f>
        <v>0.13576899162396186</v>
      </c>
      <c r="V10" s="80">
        <f>'Neo-K1'!AP$31</f>
        <v>0.10965823964279608</v>
      </c>
      <c r="W10" s="80">
        <f>'Neo-K1'!AR$31</f>
        <v>8.3016145801479854E-2</v>
      </c>
      <c r="X10" s="80">
        <f>'Neo-K1'!AT$31</f>
        <v>5.5852197147360935E-2</v>
      </c>
      <c r="Y10" s="80">
        <f>'Neo-K1'!AV$31</f>
        <v>2.8176562867840697E-2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99.25288891276827</v>
      </c>
      <c r="D18" s="80">
        <f t="shared" si="1"/>
        <v>98.457074698995584</v>
      </c>
      <c r="E18" s="80">
        <f t="shared" si="1"/>
        <v>97.605986696526273</v>
      </c>
      <c r="F18" s="80">
        <f t="shared" si="1"/>
        <v>96.691741306640452</v>
      </c>
      <c r="G18" s="80">
        <f t="shared" si="1"/>
        <v>95.704762962531461</v>
      </c>
      <c r="H18" s="80">
        <f t="shared" si="1"/>
        <v>94.633228028662117</v>
      </c>
      <c r="I18" s="80">
        <f t="shared" si="1"/>
        <v>93.462285416705797</v>
      </c>
      <c r="J18" s="80">
        <f t="shared" si="1"/>
        <v>92.172835823327645</v>
      </c>
      <c r="K18" s="80">
        <f t="shared" si="1"/>
        <v>90.739669080415609</v>
      </c>
      <c r="L18" s="80">
        <f t="shared" si="1"/>
        <v>89.128412493137816</v>
      </c>
      <c r="M18" s="80">
        <f t="shared" si="1"/>
        <v>87.290386440917956</v>
      </c>
      <c r="N18" s="80">
        <f t="shared" si="1"/>
        <v>85.153532421491235</v>
      </c>
      <c r="O18" s="80">
        <f t="shared" si="1"/>
        <v>82.605766459414411</v>
      </c>
      <c r="P18" s="80">
        <f t="shared" si="1"/>
        <v>79.463519916899187</v>
      </c>
      <c r="Q18" s="80">
        <f t="shared" si="1"/>
        <v>75.41273126651835</v>
      </c>
      <c r="R18" s="80">
        <f t="shared" si="1"/>
        <v>69.907491460246376</v>
      </c>
      <c r="S18" s="80">
        <f t="shared" si="1"/>
        <v>62.019036563810594</v>
      </c>
      <c r="T18" s="80">
        <f t="shared" si="1"/>
        <v>50.107966188275519</v>
      </c>
      <c r="U18" s="80">
        <f t="shared" si="1"/>
        <v>30.540399582537365</v>
      </c>
      <c r="V18" s="80">
        <f t="shared" si="1"/>
        <v>25.057056668840254</v>
      </c>
      <c r="W18" s="80">
        <f t="shared" si="1"/>
        <v>18.851499643974361</v>
      </c>
      <c r="X18" s="80">
        <f t="shared" si="1"/>
        <v>11.92196569059468</v>
      </c>
      <c r="Y18" s="80">
        <f t="shared" si="1"/>
        <v>4.6902309372485753</v>
      </c>
      <c r="Z18" s="138"/>
      <c r="AA18" t="s">
        <v>89</v>
      </c>
      <c r="AB18" s="138">
        <f t="shared" ref="AB18:AB23" si="2">1-B18</f>
        <v>-99</v>
      </c>
      <c r="AC18" s="138">
        <f t="shared" ref="AC18:AC23" si="3">1-C18</f>
        <v>-98.25288891276827</v>
      </c>
      <c r="AD18" s="138">
        <f t="shared" ref="AD18:AD23" si="4">1-D18</f>
        <v>-97.457074698995584</v>
      </c>
      <c r="AE18" s="138">
        <f t="shared" ref="AE18:AE23" si="5">1-E18</f>
        <v>-96.605986696526273</v>
      </c>
      <c r="AF18" s="138">
        <f t="shared" ref="AF18:AF23" si="6">1-F18</f>
        <v>-95.691741306640452</v>
      </c>
      <c r="AG18" s="138">
        <f t="shared" ref="AG18:AG23" si="7">1-G18</f>
        <v>-94.704762962531461</v>
      </c>
      <c r="AH18" s="138">
        <f t="shared" ref="AH18:AH23" si="8">1-H18</f>
        <v>-93.633228028662117</v>
      </c>
      <c r="AI18" s="138">
        <f t="shared" ref="AI18:AI23" si="9">1-I18</f>
        <v>-92.462285416705797</v>
      </c>
      <c r="AJ18" s="138">
        <f t="shared" ref="AJ18:AJ23" si="10">1-J18</f>
        <v>-91.172835823327645</v>
      </c>
      <c r="AK18" s="138">
        <f t="shared" ref="AK18:AK23" si="11">1-K18</f>
        <v>-89.739669080415609</v>
      </c>
      <c r="AL18" s="138">
        <f t="shared" ref="AL18:AL23" si="12">1-L18</f>
        <v>-88.128412493137816</v>
      </c>
      <c r="AM18" s="138">
        <f t="shared" ref="AM18:AM23" si="13">1-M18</f>
        <v>-86.290386440917956</v>
      </c>
      <c r="AN18" s="138">
        <f t="shared" ref="AN18:AN23" si="14">1-N18</f>
        <v>-84.153532421491235</v>
      </c>
      <c r="AO18" s="138">
        <f t="shared" ref="AO18:AO23" si="15">1-O18</f>
        <v>-81.605766459414411</v>
      </c>
      <c r="AP18" s="138">
        <f t="shared" ref="AP18:AP23" si="16">1-P18</f>
        <v>-78.463519916899187</v>
      </c>
      <c r="AQ18" s="138">
        <f t="shared" ref="AQ18:AQ23" si="17">1-Q18</f>
        <v>-74.41273126651835</v>
      </c>
      <c r="AR18" s="138">
        <f t="shared" ref="AR18:AR23" si="18">1-R18</f>
        <v>-68.907491460246376</v>
      </c>
      <c r="AS18" s="138">
        <f t="shared" ref="AS18:AS23" si="19">1-S18</f>
        <v>-61.019036563810594</v>
      </c>
      <c r="AT18" s="138">
        <f t="shared" ref="AT18:AT23" si="20">1-T18</f>
        <v>-49.107966188275519</v>
      </c>
      <c r="AU18" s="138">
        <f t="shared" ref="AU18:AU23" si="21">1-U18</f>
        <v>-29.540399582537365</v>
      </c>
      <c r="AV18" s="138">
        <f t="shared" ref="AV18:AV23" si="22">1-V18</f>
        <v>-24.057056668840254</v>
      </c>
      <c r="AW18" s="138">
        <f t="shared" ref="AW18:AW23" si="23">1-W18</f>
        <v>-17.851499643974361</v>
      </c>
      <c r="AX18" s="138">
        <f t="shared" ref="AX18:AX23" si="24">1-X18</f>
        <v>-10.92196569059468</v>
      </c>
      <c r="AY18" s="138">
        <f t="shared" ref="AY18:AY23" si="25">1-Y18</f>
        <v>-3.6902309372485753</v>
      </c>
    </row>
    <row r="19" spans="1:51" x14ac:dyDescent="0.2">
      <c r="A19" t="str">
        <f t="shared" si="0"/>
        <v>Kaldorian</v>
      </c>
      <c r="B19" s="80">
        <f t="shared" ref="B19:Y19" si="26">IF(B4&gt;0,100*B4,"")</f>
        <v>100</v>
      </c>
      <c r="C19" s="80">
        <f t="shared" si="26"/>
        <v>99.788194945239511</v>
      </c>
      <c r="D19" s="80">
        <f t="shared" si="26"/>
        <v>99.534922342675088</v>
      </c>
      <c r="E19" s="80">
        <f t="shared" si="26"/>
        <v>99.234585601006302</v>
      </c>
      <c r="F19" s="80">
        <f t="shared" si="26"/>
        <v>98.880462846509758</v>
      </c>
      <c r="G19" s="80">
        <f t="shared" si="26"/>
        <v>98.464320438238772</v>
      </c>
      <c r="H19" s="80">
        <f t="shared" si="26"/>
        <v>97.976060342419245</v>
      </c>
      <c r="I19" s="80">
        <f t="shared" si="26"/>
        <v>97.402955191556558</v>
      </c>
      <c r="J19" s="80">
        <f t="shared" si="26"/>
        <v>96.728715150793406</v>
      </c>
      <c r="K19" s="80">
        <f t="shared" si="26"/>
        <v>95.931987778591647</v>
      </c>
      <c r="L19" s="80">
        <f t="shared" si="26"/>
        <v>94.983952616234063</v>
      </c>
      <c r="M19" s="80">
        <f t="shared" si="26"/>
        <v>93.844361510143088</v>
      </c>
      <c r="N19" s="80">
        <f t="shared" si="26"/>
        <v>92.454621117684994</v>
      </c>
      <c r="O19" s="80">
        <f t="shared" si="26"/>
        <v>90.725144542552883</v>
      </c>
      <c r="P19" s="80">
        <f t="shared" si="26"/>
        <v>88.511026874621891</v>
      </c>
      <c r="Q19" s="80">
        <f t="shared" si="26"/>
        <v>85.563912056876234</v>
      </c>
      <c r="R19" s="80">
        <f t="shared" si="26"/>
        <v>81.436581913806819</v>
      </c>
      <c r="S19" s="80">
        <f t="shared" si="26"/>
        <v>75.290138954358227</v>
      </c>
      <c r="T19" s="80">
        <f t="shared" si="26"/>
        <v>65.38618772870251</v>
      </c>
      <c r="U19" s="80" t="str">
        <f t="shared" si="26"/>
        <v/>
      </c>
      <c r="V19" s="80" t="str">
        <f t="shared" si="26"/>
        <v/>
      </c>
      <c r="W19" s="80" t="str">
        <f t="shared" si="26"/>
        <v/>
      </c>
      <c r="X19" s="80" t="str">
        <f t="shared" si="26"/>
        <v/>
      </c>
      <c r="Y19" s="80" t="str">
        <f t="shared" si="26"/>
        <v/>
      </c>
      <c r="Z19" s="138"/>
      <c r="AA19" t="s">
        <v>90</v>
      </c>
      <c r="AB19" s="138">
        <f t="shared" si="2"/>
        <v>-99</v>
      </c>
      <c r="AC19" s="138">
        <f t="shared" si="3"/>
        <v>-98.788194945239511</v>
      </c>
      <c r="AD19" s="138">
        <f t="shared" si="4"/>
        <v>-98.534922342675088</v>
      </c>
      <c r="AE19" s="138">
        <f t="shared" si="5"/>
        <v>-98.234585601006302</v>
      </c>
      <c r="AF19" s="138">
        <f t="shared" si="6"/>
        <v>-97.880462846509758</v>
      </c>
      <c r="AG19" s="138">
        <f t="shared" si="7"/>
        <v>-97.464320438238772</v>
      </c>
      <c r="AH19" s="138">
        <f t="shared" si="8"/>
        <v>-96.976060342419245</v>
      </c>
      <c r="AI19" s="138">
        <f t="shared" si="9"/>
        <v>-96.402955191556558</v>
      </c>
      <c r="AJ19" s="138">
        <f t="shared" si="10"/>
        <v>-95.728715150793406</v>
      </c>
      <c r="AK19" s="138">
        <f t="shared" si="11"/>
        <v>-94.931987778591647</v>
      </c>
      <c r="AL19" s="138">
        <f t="shared" si="12"/>
        <v>-93.983952616234063</v>
      </c>
      <c r="AM19" s="138">
        <f t="shared" si="13"/>
        <v>-92.844361510143088</v>
      </c>
      <c r="AN19" s="138">
        <f t="shared" si="14"/>
        <v>-91.454621117684994</v>
      </c>
      <c r="AO19" s="138">
        <f t="shared" si="15"/>
        <v>-89.725144542552883</v>
      </c>
      <c r="AP19" s="138">
        <f t="shared" si="16"/>
        <v>-87.511026874621891</v>
      </c>
      <c r="AQ19" s="138">
        <f t="shared" si="17"/>
        <v>-84.563912056876234</v>
      </c>
      <c r="AR19" s="138">
        <f t="shared" si="18"/>
        <v>-80.436581913806819</v>
      </c>
      <c r="AS19" s="138">
        <f t="shared" si="19"/>
        <v>-74.290138954358227</v>
      </c>
      <c r="AT19" s="138">
        <f t="shared" si="20"/>
        <v>-64.38618772870251</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v>
      </c>
      <c r="C20" s="80">
        <f t="shared" si="27"/>
        <v>99.789637577726126</v>
      </c>
      <c r="D20" s="80">
        <f t="shared" si="27"/>
        <v>99.537870438636673</v>
      </c>
      <c r="E20" s="80">
        <f t="shared" si="27"/>
        <v>99.2391128089576</v>
      </c>
      <c r="F20" s="80">
        <f t="shared" si="27"/>
        <v>98.886639420612923</v>
      </c>
      <c r="G20" s="80">
        <f t="shared" si="27"/>
        <v>98.472260304840503</v>
      </c>
      <c r="H20" s="80">
        <f t="shared" si="27"/>
        <v>97.985847119586978</v>
      </c>
      <c r="I20" s="80">
        <f t="shared" si="27"/>
        <v>97.4146835231887</v>
      </c>
      <c r="J20" s="80">
        <f t="shared" si="27"/>
        <v>96.742460868266718</v>
      </c>
      <c r="K20" s="80">
        <f t="shared" si="27"/>
        <v>95.947781396255749</v>
      </c>
      <c r="L20" s="80">
        <f t="shared" si="27"/>
        <v>95.001741429540346</v>
      </c>
      <c r="M20" s="80">
        <f t="shared" si="27"/>
        <v>93.863942316403936</v>
      </c>
      <c r="N20" s="80">
        <f t="shared" si="27"/>
        <v>92.475521499811194</v>
      </c>
      <c r="O20" s="80">
        <f t="shared" si="27"/>
        <v>90.746428639717294</v>
      </c>
      <c r="P20" s="80">
        <f t="shared" si="27"/>
        <v>88.53104111524847</v>
      </c>
      <c r="Q20" s="80">
        <f t="shared" si="27"/>
        <v>85.580120179529516</v>
      </c>
      <c r="R20" s="80">
        <f t="shared" si="27"/>
        <v>81.446402184373284</v>
      </c>
      <c r="S20" s="80">
        <f t="shared" si="27"/>
        <v>75.293630995913873</v>
      </c>
      <c r="T20" s="80">
        <f t="shared" si="27"/>
        <v>65.386697430316644</v>
      </c>
      <c r="U20" s="80">
        <f t="shared" si="27"/>
        <v>47.078231890322428</v>
      </c>
      <c r="V20" s="80">
        <f t="shared" si="27"/>
        <v>41.352894590997181</v>
      </c>
      <c r="W20" s="80">
        <f t="shared" si="27"/>
        <v>34.410505167532563</v>
      </c>
      <c r="X20" s="80">
        <f t="shared" si="27"/>
        <v>25.786215612821469</v>
      </c>
      <c r="Y20" s="80">
        <f t="shared" si="27"/>
        <v>14.733318232448125</v>
      </c>
      <c r="Z20" s="138"/>
      <c r="AA20" t="s">
        <v>93</v>
      </c>
      <c r="AB20" s="138">
        <f t="shared" si="2"/>
        <v>-99</v>
      </c>
      <c r="AC20" s="138">
        <f t="shared" si="3"/>
        <v>-98.789637577726126</v>
      </c>
      <c r="AD20" s="138">
        <f t="shared" si="4"/>
        <v>-98.537870438636673</v>
      </c>
      <c r="AE20" s="138">
        <f t="shared" si="5"/>
        <v>-98.2391128089576</v>
      </c>
      <c r="AF20" s="138">
        <f t="shared" si="6"/>
        <v>-97.886639420612923</v>
      </c>
      <c r="AG20" s="138">
        <f t="shared" si="7"/>
        <v>-97.472260304840503</v>
      </c>
      <c r="AH20" s="138">
        <f t="shared" si="8"/>
        <v>-96.985847119586978</v>
      </c>
      <c r="AI20" s="138">
        <f t="shared" si="9"/>
        <v>-96.4146835231887</v>
      </c>
      <c r="AJ20" s="138">
        <f t="shared" si="10"/>
        <v>-95.742460868266718</v>
      </c>
      <c r="AK20" s="138">
        <f t="shared" si="11"/>
        <v>-94.947781396255749</v>
      </c>
      <c r="AL20" s="138">
        <f t="shared" si="12"/>
        <v>-94.001741429540346</v>
      </c>
      <c r="AM20" s="138">
        <f t="shared" si="13"/>
        <v>-92.863942316403936</v>
      </c>
      <c r="AN20" s="138">
        <f t="shared" si="14"/>
        <v>-91.475521499811194</v>
      </c>
      <c r="AO20" s="138">
        <f t="shared" si="15"/>
        <v>-89.746428639717294</v>
      </c>
      <c r="AP20" s="138">
        <f t="shared" si="16"/>
        <v>-87.53104111524847</v>
      </c>
      <c r="AQ20" s="138">
        <f t="shared" si="17"/>
        <v>-84.580120179529516</v>
      </c>
      <c r="AR20" s="138">
        <f t="shared" si="18"/>
        <v>-80.446402184373284</v>
      </c>
      <c r="AS20" s="138">
        <f t="shared" si="19"/>
        <v>-74.293630995913873</v>
      </c>
      <c r="AT20" s="138">
        <f t="shared" si="20"/>
        <v>-64.386697430316644</v>
      </c>
      <c r="AU20" s="138"/>
      <c r="AV20" s="138"/>
      <c r="AW20" s="138"/>
      <c r="AX20" s="138"/>
      <c r="AY20" s="138"/>
    </row>
    <row r="21" spans="1:51" x14ac:dyDescent="0.2">
      <c r="A21" t="str">
        <f t="shared" si="0"/>
        <v>Keynes-Kaldor</v>
      </c>
      <c r="B21" s="80">
        <f t="shared" ref="B21:Y21" si="28">IF(B6&gt;0,100*B6,"")</f>
        <v>100</v>
      </c>
      <c r="C21" s="80">
        <f t="shared" si="28"/>
        <v>100.25945862222858</v>
      </c>
      <c r="D21" s="80">
        <f t="shared" si="28"/>
        <v>100.41679729175456</v>
      </c>
      <c r="E21" s="80">
        <f t="shared" si="28"/>
        <v>100.46825583600916</v>
      </c>
      <c r="F21" s="80">
        <f t="shared" si="28"/>
        <v>100.4070782091579</v>
      </c>
      <c r="G21" s="80">
        <f t="shared" si="28"/>
        <v>100.223140666785</v>
      </c>
      <c r="H21" s="80">
        <f t="shared" si="28"/>
        <v>99.90216923605081</v>
      </c>
      <c r="I21" s="80">
        <f t="shared" si="28"/>
        <v>99.424555845089941</v>
      </c>
      <c r="J21" s="80">
        <f t="shared" si="28"/>
        <v>98.763445461175024</v>
      </c>
      <c r="K21" s="80">
        <f t="shared" si="28"/>
        <v>97.881695781569547</v>
      </c>
      <c r="L21" s="80">
        <f t="shared" si="28"/>
        <v>96.72687400781038</v>
      </c>
      <c r="M21" s="80">
        <f t="shared" si="28"/>
        <v>95.222684459547906</v>
      </c>
      <c r="N21" s="80">
        <f t="shared" si="28"/>
        <v>93.253538315139323</v>
      </c>
      <c r="O21" s="80">
        <f t="shared" si="28"/>
        <v>90.63486242334001</v>
      </c>
      <c r="P21" s="80">
        <f t="shared" si="28"/>
        <v>87.051974827210884</v>
      </c>
      <c r="Q21" s="80">
        <f t="shared" si="28"/>
        <v>81.925305752022481</v>
      </c>
      <c r="R21" s="80">
        <f t="shared" si="28"/>
        <v>74.11420588542245</v>
      </c>
      <c r="S21" s="80">
        <f t="shared" si="28"/>
        <v>61.556986912424705</v>
      </c>
      <c r="T21" s="80" t="str">
        <f t="shared" si="28"/>
        <v/>
      </c>
      <c r="U21" s="80" t="str">
        <f t="shared" si="28"/>
        <v/>
      </c>
      <c r="V21" s="80" t="str">
        <f t="shared" si="28"/>
        <v/>
      </c>
      <c r="W21" s="80" t="str">
        <f t="shared" si="28"/>
        <v/>
      </c>
      <c r="X21" s="80" t="str">
        <f t="shared" si="28"/>
        <v/>
      </c>
      <c r="Y21" s="80" t="str">
        <f t="shared" si="28"/>
        <v/>
      </c>
      <c r="Z21" s="138"/>
      <c r="AA21" t="s">
        <v>95</v>
      </c>
      <c r="AB21" s="138">
        <f t="shared" si="2"/>
        <v>-99</v>
      </c>
      <c r="AC21" s="138">
        <f t="shared" si="3"/>
        <v>-99.259458622228578</v>
      </c>
      <c r="AD21" s="138">
        <f t="shared" si="4"/>
        <v>-99.416797291754563</v>
      </c>
      <c r="AE21" s="138">
        <f t="shared" si="5"/>
        <v>-99.468255836009163</v>
      </c>
      <c r="AF21" s="138">
        <f t="shared" si="6"/>
        <v>-99.407078209157902</v>
      </c>
      <c r="AG21" s="138">
        <f t="shared" si="7"/>
        <v>-99.223140666785</v>
      </c>
      <c r="AH21" s="138">
        <f t="shared" si="8"/>
        <v>-98.90216923605081</v>
      </c>
      <c r="AI21" s="138">
        <f t="shared" si="9"/>
        <v>-98.424555845089941</v>
      </c>
      <c r="AJ21" s="138">
        <f t="shared" si="10"/>
        <v>-97.763445461175024</v>
      </c>
      <c r="AK21" s="138">
        <f t="shared" si="11"/>
        <v>-96.881695781569547</v>
      </c>
      <c r="AL21" s="138">
        <f t="shared" si="12"/>
        <v>-95.72687400781038</v>
      </c>
      <c r="AM21" s="138">
        <f t="shared" si="13"/>
        <v>-94.222684459547906</v>
      </c>
      <c r="AN21" s="138">
        <f t="shared" si="14"/>
        <v>-92.253538315139323</v>
      </c>
      <c r="AO21" s="138">
        <f t="shared" si="15"/>
        <v>-89.63486242334001</v>
      </c>
      <c r="AP21" s="138">
        <f t="shared" si="16"/>
        <v>-86.051974827210884</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100.35639662027486</v>
      </c>
      <c r="D22" s="80">
        <f t="shared" si="29"/>
        <v>100.67261080057168</v>
      </c>
      <c r="E22" s="80">
        <f t="shared" si="29"/>
        <v>100.94364628836689</v>
      </c>
      <c r="F22" s="80">
        <f t="shared" si="29"/>
        <v>101.163404326017</v>
      </c>
      <c r="G22" s="80">
        <f t="shared" si="29"/>
        <v>101.32438241561449</v>
      </c>
      <c r="H22" s="80">
        <f t="shared" si="29"/>
        <v>101.41724012250519</v>
      </c>
      <c r="I22" s="80">
        <f t="shared" si="29"/>
        <v>101.43020167575676</v>
      </c>
      <c r="J22" s="80">
        <f t="shared" si="29"/>
        <v>101.34817023685912</v>
      </c>
      <c r="K22" s="80">
        <f t="shared" si="29"/>
        <v>101.15138722803971</v>
      </c>
      <c r="L22" s="80">
        <f t="shared" si="29"/>
        <v>100.8132845443174</v>
      </c>
      <c r="M22" s="80">
        <f t="shared" si="29"/>
        <v>100.296908753884</v>
      </c>
      <c r="N22" s="80">
        <f t="shared" si="29"/>
        <v>99.548414501895152</v>
      </c>
      <c r="O22" s="80">
        <f t="shared" si="29"/>
        <v>98.484411742628737</v>
      </c>
      <c r="P22" s="80">
        <f t="shared" si="29"/>
        <v>96.965010340467387</v>
      </c>
      <c r="Q22" s="80">
        <f t="shared" si="29"/>
        <v>94.732923392592781</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v>
      </c>
      <c r="AC22" s="138">
        <f t="shared" si="3"/>
        <v>-99.356396620274865</v>
      </c>
      <c r="AD22" s="138">
        <f t="shared" si="4"/>
        <v>-99.672610800571675</v>
      </c>
      <c r="AE22" s="138">
        <f t="shared" si="5"/>
        <v>-99.943646288366892</v>
      </c>
      <c r="AF22" s="138">
        <f t="shared" si="6"/>
        <v>-100.163404326017</v>
      </c>
      <c r="AG22" s="138">
        <f t="shared" si="7"/>
        <v>-100.32438241561449</v>
      </c>
      <c r="AH22" s="138">
        <f t="shared" si="8"/>
        <v>-100.41724012250519</v>
      </c>
      <c r="AI22" s="138">
        <f t="shared" si="9"/>
        <v>-100.43020167575676</v>
      </c>
      <c r="AJ22" s="138">
        <f t="shared" si="10"/>
        <v>-100.34817023685912</v>
      </c>
      <c r="AK22" s="138">
        <f t="shared" si="11"/>
        <v>-100.15138722803971</v>
      </c>
      <c r="AL22" s="138">
        <f t="shared" si="12"/>
        <v>-99.813284544317398</v>
      </c>
      <c r="AM22" s="138">
        <f t="shared" si="13"/>
        <v>-99.296908753883997</v>
      </c>
      <c r="AN22" s="138">
        <f t="shared" si="14"/>
        <v>-98.548414501895152</v>
      </c>
      <c r="AO22" s="138">
        <f t="shared" si="15"/>
        <v>-97.484411742628737</v>
      </c>
      <c r="AP22" s="138">
        <f t="shared" si="16"/>
        <v>-95.965010340467387</v>
      </c>
      <c r="AQ22" s="138">
        <f t="shared" si="17"/>
        <v>-93.732923392592781</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v>
      </c>
      <c r="C23" s="80">
        <f>IF(C8&gt;0,100*C8,"")</f>
        <v>97.665190836283656</v>
      </c>
      <c r="D23" s="80">
        <f t="shared" si="30"/>
        <v>94.891375291778601</v>
      </c>
      <c r="E23" s="80">
        <f t="shared" si="30"/>
        <v>91.632605734349369</v>
      </c>
      <c r="F23" s="80">
        <f t="shared" si="30"/>
        <v>87.865644458795728</v>
      </c>
      <c r="G23" s="80">
        <f t="shared" si="30"/>
        <v>83.608465324626223</v>
      </c>
      <c r="H23" s="80">
        <f t="shared" si="30"/>
        <v>78.944573098810139</v>
      </c>
      <c r="I23" s="80">
        <f t="shared" si="30"/>
        <v>74.077011888833567</v>
      </c>
      <c r="J23" s="80" t="str">
        <f t="shared" si="30"/>
        <v/>
      </c>
      <c r="K23" s="80" t="str">
        <f t="shared" si="30"/>
        <v/>
      </c>
      <c r="L23" s="80" t="str">
        <f t="shared" si="30"/>
        <v/>
      </c>
      <c r="M23" s="80" t="str">
        <f t="shared" si="30"/>
        <v/>
      </c>
      <c r="N23" s="80" t="str">
        <f t="shared" si="30"/>
        <v/>
      </c>
      <c r="O23" s="80" t="str">
        <f t="shared" si="30"/>
        <v/>
      </c>
      <c r="P23" s="80" t="str">
        <f t="shared" si="30"/>
        <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-96.665190836283656</v>
      </c>
      <c r="AD23" s="138">
        <f t="shared" si="4"/>
        <v>-93.891375291778601</v>
      </c>
      <c r="AE23" s="138">
        <f t="shared" si="5"/>
        <v>-90.632605734349369</v>
      </c>
      <c r="AF23" s="138">
        <f t="shared" si="6"/>
        <v>-86.865644458795728</v>
      </c>
      <c r="AG23" s="138">
        <f t="shared" si="7"/>
        <v>-82.608465324626223</v>
      </c>
      <c r="AH23" s="138">
        <f t="shared" si="8"/>
        <v>-77.944573098810139</v>
      </c>
      <c r="AI23" s="138">
        <f t="shared" si="9"/>
        <v>-73.077011888833567</v>
      </c>
      <c r="AJ23" s="138" t="e">
        <f t="shared" si="10"/>
        <v>#VALUE!</v>
      </c>
      <c r="AK23" s="138" t="e">
        <f t="shared" si="11"/>
        <v>#VALUE!</v>
      </c>
      <c r="AL23" s="138" t="e">
        <f t="shared" si="12"/>
        <v>#VALUE!</v>
      </c>
      <c r="AM23" s="138" t="e">
        <f t="shared" si="13"/>
        <v>#VALUE!</v>
      </c>
      <c r="AN23" s="138" t="e">
        <f t="shared" si="14"/>
        <v>#VALUE!</v>
      </c>
      <c r="AO23" s="138" t="e">
        <f t="shared" si="15"/>
        <v>#VALUE!</v>
      </c>
      <c r="AP23" s="138" t="e">
        <f t="shared" si="16"/>
        <v>#VALUE!</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98.522109333147995</v>
      </c>
      <c r="D24" s="80">
        <f t="shared" si="31"/>
        <v>96.897308790149594</v>
      </c>
      <c r="E24" s="80">
        <f t="shared" si="31"/>
        <v>95.101999501765263</v>
      </c>
      <c r="F24" s="80">
        <f t="shared" si="31"/>
        <v>93.108218857876778</v>
      </c>
      <c r="G24" s="80">
        <f t="shared" si="31"/>
        <v>90.883046401877138</v>
      </c>
      <c r="H24" s="80">
        <f t="shared" si="31"/>
        <v>88.388229847568354</v>
      </c>
      <c r="I24" s="80">
        <f t="shared" si="31"/>
        <v>85.580303623885172</v>
      </c>
      <c r="J24" s="80">
        <f t="shared" si="31"/>
        <v>82.41176274830309</v>
      </c>
      <c r="K24" s="80">
        <f t="shared" si="31"/>
        <v>78.83406005991084</v>
      </c>
      <c r="L24" s="80">
        <f t="shared" si="31"/>
        <v>74.803670807352589</v>
      </c>
      <c r="M24" s="80">
        <f t="shared" si="31"/>
        <v>70.292291514587973</v>
      </c>
      <c r="N24" s="80">
        <f t="shared" si="31"/>
        <v>65.301610403959927</v>
      </c>
      <c r="O24" s="80">
        <f t="shared" si="31"/>
        <v>59.879494178760886</v>
      </c>
      <c r="P24" s="80">
        <f t="shared" si="31"/>
        <v>54.126832669786673</v>
      </c>
      <c r="Q24" s="80">
        <f t="shared" si="31"/>
        <v>48.173913906388869</v>
      </c>
      <c r="R24" s="80">
        <f t="shared" si="31"/>
        <v>42.10434154950363</v>
      </c>
      <c r="S24" s="80">
        <f t="shared" si="31"/>
        <v>35.822165341251036</v>
      </c>
      <c r="T24" s="80">
        <f t="shared" si="31"/>
        <v>28.863553727136203</v>
      </c>
      <c r="U24" s="80">
        <f t="shared" si="31"/>
        <v>19.946388064469765</v>
      </c>
      <c r="V24" s="80" t="str">
        <f t="shared" si="31"/>
        <v/>
      </c>
      <c r="W24" s="80" t="str">
        <f t="shared" si="31"/>
        <v/>
      </c>
      <c r="X24" s="80" t="str">
        <f t="shared" si="31"/>
        <v/>
      </c>
      <c r="Y24" s="80" t="str">
        <f t="shared" si="31"/>
        <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98.745478718715333</v>
      </c>
      <c r="D25" s="80">
        <f t="shared" si="32"/>
        <v>97.383959704147088</v>
      </c>
      <c r="E25" s="80">
        <f t="shared" si="32"/>
        <v>95.899547643907681</v>
      </c>
      <c r="F25" s="80">
        <f t="shared" si="32"/>
        <v>94.273100447280981</v>
      </c>
      <c r="G25" s="80">
        <f t="shared" si="32"/>
        <v>92.481386591850708</v>
      </c>
      <c r="H25" s="80">
        <f t="shared" si="32"/>
        <v>90.495953717722188</v>
      </c>
      <c r="I25" s="80">
        <f t="shared" si="32"/>
        <v>88.281740505978107</v>
      </c>
      <c r="J25" s="80">
        <f t="shared" si="32"/>
        <v>85.795231336544646</v>
      </c>
      <c r="K25" s="80">
        <f t="shared" si="32"/>
        <v>82.982100974390818</v>
      </c>
      <c r="L25" s="80">
        <f t="shared" si="32"/>
        <v>79.774344490264667</v>
      </c>
      <c r="M25" s="80">
        <f t="shared" si="32"/>
        <v>76.086939556482889</v>
      </c>
      <c r="N25" s="80">
        <f t="shared" si="32"/>
        <v>71.814449593622413</v>
      </c>
      <c r="O25" s="80">
        <f t="shared" si="32"/>
        <v>66.828629223553435</v>
      </c>
      <c r="P25" s="80">
        <f t="shared" si="32"/>
        <v>60.979072723323313</v>
      </c>
      <c r="Q25" s="80">
        <f t="shared" si="32"/>
        <v>54.100107583978755</v>
      </c>
      <c r="R25" s="80">
        <f t="shared" si="32"/>
        <v>46.027223337099443</v>
      </c>
      <c r="S25" s="80">
        <f t="shared" si="32"/>
        <v>36.623315677763237</v>
      </c>
      <c r="T25" s="80">
        <f t="shared" si="32"/>
        <v>25.808009452024034</v>
      </c>
      <c r="U25" s="80">
        <f t="shared" si="32"/>
        <v>13.576899162396186</v>
      </c>
      <c r="V25" s="80">
        <f t="shared" si="32"/>
        <v>10.965823964279608</v>
      </c>
      <c r="W25" s="80">
        <f t="shared" si="32"/>
        <v>8.3016145801479855</v>
      </c>
      <c r="X25" s="80">
        <f t="shared" si="32"/>
        <v>5.5852197147360938</v>
      </c>
      <c r="Y25" s="80">
        <f t="shared" si="32"/>
        <v>2.8176562867840698</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5.3264588942903368E-2</v>
      </c>
      <c r="D34" s="80">
        <f>NeoClassical!F2</f>
        <v>0.10534021009273802</v>
      </c>
      <c r="E34" s="80">
        <f>NeoClassical!H2</f>
        <v>0.16274041854184082</v>
      </c>
      <c r="F34" s="80">
        <f>NeoClassical!J2</f>
        <v>0.22639389288339509</v>
      </c>
      <c r="G34" s="80">
        <f>NeoClassical!L2</f>
        <v>0.29748507045296785</v>
      </c>
      <c r="H34" s="80">
        <f>NeoClassical!N2</f>
        <v>0.37755849001819158</v>
      </c>
      <c r="I34" s="80">
        <f>NeoClassical!P2</f>
        <v>0.46868087608674158</v>
      </c>
      <c r="J34" s="80">
        <f>NeoClassical!R2</f>
        <v>0.57370181806392162</v>
      </c>
      <c r="K34" s="80">
        <f>NeoClassical!T2</f>
        <v>0.69669359222921423</v>
      </c>
      <c r="L34" s="80">
        <f>NeoClassical!V2</f>
        <v>0.8437231726783353</v>
      </c>
      <c r="M34" s="80">
        <f>NeoClassical!X2</f>
        <v>1.0242867156861777</v>
      </c>
      <c r="N34" s="80">
        <f>NeoClassical!Z2</f>
        <v>1.2541427986972027</v>
      </c>
      <c r="O34" s="80">
        <f>NeoClassical!AB2</f>
        <v>1.5613242805355556</v>
      </c>
      <c r="P34" s="80">
        <f>NeoClassical!AD2</f>
        <v>1.9999427877439693</v>
      </c>
      <c r="Q34" s="80">
        <f>NeoClassical!AF2</f>
        <v>2.6845960526303538</v>
      </c>
      <c r="R34" s="80">
        <f>NeoClassical!AH2</f>
        <v>3.8828577905501973</v>
      </c>
      <c r="S34" s="80">
        <f>NeoClassical!AJ2</f>
        <v>6.2892211518459362</v>
      </c>
      <c r="T34" s="80">
        <f>NeoClassical!AL2</f>
        <v>12.082142367304394</v>
      </c>
      <c r="U34" s="80">
        <f>NeoClassical!AN2</f>
        <v>32.111124681610285</v>
      </c>
      <c r="V34" s="80">
        <f>NeoClassical!AP2</f>
        <v>42.260847879137529</v>
      </c>
      <c r="W34" s="80">
        <f>NeoClassical!AR2</f>
        <v>58.471687890322308</v>
      </c>
      <c r="X34" s="80">
        <f>NeoClassical!AT2</f>
        <v>87.255014313942084</v>
      </c>
      <c r="Y34" s="80">
        <f>NeoClassical!AV2</f>
        <v>148.11398934480863</v>
      </c>
      <c r="Z34" s="138"/>
    </row>
    <row r="35" spans="1:26" x14ac:dyDescent="0.2">
      <c r="A35" t="str">
        <f t="shared" ref="A35:A42" si="34">A4</f>
        <v>Kaldorian</v>
      </c>
      <c r="B35" s="80">
        <f>Kaldorian!B2</f>
        <v>5.7716594496607888E-3</v>
      </c>
      <c r="C35" s="80">
        <f>Kaldorian!D2</f>
        <v>5.6360007483831819E-2</v>
      </c>
      <c r="D35" s="80">
        <f>Kaldorian!F2</f>
        <v>0.11184029325818903</v>
      </c>
      <c r="E35" s="80">
        <f>Kaldorian!H2</f>
        <v>0.17300297800585213</v>
      </c>
      <c r="F35" s="80">
        <f>Kaldorian!J2</f>
        <v>0.24083815515781312</v>
      </c>
      <c r="G35" s="80">
        <f>Kaldorian!L2</f>
        <v>0.31660683013151864</v>
      </c>
      <c r="H35" s="80">
        <f>Kaldorian!N2</f>
        <v>0.40196336915716474</v>
      </c>
      <c r="I35" s="80">
        <f>Kaldorian!P2</f>
        <v>0.49912178505960902</v>
      </c>
      <c r="J35" s="80">
        <f>Kaldorian!R2</f>
        <v>0.61114936546286369</v>
      </c>
      <c r="K35" s="80">
        <f>Kaldorian!T2</f>
        <v>0.74245261492886516</v>
      </c>
      <c r="L35" s="80">
        <f>Kaldorian!V2</f>
        <v>0.89963996709003236</v>
      </c>
      <c r="M35" s="80">
        <f>Kaldorian!X2</f>
        <v>1.0931386943301522</v>
      </c>
      <c r="N35" s="80">
        <f>Kaldorian!Z2</f>
        <v>1.340418928254578</v>
      </c>
      <c r="O35" s="80">
        <f>Kaldorian!AB2</f>
        <v>1.6729007564682898</v>
      </c>
      <c r="P35" s="80">
        <f>Kaldorian!AD2</f>
        <v>2.1519867854023644</v>
      </c>
      <c r="Q35" s="80">
        <f>Kaldorian!AF2</f>
        <v>2.9093529968655476</v>
      </c>
      <c r="R35" s="80">
        <f>Kaldorian!AH2</f>
        <v>4.2554470357960099</v>
      </c>
      <c r="S35" s="80">
        <f>Kaldorian!AJ2</f>
        <v>6.9995228816815427</v>
      </c>
      <c r="T35" s="80">
        <f>Kaldorian!AL2</f>
        <v>13.690338031997086</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5.5295082421593568E-2</v>
      </c>
      <c r="D36" s="80">
        <f>Johansen!F2</f>
        <v>0.10960951952066278</v>
      </c>
      <c r="E36" s="80">
        <f>Johansen!H2</f>
        <v>0.16949440886134501</v>
      </c>
      <c r="F36" s="80">
        <f>Johansen!J2</f>
        <v>0.23592794768418004</v>
      </c>
      <c r="G36" s="80">
        <f>Johansen!L2</f>
        <v>0.31016193152228755</v>
      </c>
      <c r="H36" s="80">
        <f>Johansen!N2</f>
        <v>0.39383562106001802</v>
      </c>
      <c r="I36" s="80">
        <f>Johansen!P2</f>
        <v>0.48915404995577366</v>
      </c>
      <c r="J36" s="80">
        <f>Johansen!R2</f>
        <v>0.59917661271342082</v>
      </c>
      <c r="K36" s="80">
        <f>Johansen!T2</f>
        <v>0.72830869344153737</v>
      </c>
      <c r="L36" s="80">
        <f>Johansen!V2</f>
        <v>0.88317074281243968</v>
      </c>
      <c r="M36" s="80">
        <f>Johansen!X2</f>
        <v>1.0742313498534406</v>
      </c>
      <c r="N36" s="80">
        <f>Johansen!Z2</f>
        <v>1.3190633995139958</v>
      </c>
      <c r="O36" s="80">
        <f>Johansen!AB2</f>
        <v>1.6493324679082593</v>
      </c>
      <c r="P36" s="80">
        <f>Johansen!AD2</f>
        <v>2.1270055370592482</v>
      </c>
      <c r="Q36" s="80">
        <f>Johansen!AF2</f>
        <v>2.8849376603441557</v>
      </c>
      <c r="R36" s="80">
        <f>Johansen!AH2</f>
        <v>4.2353096993855202</v>
      </c>
      <c r="S36" s="80">
        <f>Johansen!AJ2</f>
        <v>6.9874816651534468</v>
      </c>
      <c r="T36" s="80">
        <f>Johansen!AL2</f>
        <v>13.68603121652478</v>
      </c>
      <c r="U36" s="80">
        <f>Johansen!AN2</f>
        <v>37.007124483444983</v>
      </c>
      <c r="V36" s="80">
        <f>Johansen!AP2</f>
        <v>48.750718007761982</v>
      </c>
      <c r="W36" s="80">
        <f>Johansen!AR2</f>
        <v>67.274689425411381</v>
      </c>
      <c r="X36" s="80">
        <f>Johansen!AT2</f>
        <v>99.291454084221201</v>
      </c>
      <c r="Y36" s="80">
        <f>Johansen!AV2</f>
        <v>162.94281696416638</v>
      </c>
      <c r="Z36" s="138"/>
    </row>
    <row r="37" spans="1:26" x14ac:dyDescent="0.2">
      <c r="A37" t="str">
        <f t="shared" si="34"/>
        <v>Keynes-Kaldor</v>
      </c>
      <c r="B37" s="80">
        <f>'Keynes-K'!B2</f>
        <v>5.7716594496607888E-3</v>
      </c>
      <c r="C37" s="80">
        <f>'Keynes-K'!D2</f>
        <v>6.0438600909018841E-2</v>
      </c>
      <c r="D37" s="80">
        <f>'Keynes-K'!F2</f>
        <v>0.11992356497497968</v>
      </c>
      <c r="E37" s="80">
        <f>'Keynes-K'!H2</f>
        <v>0.18502549942231886</v>
      </c>
      <c r="F37" s="80">
        <f>'Keynes-K'!J2</f>
        <v>0.25673080788314895</v>
      </c>
      <c r="G37" s="80">
        <f>'Keynes-K'!L2</f>
        <v>0.33628053388787721</v>
      </c>
      <c r="H37" s="80">
        <f>'Keynes-K'!N2</f>
        <v>0.42527629462084465</v>
      </c>
      <c r="I37" s="80">
        <f>'Keynes-K'!P2</f>
        <v>0.52583679820406715</v>
      </c>
      <c r="J37" s="80">
        <f>'Keynes-K'!R2</f>
        <v>0.64084585884001322</v>
      </c>
      <c r="K37" s="80">
        <f>'Keynes-K'!T2</f>
        <v>0.77435340423337451</v>
      </c>
      <c r="L37" s="80">
        <f>'Keynes-K'!V2</f>
        <v>0.93224692327322622</v>
      </c>
      <c r="M37" s="80">
        <f>'Keynes-K'!X2</f>
        <v>1.1234078179077609</v>
      </c>
      <c r="N37" s="80">
        <f>'Keynes-K'!Z2</f>
        <v>1.3617537260945667</v>
      </c>
      <c r="O37" s="80">
        <f>'Keynes-K'!AB2</f>
        <v>1.6698265952806168</v>
      </c>
      <c r="P37" s="80">
        <f>'Keynes-K'!AD2</f>
        <v>2.0845331495511297</v>
      </c>
      <c r="Q37" s="80">
        <f>'Keynes-K'!AF2</f>
        <v>2.6620191827846704</v>
      </c>
      <c r="R37" s="80">
        <f>'Keynes-K'!AH2</f>
        <v>3.4537096780483338</v>
      </c>
      <c r="S37" s="80">
        <f>'Keynes-K'!AJ2</f>
        <v>4.3377904781822467</v>
      </c>
      <c r="T37" s="80">
        <f>'Keynes-K'!AL2</f>
        <v>0</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5.434901980127238E-2</v>
      </c>
      <c r="D38" s="80">
        <f>'Keynes-M'!F2</f>
        <v>0.10795966221017568</v>
      </c>
      <c r="E38" s="80">
        <f>'Keynes-M'!H2</f>
        <v>0.16748659960347076</v>
      </c>
      <c r="F38" s="80">
        <f>'Keynes-M'!J2</f>
        <v>0.23405950174977389</v>
      </c>
      <c r="G38" s="80">
        <f>'Keynes-M'!L2</f>
        <v>0.30915573833556054</v>
      </c>
      <c r="H38" s="80">
        <f>'Keynes-M'!N2</f>
        <v>0.39475656745190146</v>
      </c>
      <c r="I38" s="80">
        <f>'Keynes-M'!P2</f>
        <v>0.49359685990444191</v>
      </c>
      <c r="J38" s="80">
        <f>'Keynes-M'!R2</f>
        <v>0.60958029411413572</v>
      </c>
      <c r="K38" s="80">
        <f>'Keynes-M'!T2</f>
        <v>0.74849963082318283</v>
      </c>
      <c r="L38" s="80">
        <f>'Keynes-M'!V2</f>
        <v>0.91934768031871061</v>
      </c>
      <c r="M38" s="80">
        <f>'Keynes-M'!X2</f>
        <v>1.1368542642758206</v>
      </c>
      <c r="N38" s="80">
        <f>'Keynes-M'!Z2</f>
        <v>1.4266900686653945</v>
      </c>
      <c r="O38" s="80">
        <f>'Keynes-M'!AB2</f>
        <v>1.8369044948249567</v>
      </c>
      <c r="P38" s="80">
        <f>'Keynes-M'!AD2</f>
        <v>2.4645709120394623</v>
      </c>
      <c r="Q38" s="80">
        <f>'Keynes-M'!AF2</f>
        <v>3.5202387571230811</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3.3877643901445827E-2</v>
      </c>
      <c r="D39" s="80">
        <f>Keynesian!F2</f>
        <v>6.1079762418396889E-2</v>
      </c>
      <c r="E39" s="80">
        <f>Keynesian!H2</f>
        <v>8.6625460232075707E-2</v>
      </c>
      <c r="F39" s="80">
        <f>Keynesian!J2</f>
        <v>0.10971359806031232</v>
      </c>
      <c r="G39" s="80">
        <f>Keynesian!L2</f>
        <v>0.12960971811696112</v>
      </c>
      <c r="H39" s="80">
        <f>Keynesian!N2</f>
        <v>0.14575186035621601</v>
      </c>
      <c r="I39" s="80">
        <f>Keynesian!P2</f>
        <v>0.15770233316018481</v>
      </c>
      <c r="J39" s="80">
        <f>Keynesian!R2</f>
        <v>0</v>
      </c>
      <c r="K39" s="80">
        <f>Keynesian!T2</f>
        <v>0</v>
      </c>
      <c r="L39" s="80">
        <f>Keynesian!V2</f>
        <v>0</v>
      </c>
      <c r="M39" s="80">
        <f>Keynesian!X2</f>
        <v>0</v>
      </c>
      <c r="N39" s="80">
        <f>Keynesian!Z2</f>
        <v>0</v>
      </c>
      <c r="O39" s="80">
        <f>Keynesian!AB2</f>
        <v>0</v>
      </c>
      <c r="P39" s="80">
        <f>Keynesian!AD2</f>
        <v>0</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4.2982762204895983E-2</v>
      </c>
      <c r="D40" s="80">
        <f>'Neo-K2'!F2</f>
        <v>8.2561188105078356E-2</v>
      </c>
      <c r="E40" s="80">
        <f>'Neo-K2'!H2</f>
        <v>0.12466623160997088</v>
      </c>
      <c r="F40" s="80">
        <f>'Neo-K2'!J2</f>
        <v>0.16945365998887768</v>
      </c>
      <c r="G40" s="80">
        <f>'Neo-K2'!L2</f>
        <v>0.21707002126271158</v>
      </c>
      <c r="H40" s="80">
        <f>'Neo-K2'!N2</f>
        <v>0.267648632691665</v>
      </c>
      <c r="I40" s="80">
        <f>'Neo-K2'!P2</f>
        <v>0.32131119654021822</v>
      </c>
      <c r="J40" s="80">
        <f>'Neo-K2'!R2</f>
        <v>0.37818854325200674</v>
      </c>
      <c r="K40" s="80">
        <f>'Neo-K2'!T2</f>
        <v>0.43848882588914795</v>
      </c>
      <c r="L40" s="80">
        <f>'Neo-K2'!V2</f>
        <v>0.50267435385928738</v>
      </c>
      <c r="M40" s="80">
        <f>'Neo-K2'!X2</f>
        <v>0.57187823279593042</v>
      </c>
      <c r="N40" s="80">
        <f>'Neo-K2'!Z2</f>
        <v>0.64883200718540224</v>
      </c>
      <c r="O40" s="80">
        <f>'Neo-K2'!AB2</f>
        <v>0.73987066798628642</v>
      </c>
      <c r="P40" s="80">
        <f>'Neo-K2'!AD2</f>
        <v>0.85928869014376175</v>
      </c>
      <c r="Q40" s="80">
        <f>'Neo-K2'!AF2</f>
        <v>1.0395784179464795</v>
      </c>
      <c r="R40" s="80">
        <f>'Neo-K2'!AH2</f>
        <v>1.3606052134043376</v>
      </c>
      <c r="S40" s="80">
        <f>'Neo-K2'!AJ2</f>
        <v>2.0577805505103837</v>
      </c>
      <c r="T40" s="80">
        <f>'Neo-K2'!AL2</f>
        <v>4.0410941513062282</v>
      </c>
      <c r="U40" s="80">
        <f>'Neo-K2'!AN2</f>
        <v>12.879091059900496</v>
      </c>
      <c r="V40" s="80">
        <f>'Neo-K2'!AP2</f>
        <v>0</v>
      </c>
      <c r="W40" s="80">
        <f>'Neo-K2'!AR2</f>
        <v>0</v>
      </c>
      <c r="X40" s="80">
        <f>'Neo-K2'!AT2</f>
        <v>0</v>
      </c>
      <c r="Y40" s="80">
        <f>'Neo-K2'!AV2</f>
        <v>0</v>
      </c>
    </row>
    <row r="41" spans="1:26" x14ac:dyDescent="0.2">
      <c r="A41" t="str">
        <f t="shared" si="34"/>
        <v>Neo-K1</v>
      </c>
      <c r="B41" s="80">
        <f>'Neo-K1'!B2</f>
        <v>5.7716594496607888E-3</v>
      </c>
      <c r="C41" s="80">
        <f>'Neo-K1'!D2</f>
        <v>4.6257260950744589E-2</v>
      </c>
      <c r="D41" s="80">
        <f>'Neo-K1'!F2</f>
        <v>8.9990572299602667E-2</v>
      </c>
      <c r="E41" s="80">
        <f>'Neo-K1'!H2</f>
        <v>0.13736710345633904</v>
      </c>
      <c r="F41" s="80">
        <f>'Neo-K1'!J2</f>
        <v>0.18884838679660709</v>
      </c>
      <c r="G41" s="80">
        <f>'Neo-K1'!L2</f>
        <v>0.24497600763203758</v>
      </c>
      <c r="H41" s="80">
        <f>'Neo-K1'!N2</f>
        <v>0.30638865389788472</v>
      </c>
      <c r="I41" s="80">
        <f>'Neo-K1'!P2</f>
        <v>0.3738429494290243</v>
      </c>
      <c r="J41" s="80">
        <f>'Neo-K1'!R2</f>
        <v>0.44823733639533125</v>
      </c>
      <c r="K41" s="80">
        <f>'Neo-K1'!T2</f>
        <v>0.53063891147853737</v>
      </c>
      <c r="L41" s="80">
        <f>'Neo-K1'!V2</f>
        <v>0.62230771208310487</v>
      </c>
      <c r="M41" s="80">
        <f>'Neo-K1'!X2</f>
        <v>0.72471141308108211</v>
      </c>
      <c r="N41" s="80">
        <f>'Neo-K1'!Z2</f>
        <v>0.83951130458126944</v>
      </c>
      <c r="O41" s="80">
        <f>'Neo-K1'!AB2</f>
        <v>0.96848945786765928</v>
      </c>
      <c r="P41" s="80">
        <f>'Neo-K1'!AD2</f>
        <v>1.1133716642841205</v>
      </c>
      <c r="Q41" s="80">
        <f>'Neo-K1'!AF2</f>
        <v>1.2755018145135393</v>
      </c>
      <c r="R41" s="80">
        <f>'Neo-K1'!AH2</f>
        <v>1.4553682840818822</v>
      </c>
      <c r="S41" s="80">
        <f>'Neo-K1'!AJ2</f>
        <v>1.6521016310255803</v>
      </c>
      <c r="T41" s="80">
        <f>'Neo-K1'!AL2</f>
        <v>1.8631992392969376</v>
      </c>
      <c r="U41" s="80">
        <f>'Neo-K1'!AN2</f>
        <v>2.0847324239218614</v>
      </c>
      <c r="V41" s="80">
        <f>'Neo-K1'!AP2</f>
        <v>2.1298839922178519</v>
      </c>
      <c r="W41" s="80">
        <f>'Neo-K1'!AR2</f>
        <v>2.1752277215333891</v>
      </c>
      <c r="X41" s="80">
        <f>'Neo-K1'!AT2</f>
        <v>2.220725895289196</v>
      </c>
      <c r="Y41" s="80">
        <f>'Neo-K1'!AV2</f>
        <v>2.2663415549364951</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0.56058995943839174</v>
      </c>
      <c r="C49" s="195">
        <f>NeoClassical!D$43</f>
        <v>0.56435806775340513</v>
      </c>
      <c r="D49" s="195">
        <f>NeoClassical!F$43</f>
        <v>0.56150295180158516</v>
      </c>
      <c r="E49" s="195">
        <f>NeoClassical!H$43</f>
        <v>0.55863428637504242</v>
      </c>
      <c r="F49" s="195">
        <f>NeoClassical!J$43</f>
        <v>0.55575123444648522</v>
      </c>
      <c r="G49" s="195">
        <f>NeoClassical!L$43</f>
        <v>0.55285315344969399</v>
      </c>
      <c r="H49" s="195">
        <f>NeoClassical!N$43</f>
        <v>0.54994000442982405</v>
      </c>
      <c r="I49" s="195">
        <f>NeoClassical!P$43</f>
        <v>0.54701274305636927</v>
      </c>
      <c r="J49" s="195">
        <f>NeoClassical!R$43</f>
        <v>0.54407431794811911</v>
      </c>
      <c r="K49" s="195">
        <f>NeoClassical!T$43</f>
        <v>0.54113105645448556</v>
      </c>
      <c r="L49" s="195">
        <f>NeoClassical!V$43</f>
        <v>0.53819512886262688</v>
      </c>
      <c r="M49" s="195">
        <f>NeoClassical!X$43</f>
        <v>0.5352885922690086</v>
      </c>
      <c r="N49" s="195">
        <f>NeoClassical!Z$43</f>
        <v>0.53245010067044019</v>
      </c>
      <c r="O49" s="195">
        <f>NeoClassical!AB$43</f>
        <v>0.52974568103057629</v>
      </c>
      <c r="P49" s="195">
        <f>NeoClassical!AD$43</f>
        <v>0.52728426868303613</v>
      </c>
      <c r="Q49" s="195">
        <f>NeoClassical!AF$43</f>
        <v>0.52523142699810099</v>
      </c>
      <c r="R49" s="195">
        <f>NeoClassical!AH$43</f>
        <v>0.52378604525930617</v>
      </c>
      <c r="S49" s="195">
        <f>NeoClassical!AJ$43</f>
        <v>0.52304413311510634</v>
      </c>
      <c r="T49" s="195">
        <f>NeoClassical!AL$43</f>
        <v>0.52282056133697252</v>
      </c>
      <c r="U49" s="195">
        <f>NeoClassical!AN$43</f>
        <v>0.52279169030063133</v>
      </c>
      <c r="V49" s="195">
        <f>NeoClassical!AP$43</f>
        <v>0.52279118998151086</v>
      </c>
      <c r="W49" s="195">
        <f>NeoClassical!AR$43</f>
        <v>0.52279100829522007</v>
      </c>
      <c r="X49" s="195">
        <f>NeoClassical!AT$43</f>
        <v>0.5227909562439228</v>
      </c>
      <c r="Y49" s="195">
        <f>NeoClassical!AV$43</f>
        <v>0.52279094591232</v>
      </c>
      <c r="Z49" s="138"/>
    </row>
    <row r="50" spans="1:26" x14ac:dyDescent="0.2">
      <c r="A50" t="str">
        <f t="shared" si="35"/>
        <v>Kaldorian</v>
      </c>
      <c r="B50" s="195">
        <f>Kaldorian!B$43</f>
        <v>0.56058995943839174</v>
      </c>
      <c r="C50" s="195">
        <f>Kaldorian!D$43</f>
        <v>0.56142928339086406</v>
      </c>
      <c r="D50" s="195">
        <f>Kaldorian!F$43</f>
        <v>0.55542435687717917</v>
      </c>
      <c r="E50" s="195">
        <f>Kaldorian!H$43</f>
        <v>0.54915029781784019</v>
      </c>
      <c r="F50" s="195">
        <f>Kaldorian!J$43</f>
        <v>0.5425636019753648</v>
      </c>
      <c r="G50" s="195">
        <f>Kaldorian!L$43</f>
        <v>0.53560999715027491</v>
      </c>
      <c r="H50" s="195">
        <f>Kaldorian!N$43</f>
        <v>0.52821998955745653</v>
      </c>
      <c r="I50" s="195">
        <f>Kaldorian!P$43</f>
        <v>0.52030257944499403</v>
      </c>
      <c r="J50" s="195">
        <f>Kaldorian!R$43</f>
        <v>0.51173442091286347</v>
      </c>
      <c r="K50" s="195">
        <f>Kaldorian!T$43</f>
        <v>0.5023419823444023</v>
      </c>
      <c r="L50" s="195">
        <f>Kaldorian!V$43</f>
        <v>0.49186971074431635</v>
      </c>
      <c r="M50" s="195">
        <f>Kaldorian!X$43</f>
        <v>0.47992153871765608</v>
      </c>
      <c r="N50" s="195">
        <f>Kaldorian!Z$43</f>
        <v>0.46584677357396209</v>
      </c>
      <c r="O50" s="195">
        <f>Kaldorian!AB$43</f>
        <v>0.44850534416857629</v>
      </c>
      <c r="P50" s="195">
        <f>Kaldorian!AD$43</f>
        <v>0.4257576626821854</v>
      </c>
      <c r="Q50" s="195">
        <f>Kaldorian!AF$43</f>
        <v>0.39330845056790825</v>
      </c>
      <c r="R50" s="195">
        <f>Kaldorian!AH$43</f>
        <v>0.34202077537805159</v>
      </c>
      <c r="S50" s="195">
        <f>Kaldorian!AJ$43</f>
        <v>0.25091194260179289</v>
      </c>
      <c r="T50" s="195">
        <f>Kaldorian!AL$43</f>
        <v>5.7178378393489146E-2</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0.56058995943839174</v>
      </c>
      <c r="C51" s="195">
        <f>Johansen!D$43</f>
        <v>0.56433100521565016</v>
      </c>
      <c r="D51" s="195">
        <f>Johansen!F$43</f>
        <v>0.56144770878138517</v>
      </c>
      <c r="E51" s="195">
        <f>Johansen!H$43</f>
        <v>0.55854958152609091</v>
      </c>
      <c r="F51" s="195">
        <f>Johansen!J$43</f>
        <v>0.55563564185859571</v>
      </c>
      <c r="G51" s="195">
        <f>Johansen!L$43</f>
        <v>0.55270515008716714</v>
      </c>
      <c r="H51" s="195">
        <f>Johansen!N$43</f>
        <v>0.54975807575616387</v>
      </c>
      <c r="I51" s="195">
        <f>Johansen!P$43</f>
        <v>0.54679555882732933</v>
      </c>
      <c r="J51" s="195">
        <f>Johansen!R$43</f>
        <v>0.54382105373328204</v>
      </c>
      <c r="K51" s="195">
        <f>Johansen!T$43</f>
        <v>0.54084189364487889</v>
      </c>
      <c r="L51" s="195">
        <f>Johansen!V$43</f>
        <v>0.53787208885938476</v>
      </c>
      <c r="M51" s="195">
        <f>Johansen!X$43</f>
        <v>0.53493681878838861</v>
      </c>
      <c r="N51" s="195">
        <f>Johansen!Z$43</f>
        <v>0.53207988324681743</v>
      </c>
      <c r="O51" s="195">
        <f>Johansen!AB$43</f>
        <v>0.52937537067480478</v>
      </c>
      <c r="P51" s="195">
        <f>Johansen!AD$43</f>
        <v>0.52694367420348776</v>
      </c>
      <c r="Q51" s="195">
        <f>Johansen!AF$43</f>
        <v>0.52496200337354804</v>
      </c>
      <c r="R51" s="195">
        <f>Johansen!AH$43</f>
        <v>0.52362538536160308</v>
      </c>
      <c r="S51" s="195">
        <f>Johansen!AJ$43</f>
        <v>0.52298649101916139</v>
      </c>
      <c r="T51" s="195">
        <f>Johansen!AL$43</f>
        <v>0.52281167243310278</v>
      </c>
      <c r="U51" s="195">
        <f>Johansen!AN$43</f>
        <v>0.52279141841484145</v>
      </c>
      <c r="V51" s="195">
        <f>Johansen!AP$43</f>
        <v>0.52279109919515476</v>
      </c>
      <c r="W51" s="195">
        <f>Johansen!AR$43</f>
        <v>0.52279098506093902</v>
      </c>
      <c r="X51" s="195">
        <f>Johansen!AT$43</f>
        <v>0.5227909523982861</v>
      </c>
      <c r="Y51" s="195">
        <f>Johansen!AV$43</f>
        <v>0.52279094578632934</v>
      </c>
      <c r="Z51" s="138"/>
    </row>
    <row r="52" spans="1:26" x14ac:dyDescent="0.2">
      <c r="A52" t="str">
        <f t="shared" si="35"/>
        <v>Keynes-Kaldor</v>
      </c>
      <c r="B52" s="195">
        <f>'Keynes-K'!B$43</f>
        <v>0.56058995943839174</v>
      </c>
      <c r="C52" s="195">
        <f>'Keynes-K'!D$43</f>
        <v>0.56097851529026921</v>
      </c>
      <c r="D52" s="195">
        <f>'Keynes-K'!F$43</f>
        <v>0.55457832976306198</v>
      </c>
      <c r="E52" s="195">
        <f>'Keynes-K'!H$43</f>
        <v>0.54795964547290421</v>
      </c>
      <c r="F52" s="195">
        <f>'Keynes-K'!J$43</f>
        <v>0.54107606965512667</v>
      </c>
      <c r="G52" s="195">
        <f>'Keynes-K'!L$43</f>
        <v>0.53387244572438575</v>
      </c>
      <c r="H52" s="195">
        <f>'Keynes-K'!N$43</f>
        <v>0.52628084844509526</v>
      </c>
      <c r="I52" s="195">
        <f>'Keynes-K'!P$43</f>
        <v>0.51821483847434102</v>
      </c>
      <c r="J52" s="195">
        <f>'Keynes-K'!R$43</f>
        <v>0.50956043904175352</v>
      </c>
      <c r="K52" s="195">
        <f>'Keynes-K'!T$43</f>
        <v>0.50016184330711244</v>
      </c>
      <c r="L52" s="195">
        <f>'Keynes-K'!V$43</f>
        <v>0.48979749518410171</v>
      </c>
      <c r="M52" s="195">
        <f>'Keynes-K'!X$43</f>
        <v>0.47814014540658023</v>
      </c>
      <c r="N52" s="195">
        <f>'Keynes-K'!Z$43</f>
        <v>0.46468894845121594</v>
      </c>
      <c r="O52" s="195">
        <f>'Keynes-K'!AB$43</f>
        <v>0.44865853060016497</v>
      </c>
      <c r="P52" s="195">
        <f>'Keynes-K'!AD$43</f>
        <v>0.42882935626280266</v>
      </c>
      <c r="Q52" s="195">
        <f>'Keynes-K'!AF$43</f>
        <v>0.40352988105668974</v>
      </c>
      <c r="R52" s="195">
        <f>'Keynes-K'!AH$43</f>
        <v>0.37178741749829591</v>
      </c>
      <c r="S52" s="195">
        <f>'Keynes-K'!AJ$43</f>
        <v>0.33907909749029386</v>
      </c>
      <c r="T52" s="195" t="e">
        <f>'Keynes-K'!AL$43</f>
        <v>#DIV/0!</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0.56058995943839174</v>
      </c>
      <c r="C53" s="195">
        <f>'Keynes-M'!D$43</f>
        <v>0.57947559898033241</v>
      </c>
      <c r="D53" s="195">
        <f>'Keynes-M'!F$43</f>
        <v>0.59217855800247432</v>
      </c>
      <c r="E53" s="195">
        <f>'Keynes-M'!H$43</f>
        <v>0.60537501059308307</v>
      </c>
      <c r="F53" s="195">
        <f>'Keynes-M'!J$43</f>
        <v>0.61914611305400258</v>
      </c>
      <c r="G53" s="195">
        <f>'Keynes-M'!L$43</f>
        <v>0.63359473053567839</v>
      </c>
      <c r="H53" s="195">
        <f>'Keynes-M'!N$43</f>
        <v>0.64885508838425654</v>
      </c>
      <c r="I53" s="195">
        <f>'Keynes-M'!P$43</f>
        <v>0.66510783330072687</v>
      </c>
      <c r="J53" s="195">
        <f>'Keynes-M'!R$43</f>
        <v>0.6826045850398712</v>
      </c>
      <c r="K53" s="195">
        <f>'Keynes-M'!T$43</f>
        <v>0.70170915594424299</v>
      </c>
      <c r="L53" s="195">
        <f>'Keynes-M'!V$43</f>
        <v>0.72296908814729977</v>
      </c>
      <c r="M53" s="195">
        <f>'Keynes-M'!X$43</f>
        <v>0.74724409369964551</v>
      </c>
      <c r="N53" s="195">
        <f>'Keynes-M'!Z$43</f>
        <v>0.77594349326315215</v>
      </c>
      <c r="O53" s="195">
        <f>'Keynes-M'!AB$43</f>
        <v>0.81146937256475959</v>
      </c>
      <c r="P53" s="195">
        <f>'Keynes-M'!AD$43</f>
        <v>0.85800894705453368</v>
      </c>
      <c r="Q53" s="195">
        <f>'Keynes-M'!AF$43</f>
        <v>0.92273443502855079</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0.56058995943839174</v>
      </c>
      <c r="C54" s="195">
        <f>Keynesian!D$43</f>
        <v>0.57441786787385696</v>
      </c>
      <c r="D54" s="195">
        <f>Keynesian!F$43</f>
        <v>0.58115867723515535</v>
      </c>
      <c r="E54" s="195">
        <f>Keynesian!H$43</f>
        <v>0.58728656943116675</v>
      </c>
      <c r="F54" s="195">
        <f>Keynesian!J$43</f>
        <v>0.5926673266106558</v>
      </c>
      <c r="G54" s="195">
        <f>Keynesian!L$43</f>
        <v>0.59719136000674244</v>
      </c>
      <c r="H54" s="195">
        <f>Keynesian!N$43</f>
        <v>0.60078686686429061</v>
      </c>
      <c r="I54" s="195">
        <f>Keynesian!P$43</f>
        <v>0.60339832429169726</v>
      </c>
      <c r="J54" s="195" t="e">
        <f>Keynesian!R$43</f>
        <v>#DIV/0!</v>
      </c>
      <c r="K54" s="195" t="e">
        <f>Keynesian!T$43</f>
        <v>#DIV/0!</v>
      </c>
      <c r="L54" s="195" t="e">
        <f>Keynesian!V$43</f>
        <v>#DIV/0!</v>
      </c>
      <c r="M54" s="195" t="e">
        <f>Keynesian!X$43</f>
        <v>#DIV/0!</v>
      </c>
      <c r="N54" s="195" t="e">
        <f>Keynesian!Z$43</f>
        <v>#DIV/0!</v>
      </c>
      <c r="O54" s="195" t="e">
        <f>Keynesian!AB$43</f>
        <v>#DIV/0!</v>
      </c>
      <c r="P54" s="195" t="e">
        <f>Keynesian!AD$43</f>
        <v>#DIV/0!</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0.56058995943839174</v>
      </c>
      <c r="C55" s="195">
        <f>'Neo-K1'!D$43</f>
        <v>0.56659998240160492</v>
      </c>
      <c r="D55" s="195">
        <f>'Neo-K1'!F$43</f>
        <v>0.56598927835307988</v>
      </c>
      <c r="E55" s="195">
        <f>'Neo-K1'!H$43</f>
        <v>0.56536461814634598</v>
      </c>
      <c r="F55" s="195">
        <f>'Neo-K1'!J$43</f>
        <v>0.56472126021108682</v>
      </c>
      <c r="G55" s="195">
        <f>'Neo-K1'!L$43</f>
        <v>0.56405330873286708</v>
      </c>
      <c r="H55" s="195">
        <f>'Neo-K1'!N$43</f>
        <v>0.56335347225949262</v>
      </c>
      <c r="I55" s="195">
        <f>'Neo-K1'!P$43</f>
        <v>0.56261274561319208</v>
      </c>
      <c r="J55" s="195">
        <f>'Neo-K1'!R$43</f>
        <v>0.56182008474476841</v>
      </c>
      <c r="K55" s="195">
        <f>'Neo-K1'!T$43</f>
        <v>0.56096205928625742</v>
      </c>
      <c r="L55" s="195">
        <f>'Neo-K1'!V$43</f>
        <v>0.56002259345369021</v>
      </c>
      <c r="M55" s="195">
        <f>'Neo-K1'!X$43</f>
        <v>0.55898288404396512</v>
      </c>
      <c r="N55" s="195">
        <f>'Neo-K1'!Z$43</f>
        <v>0.55782179417882594</v>
      </c>
      <c r="O55" s="195">
        <f>'Neo-K1'!AB$43</f>
        <v>0.55651709601285937</v>
      </c>
      <c r="P55" s="195">
        <f>'Neo-K1'!AD$43</f>
        <v>0.5550481071550748</v>
      </c>
      <c r="Q55" s="195">
        <f>'Neo-K1'!AF$43</f>
        <v>0.5534001338003609</v>
      </c>
      <c r="R55" s="195">
        <f>'Neo-K1'!AH$43</f>
        <v>0.55157039589679524</v>
      </c>
      <c r="S55" s="195">
        <f>'Neo-K1'!AJ$43</f>
        <v>0.54957362274655552</v>
      </c>
      <c r="T55" s="195">
        <f>'Neo-K1'!AL$43</f>
        <v>0.54744403169233447</v>
      </c>
      <c r="U55" s="195">
        <f>'Neo-K1'!AN$43</f>
        <v>0.54523104664415534</v>
      </c>
      <c r="V55" s="195">
        <f>'Neo-K1'!AP$43</f>
        <v>0.54478331129391977</v>
      </c>
      <c r="W55" s="195">
        <f>'Neo-K1'!AR$43</f>
        <v>0.54433489145158209</v>
      </c>
      <c r="X55" s="195">
        <f>'Neo-K1'!AT$43</f>
        <v>0.543886212343066</v>
      </c>
      <c r="Y55" s="195">
        <f>'Neo-K1'!AV$43</f>
        <v>0.54343768534659842</v>
      </c>
    </row>
    <row r="56" spans="1:26" x14ac:dyDescent="0.2">
      <c r="A56" t="s">
        <v>157</v>
      </c>
      <c r="B56" s="195">
        <f>'Neo-K2'!B$43</f>
        <v>0.56058995943839174</v>
      </c>
      <c r="C56" s="195">
        <f>'Neo-K2'!D$43</f>
        <v>0.5677340714788619</v>
      </c>
      <c r="D56" s="195">
        <f>'Neo-K2'!F$43</f>
        <v>0.56833721743124732</v>
      </c>
      <c r="E56" s="195">
        <f>'Neo-K2'!H$43</f>
        <v>0.56901671333496151</v>
      </c>
      <c r="F56" s="195">
        <f>'Neo-K2'!J$43</f>
        <v>0.56977957588180417</v>
      </c>
      <c r="G56" s="195">
        <f>'Neo-K2'!L$43</f>
        <v>0.57063282229923273</v>
      </c>
      <c r="H56" s="195">
        <f>'Neo-K2'!N$43</f>
        <v>0.57158297818259374</v>
      </c>
      <c r="I56" s="195">
        <f>'Neo-K2'!P$43</f>
        <v>0.57263521788560601</v>
      </c>
      <c r="J56" s="195">
        <f>'Neo-K2'!R$43</f>
        <v>0.57379191625317894</v>
      </c>
      <c r="K56" s="195">
        <f>'Neo-K2'!T$43</f>
        <v>0.57505026280431082</v>
      </c>
      <c r="L56" s="195">
        <f>'Neo-K2'!V$43</f>
        <v>0.57639825509450482</v>
      </c>
      <c r="M56" s="195">
        <f>'Neo-K2'!X$43</f>
        <v>0.57780817476436619</v>
      </c>
      <c r="N56" s="195">
        <f>'Neo-K2'!Z$43</f>
        <v>0.57922601050217015</v>
      </c>
      <c r="O56" s="195">
        <f>'Neo-K2'!AB$43</f>
        <v>0.58055524212180043</v>
      </c>
      <c r="P56" s="195">
        <f>'Neo-K2'!AD$43</f>
        <v>0.58163372934159785</v>
      </c>
      <c r="Q56" s="195">
        <f>'Neo-K2'!AF$43</f>
        <v>0.58220011207405564</v>
      </c>
      <c r="R56" s="195">
        <f>'Neo-K2'!AH$43</f>
        <v>0.58181857361772349</v>
      </c>
      <c r="S56" s="195">
        <f>'Neo-K2'!AJ$43</f>
        <v>0.57959702863593365</v>
      </c>
      <c r="T56" s="195">
        <f>'Neo-K2'!AL$43</f>
        <v>0.57300813527310934</v>
      </c>
      <c r="U56" s="195">
        <f>'Neo-K2'!AN$43</f>
        <v>0.55202043193179628</v>
      </c>
      <c r="V56" s="195" t="e">
        <f>'Neo-K2'!AP$43</f>
        <v>#DIV/0!</v>
      </c>
      <c r="W56" s="195" t="e">
        <f>'Neo-K2'!AR$43</f>
        <v>#DIV/0!</v>
      </c>
      <c r="X56" s="195" t="e">
        <f>'Neo-K2'!AT$43</f>
        <v>#DIV/0!</v>
      </c>
      <c r="Y56" s="195" t="e">
        <f>'Neo-K2'!AV$43</f>
        <v>#DIV/0!</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0.56058995943839174</v>
      </c>
      <c r="C63" s="195">
        <f t="shared" si="36"/>
        <v>0.56435806775340513</v>
      </c>
      <c r="D63" s="195">
        <f t="shared" si="36"/>
        <v>0.56150295180158516</v>
      </c>
      <c r="E63" s="195">
        <f t="shared" si="36"/>
        <v>0.55863428637504242</v>
      </c>
      <c r="F63" s="195">
        <f t="shared" si="36"/>
        <v>0.55575123444648522</v>
      </c>
      <c r="G63" s="195">
        <f t="shared" si="36"/>
        <v>0.55285315344969399</v>
      </c>
      <c r="H63" s="195">
        <f t="shared" si="36"/>
        <v>0.54994000442982405</v>
      </c>
      <c r="I63" s="195">
        <f t="shared" si="36"/>
        <v>0.54701274305636927</v>
      </c>
      <c r="J63" s="195">
        <f t="shared" si="36"/>
        <v>0.54407431794811911</v>
      </c>
      <c r="K63" s="195">
        <f t="shared" si="36"/>
        <v>0.54113105645448556</v>
      </c>
      <c r="L63" s="195">
        <f t="shared" si="36"/>
        <v>0.53819512886262688</v>
      </c>
      <c r="M63" s="195">
        <f t="shared" si="36"/>
        <v>0.5352885922690086</v>
      </c>
      <c r="N63" s="195">
        <f t="shared" si="36"/>
        <v>0.53245010067044019</v>
      </c>
      <c r="O63" s="195">
        <f t="shared" si="36"/>
        <v>0.52974568103057629</v>
      </c>
      <c r="P63" s="195">
        <f t="shared" si="36"/>
        <v>0.52728426868303613</v>
      </c>
      <c r="Q63" s="195">
        <f t="shared" si="36"/>
        <v>0.52523142699810099</v>
      </c>
      <c r="R63" s="195">
        <f t="shared" si="36"/>
        <v>0.52378604525930617</v>
      </c>
      <c r="S63" s="195">
        <f t="shared" si="36"/>
        <v>0.52304413311510634</v>
      </c>
      <c r="T63" s="195">
        <f t="shared" si="36"/>
        <v>0.52282056133697252</v>
      </c>
      <c r="U63" s="195">
        <f t="shared" si="36"/>
        <v>0.52279169030063133</v>
      </c>
      <c r="V63" s="195">
        <f t="shared" si="36"/>
        <v>0.52279118998151086</v>
      </c>
      <c r="W63" s="195">
        <f t="shared" si="36"/>
        <v>0.52279100829522007</v>
      </c>
      <c r="X63" s="195">
        <f t="shared" si="36"/>
        <v>0.5227909562439228</v>
      </c>
      <c r="Y63" s="195">
        <f t="shared" si="36"/>
        <v>0.52279094591232</v>
      </c>
      <c r="Z63" s="138"/>
    </row>
    <row r="64" spans="1:26" x14ac:dyDescent="0.2">
      <c r="A64" t="str">
        <f t="shared" ref="A64:Q64" si="37">A50</f>
        <v>Kaldorian</v>
      </c>
      <c r="B64" s="195">
        <f t="shared" si="37"/>
        <v>0.56058995943839174</v>
      </c>
      <c r="C64" s="195">
        <f t="shared" si="37"/>
        <v>0.56142928339086406</v>
      </c>
      <c r="D64" s="195">
        <f t="shared" si="37"/>
        <v>0.55542435687717917</v>
      </c>
      <c r="E64" s="195">
        <f t="shared" si="37"/>
        <v>0.54915029781784019</v>
      </c>
      <c r="F64" s="195">
        <f t="shared" si="37"/>
        <v>0.5425636019753648</v>
      </c>
      <c r="G64" s="195">
        <f t="shared" si="37"/>
        <v>0.53560999715027491</v>
      </c>
      <c r="H64" s="195">
        <f t="shared" si="37"/>
        <v>0.52821998955745653</v>
      </c>
      <c r="I64" s="195">
        <f t="shared" si="37"/>
        <v>0.52030257944499403</v>
      </c>
      <c r="J64" s="195">
        <f t="shared" si="37"/>
        <v>0.51173442091286347</v>
      </c>
      <c r="K64" s="195">
        <f t="shared" si="37"/>
        <v>0.5023419823444023</v>
      </c>
      <c r="L64" s="195">
        <f t="shared" si="37"/>
        <v>0.49186971074431635</v>
      </c>
      <c r="M64" s="195">
        <f t="shared" si="37"/>
        <v>0.47992153871765608</v>
      </c>
      <c r="N64" s="195">
        <f t="shared" si="37"/>
        <v>0.46584677357396209</v>
      </c>
      <c r="O64" s="195">
        <f t="shared" si="37"/>
        <v>0.44850534416857629</v>
      </c>
      <c r="P64" s="195">
        <f t="shared" si="37"/>
        <v>0.4257576626821854</v>
      </c>
      <c r="Q64" s="195">
        <f t="shared" si="37"/>
        <v>0.39330845056790825</v>
      </c>
      <c r="R64" s="195"/>
      <c r="S64" s="195"/>
      <c r="T64" s="195"/>
      <c r="U64" s="195"/>
      <c r="V64" s="195"/>
      <c r="W64" s="195"/>
      <c r="X64" s="195"/>
      <c r="Y64" s="195"/>
      <c r="Z64" s="138"/>
    </row>
    <row r="65" spans="1:26" x14ac:dyDescent="0.2">
      <c r="A65" t="str">
        <f t="shared" ref="A65:Y65" si="38">A51</f>
        <v>Johansen</v>
      </c>
      <c r="B65" s="195">
        <f t="shared" si="38"/>
        <v>0.56058995943839174</v>
      </c>
      <c r="C65" s="195">
        <f t="shared" si="38"/>
        <v>0.56433100521565016</v>
      </c>
      <c r="D65" s="195">
        <f t="shared" si="38"/>
        <v>0.56144770878138517</v>
      </c>
      <c r="E65" s="195">
        <f t="shared" si="38"/>
        <v>0.55854958152609091</v>
      </c>
      <c r="F65" s="195">
        <f t="shared" si="38"/>
        <v>0.55563564185859571</v>
      </c>
      <c r="G65" s="195">
        <f t="shared" si="38"/>
        <v>0.55270515008716714</v>
      </c>
      <c r="H65" s="195">
        <f t="shared" si="38"/>
        <v>0.54975807575616387</v>
      </c>
      <c r="I65" s="195">
        <f t="shared" si="38"/>
        <v>0.54679555882732933</v>
      </c>
      <c r="J65" s="195">
        <f t="shared" si="38"/>
        <v>0.54382105373328204</v>
      </c>
      <c r="K65" s="195">
        <f t="shared" si="38"/>
        <v>0.54084189364487889</v>
      </c>
      <c r="L65" s="195">
        <f t="shared" si="38"/>
        <v>0.53787208885938476</v>
      </c>
      <c r="M65" s="195">
        <f t="shared" si="38"/>
        <v>0.53493681878838861</v>
      </c>
      <c r="N65" s="195">
        <f t="shared" si="38"/>
        <v>0.53207988324681743</v>
      </c>
      <c r="O65" s="195">
        <f t="shared" si="38"/>
        <v>0.52937537067480478</v>
      </c>
      <c r="P65" s="195">
        <f t="shared" si="38"/>
        <v>0.52694367420348776</v>
      </c>
      <c r="Q65" s="195">
        <f t="shared" si="38"/>
        <v>0.52496200337354804</v>
      </c>
      <c r="R65" s="195">
        <f t="shared" si="38"/>
        <v>0.52362538536160308</v>
      </c>
      <c r="S65" s="195">
        <f t="shared" si="38"/>
        <v>0.52298649101916139</v>
      </c>
      <c r="T65" s="195">
        <f t="shared" si="38"/>
        <v>0.52281167243310278</v>
      </c>
      <c r="U65" s="195">
        <f t="shared" si="38"/>
        <v>0.52279141841484145</v>
      </c>
      <c r="V65" s="195">
        <f t="shared" si="38"/>
        <v>0.52279109919515476</v>
      </c>
      <c r="W65" s="195">
        <f t="shared" si="38"/>
        <v>0.52279098506093902</v>
      </c>
      <c r="X65" s="195">
        <f t="shared" si="38"/>
        <v>0.5227909523982861</v>
      </c>
      <c r="Y65" s="195">
        <f t="shared" si="38"/>
        <v>0.52279094578632934</v>
      </c>
      <c r="Z65" s="138"/>
    </row>
    <row r="66" spans="1:26" x14ac:dyDescent="0.2">
      <c r="A66" t="str">
        <f t="shared" ref="A66:R66" si="39">A52</f>
        <v>Keynes-Kaldor</v>
      </c>
      <c r="B66" s="195">
        <f t="shared" si="39"/>
        <v>0.56058995943839174</v>
      </c>
      <c r="C66" s="195">
        <f t="shared" si="39"/>
        <v>0.56097851529026921</v>
      </c>
      <c r="D66" s="195">
        <f t="shared" si="39"/>
        <v>0.55457832976306198</v>
      </c>
      <c r="E66" s="195">
        <f t="shared" si="39"/>
        <v>0.54795964547290421</v>
      </c>
      <c r="F66" s="195">
        <f t="shared" si="39"/>
        <v>0.54107606965512667</v>
      </c>
      <c r="G66" s="195">
        <f t="shared" si="39"/>
        <v>0.53387244572438575</v>
      </c>
      <c r="H66" s="195">
        <f t="shared" si="39"/>
        <v>0.52628084844509526</v>
      </c>
      <c r="I66" s="195">
        <f t="shared" si="39"/>
        <v>0.51821483847434102</v>
      </c>
      <c r="J66" s="195">
        <f t="shared" si="39"/>
        <v>0.50956043904175352</v>
      </c>
      <c r="K66" s="195">
        <f t="shared" si="39"/>
        <v>0.50016184330711244</v>
      </c>
      <c r="L66" s="195">
        <f t="shared" si="39"/>
        <v>0.48979749518410171</v>
      </c>
      <c r="M66" s="195">
        <f t="shared" si="39"/>
        <v>0.47814014540658023</v>
      </c>
      <c r="N66" s="195">
        <f t="shared" si="39"/>
        <v>0.46468894845121594</v>
      </c>
      <c r="O66" s="195">
        <f t="shared" si="39"/>
        <v>0.44865853060016497</v>
      </c>
      <c r="P66" s="195">
        <f t="shared" si="39"/>
        <v>0.42882935626280266</v>
      </c>
      <c r="Q66" s="195">
        <f t="shared" si="39"/>
        <v>0.40352988105668974</v>
      </c>
      <c r="R66" s="195">
        <f t="shared" si="39"/>
        <v>0.37178741749829591</v>
      </c>
      <c r="S66" s="195"/>
      <c r="T66" s="195"/>
      <c r="U66" s="195"/>
      <c r="V66" s="195"/>
      <c r="W66" s="195"/>
      <c r="X66" s="195"/>
      <c r="Y66" s="195"/>
    </row>
    <row r="67" spans="1:26" x14ac:dyDescent="0.2">
      <c r="A67" t="str">
        <f t="shared" ref="A67:K67" si="40">A53</f>
        <v>Keynes-Marshall</v>
      </c>
      <c r="B67" s="195">
        <f t="shared" si="40"/>
        <v>0.56058995943839174</v>
      </c>
      <c r="C67" s="195">
        <f t="shared" si="40"/>
        <v>0.57947559898033241</v>
      </c>
      <c r="D67" s="195">
        <f t="shared" si="40"/>
        <v>0.59217855800247432</v>
      </c>
      <c r="E67" s="195">
        <f t="shared" si="40"/>
        <v>0.60537501059308307</v>
      </c>
      <c r="F67" s="195">
        <f t="shared" si="40"/>
        <v>0.61914611305400258</v>
      </c>
      <c r="G67" s="195">
        <f t="shared" si="40"/>
        <v>0.63359473053567839</v>
      </c>
      <c r="H67" s="195">
        <f t="shared" si="40"/>
        <v>0.64885508838425654</v>
      </c>
      <c r="I67" s="195">
        <f t="shared" si="40"/>
        <v>0.66510783330072687</v>
      </c>
      <c r="J67" s="195">
        <f t="shared" si="40"/>
        <v>0.6826045850398712</v>
      </c>
      <c r="K67" s="195">
        <f t="shared" si="40"/>
        <v>0.70170915594424299</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0.56058995943839174</v>
      </c>
      <c r="C68" s="195">
        <f t="shared" si="41"/>
        <v>0.57441786787385696</v>
      </c>
      <c r="D68" s="195">
        <f t="shared" si="41"/>
        <v>0.58115867723515535</v>
      </c>
      <c r="E68" s="195">
        <f t="shared" si="41"/>
        <v>0.58728656943116675</v>
      </c>
      <c r="F68" s="195">
        <f t="shared" si="41"/>
        <v>0.5926673266106558</v>
      </c>
      <c r="G68" s="195">
        <f t="shared" si="41"/>
        <v>0.59719136000674244</v>
      </c>
      <c r="H68" s="195">
        <f t="shared" si="41"/>
        <v>0.60078686686429061</v>
      </c>
      <c r="I68" s="195">
        <f t="shared" si="41"/>
        <v>0.60339832429169726</v>
      </c>
      <c r="J68" s="195" t="e">
        <f t="shared" si="41"/>
        <v>#DIV/0!</v>
      </c>
      <c r="K68" s="195" t="e">
        <f t="shared" si="41"/>
        <v>#DIV/0!</v>
      </c>
      <c r="L68" s="195" t="e">
        <f t="shared" si="41"/>
        <v>#DIV/0!</v>
      </c>
      <c r="M68" s="195" t="e">
        <f t="shared" si="41"/>
        <v>#DIV/0!</v>
      </c>
      <c r="N68" s="195" t="e">
        <f t="shared" si="41"/>
        <v>#DIV/0!</v>
      </c>
      <c r="O68" s="195"/>
      <c r="P68" s="195"/>
      <c r="Q68" s="195"/>
      <c r="R68" s="195"/>
      <c r="S68" s="195"/>
      <c r="T68" s="195"/>
      <c r="U68" s="195"/>
      <c r="V68" s="195"/>
      <c r="W68" s="195"/>
      <c r="X68" s="195"/>
      <c r="Y68" s="195"/>
    </row>
    <row r="69" spans="1:26" x14ac:dyDescent="0.2">
      <c r="A69" t="str">
        <f t="shared" ref="A69:Y69" si="42">A55</f>
        <v>Neo-K1</v>
      </c>
      <c r="B69" s="195">
        <f t="shared" si="42"/>
        <v>0.56058995943839174</v>
      </c>
      <c r="C69" s="195">
        <f t="shared" si="42"/>
        <v>0.56659998240160492</v>
      </c>
      <c r="D69" s="195">
        <f t="shared" si="42"/>
        <v>0.56598927835307988</v>
      </c>
      <c r="E69" s="195">
        <f t="shared" si="42"/>
        <v>0.56536461814634598</v>
      </c>
      <c r="F69" s="195">
        <f t="shared" si="42"/>
        <v>0.56472126021108682</v>
      </c>
      <c r="G69" s="195">
        <f t="shared" si="42"/>
        <v>0.56405330873286708</v>
      </c>
      <c r="H69" s="195">
        <f t="shared" si="42"/>
        <v>0.56335347225949262</v>
      </c>
      <c r="I69" s="195">
        <f t="shared" si="42"/>
        <v>0.56261274561319208</v>
      </c>
      <c r="J69" s="195">
        <f t="shared" si="42"/>
        <v>0.56182008474476841</v>
      </c>
      <c r="K69" s="195">
        <f t="shared" si="42"/>
        <v>0.56096205928625742</v>
      </c>
      <c r="L69" s="195">
        <f t="shared" si="42"/>
        <v>0.56002259345369021</v>
      </c>
      <c r="M69" s="195">
        <f t="shared" si="42"/>
        <v>0.55898288404396512</v>
      </c>
      <c r="N69" s="195">
        <f t="shared" si="42"/>
        <v>0.55782179417882594</v>
      </c>
      <c r="O69" s="195">
        <f t="shared" si="42"/>
        <v>0.55651709601285937</v>
      </c>
      <c r="P69" s="195">
        <f t="shared" si="42"/>
        <v>0.5550481071550748</v>
      </c>
      <c r="Q69" s="195">
        <f t="shared" si="42"/>
        <v>0.5534001338003609</v>
      </c>
      <c r="R69" s="195">
        <f t="shared" si="42"/>
        <v>0.55157039589679524</v>
      </c>
      <c r="S69" s="195">
        <f t="shared" si="42"/>
        <v>0.54957362274655552</v>
      </c>
      <c r="T69" s="195">
        <f t="shared" si="42"/>
        <v>0.54744403169233447</v>
      </c>
      <c r="U69" s="195">
        <f t="shared" si="42"/>
        <v>0.54523104664415534</v>
      </c>
      <c r="V69" s="195">
        <f t="shared" si="42"/>
        <v>0.54478331129391977</v>
      </c>
      <c r="W69" s="195">
        <f t="shared" si="42"/>
        <v>0.54433489145158209</v>
      </c>
      <c r="X69" s="195">
        <f t="shared" si="42"/>
        <v>0.543886212343066</v>
      </c>
      <c r="Y69" s="195">
        <f t="shared" si="42"/>
        <v>0.54343768534659842</v>
      </c>
    </row>
    <row r="70" spans="1:26" x14ac:dyDescent="0.2">
      <c r="A70" t="str">
        <f t="shared" ref="A70:Y70" si="43">A56</f>
        <v>Neo-K2</v>
      </c>
      <c r="B70" s="195">
        <f t="shared" si="43"/>
        <v>0.56058995943839174</v>
      </c>
      <c r="C70" s="195">
        <f t="shared" si="43"/>
        <v>0.5677340714788619</v>
      </c>
      <c r="D70" s="195">
        <f t="shared" si="43"/>
        <v>0.56833721743124732</v>
      </c>
      <c r="E70" s="195">
        <f t="shared" si="43"/>
        <v>0.56901671333496151</v>
      </c>
      <c r="F70" s="195">
        <f t="shared" si="43"/>
        <v>0.56977957588180417</v>
      </c>
      <c r="G70" s="195">
        <f t="shared" si="43"/>
        <v>0.57063282229923273</v>
      </c>
      <c r="H70" s="195">
        <f t="shared" si="43"/>
        <v>0.57158297818259374</v>
      </c>
      <c r="I70" s="195">
        <f t="shared" si="43"/>
        <v>0.57263521788560601</v>
      </c>
      <c r="J70" s="195">
        <f t="shared" si="43"/>
        <v>0.57379191625317894</v>
      </c>
      <c r="K70" s="195">
        <f t="shared" si="43"/>
        <v>0.57505026280431082</v>
      </c>
      <c r="L70" s="195">
        <f t="shared" si="43"/>
        <v>0.57639825509450482</v>
      </c>
      <c r="M70" s="195">
        <f t="shared" si="43"/>
        <v>0.57780817476436619</v>
      </c>
      <c r="N70" s="195">
        <f t="shared" si="43"/>
        <v>0.57922601050217015</v>
      </c>
      <c r="O70" s="195">
        <f t="shared" si="43"/>
        <v>0.58055524212180043</v>
      </c>
      <c r="P70" s="195">
        <f t="shared" si="43"/>
        <v>0.58163372934159785</v>
      </c>
      <c r="Q70" s="195">
        <f t="shared" si="43"/>
        <v>0.58220011207405564</v>
      </c>
      <c r="R70" s="195">
        <f t="shared" si="43"/>
        <v>0.58181857361772349</v>
      </c>
      <c r="S70" s="195">
        <f t="shared" si="43"/>
        <v>0.57959702863593365</v>
      </c>
      <c r="T70" s="195">
        <f t="shared" si="43"/>
        <v>0.57300813527310934</v>
      </c>
      <c r="U70" s="195">
        <f t="shared" si="43"/>
        <v>0.55202043193179628</v>
      </c>
      <c r="V70" s="195" t="e">
        <f t="shared" si="43"/>
        <v>#DIV/0!</v>
      </c>
      <c r="W70" s="195" t="e">
        <f t="shared" si="43"/>
        <v>#DIV/0!</v>
      </c>
      <c r="X70" s="195" t="e">
        <f t="shared" si="43"/>
        <v>#DIV/0!</v>
      </c>
      <c r="Y70" s="195" t="e">
        <f t="shared" si="43"/>
        <v>#DIV/0!</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3239.2054623278464</v>
      </c>
      <c r="D74" s="80">
        <f>NeoClassical!F$24</f>
        <v>3282.4834717459948</v>
      </c>
      <c r="E74" s="80">
        <f>NeoClassical!H$24</f>
        <v>3326.2779741742734</v>
      </c>
      <c r="F74" s="80">
        <f>NeoClassical!J$24</f>
        <v>3370.6583141932438</v>
      </c>
      <c r="G74" s="80">
        <f>NeoClassical!L$24</f>
        <v>3415.7074706690928</v>
      </c>
      <c r="H74" s="80">
        <f>NeoClassical!N$24</f>
        <v>3461.5275518002086</v>
      </c>
      <c r="I74" s="80">
        <f>NeoClassical!P$24</f>
        <v>3508.249622822761</v>
      </c>
      <c r="J74" s="80">
        <f>NeoClassical!R$24</f>
        <v>3556.050496545945</v>
      </c>
      <c r="K74" s="80">
        <f>NeoClassical!T$24</f>
        <v>3605.1829266958425</v>
      </c>
      <c r="L74" s="80">
        <f>NeoClassical!V$24</f>
        <v>3656.0312365466739</v>
      </c>
      <c r="M74" s="80">
        <f>NeoClassical!X$24</f>
        <v>3709.2163170689564</v>
      </c>
      <c r="N74" s="80">
        <f>NeoClassical!Z$24</f>
        <v>3765.798189255318</v>
      </c>
      <c r="O74" s="80">
        <f>NeoClassical!AB$24</f>
        <v>3827.6715017249621</v>
      </c>
      <c r="P74" s="80">
        <f>NeoClassical!AD$24</f>
        <v>3898.3208644128026</v>
      </c>
      <c r="Q74" s="80">
        <f>NeoClassical!AF$24</f>
        <v>3984.0838232916431</v>
      </c>
      <c r="R74" s="80">
        <f>NeoClassical!AH$24</f>
        <v>4095.2141031897195</v>
      </c>
      <c r="S74" s="80">
        <f>NeoClassical!AJ$24</f>
        <v>4242.3206021748956</v>
      </c>
      <c r="T74" s="80">
        <f>NeoClassical!AL$24</f>
        <v>4416.9543151449179</v>
      </c>
      <c r="U74" s="80">
        <f>NeoClassical!AN$24</f>
        <v>4483.7100174913785</v>
      </c>
      <c r="V74" s="80">
        <f>NeoClassical!AP$24</f>
        <v>4416.3074165022381</v>
      </c>
      <c r="W74" s="80">
        <f>NeoClassical!AR$24</f>
        <v>4254.8219701342468</v>
      </c>
      <c r="X74" s="80">
        <f>NeoClassical!AT$24</f>
        <v>3886.3945269741739</v>
      </c>
      <c r="Y74" s="80">
        <f>NeoClassical!AV$24</f>
        <v>2973.0356579801146</v>
      </c>
    </row>
    <row r="75" spans="1:26" x14ac:dyDescent="0.2">
      <c r="A75" t="s">
        <v>90</v>
      </c>
      <c r="B75" s="80">
        <f>Johansen!B$24</f>
        <v>3196.3846373657216</v>
      </c>
      <c r="C75" s="80">
        <f>Johansen!D$24</f>
        <v>3201.693243451713</v>
      </c>
      <c r="D75" s="80">
        <f>Johansen!F$24</f>
        <v>3206.6333078026337</v>
      </c>
      <c r="E75" s="80">
        <f>Johansen!H$24</f>
        <v>3211.1462619730587</v>
      </c>
      <c r="F75" s="80">
        <f>Johansen!J$24</f>
        <v>3215.1600413225924</v>
      </c>
      <c r="G75" s="80">
        <f>Johansen!L$24</f>
        <v>3218.5852567608495</v>
      </c>
      <c r="H75" s="80">
        <f>Johansen!N$24</f>
        <v>3221.3094417600141</v>
      </c>
      <c r="I75" s="80">
        <f>Johansen!P$24</f>
        <v>3223.1898713794917</v>
      </c>
      <c r="J75" s="80">
        <f>Johansen!R$24</f>
        <v>3224.0422997455012</v>
      </c>
      <c r="K75" s="80">
        <f>Johansen!T$24</f>
        <v>3223.6252717599286</v>
      </c>
      <c r="L75" s="80">
        <f>Johansen!V$24</f>
        <v>3221.6155709422746</v>
      </c>
      <c r="M75" s="80">
        <f>Johansen!X$24</f>
        <v>3217.5692558058217</v>
      </c>
      <c r="N75" s="80">
        <f>Johansen!Z$24</f>
        <v>3210.854614167115</v>
      </c>
      <c r="O75" s="80">
        <f>Johansen!AB$24</f>
        <v>3200.5268849863464</v>
      </c>
      <c r="P75" s="80">
        <f>Johansen!AD$24</f>
        <v>3185.0622002180371</v>
      </c>
      <c r="Q75" s="80">
        <f>Johansen!AF$24</f>
        <v>3161.6973675920226</v>
      </c>
      <c r="R75" s="80">
        <f>Johansen!AH$24</f>
        <v>3124.5216214197794</v>
      </c>
      <c r="S75" s="80">
        <f>Johansen!AJ$24</f>
        <v>3058.5365786124453</v>
      </c>
      <c r="T75" s="80">
        <f>Johansen!AL$24</f>
        <v>2919.9196995187372</v>
      </c>
      <c r="U75" s="80">
        <f>Johansen!AN$24</f>
        <v>2537.32224375245</v>
      </c>
      <c r="V75" s="80">
        <f>Johansen!AP$24</f>
        <v>2376.0169643071122</v>
      </c>
      <c r="W75" s="80">
        <f>Johansen!AR$24</f>
        <v>2146.1587280906801</v>
      </c>
      <c r="X75" s="80">
        <f>Johansen!AT$24</f>
        <v>1795.6813651360792</v>
      </c>
      <c r="Y75" s="80">
        <f>Johansen!AV$24</f>
        <v>1202.6982404288397</v>
      </c>
    </row>
    <row r="76" spans="1:26" x14ac:dyDescent="0.2">
      <c r="A76" t="s">
        <v>143</v>
      </c>
      <c r="B76" s="80">
        <f>Kaldorian!B$24</f>
        <v>3196.3846373657216</v>
      </c>
      <c r="C76" s="80">
        <f>Kaldorian!D$24</f>
        <v>3201.7041385336115</v>
      </c>
      <c r="D76" s="80">
        <f>Kaldorian!F$24</f>
        <v>3206.6574392508542</v>
      </c>
      <c r="E76" s="80">
        <f>Kaldorian!H$24</f>
        <v>3211.1862643872832</v>
      </c>
      <c r="F76" s="80">
        <f>Kaldorian!J$24</f>
        <v>3215.2192504761106</v>
      </c>
      <c r="G76" s="80">
        <f>Kaldorian!L$24</f>
        <v>3218.6666923000912</v>
      </c>
      <c r="H76" s="80">
        <f>Kaldorian!N$24</f>
        <v>3221.4171765536262</v>
      </c>
      <c r="I76" s="80">
        <f>Kaldorian!P$24</f>
        <v>3223.3280641703741</v>
      </c>
      <c r="J76" s="80">
        <f>Kaldorian!R$24</f>
        <v>3224.2152750071623</v>
      </c>
      <c r="K76" s="80">
        <f>Kaldorian!T$24</f>
        <v>3223.8372492549092</v>
      </c>
      <c r="L76" s="80">
        <f>Kaldorian!V$24</f>
        <v>3221.8698126813651</v>
      </c>
      <c r="M76" s="80">
        <f>Kaldorian!X$24</f>
        <v>3217.8667158393569</v>
      </c>
      <c r="N76" s="80">
        <f>Kaldorian!Z$24</f>
        <v>3211.1914928069018</v>
      </c>
      <c r="O76" s="80">
        <f>Kaldorian!AB$24</f>
        <v>3200.8904022040429</v>
      </c>
      <c r="P76" s="80">
        <f>Kaldorian!AD$24</f>
        <v>3185.4235696814967</v>
      </c>
      <c r="Q76" s="80">
        <f>Kaldorian!AF$24</f>
        <v>3162.0059144439533</v>
      </c>
      <c r="R76" s="80">
        <f>Kaldorian!AH$24</f>
        <v>3124.7177037850042</v>
      </c>
      <c r="S76" s="80">
        <f>Kaldorian!AJ$24</f>
        <v>3058.6088648183168</v>
      </c>
      <c r="T76" s="80">
        <f>Kaldorian!AL$24</f>
        <v>2919.9302135172652</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3217.9599282297995</v>
      </c>
      <c r="D77" s="80">
        <f>'Keynes-K'!F$24</f>
        <v>3237.2795194612877</v>
      </c>
      <c r="E77" s="80">
        <f>'Keynes-K'!H$24</f>
        <v>3254.3310358473309</v>
      </c>
      <c r="F77" s="80">
        <f>'Keynes-K'!J$24</f>
        <v>3269.0230747666988</v>
      </c>
      <c r="G77" s="80">
        <f>'Keynes-K'!L$24</f>
        <v>3281.1770156594316</v>
      </c>
      <c r="H77" s="80">
        <f>'Keynes-K'!N$24</f>
        <v>3290.5064878177941</v>
      </c>
      <c r="I77" s="80">
        <f>'Keynes-K'!P$24</f>
        <v>3296.5854109419979</v>
      </c>
      <c r="J77" s="80">
        <f>'Keynes-K'!R$24</f>
        <v>3298.7942810669056</v>
      </c>
      <c r="K77" s="80">
        <f>'Keynes-K'!T$24</f>
        <v>3296.2316958471447</v>
      </c>
      <c r="L77" s="80">
        <f>'Keynes-K'!V$24</f>
        <v>3287.5628653502886</v>
      </c>
      <c r="M77" s="80">
        <f>'Keynes-K'!X$24</f>
        <v>3270.7464805840923</v>
      </c>
      <c r="N77" s="80">
        <f>'Keynes-K'!Z$24</f>
        <v>3242.5100302448332</v>
      </c>
      <c r="O77" s="80">
        <f>'Keynes-K'!AB$24</f>
        <v>3197.2540479734525</v>
      </c>
      <c r="P77" s="80">
        <f>'Keynes-K'!AD$24</f>
        <v>3124.5486145939108</v>
      </c>
      <c r="Q77" s="80">
        <f>'Keynes-K'!AF$24</f>
        <v>3002.8818601242228</v>
      </c>
      <c r="R77" s="80">
        <f>'Keynes-K'!AH$24</f>
        <v>2783.801960127957</v>
      </c>
      <c r="S77" s="80">
        <f>'Keynes-K'!AJ$24</f>
        <v>2366.5305519112512</v>
      </c>
      <c r="T77" s="80">
        <f>'Keynes-K'!AL$24</f>
        <v>0</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3220.9101465051444</v>
      </c>
      <c r="D78" s="80">
        <f>'Keynes-M'!F$24</f>
        <v>3245.3483463561802</v>
      </c>
      <c r="E78" s="80">
        <f>'Keynes-M'!H$24</f>
        <v>3269.6937299321989</v>
      </c>
      <c r="F78" s="80">
        <f>'Keynes-M'!J$24</f>
        <v>3293.9377614871596</v>
      </c>
      <c r="G78" s="80">
        <f>'Keynes-M'!L$24</f>
        <v>3318.0696804884924</v>
      </c>
      <c r="H78" s="80">
        <f>'Keynes-M'!N$24</f>
        <v>3342.0780040270033</v>
      </c>
      <c r="I78" s="80">
        <f>'Keynes-M'!P$24</f>
        <v>3365.9546067648912</v>
      </c>
      <c r="J78" s="80">
        <f>'Keynes-M'!R$24</f>
        <v>3389.7025052340528</v>
      </c>
      <c r="K78" s="80">
        <f>'Keynes-M'!T$24</f>
        <v>3413.3512496475296</v>
      </c>
      <c r="L78" s="80">
        <f>'Keynes-M'!V$24</f>
        <v>3436.9860467435433</v>
      </c>
      <c r="M78" s="80">
        <f>'Keynes-M'!X$24</f>
        <v>3460.8025196874846</v>
      </c>
      <c r="N78" s="80">
        <f>'Keynes-M'!Z$24</f>
        <v>3485.203582841616</v>
      </c>
      <c r="O78" s="80">
        <f>'Keynes-M'!AB$24</f>
        <v>3510.9489022430639</v>
      </c>
      <c r="P78" s="80">
        <f>'Keynes-M'!AD$24</f>
        <v>3539.2615701563927</v>
      </c>
      <c r="Q78" s="80">
        <f>'Keynes-M'!AF$24</f>
        <v>3571.2798393507019</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3128.3592808700855</v>
      </c>
      <c r="D79" s="80">
        <f>Keynesian!F$24</f>
        <v>3045.5236082262577</v>
      </c>
      <c r="E79" s="80">
        <f>Keynesian!H$24</f>
        <v>2946.1819267677815</v>
      </c>
      <c r="F79" s="80">
        <f>Keynesian!J$24</f>
        <v>2829.4108530214849</v>
      </c>
      <c r="G79" s="80">
        <f>Keynesian!L$24</f>
        <v>2695.7142833018333</v>
      </c>
      <c r="H79" s="80">
        <f>Keynesian!N$24</f>
        <v>2547.8782415400165</v>
      </c>
      <c r="I79" s="80">
        <f>Keynesian!P$24</f>
        <v>2392.8341759085138</v>
      </c>
      <c r="J79" s="80">
        <f>Keynesian!R$24</f>
        <v>0</v>
      </c>
      <c r="K79" s="80">
        <f>Keynesian!T$24</f>
        <v>0</v>
      </c>
      <c r="L79" s="80">
        <f>Keynesian!V$24</f>
        <v>0</v>
      </c>
      <c r="M79" s="80">
        <f>Keynesian!X$24</f>
        <v>0</v>
      </c>
      <c r="N79" s="80">
        <f>Keynesian!Z$24</f>
        <v>0</v>
      </c>
      <c r="O79" s="80">
        <f>Keynesian!AB$24</f>
        <v>0</v>
      </c>
      <c r="P79" s="80">
        <f>Keynesian!AD$24</f>
        <v>0</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3206.4066545750843</v>
      </c>
      <c r="D80" s="80">
        <f>'Neo-K1'!F$24</f>
        <v>3213.6976993134899</v>
      </c>
      <c r="E80" s="80">
        <f>'Neo-K1'!H$24</f>
        <v>3217.6972929425392</v>
      </c>
      <c r="F80" s="80">
        <f>'Neo-K1'!J$24</f>
        <v>3217.7013842319216</v>
      </c>
      <c r="G80" s="80">
        <f>'Neo-K1'!L$24</f>
        <v>3212.8179721452061</v>
      </c>
      <c r="H80" s="80">
        <f>'Neo-K1'!N$24</f>
        <v>3201.9060256224229</v>
      </c>
      <c r="I80" s="80">
        <f>'Neo-K1'!P$24</f>
        <v>3183.4958783828497</v>
      </c>
      <c r="J80" s="80">
        <f>'Neo-K1'!R$24</f>
        <v>3155.6793729547076</v>
      </c>
      <c r="K80" s="80">
        <f>'Neo-K1'!T$24</f>
        <v>3115.959063386671</v>
      </c>
      <c r="L80" s="80">
        <f>'Neo-K1'!V$24</f>
        <v>3061.0510776686274</v>
      </c>
      <c r="M80" s="80">
        <f>'Neo-K1'!X$24</f>
        <v>2986.6261903274221</v>
      </c>
      <c r="N80" s="80">
        <f>'Neo-K1'!Z$24</f>
        <v>2886.9939099356311</v>
      </c>
      <c r="O80" s="80">
        <f>'Neo-K1'!AB$24</f>
        <v>2754.7602178056295</v>
      </c>
      <c r="P80" s="80">
        <f>'Neo-K1'!AD$24</f>
        <v>2580.5520588135678</v>
      </c>
      <c r="Q80" s="80">
        <f>'Neo-K1'!AF$24</f>
        <v>2353.0003726968284</v>
      </c>
      <c r="R80" s="80">
        <f>'Neo-K1'!AH$24</f>
        <v>2059.2647128301264</v>
      </c>
      <c r="S80" s="80">
        <f>'Neo-K1'!AJ$24</f>
        <v>1686.333642393944</v>
      </c>
      <c r="T80" s="80">
        <f>'Neo-K1'!AL$24</f>
        <v>1222.9873645567975</v>
      </c>
      <c r="U80" s="80">
        <f>'Neo-K1'!AN$24</f>
        <v>661.75968727439431</v>
      </c>
      <c r="V80" s="80">
        <f>'Neo-K1'!AP$24</f>
        <v>537.44917951637103</v>
      </c>
      <c r="W80" s="80">
        <f>'Neo-K1'!AR$24</f>
        <v>409.10492388797701</v>
      </c>
      <c r="X80" s="80">
        <f>'Neo-K1'!AT$24</f>
        <v>276.73658810322894</v>
      </c>
      <c r="Y80" s="80">
        <f>'Neo-K1'!AV$24</f>
        <v>140.36065486665618</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0</v>
      </c>
      <c r="W81" s="80">
        <f>'Neo-K2'!AR$24</f>
        <v>0</v>
      </c>
      <c r="X81" s="80">
        <f>'Neo-K2'!AT$24</f>
        <v>0</v>
      </c>
      <c r="Y81" s="80">
        <f>'Neo-K2'!AV$24</f>
        <v>0</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5.3264588942903368E-2</v>
      </c>
      <c r="D85" s="240">
        <f t="shared" si="45"/>
        <v>0.10534021009273802</v>
      </c>
      <c r="E85" s="240">
        <f t="shared" si="45"/>
        <v>0.16274041854184082</v>
      </c>
      <c r="F85" s="240">
        <f t="shared" si="45"/>
        <v>0.22639389288339509</v>
      </c>
      <c r="G85" s="240">
        <f t="shared" si="45"/>
        <v>0.29748507045296785</v>
      </c>
      <c r="H85" s="240">
        <f t="shared" si="45"/>
        <v>0.37755849001819158</v>
      </c>
      <c r="I85" s="240">
        <f t="shared" si="45"/>
        <v>0.46868087608674158</v>
      </c>
      <c r="J85" s="240">
        <f t="shared" si="45"/>
        <v>0.57370181806392162</v>
      </c>
      <c r="K85" s="240">
        <f t="shared" si="45"/>
        <v>0.69669359222921423</v>
      </c>
      <c r="L85" s="240">
        <f t="shared" si="45"/>
        <v>0.8437231726783353</v>
      </c>
      <c r="M85" s="240">
        <f t="shared" si="45"/>
        <v>1.0242867156861777</v>
      </c>
      <c r="N85" s="240">
        <f t="shared" si="45"/>
        <v>1.2541427986972027</v>
      </c>
      <c r="O85" s="240">
        <f t="shared" si="45"/>
        <v>1.5613242805355556</v>
      </c>
      <c r="P85" s="240">
        <f t="shared" si="45"/>
        <v>1.9999427877439693</v>
      </c>
      <c r="Q85" s="240">
        <f t="shared" si="45"/>
        <v>2.6845960526303538</v>
      </c>
      <c r="R85" s="240">
        <f t="shared" si="44"/>
        <v>3.8828577905501973</v>
      </c>
      <c r="S85" s="240">
        <f t="shared" si="44"/>
        <v>6.2892211518459362</v>
      </c>
      <c r="T85" s="240">
        <f t="shared" si="44"/>
        <v>12.082142367304394</v>
      </c>
      <c r="U85" s="240">
        <f t="shared" si="44"/>
        <v>32.111124681610285</v>
      </c>
      <c r="V85" s="240">
        <f t="shared" si="44"/>
        <v>42.260847879137529</v>
      </c>
      <c r="W85" s="240">
        <f t="shared" si="44"/>
        <v>58.471687890322308</v>
      </c>
      <c r="X85" s="240">
        <f t="shared" si="44"/>
        <v>87.255014313942084</v>
      </c>
      <c r="Y85" s="240">
        <f t="shared" si="44"/>
        <v>148.11398934480863</v>
      </c>
    </row>
    <row r="86" spans="1:25" x14ac:dyDescent="0.2">
      <c r="A86" t="str">
        <f t="shared" ref="A86:A93" si="46">A4</f>
        <v>Kaldorian</v>
      </c>
      <c r="B86" s="240">
        <f t="shared" si="45"/>
        <v>5.7716594496607888E-3</v>
      </c>
      <c r="C86" s="240">
        <f t="shared" si="44"/>
        <v>5.6360007483831819E-2</v>
      </c>
      <c r="D86" s="240">
        <f t="shared" si="44"/>
        <v>0.11184029325818903</v>
      </c>
      <c r="E86" s="240">
        <f t="shared" si="44"/>
        <v>0.17300297800585213</v>
      </c>
      <c r="F86" s="240">
        <f t="shared" si="44"/>
        <v>0.24083815515781312</v>
      </c>
      <c r="G86" s="240">
        <f t="shared" si="44"/>
        <v>0.31660683013151864</v>
      </c>
      <c r="H86" s="240">
        <f t="shared" si="44"/>
        <v>0.40196336915716474</v>
      </c>
      <c r="I86" s="240">
        <f t="shared" si="44"/>
        <v>0.49912178505960902</v>
      </c>
      <c r="J86" s="240">
        <f t="shared" si="44"/>
        <v>0.61114936546286369</v>
      </c>
      <c r="K86" s="240">
        <f t="shared" si="44"/>
        <v>0.74245261492886516</v>
      </c>
      <c r="L86" s="240">
        <f t="shared" si="44"/>
        <v>0.89963996709003236</v>
      </c>
      <c r="M86" s="240">
        <f t="shared" si="44"/>
        <v>1.0931386943301522</v>
      </c>
      <c r="N86" s="240">
        <f t="shared" si="44"/>
        <v>1.340418928254578</v>
      </c>
      <c r="O86" s="240">
        <f t="shared" si="44"/>
        <v>1.6729007564682898</v>
      </c>
      <c r="P86" s="240">
        <f t="shared" si="44"/>
        <v>2.1519867854023644</v>
      </c>
      <c r="Q86" s="240">
        <f t="shared" si="44"/>
        <v>2.9093529968655476</v>
      </c>
      <c r="R86" s="240">
        <f t="shared" si="44"/>
        <v>4.2554470357960099</v>
      </c>
      <c r="S86" s="240">
        <f t="shared" si="44"/>
        <v>6.9995228816815427</v>
      </c>
      <c r="T86" s="240">
        <f t="shared" si="44"/>
        <v>13.690338031997086</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5.5295082421593568E-2</v>
      </c>
      <c r="D87" s="240">
        <f t="shared" si="44"/>
        <v>0.10960951952066278</v>
      </c>
      <c r="E87" s="240">
        <f t="shared" si="44"/>
        <v>0.16949440886134501</v>
      </c>
      <c r="F87" s="240">
        <f t="shared" si="44"/>
        <v>0.23592794768418004</v>
      </c>
      <c r="G87" s="240">
        <f t="shared" si="44"/>
        <v>0.31016193152228755</v>
      </c>
      <c r="H87" s="240">
        <f t="shared" si="44"/>
        <v>0.39383562106001802</v>
      </c>
      <c r="I87" s="240">
        <f t="shared" si="44"/>
        <v>0.48915404995577366</v>
      </c>
      <c r="J87" s="240">
        <f t="shared" si="44"/>
        <v>0.59917661271342082</v>
      </c>
      <c r="K87" s="240">
        <f t="shared" si="44"/>
        <v>0.72830869344153737</v>
      </c>
      <c r="L87" s="240">
        <f t="shared" si="44"/>
        <v>0.88317074281243968</v>
      </c>
      <c r="M87" s="240">
        <f t="shared" si="44"/>
        <v>1.0742313498534406</v>
      </c>
      <c r="N87" s="240">
        <f t="shared" si="44"/>
        <v>1.3190633995139958</v>
      </c>
      <c r="O87" s="240">
        <f t="shared" si="44"/>
        <v>1.6493324679082593</v>
      </c>
      <c r="P87" s="240">
        <f t="shared" si="44"/>
        <v>2.1270055370592482</v>
      </c>
      <c r="Q87" s="240">
        <f t="shared" si="44"/>
        <v>2.8849376603441557</v>
      </c>
      <c r="R87" s="240">
        <f t="shared" si="44"/>
        <v>4.2353096993855202</v>
      </c>
      <c r="S87" s="240">
        <f t="shared" si="44"/>
        <v>6.9874816651534468</v>
      </c>
      <c r="T87" s="240">
        <f t="shared" si="44"/>
        <v>13.68603121652478</v>
      </c>
      <c r="U87" s="240">
        <f t="shared" si="44"/>
        <v>37.007124483444983</v>
      </c>
      <c r="V87" s="240">
        <f t="shared" si="44"/>
        <v>48.750718007761982</v>
      </c>
      <c r="W87" s="240">
        <f t="shared" si="44"/>
        <v>67.274689425411381</v>
      </c>
      <c r="X87" s="240">
        <f t="shared" si="44"/>
        <v>99.291454084221201</v>
      </c>
      <c r="Y87" s="240">
        <f t="shared" si="44"/>
        <v>162.94281696416638</v>
      </c>
    </row>
    <row r="88" spans="1:25" x14ac:dyDescent="0.2">
      <c r="A88" t="str">
        <f t="shared" si="46"/>
        <v>Keynes-Kaldor</v>
      </c>
      <c r="B88" s="240">
        <f t="shared" si="45"/>
        <v>5.7716594496607888E-3</v>
      </c>
      <c r="C88" s="240">
        <f t="shared" si="44"/>
        <v>6.0438600909018841E-2</v>
      </c>
      <c r="D88" s="240">
        <f t="shared" si="44"/>
        <v>0.11992356497497968</v>
      </c>
      <c r="E88" s="240">
        <f t="shared" si="44"/>
        <v>0.18502549942231886</v>
      </c>
      <c r="F88" s="240">
        <f t="shared" si="44"/>
        <v>0.25673080788314895</v>
      </c>
      <c r="G88" s="240">
        <f t="shared" si="44"/>
        <v>0.33628053388787721</v>
      </c>
      <c r="H88" s="240">
        <f t="shared" si="44"/>
        <v>0.42527629462084465</v>
      </c>
      <c r="I88" s="240">
        <f t="shared" si="44"/>
        <v>0.52583679820406715</v>
      </c>
      <c r="J88" s="240">
        <f t="shared" si="44"/>
        <v>0.64084585884001322</v>
      </c>
      <c r="K88" s="240">
        <f t="shared" si="44"/>
        <v>0.77435340423337451</v>
      </c>
      <c r="L88" s="240">
        <f t="shared" si="44"/>
        <v>0.93224692327322622</v>
      </c>
      <c r="M88" s="240">
        <f t="shared" si="44"/>
        <v>1.1234078179077609</v>
      </c>
      <c r="N88" s="240">
        <f t="shared" si="44"/>
        <v>1.3617537260945667</v>
      </c>
      <c r="O88" s="240">
        <f t="shared" si="44"/>
        <v>1.6698265952806168</v>
      </c>
      <c r="P88" s="240">
        <f t="shared" si="44"/>
        <v>2.0845331495511297</v>
      </c>
      <c r="Q88" s="240">
        <f t="shared" si="44"/>
        <v>2.6620191827846704</v>
      </c>
      <c r="R88" s="240">
        <f t="shared" si="44"/>
        <v>3.4537096780483338</v>
      </c>
      <c r="S88" s="240">
        <f t="shared" si="44"/>
        <v>4.3377904781822467</v>
      </c>
      <c r="T88" s="240">
        <f t="shared" si="44"/>
        <v>0</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5.434901980127238E-2</v>
      </c>
      <c r="D89" s="240">
        <f t="shared" si="44"/>
        <v>0.10795966221017568</v>
      </c>
      <c r="E89" s="240">
        <f t="shared" si="44"/>
        <v>0.16748659960347076</v>
      </c>
      <c r="F89" s="240">
        <f t="shared" si="44"/>
        <v>0.23405950174977389</v>
      </c>
      <c r="G89" s="240">
        <f t="shared" si="44"/>
        <v>0.30915573833556054</v>
      </c>
      <c r="H89" s="240">
        <f t="shared" si="44"/>
        <v>0.39475656745190146</v>
      </c>
      <c r="I89" s="240">
        <f t="shared" si="44"/>
        <v>0.49359685990444191</v>
      </c>
      <c r="J89" s="240">
        <f t="shared" si="44"/>
        <v>0.60958029411413572</v>
      </c>
      <c r="K89" s="240">
        <f t="shared" si="44"/>
        <v>0.74849963082318283</v>
      </c>
      <c r="L89" s="240">
        <f t="shared" si="44"/>
        <v>0.91934768031871061</v>
      </c>
      <c r="M89" s="240">
        <f t="shared" si="44"/>
        <v>1.1368542642758206</v>
      </c>
      <c r="N89" s="240">
        <f t="shared" si="44"/>
        <v>1.4266900686653945</v>
      </c>
      <c r="O89" s="240">
        <f t="shared" si="44"/>
        <v>1.8369044948249567</v>
      </c>
      <c r="P89" s="240">
        <f t="shared" si="44"/>
        <v>2.4645709120394623</v>
      </c>
      <c r="Q89" s="240">
        <f t="shared" si="44"/>
        <v>3.5202387571230811</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3.3877643901445827E-2</v>
      </c>
      <c r="D90" s="240">
        <f t="shared" si="44"/>
        <v>6.1079762418396889E-2</v>
      </c>
      <c r="E90" s="240">
        <f t="shared" si="44"/>
        <v>8.6625460232075707E-2</v>
      </c>
      <c r="F90" s="240">
        <f t="shared" si="44"/>
        <v>0.10971359806031232</v>
      </c>
      <c r="G90" s="240">
        <f t="shared" si="44"/>
        <v>0.12960971811696112</v>
      </c>
      <c r="H90" s="240">
        <f t="shared" si="44"/>
        <v>0.14575186035621601</v>
      </c>
      <c r="I90" s="240">
        <f t="shared" si="44"/>
        <v>0.15770233316018481</v>
      </c>
      <c r="J90" s="240">
        <f t="shared" si="44"/>
        <v>0</v>
      </c>
      <c r="K90" s="240">
        <f t="shared" si="44"/>
        <v>0</v>
      </c>
      <c r="L90" s="240">
        <f t="shared" si="44"/>
        <v>0</v>
      </c>
      <c r="M90" s="240">
        <f t="shared" si="44"/>
        <v>0</v>
      </c>
      <c r="N90" s="240">
        <f t="shared" si="44"/>
        <v>0</v>
      </c>
      <c r="O90" s="240">
        <f t="shared" si="44"/>
        <v>0</v>
      </c>
      <c r="P90" s="240">
        <f t="shared" si="44"/>
        <v>0</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4.2982762204895983E-2</v>
      </c>
      <c r="D91" s="240">
        <f t="shared" si="44"/>
        <v>8.2561188105078356E-2</v>
      </c>
      <c r="E91" s="240">
        <f t="shared" si="44"/>
        <v>0.12466623160997088</v>
      </c>
      <c r="F91" s="240">
        <f t="shared" si="44"/>
        <v>0.16945365998887768</v>
      </c>
      <c r="G91" s="240">
        <f t="shared" si="44"/>
        <v>0.21707002126271158</v>
      </c>
      <c r="H91" s="240">
        <f t="shared" si="44"/>
        <v>0.267648632691665</v>
      </c>
      <c r="I91" s="240">
        <f t="shared" si="44"/>
        <v>0.32131119654021822</v>
      </c>
      <c r="J91" s="240">
        <f t="shared" si="44"/>
        <v>0.37818854325200674</v>
      </c>
      <c r="K91" s="240">
        <f t="shared" si="44"/>
        <v>0.43848882588914795</v>
      </c>
      <c r="L91" s="240">
        <f t="shared" si="44"/>
        <v>0.50267435385928738</v>
      </c>
      <c r="M91" s="240">
        <f t="shared" si="44"/>
        <v>0.57187823279593042</v>
      </c>
      <c r="N91" s="240">
        <f t="shared" si="44"/>
        <v>0.64883200718540224</v>
      </c>
      <c r="O91" s="240">
        <f t="shared" si="44"/>
        <v>0.73987066798628642</v>
      </c>
      <c r="P91" s="240">
        <f t="shared" si="44"/>
        <v>0.85928869014376175</v>
      </c>
      <c r="Q91" s="240">
        <f t="shared" si="44"/>
        <v>1.0395784179464795</v>
      </c>
      <c r="R91" s="240">
        <f t="shared" si="44"/>
        <v>1.3606052134043376</v>
      </c>
      <c r="S91" s="240">
        <f t="shared" si="44"/>
        <v>2.0577805505103837</v>
      </c>
      <c r="T91" s="240">
        <f t="shared" si="44"/>
        <v>4.0410941513062282</v>
      </c>
      <c r="U91" s="240">
        <f t="shared" si="44"/>
        <v>12.879091059900496</v>
      </c>
      <c r="V91" s="240">
        <f t="shared" si="44"/>
        <v>0</v>
      </c>
      <c r="W91" s="240">
        <f t="shared" si="44"/>
        <v>0</v>
      </c>
      <c r="X91" s="240">
        <f t="shared" si="44"/>
        <v>0</v>
      </c>
      <c r="Y91" s="240">
        <f t="shared" si="44"/>
        <v>0</v>
      </c>
    </row>
    <row r="92" spans="1:25" x14ac:dyDescent="0.2">
      <c r="A92" t="str">
        <f t="shared" si="46"/>
        <v>Neo-K1</v>
      </c>
      <c r="B92" s="240">
        <f t="shared" si="45"/>
        <v>5.7716594496607888E-3</v>
      </c>
      <c r="C92" s="240">
        <f t="shared" si="44"/>
        <v>4.6257260950744589E-2</v>
      </c>
      <c r="D92" s="240">
        <f t="shared" si="44"/>
        <v>8.9990572299602667E-2</v>
      </c>
      <c r="E92" s="240">
        <f t="shared" si="44"/>
        <v>0.13736710345633904</v>
      </c>
      <c r="F92" s="240">
        <f t="shared" si="44"/>
        <v>0.18884838679660709</v>
      </c>
      <c r="G92" s="240">
        <f t="shared" si="44"/>
        <v>0.24497600763203758</v>
      </c>
      <c r="H92" s="240">
        <f t="shared" si="44"/>
        <v>0.30638865389788472</v>
      </c>
      <c r="I92" s="240">
        <f t="shared" si="44"/>
        <v>0.3738429494290243</v>
      </c>
      <c r="J92" s="240">
        <f t="shared" si="44"/>
        <v>0.44823733639533125</v>
      </c>
      <c r="K92" s="240">
        <f t="shared" si="44"/>
        <v>0.53063891147853737</v>
      </c>
      <c r="L92" s="240">
        <f t="shared" si="44"/>
        <v>0.62230771208310487</v>
      </c>
      <c r="M92" s="240">
        <f t="shared" si="44"/>
        <v>0.72471141308108211</v>
      </c>
      <c r="N92" s="240">
        <f t="shared" si="44"/>
        <v>0.83951130458126944</v>
      </c>
      <c r="O92" s="240">
        <f t="shared" si="44"/>
        <v>0.96848945786765928</v>
      </c>
      <c r="P92" s="240">
        <f t="shared" si="44"/>
        <v>1.1133716642841205</v>
      </c>
      <c r="Q92" s="240">
        <f t="shared" si="44"/>
        <v>1.2755018145135393</v>
      </c>
      <c r="R92" s="240">
        <f t="shared" si="44"/>
        <v>1.4553682840818822</v>
      </c>
      <c r="S92" s="240">
        <f t="shared" si="44"/>
        <v>1.6521016310255803</v>
      </c>
      <c r="T92" s="240">
        <f t="shared" si="44"/>
        <v>1.8631992392969376</v>
      </c>
      <c r="U92" s="240">
        <f t="shared" si="44"/>
        <v>2.0847324239218614</v>
      </c>
      <c r="V92" s="240">
        <f t="shared" si="44"/>
        <v>2.1298839922178519</v>
      </c>
      <c r="W92" s="240">
        <f t="shared" si="44"/>
        <v>2.1752277215333891</v>
      </c>
      <c r="X92" s="240">
        <f t="shared" si="44"/>
        <v>2.220725895289196</v>
      </c>
      <c r="Y92" s="240">
        <f t="shared" si="44"/>
        <v>2.2663415549364951</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tabSelected="1" workbookViewId="0">
      <selection activeCell="N22" sqref="N22"/>
    </sheetView>
  </sheetViews>
  <sheetFormatPr baseColWidth="10" defaultRowHeight="10" x14ac:dyDescent="0.2"/>
  <sheetData>
    <row r="1" spans="1:25" x14ac:dyDescent="0.2">
      <c r="A1" t="s">
        <v>198</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v>
      </c>
      <c r="C2">
        <f>'Diagnosis Indicators'!C3</f>
        <v>0.99252888912768267</v>
      </c>
      <c r="D2">
        <f>'Diagnosis Indicators'!D3</f>
        <v>0.98457074698995584</v>
      </c>
      <c r="E2">
        <f>'Diagnosis Indicators'!E3</f>
        <v>0.9760598669652627</v>
      </c>
      <c r="F2">
        <f>'Diagnosis Indicators'!F3</f>
        <v>0.96691741306640455</v>
      </c>
      <c r="G2">
        <f>'Diagnosis Indicators'!G3</f>
        <v>0.95704762962531464</v>
      </c>
      <c r="H2">
        <f>'Diagnosis Indicators'!H3</f>
        <v>0.9463322802866212</v>
      </c>
      <c r="I2">
        <f>'Diagnosis Indicators'!I3</f>
        <v>0.93462285416705793</v>
      </c>
      <c r="J2">
        <f>'Diagnosis Indicators'!J3</f>
        <v>0.92172835823327648</v>
      </c>
      <c r="K2">
        <f>'Diagnosis Indicators'!K3</f>
        <v>0.90739669080415608</v>
      </c>
      <c r="L2">
        <f>'Diagnosis Indicators'!L3</f>
        <v>0.89128412493137821</v>
      </c>
      <c r="M2">
        <f>'Diagnosis Indicators'!M3</f>
        <v>0.87290386440917955</v>
      </c>
      <c r="N2">
        <f>'Diagnosis Indicators'!N3</f>
        <v>0.85153532421491229</v>
      </c>
      <c r="O2">
        <f>'Diagnosis Indicators'!O3</f>
        <v>0.82605766459414409</v>
      </c>
      <c r="P2">
        <f>'Diagnosis Indicators'!P3</f>
        <v>0.79463519916899183</v>
      </c>
      <c r="Q2">
        <f>'Diagnosis Indicators'!Q3</f>
        <v>0.75412731266518351</v>
      </c>
      <c r="R2">
        <f>'Diagnosis Indicators'!R3</f>
        <v>0.69907491460246374</v>
      </c>
      <c r="S2">
        <f>'Diagnosis Indicators'!S3</f>
        <v>0.62019036563810592</v>
      </c>
      <c r="T2">
        <f>'Diagnosis Indicators'!T3</f>
        <v>0.50107966188275521</v>
      </c>
      <c r="U2">
        <f>'Diagnosis Indicators'!U3</f>
        <v>0.30540399582537364</v>
      </c>
      <c r="V2">
        <f>'Diagnosis Indicators'!V3</f>
        <v>0.25057056668840255</v>
      </c>
      <c r="W2">
        <f>'Diagnosis Indicators'!W3</f>
        <v>0.18851499643974359</v>
      </c>
      <c r="X2">
        <f>'Diagnosis Indicators'!X3</f>
        <v>0.1192196569059468</v>
      </c>
      <c r="Y2">
        <f>'Diagnosis Indicators'!Y3</f>
        <v>4.6902309372485754E-2</v>
      </c>
    </row>
    <row r="3" spans="1:25" x14ac:dyDescent="0.2">
      <c r="A3" t="str">
        <f>'Diagnosis Indicators'!A4</f>
        <v>Kaldorian</v>
      </c>
      <c r="B3">
        <f>'Diagnosis Indicators'!B4</f>
        <v>1</v>
      </c>
      <c r="C3">
        <f>'Diagnosis Indicators'!C4</f>
        <v>0.99788194945239517</v>
      </c>
      <c r="D3">
        <f>'Diagnosis Indicators'!D4</f>
        <v>0.99534922342675092</v>
      </c>
      <c r="E3">
        <f>'Diagnosis Indicators'!E4</f>
        <v>0.99234585601006309</v>
      </c>
      <c r="F3">
        <f>'Diagnosis Indicators'!F4</f>
        <v>0.98880462846509753</v>
      </c>
      <c r="G3">
        <f>'Diagnosis Indicators'!G4</f>
        <v>0.98464320438238773</v>
      </c>
      <c r="H3">
        <f>'Diagnosis Indicators'!H4</f>
        <v>0.97976060342419247</v>
      </c>
      <c r="I3">
        <f>'Diagnosis Indicators'!I4</f>
        <v>0.97402955191556562</v>
      </c>
      <c r="J3">
        <f>'Diagnosis Indicators'!J4</f>
        <v>0.9672871515079341</v>
      </c>
      <c r="K3">
        <f>'Diagnosis Indicators'!K4</f>
        <v>0.95931987778591643</v>
      </c>
      <c r="L3">
        <f>'Diagnosis Indicators'!L4</f>
        <v>0.94983952616234069</v>
      </c>
      <c r="M3">
        <f>'Diagnosis Indicators'!M4</f>
        <v>0.93844361510143082</v>
      </c>
      <c r="N3">
        <f>'Diagnosis Indicators'!N4</f>
        <v>0.92454621117684987</v>
      </c>
      <c r="O3">
        <f>'Diagnosis Indicators'!O4</f>
        <v>0.90725144542552882</v>
      </c>
      <c r="P3">
        <f>'Diagnosis Indicators'!P4</f>
        <v>0.8851102687462189</v>
      </c>
      <c r="Q3">
        <f>'Diagnosis Indicators'!Q4</f>
        <v>0.85563912056876235</v>
      </c>
      <c r="R3">
        <f>'Diagnosis Indicators'!R4</f>
        <v>0.81436581913806816</v>
      </c>
      <c r="S3">
        <f>'Diagnosis Indicators'!S4</f>
        <v>0.75290138954358221</v>
      </c>
      <c r="T3">
        <f>'Diagnosis Indicators'!T4</f>
        <v>0.65386187728702505</v>
      </c>
    </row>
    <row r="4" spans="1:25" x14ac:dyDescent="0.2">
      <c r="A4" t="str">
        <f>'Diagnosis Indicators'!A5</f>
        <v>Johansen</v>
      </c>
      <c r="B4">
        <f>'Diagnosis Indicators'!B5</f>
        <v>1</v>
      </c>
      <c r="C4">
        <f>'Diagnosis Indicators'!C5</f>
        <v>0.9978963757772612</v>
      </c>
      <c r="D4">
        <f>'Diagnosis Indicators'!D5</f>
        <v>0.99537870438636677</v>
      </c>
      <c r="E4">
        <f>'Diagnosis Indicators'!E5</f>
        <v>0.99239112808957597</v>
      </c>
      <c r="F4">
        <f>'Diagnosis Indicators'!F5</f>
        <v>0.98886639420612921</v>
      </c>
      <c r="G4">
        <f>'Diagnosis Indicators'!G5</f>
        <v>0.98472260304840498</v>
      </c>
      <c r="H4">
        <f>'Diagnosis Indicators'!H5</f>
        <v>0.97985847119586977</v>
      </c>
      <c r="I4">
        <f>'Diagnosis Indicators'!I5</f>
        <v>0.97414683523188705</v>
      </c>
      <c r="J4">
        <f>'Diagnosis Indicators'!J5</f>
        <v>0.96742460868266722</v>
      </c>
      <c r="K4">
        <f>'Diagnosis Indicators'!K5</f>
        <v>0.95947781396255749</v>
      </c>
      <c r="L4">
        <f>'Diagnosis Indicators'!L5</f>
        <v>0.95001741429540343</v>
      </c>
      <c r="M4">
        <f>'Diagnosis Indicators'!M5</f>
        <v>0.93863942316403937</v>
      </c>
      <c r="N4">
        <f>'Diagnosis Indicators'!N5</f>
        <v>0.92475521499811197</v>
      </c>
      <c r="O4">
        <f>'Diagnosis Indicators'!O5</f>
        <v>0.90746428639717291</v>
      </c>
      <c r="P4">
        <f>'Diagnosis Indicators'!P5</f>
        <v>0.88531041115248466</v>
      </c>
      <c r="Q4">
        <f>'Diagnosis Indicators'!Q5</f>
        <v>0.85580120179529517</v>
      </c>
      <c r="R4">
        <f>'Diagnosis Indicators'!R5</f>
        <v>0.8144640218437329</v>
      </c>
      <c r="S4">
        <f>'Diagnosis Indicators'!S5</f>
        <v>0.75293630995913874</v>
      </c>
      <c r="T4">
        <f>'Diagnosis Indicators'!T5</f>
        <v>0.65386697430316643</v>
      </c>
      <c r="U4">
        <f>'Diagnosis Indicators'!U5</f>
        <v>0.47078231890322431</v>
      </c>
      <c r="V4">
        <f>'Diagnosis Indicators'!V5</f>
        <v>0.4135289459099718</v>
      </c>
      <c r="W4">
        <f>'Diagnosis Indicators'!W5</f>
        <v>0.34410505167532562</v>
      </c>
      <c r="X4">
        <f>'Diagnosis Indicators'!X5</f>
        <v>0.25786215612821467</v>
      </c>
      <c r="Y4">
        <f>'Diagnosis Indicators'!Y5</f>
        <v>0.14733318232448125</v>
      </c>
    </row>
    <row r="5" spans="1:25" x14ac:dyDescent="0.2">
      <c r="A5" t="str">
        <f>'Diagnosis Indicators'!A6</f>
        <v>Keynes-Kaldor</v>
      </c>
      <c r="B5">
        <f>'Diagnosis Indicators'!B6</f>
        <v>1</v>
      </c>
      <c r="C5">
        <f>'Diagnosis Indicators'!C6</f>
        <v>1.0025945862222858</v>
      </c>
      <c r="D5">
        <f>'Diagnosis Indicators'!D6</f>
        <v>1.0041679729175457</v>
      </c>
      <c r="E5">
        <f>'Diagnosis Indicators'!E6</f>
        <v>1.0046825583600916</v>
      </c>
      <c r="F5">
        <f>'Diagnosis Indicators'!F6</f>
        <v>1.0040707820915791</v>
      </c>
      <c r="G5">
        <f>'Diagnosis Indicators'!G6</f>
        <v>1.0022314066678499</v>
      </c>
      <c r="H5">
        <f>'Diagnosis Indicators'!H6</f>
        <v>0.99902169236050808</v>
      </c>
      <c r="I5">
        <f>'Diagnosis Indicators'!I6</f>
        <v>0.99424555845089935</v>
      </c>
      <c r="J5">
        <f>'Diagnosis Indicators'!J6</f>
        <v>0.98763445461175026</v>
      </c>
      <c r="K5">
        <f>'Diagnosis Indicators'!K6</f>
        <v>0.97881695781569544</v>
      </c>
      <c r="L5">
        <f>'Diagnosis Indicators'!L6</f>
        <v>0.96726874007810382</v>
      </c>
      <c r="M5">
        <f>'Diagnosis Indicators'!M6</f>
        <v>0.95222684459547913</v>
      </c>
      <c r="N5">
        <f>'Diagnosis Indicators'!N6</f>
        <v>0.93253538315139317</v>
      </c>
      <c r="O5">
        <f>'Diagnosis Indicators'!O6</f>
        <v>0.90634862423340012</v>
      </c>
      <c r="P5">
        <f>'Diagnosis Indicators'!P6</f>
        <v>0.87051974827210887</v>
      </c>
      <c r="Q5">
        <f>'Diagnosis Indicators'!Q6</f>
        <v>0.81925305752022481</v>
      </c>
      <c r="R5">
        <f>'Diagnosis Indicators'!R6</f>
        <v>0.74114205885422446</v>
      </c>
      <c r="S5">
        <f>'Diagnosis Indicators'!S6</f>
        <v>0.61556986912424705</v>
      </c>
    </row>
    <row r="6" spans="1:25" x14ac:dyDescent="0.2">
      <c r="A6" t="str">
        <f>'Diagnosis Indicators'!A7</f>
        <v>Keynes-Marshall</v>
      </c>
      <c r="B6">
        <f>'Diagnosis Indicators'!B7</f>
        <v>1</v>
      </c>
      <c r="C6">
        <f>'Diagnosis Indicators'!C7</f>
        <v>1.0035639662027487</v>
      </c>
      <c r="D6">
        <f>'Diagnosis Indicators'!D7</f>
        <v>1.0067261080057168</v>
      </c>
      <c r="E6">
        <f>'Diagnosis Indicators'!E7</f>
        <v>1.009436462883669</v>
      </c>
      <c r="F6">
        <f>'Diagnosis Indicators'!F7</f>
        <v>1.01163404326017</v>
      </c>
      <c r="G6">
        <f>'Diagnosis Indicators'!G7</f>
        <v>1.013243824156145</v>
      </c>
      <c r="H6">
        <f>'Diagnosis Indicators'!H7</f>
        <v>1.0141724012250519</v>
      </c>
      <c r="I6">
        <f>'Diagnosis Indicators'!I7</f>
        <v>1.0143020167575676</v>
      </c>
      <c r="J6">
        <f>'Diagnosis Indicators'!J7</f>
        <v>1.0134817023685911</v>
      </c>
      <c r="K6">
        <f>'Diagnosis Indicators'!K7</f>
        <v>1.0115138722803971</v>
      </c>
      <c r="L6">
        <f>'Diagnosis Indicators'!L7</f>
        <v>1.0081328454431739</v>
      </c>
      <c r="M6">
        <f>'Diagnosis Indicators'!M7</f>
        <v>1.00296908753884</v>
      </c>
      <c r="N6">
        <f>'Diagnosis Indicators'!N7</f>
        <v>0.99548414501895155</v>
      </c>
      <c r="O6">
        <f>'Diagnosis Indicators'!O7</f>
        <v>0.98484411742628741</v>
      </c>
      <c r="P6">
        <f>'Diagnosis Indicators'!P7</f>
        <v>0.96965010340467384</v>
      </c>
      <c r="Q6">
        <f>'Diagnosis Indicators'!Q7</f>
        <v>0.94732923392592783</v>
      </c>
    </row>
    <row r="7" spans="1:25" x14ac:dyDescent="0.2">
      <c r="A7" t="str">
        <f>'Diagnosis Indicators'!A8</f>
        <v>Keynesian</v>
      </c>
      <c r="B7">
        <f>'Diagnosis Indicators'!B8</f>
        <v>1</v>
      </c>
      <c r="C7">
        <f>'Diagnosis Indicators'!C8</f>
        <v>0.97665190836283655</v>
      </c>
      <c r="D7">
        <f>'Diagnosis Indicators'!D8</f>
        <v>0.94891375291778601</v>
      </c>
      <c r="E7">
        <f>'Diagnosis Indicators'!E8</f>
        <v>0.91632605734349371</v>
      </c>
      <c r="F7">
        <f>'Diagnosis Indicators'!F8</f>
        <v>0.87865644458795733</v>
      </c>
      <c r="G7">
        <f>'Diagnosis Indicators'!G8</f>
        <v>0.83608465324626224</v>
      </c>
      <c r="H7">
        <f>'Diagnosis Indicators'!H8</f>
        <v>0.78944573098810134</v>
      </c>
      <c r="I7">
        <f>'Diagnosis Indicators'!I8</f>
        <v>0.74077011888833566</v>
      </c>
    </row>
    <row r="8" spans="1:25" x14ac:dyDescent="0.2">
      <c r="A8" t="str">
        <f>'Diagnosis Indicators'!A9</f>
        <v>Neo-K2</v>
      </c>
      <c r="B8">
        <f>'Diagnosis Indicators'!B9</f>
        <v>1</v>
      </c>
      <c r="C8">
        <f>'Diagnosis Indicators'!C9</f>
        <v>0.98522109333148</v>
      </c>
      <c r="D8">
        <f>'Diagnosis Indicators'!D9</f>
        <v>0.96897308790149594</v>
      </c>
      <c r="E8">
        <f>'Diagnosis Indicators'!E9</f>
        <v>0.95101999501765266</v>
      </c>
      <c r="F8">
        <f>'Diagnosis Indicators'!F9</f>
        <v>0.93108218857876779</v>
      </c>
      <c r="G8">
        <f>'Diagnosis Indicators'!G9</f>
        <v>0.90883046401877132</v>
      </c>
      <c r="H8">
        <f>'Diagnosis Indicators'!H9</f>
        <v>0.88388229847568356</v>
      </c>
      <c r="I8">
        <f>'Diagnosis Indicators'!I9</f>
        <v>0.85580303623885168</v>
      </c>
      <c r="J8">
        <f>'Diagnosis Indicators'!J9</f>
        <v>0.82411762748303097</v>
      </c>
      <c r="K8">
        <f>'Diagnosis Indicators'!K9</f>
        <v>0.78834060059910838</v>
      </c>
      <c r="L8">
        <f>'Diagnosis Indicators'!L9</f>
        <v>0.74803670807352585</v>
      </c>
      <c r="M8">
        <f>'Diagnosis Indicators'!M9</f>
        <v>0.70292291514587979</v>
      </c>
      <c r="N8">
        <f>'Diagnosis Indicators'!N9</f>
        <v>0.65301610403959931</v>
      </c>
      <c r="O8">
        <f>'Diagnosis Indicators'!O9</f>
        <v>0.59879494178760884</v>
      </c>
      <c r="P8">
        <f>'Diagnosis Indicators'!P9</f>
        <v>0.54126832669786673</v>
      </c>
      <c r="Q8">
        <f>'Diagnosis Indicators'!Q9</f>
        <v>0.48173913906388871</v>
      </c>
      <c r="R8">
        <f>'Diagnosis Indicators'!R9</f>
        <v>0.42104341549503627</v>
      </c>
      <c r="S8">
        <f>'Diagnosis Indicators'!S9</f>
        <v>0.35822165341251033</v>
      </c>
      <c r="T8">
        <f>'Diagnosis Indicators'!T9</f>
        <v>0.28863553727136204</v>
      </c>
      <c r="U8">
        <f>'Diagnosis Indicators'!U9</f>
        <v>0.19946388064469767</v>
      </c>
    </row>
    <row r="9" spans="1:25" x14ac:dyDescent="0.2">
      <c r="A9" t="str">
        <f>'Diagnosis Indicators'!A10</f>
        <v>Neo-K1</v>
      </c>
      <c r="B9">
        <f>'Diagnosis Indicators'!B10</f>
        <v>1</v>
      </c>
      <c r="C9">
        <f>'Diagnosis Indicators'!C10</f>
        <v>0.98745478718715329</v>
      </c>
      <c r="D9">
        <f>'Diagnosis Indicators'!D10</f>
        <v>0.97383959704147083</v>
      </c>
      <c r="E9">
        <f>'Diagnosis Indicators'!E10</f>
        <v>0.95899547643907679</v>
      </c>
      <c r="F9">
        <f>'Diagnosis Indicators'!F10</f>
        <v>0.94273100447280977</v>
      </c>
      <c r="G9">
        <f>'Diagnosis Indicators'!G10</f>
        <v>0.92481386591850712</v>
      </c>
      <c r="H9">
        <f>'Diagnosis Indicators'!H10</f>
        <v>0.90495953717722188</v>
      </c>
      <c r="I9">
        <f>'Diagnosis Indicators'!I10</f>
        <v>0.88281740505978101</v>
      </c>
      <c r="J9">
        <f>'Diagnosis Indicators'!J10</f>
        <v>0.85795231336544653</v>
      </c>
      <c r="K9">
        <f>'Diagnosis Indicators'!K10</f>
        <v>0.82982100974390816</v>
      </c>
      <c r="L9">
        <f>'Diagnosis Indicators'!L10</f>
        <v>0.7977434449026467</v>
      </c>
      <c r="M9">
        <f>'Diagnosis Indicators'!M10</f>
        <v>0.76086939556482891</v>
      </c>
      <c r="N9">
        <f>'Diagnosis Indicators'!N10</f>
        <v>0.71814449593622409</v>
      </c>
      <c r="O9">
        <f>'Diagnosis Indicators'!O10</f>
        <v>0.66828629223553437</v>
      </c>
      <c r="P9">
        <f>'Diagnosis Indicators'!P10</f>
        <v>0.60979072723323313</v>
      </c>
      <c r="Q9">
        <f>'Diagnosis Indicators'!Q10</f>
        <v>0.54100107583978752</v>
      </c>
      <c r="R9">
        <f>'Diagnosis Indicators'!R10</f>
        <v>0.46027223337099443</v>
      </c>
      <c r="S9">
        <f>'Diagnosis Indicators'!S10</f>
        <v>0.36623315677763235</v>
      </c>
      <c r="T9">
        <f>'Diagnosis Indicators'!T10</f>
        <v>0.25808009452024033</v>
      </c>
      <c r="U9">
        <f>'Diagnosis Indicators'!U10</f>
        <v>0.13576899162396186</v>
      </c>
      <c r="V9">
        <f>'Diagnosis Indicators'!V10</f>
        <v>0.10965823964279608</v>
      </c>
      <c r="W9">
        <f>'Diagnosis Indicators'!W10</f>
        <v>8.3016145801479854E-2</v>
      </c>
      <c r="X9">
        <f>'Diagnosis Indicators'!X10</f>
        <v>5.5852197147360935E-2</v>
      </c>
      <c r="Y9">
        <f>'Diagnosis Indicators'!Y10</f>
        <v>2.8176562867840697E-2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2025-07-03T15:29:36Z</dcterms:modified>
</cp:coreProperties>
</file>