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louis\OneDrive\Documents\GitHub\Replication_KLEM_Closure\Sensitivity_Analysis\"/>
    </mc:Choice>
  </mc:AlternateContent>
  <xr:revisionPtr revIDLastSave="0" documentId="13_ncr:1_{F99DA6FC-402D-4AC5-BB4E-ABE289DB6248}" xr6:coauthVersionLast="47" xr6:coauthVersionMax="47" xr10:uidLastSave="{00000000-0000-0000-0000-000000000000}"/>
  <bookViews>
    <workbookView xWindow="-110" yWindow="-110" windowWidth="19420" windowHeight="11500" tabRatio="935" firstSheet="2" activeTab="12" xr2:uid="{00000000-000D-0000-FFFF-FFFF00000000}"/>
  </bookViews>
  <sheets>
    <sheet name="Calibration" sheetId="1" r:id="rId1"/>
    <sheet name="Model" sheetId="2" r:id="rId2"/>
    <sheet name="Results" sheetId="3" r:id="rId3"/>
    <sheet name="NeoClassical" sheetId="11" r:id="rId4"/>
    <sheet name="Johansen" sheetId="12" r:id="rId5"/>
    <sheet name="Kaldorian" sheetId="22" r:id="rId6"/>
    <sheet name="Keynes-M" sheetId="18" r:id="rId7"/>
    <sheet name="Keynesian" sheetId="24" r:id="rId8"/>
    <sheet name="Keynes-K" sheetId="21" r:id="rId9"/>
    <sheet name="Neo-K1" sheetId="38" r:id="rId10"/>
    <sheet name="Neo-K2" sheetId="35" r:id="rId11"/>
    <sheet name="Diagnosis Indicators" sheetId="23" r:id="rId12"/>
    <sheet name="Welfare" sheetId="34" r:id="rId13"/>
    <sheet name="Tax" sheetId="42" r:id="rId14"/>
    <sheet name="GDP" sheetId="39" r:id="rId15"/>
    <sheet name="Inv" sheetId="41" r:id="rId16"/>
    <sheet name="Kshare" sheetId="40" r:id="rId17"/>
    <sheet name="U" sheetId="43" r:id="rId18"/>
    <sheet name="Utility_Export" sheetId="44" r:id="rId19"/>
    <sheet name="PShare_export" sheetId="45" r:id="rId20"/>
    <sheet name="Tax_export" sheetId="46" r:id="rId21"/>
  </sheets>
  <functionGroups builtInGroupCount="19"/>
  <externalReferences>
    <externalReference r:id="rId22"/>
  </externalReferences>
  <definedNames>
    <definedName name="AGGREGATES" localSheetId="0">Calibration!$C$55:$C$59</definedName>
    <definedName name="AGGREGATES" localSheetId="1">Model!$C$55:$C$60</definedName>
    <definedName name="aKL">Calibration!$C$82:$D$82</definedName>
    <definedName name="aKLE">Calibration!$C$87:$D$87</definedName>
    <definedName name="alpha" localSheetId="0">Calibration!$C$70:$D$71</definedName>
    <definedName name="alpha" localSheetId="1">Model!$C$70:$D$71</definedName>
    <definedName name="alphaEY" localSheetId="0">Calibration!$C$71:$D$71</definedName>
    <definedName name="alphaEY" localSheetId="1">Model!$C$71:$D$71</definedName>
    <definedName name="alphaMY" localSheetId="0">Calibration!$C$70:$D$70</definedName>
    <definedName name="alphaMY" localSheetId="1">Model!$C$70:$D$70</definedName>
    <definedName name="aS">Calibration!$C$77:$D$77</definedName>
    <definedName name="aU">Calibration!$C$104</definedName>
    <definedName name="aX">Calibration!$C$97:$D$97</definedName>
    <definedName name="aY">Calibration!$C$92:$D$92</definedName>
    <definedName name="B" localSheetId="0">Calibration!$C$59</definedName>
    <definedName name="B" localSheetId="1">Model!$C$59</definedName>
    <definedName name="bKL">Calibration!$C$83:$D$83</definedName>
    <definedName name="bKLE">Calibration!$C$88:$D$88</definedName>
    <definedName name="bS">Calibration!$C$78:$D$78</definedName>
    <definedName name="bU">Calibration!$C$105</definedName>
    <definedName name="bX">Calibration!$C$98:$D$98</definedName>
    <definedName name="bY">Calibration!$C$93:$D$93</definedName>
    <definedName name="CE" localSheetId="0">Calibration!$D$41</definedName>
    <definedName name="CE" localSheetId="1">Model!$D$41</definedName>
    <definedName name="Consumption" localSheetId="0">Calibration!$C$41:$D$41</definedName>
    <definedName name="Consumption" localSheetId="1">Model!$C$41:$D$41</definedName>
    <definedName name="CPI" localSheetId="1">Model!$C$60</definedName>
    <definedName name="CQ" localSheetId="0">Calibration!$C$41</definedName>
    <definedName name="CQ" localSheetId="1">Model!$C$41</definedName>
    <definedName name="D" localSheetId="0">Calibration!$C$40:$D$40</definedName>
    <definedName name="D" localSheetId="1">Model!$C$40:$D$40</definedName>
    <definedName name="DE" localSheetId="0">Calibration!$D$40</definedName>
    <definedName name="DE" localSheetId="1">Model!$D$40</definedName>
    <definedName name="epsilonE">Calibration!$D$109</definedName>
    <definedName name="ERROR1">Model!$K$21:$L$21</definedName>
    <definedName name="ERROR10">Model!$K$37:$L$37</definedName>
    <definedName name="ERROR11">Model!$K$23:$L$23</definedName>
    <definedName name="ERROR12">Model!$K$34:$L$34</definedName>
    <definedName name="ERROR2">Model!$K$59</definedName>
    <definedName name="ERROR3">Model!$K$55</definedName>
    <definedName name="ERROR4">Model!$K$39:$L$39</definedName>
    <definedName name="ERROR5">Model!$K$41</definedName>
    <definedName name="ERROR6">Model!$K$56</definedName>
    <definedName name="ERROR7">Model!$K$57</definedName>
    <definedName name="ERROR8">Model!$K$58</definedName>
    <definedName name="ERROR9">Model!$L$58</definedName>
    <definedName name="FACTORS" localSheetId="0">Calibration!$C$70:$D$73</definedName>
    <definedName name="FACTORS" localSheetId="1">Model!$C$70:$D$73</definedName>
    <definedName name="G" localSheetId="0">Calibration!$C$42:$D$42</definedName>
    <definedName name="G" localSheetId="1">Model!$C$42:$D$42</definedName>
    <definedName name="GDP" localSheetId="0">Calibration!$C$57</definedName>
    <definedName name="GDP" localSheetId="1">Model!$C$57</definedName>
    <definedName name="I" localSheetId="0">Calibration!$C$43:$D$43</definedName>
    <definedName name="I" localSheetId="1">Model!$C$43:$D$43</definedName>
    <definedName name="K" localSheetId="0">Calibration!$C$46:$D$46</definedName>
    <definedName name="K" localSheetId="1">Model!$C$46:$D$46</definedName>
    <definedName name="kappa" localSheetId="0">Calibration!$C$73:$D$73</definedName>
    <definedName name="kappa" localSheetId="1">Model!$C$73:$D$73</definedName>
    <definedName name="KL" localSheetId="0">Calibration!$C$47:$D$47</definedName>
    <definedName name="KL" localSheetId="1">Model!$C$47:$D$47</definedName>
    <definedName name="KL_E" localSheetId="0">Calibration!$D$47</definedName>
    <definedName name="KL_E" localSheetId="1">Model!$D$47</definedName>
    <definedName name="KL_Q" localSheetId="0">Calibration!$C$47</definedName>
    <definedName name="KL_Q" localSheetId="1">Model!$C$47</definedName>
    <definedName name="KLE" localSheetId="0">Calibration!$C$48:$D$48</definedName>
    <definedName name="KLE" localSheetId="1">Model!$C$48:$D$48</definedName>
    <definedName name="KLQ" localSheetId="1">Model!$C$47</definedName>
    <definedName name="Labour" localSheetId="0">Calibration!$C$45:$D$45</definedName>
    <definedName name="Labour" localSheetId="1">Model!$C$45:$D$45</definedName>
    <definedName name="Labour_E" localSheetId="0">Calibration!$D$45</definedName>
    <definedName name="Labour_E" localSheetId="1">Model!$D$45</definedName>
    <definedName name="Labour_Q" localSheetId="0">Calibration!$C$45</definedName>
    <definedName name="Labour_Q" localSheetId="1">Model!$C$45</definedName>
    <definedName name="LabourQ" localSheetId="1">Model!$C$45</definedName>
    <definedName name="lambda" localSheetId="0">Calibration!$C$72:$D$72</definedName>
    <definedName name="lambda" localSheetId="1">Model!$C$72:$D$72</definedName>
    <definedName name="M" localSheetId="0">Calibration!$C$38:$D$38</definedName>
    <definedName name="M" localSheetId="1">Model!$C$38:$D$38</definedName>
    <definedName name="MAXERROR">Model!$L$17</definedName>
    <definedName name="omegaG" localSheetId="0">Calibration!$C$62</definedName>
    <definedName name="omegaG" localSheetId="1">Model!$C$62</definedName>
    <definedName name="omegaI" localSheetId="0">Calibration!$C$63</definedName>
    <definedName name="omegaI" localSheetId="1">Model!$C$63</definedName>
    <definedName name="pC" localSheetId="0">Calibration!$C$27:$D$27</definedName>
    <definedName name="pC" localSheetId="1">Model!$C$27:$D$27</definedName>
    <definedName name="pCE" localSheetId="0">Calibration!$D$27</definedName>
    <definedName name="pCE" localSheetId="1">Model!$D$27</definedName>
    <definedName name="pCQ" localSheetId="0">Calibration!$C$27</definedName>
    <definedName name="pCQ" localSheetId="1">Model!$C$27</definedName>
    <definedName name="pD" localSheetId="0">Calibration!$C$24:$D$24</definedName>
    <definedName name="pD" localSheetId="1">Model!$C$24:$D$24</definedName>
    <definedName name="pEY" localSheetId="0">Calibration!$C$26:$D$26</definedName>
    <definedName name="pEY" localSheetId="1">Model!$C$26:$D$26</definedName>
    <definedName name="pG" localSheetId="0">Calibration!$C$28:$D$28</definedName>
    <definedName name="pG" localSheetId="1">Model!$C$28:$D$28</definedName>
    <definedName name="pI" localSheetId="0">Calibration!$C$29:$D$29</definedName>
    <definedName name="pI" localSheetId="1">Model!$C$29:$D$29</definedName>
    <definedName name="pIC" localSheetId="0">Calibration!$C$25:$D$26</definedName>
    <definedName name="pIC" localSheetId="1">Model!$C$25:$D$26</definedName>
    <definedName name="pK" localSheetId="0">Calibration!$C$33:$D$33</definedName>
    <definedName name="pK" localSheetId="1">Model!$C$33:$D$33</definedName>
    <definedName name="pKL" localSheetId="0">Calibration!$C$34:$D$34</definedName>
    <definedName name="pKL" localSheetId="1">Model!$C$34:$D$34</definedName>
    <definedName name="pKLE" localSheetId="0">Calibration!$C$35:$D$35</definedName>
    <definedName name="pKLE" localSheetId="1">Model!$C$35:$D$35</definedName>
    <definedName name="pL" localSheetId="0">Calibration!$C$32:$D$32</definedName>
    <definedName name="pL" localSheetId="1">Model!$C$32:$D$32</definedName>
    <definedName name="pMY" localSheetId="0">Calibration!$C$25:$D$25</definedName>
    <definedName name="pMY" localSheetId="1">Model!$C$25:$D$25</definedName>
    <definedName name="pQ" localSheetId="0">Calibration!$C$23:$D$23</definedName>
    <definedName name="pQ" localSheetId="1">Model!$C$23:$D$23</definedName>
    <definedName name="PRICES" localSheetId="0">Calibration!$C$21:$D$35</definedName>
    <definedName name="PRICES" localSheetId="1">Model!$C$21:$D$35</definedName>
    <definedName name="pS" localSheetId="0">Calibration!$C$23:$D$23</definedName>
    <definedName name="pS" localSheetId="1">Model!$C$23:$D$23</definedName>
    <definedName name="pW" localSheetId="0">Calibration!$C$22:$D$22</definedName>
    <definedName name="pW" localSheetId="1">Model!$C$22:$D$22</definedName>
    <definedName name="pX" localSheetId="0">Calibration!$C$30:$D$30</definedName>
    <definedName name="pX" localSheetId="1">Model!$C$30:$D$30</definedName>
    <definedName name="pY" localSheetId="0">Calibration!$C$21:$D$21</definedName>
    <definedName name="pY" localSheetId="1">Model!$C$21:$D$21</definedName>
    <definedName name="Revenue" localSheetId="0">Calibration!$C$58</definedName>
    <definedName name="Revenue" localSheetId="1">Model!$C$58</definedName>
    <definedName name="rhoKL">Calibration!$C$85:$D$85</definedName>
    <definedName name="rhoKLE">Calibration!$C$90:$D$90</definedName>
    <definedName name="rhoS">Calibration!$C$80:$D$80</definedName>
    <definedName name="rhoU">Calibration!$C$107</definedName>
    <definedName name="rhoX">Calibration!$C$100:$D$100</definedName>
    <definedName name="rhoY">Calibration!$C$95:$D$95</definedName>
    <definedName name="S" localSheetId="0">Calibration!$C$39:$D$39</definedName>
    <definedName name="S" localSheetId="1">Model!$C$39:$D$39</definedName>
    <definedName name="sD" localSheetId="0">Calibration!$C$64</definedName>
    <definedName name="sD" localSheetId="1">Model!$C$64</definedName>
    <definedName name="SE" localSheetId="0">Calibration!$D$39</definedName>
    <definedName name="SE" localSheetId="1">Model!$D$39</definedName>
    <definedName name="sG" localSheetId="0">Calibration!$C$67</definedName>
    <definedName name="sG" localSheetId="1">Model!$C$67</definedName>
    <definedName name="sigmaKL">Calibration!$C$84:$D$84</definedName>
    <definedName name="sigmaKLE">Calibration!$C$89:$D$89</definedName>
    <definedName name="sigmaS">Calibration!$C$79:$D$79</definedName>
    <definedName name="sigmaU">Calibration!$C$106</definedName>
    <definedName name="sigmaw">Calibration!$C$102</definedName>
    <definedName name="sigmaX">Calibration!$C$99:$D$99</definedName>
    <definedName name="sigmaY">Calibration!$C$94:$D$94</definedName>
    <definedName name="sK" localSheetId="0">Calibration!$C$65</definedName>
    <definedName name="sK" localSheetId="1">Model!$C$65</definedName>
    <definedName name="sL" localSheetId="0">Calibration!$C$66</definedName>
    <definedName name="sL" localSheetId="1">Model!$C$66</definedName>
    <definedName name="solver_adj" localSheetId="0" hidden="1">Calibration!$C$66</definedName>
    <definedName name="solver_adj" localSheetId="1" hidden="1">Model!$C$80:$D$89</definedName>
    <definedName name="solver_cvg" localSheetId="0" hidden="1">0.0001</definedName>
    <definedName name="solver_cvg" localSheetId="1" hidden="1">1E-99</definedName>
    <definedName name="solver_drv" localSheetId="0" hidden="1">1</definedName>
    <definedName name="solver_drv" localSheetId="1" hidden="1">2</definedName>
    <definedName name="solver_eng" localSheetId="0" hidden="1">1</definedName>
    <definedName name="solver_eng" localSheetId="1" hidden="1">1</definedName>
    <definedName name="solver_est" localSheetId="0" hidden="1">1</definedName>
    <definedName name="solver_est" localSheetId="1" hidden="1">2</definedName>
    <definedName name="solver_itr" localSheetId="0" hidden="1">2147483647</definedName>
    <definedName name="solver_itr" localSheetId="1" hidden="1">1000</definedName>
    <definedName name="solver_lhs1" localSheetId="0" hidden="1">Calibration!$K$53:$L$53</definedName>
    <definedName name="solver_lhs1" localSheetId="1" hidden="1">Model!$K$21:$L$21</definedName>
    <definedName name="solver_lhs10" localSheetId="1" hidden="1">Model!$K$37:$L$37</definedName>
    <definedName name="solver_lhs11" localSheetId="1" hidden="1">Model!$K$23:$L$23</definedName>
    <definedName name="solver_lhs12" localSheetId="1" hidden="1">Model!$K$34:$L$34</definedName>
    <definedName name="solver_lhs2" localSheetId="0" hidden="1">Calibration!$K$53:$L$53</definedName>
    <definedName name="solver_lhs2" localSheetId="1" hidden="1">Model!$K$59</definedName>
    <definedName name="solver_lhs3" localSheetId="0" hidden="1">Calibration!$K$53:$L$53</definedName>
    <definedName name="solver_lhs3" localSheetId="1" hidden="1">Model!$K$55</definedName>
    <definedName name="solver_lhs4" localSheetId="0" hidden="1">Calibration!$K$53:$L$53</definedName>
    <definedName name="solver_lhs4" localSheetId="1" hidden="1">Model!$K$39:$L$39</definedName>
    <definedName name="solver_lhs5" localSheetId="0" hidden="1">Calibration!$K$53:$L$53</definedName>
    <definedName name="solver_lhs5" localSheetId="1" hidden="1">Model!$K$41</definedName>
    <definedName name="solver_lhs6" localSheetId="1" hidden="1">Model!$K$56</definedName>
    <definedName name="solver_lhs7" localSheetId="1" hidden="1">Model!$K$57</definedName>
    <definedName name="solver_lhs8" localSheetId="1" hidden="1">Model!$K$58</definedName>
    <definedName name="solver_lhs9" localSheetId="1" hidden="1">Model!$L$58</definedName>
    <definedName name="solver_lin" localSheetId="1" hidden="1">2</definedName>
    <definedName name="solver_mip" localSheetId="0" hidden="1">2147483647</definedName>
    <definedName name="solver_mip" localSheetId="1" hidden="1">2147483647</definedName>
    <definedName name="solver_mni" localSheetId="0" hidden="1">30</definedName>
    <definedName name="solver_mni" localSheetId="1" hidden="1">30</definedName>
    <definedName name="solver_mrt" localSheetId="0" hidden="1">0.075</definedName>
    <definedName name="solver_mrt" localSheetId="1" hidden="1">0.075</definedName>
    <definedName name="solver_msl" localSheetId="0" hidden="1">2</definedName>
    <definedName name="solver_msl" localSheetId="1" hidden="1">2</definedName>
    <definedName name="solver_neg" localSheetId="0" hidden="1">2</definedName>
    <definedName name="solver_neg" localSheetId="1" hidden="1">1</definedName>
    <definedName name="solver_nod" localSheetId="0" hidden="1">2147483647</definedName>
    <definedName name="solver_nod" localSheetId="1" hidden="1">2147483647</definedName>
    <definedName name="solver_num" localSheetId="0" hidden="1">0</definedName>
    <definedName name="solver_num" localSheetId="1" hidden="1">12</definedName>
    <definedName name="solver_nwt" localSheetId="0" hidden="1">1</definedName>
    <definedName name="solver_nwt" localSheetId="1" hidden="1">1</definedName>
    <definedName name="solver_opt" localSheetId="0" hidden="1">Calibration!$K$65</definedName>
    <definedName name="solver_opt" localSheetId="1" hidden="1">Model!$K$41</definedName>
    <definedName name="solver_pre" localSheetId="0" hidden="1">0.000000000001</definedName>
    <definedName name="solver_pre" localSheetId="1" hidden="1">0.000001</definedName>
    <definedName name="solver_rbv" localSheetId="0" hidden="1">1</definedName>
    <definedName name="solver_rbv" localSheetId="1" hidden="1">1</definedName>
    <definedName name="solver_rel1" localSheetId="0" hidden="1">2</definedName>
    <definedName name="solver_rel1" localSheetId="1" hidden="1">2</definedName>
    <definedName name="solver_rel10" localSheetId="1" hidden="1">2</definedName>
    <definedName name="solver_rel11" localSheetId="1" hidden="1">2</definedName>
    <definedName name="solver_rel12" localSheetId="1" hidden="1">2</definedName>
    <definedName name="solver_rel2" localSheetId="0" hidden="1">2</definedName>
    <definedName name="solver_rel2" localSheetId="1" hidden="1">2</definedName>
    <definedName name="solver_rel3" localSheetId="0" hidden="1">2</definedName>
    <definedName name="solver_rel3" localSheetId="1" hidden="1">2</definedName>
    <definedName name="solver_rel4" localSheetId="0" hidden="1">2</definedName>
    <definedName name="solver_rel4" localSheetId="1" hidden="1">2</definedName>
    <definedName name="solver_rel5" localSheetId="0" hidden="1">2</definedName>
    <definedName name="solver_rel5" localSheetId="1" hidden="1">2</definedName>
    <definedName name="solver_rel6" localSheetId="1" hidden="1">2</definedName>
    <definedName name="solver_rel7" localSheetId="1" hidden="1">2</definedName>
    <definedName name="solver_rel8" localSheetId="1" hidden="1">2</definedName>
    <definedName name="solver_rel9" localSheetId="1" hidden="1">2</definedName>
    <definedName name="solver_rhs1" localSheetId="0" hidden="1">0</definedName>
    <definedName name="solver_rhs1" localSheetId="1" hidden="1">0</definedName>
    <definedName name="solver_rhs10" localSheetId="1" hidden="1">0</definedName>
    <definedName name="solver_rhs11" localSheetId="1" hidden="1">0</definedName>
    <definedName name="solver_rhs12" localSheetId="1" hidden="1">0</definedName>
    <definedName name="solver_rhs2" localSheetId="0" hidden="1">0</definedName>
    <definedName name="solver_rhs2" localSheetId="1" hidden="1">0</definedName>
    <definedName name="solver_rhs3" localSheetId="0" hidden="1">0</definedName>
    <definedName name="solver_rhs3" localSheetId="1" hidden="1">0</definedName>
    <definedName name="solver_rhs4" localSheetId="0" hidden="1">0</definedName>
    <definedName name="solver_rhs4" localSheetId="1" hidden="1">0</definedName>
    <definedName name="solver_rhs5" localSheetId="0" hidden="1">0</definedName>
    <definedName name="solver_rhs5" localSheetId="1" hidden="1">0</definedName>
    <definedName name="solver_rhs6" localSheetId="1" hidden="1">0</definedName>
    <definedName name="solver_rhs7" localSheetId="1" hidden="1">0</definedName>
    <definedName name="solver_rhs8" localSheetId="1" hidden="1">0</definedName>
    <definedName name="solver_rhs9" localSheetId="1" hidden="1">0</definedName>
    <definedName name="solver_rlx" localSheetId="0" hidden="1">2</definedName>
    <definedName name="solver_rlx" localSheetId="1" hidden="1">2</definedName>
    <definedName name="solver_rsd" localSheetId="0" hidden="1">0</definedName>
    <definedName name="solver_rsd" localSheetId="1" hidden="1">0</definedName>
    <definedName name="solver_scl" localSheetId="0" hidden="1">1</definedName>
    <definedName name="solver_scl" localSheetId="1" hidden="1">1</definedName>
    <definedName name="solver_sho" localSheetId="0" hidden="1">2</definedName>
    <definedName name="solver_sho" localSheetId="1" hidden="1">2</definedName>
    <definedName name="solver_ssz" localSheetId="0" hidden="1">100</definedName>
    <definedName name="solver_ssz" localSheetId="1" hidden="1">100</definedName>
    <definedName name="solver_tim" localSheetId="0" hidden="1">2147483647</definedName>
    <definedName name="solver_tim" localSheetId="1" hidden="1">1000</definedName>
    <definedName name="solver_tol" localSheetId="0" hidden="1">0.01</definedName>
    <definedName name="solver_tol" localSheetId="1" hidden="1">0.01</definedName>
    <definedName name="solver_typ" localSheetId="0" hidden="1">3</definedName>
    <definedName name="solver_typ" localSheetId="1" hidden="1">3</definedName>
    <definedName name="solver_val" localSheetId="0" hidden="1">0</definedName>
    <definedName name="solver_val" localSheetId="1" hidden="1">0</definedName>
    <definedName name="solver_ver" localSheetId="0" hidden="1">3</definedName>
    <definedName name="solver_ver" localSheetId="1" hidden="1">3</definedName>
    <definedName name="T" localSheetId="0">Calibration!$C$55</definedName>
    <definedName name="T">Model!$C$55</definedName>
    <definedName name="Target">Model!$I$41</definedName>
    <definedName name="tauL" localSheetId="0">Calibration!$C$50:$D$50</definedName>
    <definedName name="tauL" localSheetId="1">Model!$C$50:$D$50</definedName>
    <definedName name="tauTS" localSheetId="0">Calibration!$C$52:$D$52</definedName>
    <definedName name="tauTS" localSheetId="1">Model!$C$52:$D$52</definedName>
    <definedName name="tauTS2" localSheetId="1">Model!$D$52</definedName>
    <definedName name="tauTVA" localSheetId="0">Calibration!$C$52:$D$52</definedName>
    <definedName name="tauTVA" localSheetId="1">Model!$C$52:$D$52</definedName>
    <definedName name="tauY" localSheetId="0">Calibration!$C$51:$D$51</definedName>
    <definedName name="tauY" localSheetId="1">Model!$C$51:$D$51</definedName>
    <definedName name="tEXC" localSheetId="0">Calibration!$C$53:$D$53</definedName>
    <definedName name="tEXC" localSheetId="1">Model!$C$53:$D$53</definedName>
    <definedName name="tEXC1" localSheetId="0">Calibration!$C$53</definedName>
    <definedName name="tEXC1" localSheetId="1">Model!$C$53</definedName>
    <definedName name="tEXC2" localSheetId="0">Calibration!$D$53</definedName>
    <definedName name="tEXC2" localSheetId="1">Model!$D$53</definedName>
    <definedName name="U" localSheetId="0">Calibration!$C$56</definedName>
    <definedName name="U" localSheetId="1">Model!$C$56</definedName>
    <definedName name="VARIABLES" localSheetId="0">Calibration!$C$114:$D$123</definedName>
    <definedName name="VARIABLES" localSheetId="1">Model!$C$80:$D$89</definedName>
    <definedName name="VOLUMES" localSheetId="0">Calibration!$C$37:$D$48</definedName>
    <definedName name="VOLUMES" localSheetId="1">Model!$C$37:$D$48</definedName>
    <definedName name="w" localSheetId="0">Calibration!$C$31:$D$31</definedName>
    <definedName name="w" localSheetId="1">Model!$C$31:$D$31</definedName>
    <definedName name="wE" localSheetId="1">Model!$D$31</definedName>
    <definedName name="wQ" localSheetId="1">Model!$C$31</definedName>
    <definedName name="X" localSheetId="0">Calibration!$C$44:$D$44</definedName>
    <definedName name="X" localSheetId="1">Model!$C$44:$D$44</definedName>
    <definedName name="XE" localSheetId="0">Calibration!$D$44</definedName>
    <definedName name="XE" localSheetId="1">Model!$D$44</definedName>
    <definedName name="Y" localSheetId="0">Calibration!$C$37:$D$37</definedName>
    <definedName name="Y" localSheetId="1">Model!$C$37:$D$37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81" i="35" l="1"/>
  <c r="AH81" i="35"/>
  <c r="AF81" i="35"/>
  <c r="AD81" i="35"/>
  <c r="AB81" i="35"/>
  <c r="V81" i="35"/>
  <c r="T81" i="35"/>
  <c r="R81" i="35"/>
  <c r="D81" i="35"/>
  <c r="B81" i="35"/>
  <c r="AV80" i="35"/>
  <c r="AT80" i="35"/>
  <c r="AR80" i="35"/>
  <c r="AP80" i="35"/>
  <c r="AH80" i="35"/>
  <c r="T80" i="35"/>
  <c r="R80" i="35"/>
  <c r="P80" i="35"/>
  <c r="N80" i="35"/>
  <c r="L80" i="35"/>
  <c r="D80" i="35"/>
  <c r="B80" i="35"/>
  <c r="AV79" i="35" a="1"/>
  <c r="AV79" i="35" s="1"/>
  <c r="AT79" i="35" a="1"/>
  <c r="AT79" i="35" s="1"/>
  <c r="AR79" i="35" a="1"/>
  <c r="AR79" i="35" s="1"/>
  <c r="AP79" i="35" a="1"/>
  <c r="AP79" i="35" s="1"/>
  <c r="AN79" i="35" a="1"/>
  <c r="AN79" i="35" s="1"/>
  <c r="AL79" i="35" a="1"/>
  <c r="AL79" i="35" s="1"/>
  <c r="AJ79" i="35"/>
  <c r="AJ79" i="35" a="1"/>
  <c r="AH79" i="35" a="1"/>
  <c r="AH79" i="35" s="1"/>
  <c r="AF79" i="35" a="1"/>
  <c r="AF79" i="35" s="1"/>
  <c r="AD79" i="35" a="1"/>
  <c r="AD79" i="35" s="1"/>
  <c r="AB79" i="35" a="1"/>
  <c r="AB79" i="35" s="1"/>
  <c r="Z79" i="35" a="1"/>
  <c r="Z79" i="35" s="1"/>
  <c r="X79" i="35" a="1"/>
  <c r="X79" i="35" s="1"/>
  <c r="V79" i="35" a="1"/>
  <c r="V79" i="35" s="1"/>
  <c r="T79" i="35" a="1"/>
  <c r="T79" i="35" s="1"/>
  <c r="R79" i="35" a="1"/>
  <c r="R79" i="35" s="1"/>
  <c r="P79" i="35" a="1"/>
  <c r="P79" i="35" s="1"/>
  <c r="N79" i="35" a="1"/>
  <c r="N79" i="35" s="1"/>
  <c r="L79" i="35" a="1"/>
  <c r="L79" i="35" s="1"/>
  <c r="J79" i="35" a="1"/>
  <c r="J79" i="35" s="1"/>
  <c r="H79" i="35" a="1"/>
  <c r="H79" i="35" s="1"/>
  <c r="F79" i="35" a="1"/>
  <c r="F79" i="35" s="1"/>
  <c r="D79" i="35" a="1"/>
  <c r="D79" i="35" s="1"/>
  <c r="B79" i="35" a="1"/>
  <c r="B79" i="35" s="1"/>
  <c r="AV78" i="35" a="1"/>
  <c r="AV78" i="35" s="1"/>
  <c r="AT78" i="35" a="1"/>
  <c r="AT78" i="35" s="1"/>
  <c r="AR78" i="35" a="1"/>
  <c r="AR78" i="35" s="1"/>
  <c r="AP78" i="35" a="1"/>
  <c r="AP78" i="35" s="1"/>
  <c r="AN78" i="35" a="1"/>
  <c r="AN78" i="35" s="1"/>
  <c r="AL78" i="35" a="1"/>
  <c r="AL78" i="35" s="1"/>
  <c r="AJ78" i="35" a="1"/>
  <c r="AJ78" i="35" s="1"/>
  <c r="AH78" i="35"/>
  <c r="AH78" i="35" a="1"/>
  <c r="AF78" i="35" a="1"/>
  <c r="AF78" i="35" s="1"/>
  <c r="AD78" i="35" a="1"/>
  <c r="AD78" i="35" s="1"/>
  <c r="AB78" i="35" a="1"/>
  <c r="AB78" i="35" s="1"/>
  <c r="Z78" i="35" a="1"/>
  <c r="Z78" i="35" s="1"/>
  <c r="X78" i="35" a="1"/>
  <c r="X78" i="35" s="1"/>
  <c r="V78" i="35" a="1"/>
  <c r="V78" i="35" s="1"/>
  <c r="T78" i="35" a="1"/>
  <c r="T78" i="35" s="1"/>
  <c r="R78" i="35" a="1"/>
  <c r="R78" i="35" s="1"/>
  <c r="P78" i="35" a="1"/>
  <c r="P78" i="35" s="1"/>
  <c r="N78" i="35" a="1"/>
  <c r="N78" i="35" s="1"/>
  <c r="L78" i="35" a="1"/>
  <c r="L78" i="35" s="1"/>
  <c r="J78" i="35" a="1"/>
  <c r="J78" i="35" s="1"/>
  <c r="H78" i="35" a="1"/>
  <c r="H78" i="35" s="1"/>
  <c r="F78" i="35" a="1"/>
  <c r="F78" i="35" s="1"/>
  <c r="D78" i="35" a="1"/>
  <c r="D78" i="35" s="1"/>
  <c r="B78" i="35" a="1"/>
  <c r="B78" i="35" s="1"/>
  <c r="AV77" i="35" a="1"/>
  <c r="AV77" i="35" s="1"/>
  <c r="AT77" i="35" a="1"/>
  <c r="AT77" i="35" s="1"/>
  <c r="AR77" i="35" a="1"/>
  <c r="AR77" i="35" s="1"/>
  <c r="AP77" i="35" a="1"/>
  <c r="AP77" i="35" s="1"/>
  <c r="AN77" i="35" a="1"/>
  <c r="AN77" i="35" s="1"/>
  <c r="AL77" i="35" a="1"/>
  <c r="AL77" i="35" s="1"/>
  <c r="AJ77" i="35" a="1"/>
  <c r="AJ77" i="35" s="1"/>
  <c r="AH77" i="35" a="1"/>
  <c r="AH77" i="35" s="1"/>
  <c r="AF77" i="35" a="1"/>
  <c r="AF77" i="35" s="1"/>
  <c r="AD77" i="35" a="1"/>
  <c r="AD77" i="35" s="1"/>
  <c r="AB77" i="35" a="1"/>
  <c r="AB77" i="35" s="1"/>
  <c r="Z77" i="35" a="1"/>
  <c r="Z77" i="35" s="1"/>
  <c r="X77" i="35" a="1"/>
  <c r="X77" i="35" s="1"/>
  <c r="V77" i="35" a="1"/>
  <c r="V77" i="35" s="1"/>
  <c r="T77" i="35" a="1"/>
  <c r="T77" i="35" s="1"/>
  <c r="R77" i="35" a="1"/>
  <c r="R77" i="35" s="1"/>
  <c r="P77" i="35" a="1"/>
  <c r="P77" i="35" s="1"/>
  <c r="N77" i="35" a="1"/>
  <c r="N77" i="35" s="1"/>
  <c r="L77" i="35" a="1"/>
  <c r="L77" i="35" s="1"/>
  <c r="J77" i="35" a="1"/>
  <c r="J77" i="35" s="1"/>
  <c r="H77" i="35" a="1"/>
  <c r="H77" i="35" s="1"/>
  <c r="F77" i="35" a="1"/>
  <c r="F77" i="35" s="1"/>
  <c r="D77" i="35"/>
  <c r="D77" i="35" a="1"/>
  <c r="B77" i="35" a="1"/>
  <c r="B77" i="35" s="1"/>
  <c r="AV76" i="35" a="1"/>
  <c r="AV76" i="35" s="1"/>
  <c r="AT76" i="35" a="1"/>
  <c r="AT76" i="35" s="1"/>
  <c r="AR76" i="35" a="1"/>
  <c r="AR76" i="35" s="1"/>
  <c r="AP76" i="35" a="1"/>
  <c r="AP76" i="35" s="1"/>
  <c r="AN76" i="35" a="1"/>
  <c r="AN76" i="35" s="1"/>
  <c r="AL76" i="35" a="1"/>
  <c r="AL76" i="35" s="1"/>
  <c r="AJ76" i="35"/>
  <c r="AJ76" i="35" a="1"/>
  <c r="AH76" i="35"/>
  <c r="AH76" i="35" a="1"/>
  <c r="AF76" i="35" a="1"/>
  <c r="AF76" i="35" s="1"/>
  <c r="AD76" i="35" a="1"/>
  <c r="AD76" i="35" s="1"/>
  <c r="AB76" i="35" a="1"/>
  <c r="AB76" i="35" s="1"/>
  <c r="Z76" i="35" a="1"/>
  <c r="Z76" i="35" s="1"/>
  <c r="X76" i="35" a="1"/>
  <c r="X76" i="35" s="1"/>
  <c r="V76" i="35" a="1"/>
  <c r="V76" i="35" s="1"/>
  <c r="T76" i="35" a="1"/>
  <c r="T76" i="35" s="1"/>
  <c r="R76" i="35" a="1"/>
  <c r="R76" i="35" s="1"/>
  <c r="P76" i="35" a="1"/>
  <c r="P76" i="35" s="1"/>
  <c r="N76" i="35" a="1"/>
  <c r="N76" i="35" s="1"/>
  <c r="L76" i="35" a="1"/>
  <c r="L76" i="35" s="1"/>
  <c r="J76" i="35" a="1"/>
  <c r="J76" i="35" s="1"/>
  <c r="H76" i="35" a="1"/>
  <c r="H76" i="35" s="1"/>
  <c r="F76" i="35" a="1"/>
  <c r="F76" i="35" s="1"/>
  <c r="D76" i="35" a="1"/>
  <c r="D76" i="35" s="1"/>
  <c r="B76" i="35"/>
  <c r="B76" i="35" a="1"/>
  <c r="AV75" i="35" a="1"/>
  <c r="AV75" i="35" s="1"/>
  <c r="AT75" i="35" a="1"/>
  <c r="AT75" i="35" s="1"/>
  <c r="AR75" i="35" a="1"/>
  <c r="AR75" i="35" s="1"/>
  <c r="AP75" i="35" a="1"/>
  <c r="AP75" i="35" s="1"/>
  <c r="AN75" i="35" a="1"/>
  <c r="AN75" i="35" s="1"/>
  <c r="AL75" i="35" a="1"/>
  <c r="AL75" i="35" s="1"/>
  <c r="AJ75" i="35" a="1"/>
  <c r="AJ75" i="35" s="1"/>
  <c r="AH75" i="35"/>
  <c r="AH75" i="35" a="1"/>
  <c r="AF75" i="35" a="1"/>
  <c r="AF75" i="35" s="1"/>
  <c r="AD75" i="35" a="1"/>
  <c r="AD75" i="35" s="1"/>
  <c r="AB75" i="35" a="1"/>
  <c r="AB75" i="35" s="1"/>
  <c r="Z75" i="35" a="1"/>
  <c r="Z75" i="35" s="1"/>
  <c r="X75" i="35" a="1"/>
  <c r="X75" i="35" s="1"/>
  <c r="V75" i="35" a="1"/>
  <c r="V75" i="35" s="1"/>
  <c r="T75" i="35" a="1"/>
  <c r="T75" i="35" s="1"/>
  <c r="R75" i="35" a="1"/>
  <c r="R75" i="35" s="1"/>
  <c r="P75" i="35" a="1"/>
  <c r="P75" i="35" s="1"/>
  <c r="N75" i="35" a="1"/>
  <c r="N75" i="35" s="1"/>
  <c r="L75" i="35" a="1"/>
  <c r="L75" i="35" s="1"/>
  <c r="J75" i="35" a="1"/>
  <c r="J75" i="35" s="1"/>
  <c r="H75" i="35" a="1"/>
  <c r="H75" i="35" s="1"/>
  <c r="F75" i="35" a="1"/>
  <c r="F75" i="35" s="1"/>
  <c r="D75" i="35" a="1"/>
  <c r="D75" i="35" s="1"/>
  <c r="B75" i="35"/>
  <c r="B75" i="35" a="1"/>
  <c r="AV74" i="35" a="1"/>
  <c r="AV74" i="35" s="1"/>
  <c r="AT74" i="35" a="1"/>
  <c r="AT74" i="35" s="1"/>
  <c r="AR74" i="35" a="1"/>
  <c r="AR74" i="35" s="1"/>
  <c r="AP74" i="35" a="1"/>
  <c r="AP74" i="35" s="1"/>
  <c r="AN74" i="35" a="1"/>
  <c r="AN74" i="35" s="1"/>
  <c r="AL74" i="35" a="1"/>
  <c r="AL74" i="35" s="1"/>
  <c r="AJ74" i="35" a="1"/>
  <c r="AJ74" i="35" s="1"/>
  <c r="AH74" i="35" a="1"/>
  <c r="AH74" i="35" s="1"/>
  <c r="AF74" i="35" a="1"/>
  <c r="AF74" i="35" s="1"/>
  <c r="AD74" i="35" a="1"/>
  <c r="AD74" i="35" s="1"/>
  <c r="AB74" i="35" a="1"/>
  <c r="AB74" i="35" s="1"/>
  <c r="Z74" i="35" a="1"/>
  <c r="Z74" i="35" s="1"/>
  <c r="X74" i="35" a="1"/>
  <c r="X74" i="35" s="1"/>
  <c r="V74" i="35" a="1"/>
  <c r="V74" i="35" s="1"/>
  <c r="T74" i="35" a="1"/>
  <c r="T74" i="35" s="1"/>
  <c r="R74" i="35" a="1"/>
  <c r="R74" i="35" s="1"/>
  <c r="P74" i="35" a="1"/>
  <c r="P74" i="35" s="1"/>
  <c r="N74" i="35" a="1"/>
  <c r="N74" i="35" s="1"/>
  <c r="L74" i="35" a="1"/>
  <c r="L74" i="35" s="1"/>
  <c r="J74" i="35" a="1"/>
  <c r="J74" i="35" s="1"/>
  <c r="H74" i="35" a="1"/>
  <c r="H74" i="35" s="1"/>
  <c r="F74" i="35"/>
  <c r="F74" i="35" a="1"/>
  <c r="D74" i="35" a="1"/>
  <c r="D74" i="35" s="1"/>
  <c r="B74" i="35" a="1"/>
  <c r="B74" i="35" s="1"/>
  <c r="AV73" i="35" a="1"/>
  <c r="AV73" i="35" s="1"/>
  <c r="AT73" i="35" a="1"/>
  <c r="AT73" i="35" s="1"/>
  <c r="AR73" i="35" a="1"/>
  <c r="AR73" i="35" s="1"/>
  <c r="AP73" i="35" a="1"/>
  <c r="AP73" i="35" s="1"/>
  <c r="AN73" i="35" a="1"/>
  <c r="AN73" i="35" s="1"/>
  <c r="AL73" i="35" a="1"/>
  <c r="AL73" i="35" s="1"/>
  <c r="AJ73" i="35" a="1"/>
  <c r="AJ73" i="35" s="1"/>
  <c r="AH73" i="35" a="1"/>
  <c r="AH73" i="35" s="1"/>
  <c r="AF73" i="35" a="1"/>
  <c r="AF73" i="35" s="1"/>
  <c r="AD73" i="35" a="1"/>
  <c r="AD73" i="35" s="1"/>
  <c r="AB73" i="35" a="1"/>
  <c r="AB73" i="35" s="1"/>
  <c r="Z73" i="35" a="1"/>
  <c r="Z73" i="35" s="1"/>
  <c r="X73" i="35" a="1"/>
  <c r="X73" i="35" s="1"/>
  <c r="V73" i="35"/>
  <c r="V73" i="35" a="1"/>
  <c r="T73" i="35" a="1"/>
  <c r="T73" i="35" s="1"/>
  <c r="R73" i="35" a="1"/>
  <c r="R73" i="35" s="1"/>
  <c r="P73" i="35" a="1"/>
  <c r="P73" i="35" s="1"/>
  <c r="N73" i="35" a="1"/>
  <c r="N73" i="35" s="1"/>
  <c r="L73" i="35" a="1"/>
  <c r="L73" i="35" s="1"/>
  <c r="J73" i="35" a="1"/>
  <c r="J73" i="35" s="1"/>
  <c r="H73" i="35" a="1"/>
  <c r="H73" i="35" s="1"/>
  <c r="F73" i="35" a="1"/>
  <c r="F73" i="35" s="1"/>
  <c r="D73" i="35" a="1"/>
  <c r="D73" i="35" s="1"/>
  <c r="B73" i="35"/>
  <c r="B73" i="35" a="1"/>
  <c r="AV72" i="35"/>
  <c r="AT72" i="35"/>
  <c r="AR72" i="35"/>
  <c r="AP72" i="35"/>
  <c r="AN72" i="35"/>
  <c r="AL72" i="35"/>
  <c r="AJ72" i="35"/>
  <c r="AH72" i="35"/>
  <c r="AF72" i="35"/>
  <c r="AD72" i="35"/>
  <c r="AB72" i="35"/>
  <c r="Z72" i="35"/>
  <c r="X72" i="35"/>
  <c r="V72" i="35"/>
  <c r="T72" i="35"/>
  <c r="R72" i="35"/>
  <c r="P72" i="35"/>
  <c r="N72" i="35"/>
  <c r="L72" i="35"/>
  <c r="J72" i="35"/>
  <c r="H72" i="35"/>
  <c r="F72" i="35"/>
  <c r="D72" i="35"/>
  <c r="B72" i="35"/>
  <c r="AV71" i="35"/>
  <c r="AT71" i="35"/>
  <c r="AR71" i="35"/>
  <c r="AP71" i="35"/>
  <c r="AN71" i="35"/>
  <c r="AL71" i="35"/>
  <c r="AJ71" i="35"/>
  <c r="AH71" i="35"/>
  <c r="AF71" i="35"/>
  <c r="AD71" i="35"/>
  <c r="AB71" i="35"/>
  <c r="Z71" i="35"/>
  <c r="X71" i="35"/>
  <c r="V71" i="35"/>
  <c r="T71" i="35"/>
  <c r="R71" i="35"/>
  <c r="P71" i="35"/>
  <c r="N71" i="35"/>
  <c r="L71" i="35"/>
  <c r="J71" i="35"/>
  <c r="H71" i="35"/>
  <c r="F71" i="35"/>
  <c r="D71" i="35"/>
  <c r="B71" i="35"/>
  <c r="AV70" i="35"/>
  <c r="AT70" i="35"/>
  <c r="AR70" i="35"/>
  <c r="AP70" i="35"/>
  <c r="AN70" i="35"/>
  <c r="AL70" i="35"/>
  <c r="AJ70" i="35"/>
  <c r="AH70" i="35"/>
  <c r="AF70" i="35"/>
  <c r="AD70" i="35"/>
  <c r="AB70" i="35"/>
  <c r="Z70" i="35"/>
  <c r="X70" i="35"/>
  <c r="V70" i="35"/>
  <c r="T70" i="35"/>
  <c r="R70" i="35"/>
  <c r="P70" i="35"/>
  <c r="N70" i="35"/>
  <c r="L70" i="35"/>
  <c r="J70" i="35"/>
  <c r="H70" i="35"/>
  <c r="F70" i="35"/>
  <c r="D70" i="35"/>
  <c r="B70" i="35"/>
  <c r="AR69" i="35"/>
  <c r="F69" i="35"/>
  <c r="D69" i="35"/>
  <c r="B69" i="35"/>
  <c r="X68" i="35"/>
  <c r="V68" i="35"/>
  <c r="T68" i="35"/>
  <c r="R68" i="35"/>
  <c r="AV67" i="35" a="1"/>
  <c r="AV67" i="35" s="1"/>
  <c r="AT67" i="35" a="1"/>
  <c r="AT67" i="35" s="1"/>
  <c r="AR67" i="35" a="1"/>
  <c r="AR67" i="35" s="1"/>
  <c r="AP67" i="35"/>
  <c r="AP67" i="35" a="1"/>
  <c r="AN67" i="35" a="1"/>
  <c r="AN67" i="35" s="1"/>
  <c r="AL67" i="35" a="1"/>
  <c r="AL67" i="35" s="1"/>
  <c r="AJ67" i="35" a="1"/>
  <c r="AJ67" i="35" s="1"/>
  <c r="AH67" i="35" a="1"/>
  <c r="AH67" i="35" s="1"/>
  <c r="AF67" i="35" a="1"/>
  <c r="AF67" i="35" s="1"/>
  <c r="AD67" i="35" a="1"/>
  <c r="AD67" i="35" s="1"/>
  <c r="AB67" i="35" a="1"/>
  <c r="AB67" i="35" s="1"/>
  <c r="Z67" i="35" a="1"/>
  <c r="Z67" i="35" s="1"/>
  <c r="X67" i="35" a="1"/>
  <c r="X67" i="35" s="1"/>
  <c r="V67" i="35" a="1"/>
  <c r="V67" i="35" s="1"/>
  <c r="T67" i="35" a="1"/>
  <c r="T67" i="35" s="1"/>
  <c r="R67" i="35" a="1"/>
  <c r="R67" i="35" s="1"/>
  <c r="P67" i="35" a="1"/>
  <c r="P67" i="35" s="1"/>
  <c r="N67" i="35" a="1"/>
  <c r="N67" i="35" s="1"/>
  <c r="L67" i="35" a="1"/>
  <c r="L67" i="35" s="1"/>
  <c r="J67" i="35" a="1"/>
  <c r="J67" i="35" s="1"/>
  <c r="H67" i="35" a="1"/>
  <c r="H67" i="35" s="1"/>
  <c r="F67" i="35" a="1"/>
  <c r="F67" i="35" s="1"/>
  <c r="D67" i="35" a="1"/>
  <c r="D67" i="35" s="1"/>
  <c r="B67" i="35" a="1"/>
  <c r="B67" i="35" s="1"/>
  <c r="AV66" i="35" a="1"/>
  <c r="AV66" i="35" s="1"/>
  <c r="AV68" i="35" s="1"/>
  <c r="AT66" i="35" a="1"/>
  <c r="AT66" i="35" s="1"/>
  <c r="AR66" i="35"/>
  <c r="AR66" i="35" a="1"/>
  <c r="AP66" i="35" a="1"/>
  <c r="AP66" i="35" s="1"/>
  <c r="AP68" i="35" s="1"/>
  <c r="AN66" i="35" a="1"/>
  <c r="AN66" i="35" s="1"/>
  <c r="AN68" i="35" s="1"/>
  <c r="AL66" i="35" a="1"/>
  <c r="AL66" i="35" s="1"/>
  <c r="AL68" i="35" s="1"/>
  <c r="AJ66" i="35" a="1"/>
  <c r="AJ66" i="35" s="1"/>
  <c r="AJ68" i="35" s="1"/>
  <c r="AH66" i="35" a="1"/>
  <c r="AH66" i="35" s="1"/>
  <c r="AH68" i="35" s="1"/>
  <c r="AF66" i="35" a="1"/>
  <c r="AF66" i="35" s="1"/>
  <c r="AF68" i="35" s="1"/>
  <c r="AD66" i="35" a="1"/>
  <c r="AD66" i="35" s="1"/>
  <c r="AD68" i="35" s="1"/>
  <c r="AB66" i="35"/>
  <c r="AB68" i="35" s="1"/>
  <c r="AB66" i="35" a="1"/>
  <c r="Z66" i="35" a="1"/>
  <c r="Z66" i="35" s="1"/>
  <c r="Z68" i="35" s="1"/>
  <c r="X66" i="35" a="1"/>
  <c r="X66" i="35" s="1"/>
  <c r="V66" i="35" a="1"/>
  <c r="V66" i="35" s="1"/>
  <c r="T66" i="35" a="1"/>
  <c r="T66" i="35" s="1"/>
  <c r="R66" i="35" a="1"/>
  <c r="R66" i="35" s="1"/>
  <c r="P66" i="35" a="1"/>
  <c r="P66" i="35" s="1"/>
  <c r="P68" i="35" s="1"/>
  <c r="N66" i="35" a="1"/>
  <c r="N66" i="35" s="1"/>
  <c r="L66" i="35" a="1"/>
  <c r="L66" i="35" s="1"/>
  <c r="J66" i="35" a="1"/>
  <c r="J66" i="35" s="1"/>
  <c r="H66" i="35" a="1"/>
  <c r="H66" i="35" s="1"/>
  <c r="H68" i="35" s="1"/>
  <c r="F66" i="35" a="1"/>
  <c r="F66" i="35" s="1"/>
  <c r="F68" i="35" s="1"/>
  <c r="D66" i="35" a="1"/>
  <c r="D66" i="35" s="1"/>
  <c r="B66" i="35" a="1"/>
  <c r="B66" i="35" s="1"/>
  <c r="B68" i="35" s="1"/>
  <c r="AV65" i="35" a="1"/>
  <c r="AV65" i="35" s="1"/>
  <c r="AV69" i="35" s="1"/>
  <c r="AT65" i="35" a="1"/>
  <c r="AT65" i="35" s="1"/>
  <c r="AT69" i="35" s="1"/>
  <c r="AR65" i="35"/>
  <c r="AR65" i="35" a="1"/>
  <c r="AP65" i="35" a="1"/>
  <c r="AP65" i="35" s="1"/>
  <c r="AP69" i="35" s="1"/>
  <c r="AN65" i="35" a="1"/>
  <c r="AN65" i="35" s="1"/>
  <c r="AN69" i="35" s="1"/>
  <c r="AL65" i="35" a="1"/>
  <c r="AL65" i="35" s="1"/>
  <c r="AL69" i="35" s="1"/>
  <c r="AJ65" i="35" a="1"/>
  <c r="AJ65" i="35" s="1"/>
  <c r="AJ69" i="35" s="1"/>
  <c r="AH65" i="35" a="1"/>
  <c r="AH65" i="35" s="1"/>
  <c r="AH69" i="35" s="1"/>
  <c r="AF65" i="35" a="1"/>
  <c r="AF65" i="35" s="1"/>
  <c r="AF69" i="35" s="1"/>
  <c r="AD65" i="35" a="1"/>
  <c r="AD65" i="35" s="1"/>
  <c r="AD69" i="35" s="1"/>
  <c r="AB65" i="35" a="1"/>
  <c r="AB65" i="35" s="1"/>
  <c r="AB69" i="35" s="1"/>
  <c r="Z65" i="35" a="1"/>
  <c r="Z65" i="35" s="1"/>
  <c r="Z69" i="35" s="1"/>
  <c r="X65" i="35" a="1"/>
  <c r="X65" i="35" s="1"/>
  <c r="X69" i="35" s="1"/>
  <c r="V65" i="35" a="1"/>
  <c r="V65" i="35" s="1"/>
  <c r="V69" i="35" s="1"/>
  <c r="T65" i="35" a="1"/>
  <c r="T65" i="35" s="1"/>
  <c r="T69" i="35" s="1"/>
  <c r="R65" i="35" a="1"/>
  <c r="R65" i="35" s="1"/>
  <c r="R69" i="35" s="1"/>
  <c r="P65" i="35" a="1"/>
  <c r="P65" i="35" s="1"/>
  <c r="P69" i="35" s="1"/>
  <c r="N65" i="35" a="1"/>
  <c r="N65" i="35" s="1"/>
  <c r="N69" i="35" s="1"/>
  <c r="L65" i="35" a="1"/>
  <c r="L65" i="35" s="1"/>
  <c r="L69" i="35" s="1"/>
  <c r="J65" i="35" a="1"/>
  <c r="J65" i="35" s="1"/>
  <c r="J69" i="35" s="1"/>
  <c r="H65" i="35" a="1"/>
  <c r="H65" i="35" s="1"/>
  <c r="H69" i="35" s="1"/>
  <c r="F65" i="35" a="1"/>
  <c r="F65" i="35" s="1"/>
  <c r="D65" i="35" a="1"/>
  <c r="D65" i="35" s="1"/>
  <c r="B65" i="35"/>
  <c r="AV62" i="35"/>
  <c r="AT62" i="35"/>
  <c r="AR62" i="35"/>
  <c r="AP62" i="35"/>
  <c r="AN62" i="35"/>
  <c r="AL62" i="35"/>
  <c r="AJ62" i="35"/>
  <c r="AH62" i="35"/>
  <c r="AF62" i="35"/>
  <c r="AD62" i="35"/>
  <c r="AB62" i="35"/>
  <c r="Z62" i="35"/>
  <c r="X62" i="35"/>
  <c r="V62" i="35"/>
  <c r="T62" i="35"/>
  <c r="R62" i="35"/>
  <c r="P62" i="35"/>
  <c r="N62" i="35"/>
  <c r="L62" i="35"/>
  <c r="J62" i="35"/>
  <c r="H62" i="35"/>
  <c r="F62" i="35"/>
  <c r="D62" i="35"/>
  <c r="B62" i="35"/>
  <c r="AV60" i="35"/>
  <c r="AT60" i="35"/>
  <c r="AR60" i="35"/>
  <c r="AP60" i="35"/>
  <c r="AN60" i="35"/>
  <c r="AL60" i="35"/>
  <c r="AJ60" i="35"/>
  <c r="AH60" i="35"/>
  <c r="AF60" i="35"/>
  <c r="AD60" i="35"/>
  <c r="AB60" i="35"/>
  <c r="Z60" i="35"/>
  <c r="X60" i="35"/>
  <c r="V60" i="35"/>
  <c r="T60" i="35"/>
  <c r="R60" i="35"/>
  <c r="P60" i="35"/>
  <c r="N60" i="35"/>
  <c r="L60" i="35"/>
  <c r="J60" i="35"/>
  <c r="H60" i="35"/>
  <c r="F60" i="35"/>
  <c r="D60" i="35"/>
  <c r="B60" i="35"/>
  <c r="AV59" i="35"/>
  <c r="AT59" i="35"/>
  <c r="AR59" i="35"/>
  <c r="AP59" i="35"/>
  <c r="AN59" i="35"/>
  <c r="AL59" i="35"/>
  <c r="AJ59" i="35"/>
  <c r="AH59" i="35"/>
  <c r="AF59" i="35"/>
  <c r="AD59" i="35"/>
  <c r="AB59" i="35"/>
  <c r="Z59" i="35"/>
  <c r="X59" i="35"/>
  <c r="V59" i="35"/>
  <c r="T59" i="35"/>
  <c r="R59" i="35"/>
  <c r="P59" i="35"/>
  <c r="N59" i="35"/>
  <c r="L59" i="35"/>
  <c r="J59" i="35"/>
  <c r="H59" i="35"/>
  <c r="F59" i="35"/>
  <c r="D59" i="35"/>
  <c r="B59" i="35"/>
  <c r="AV58" i="35"/>
  <c r="AV58" i="35" a="1"/>
  <c r="AT58" i="35"/>
  <c r="AT58" i="35" a="1"/>
  <c r="AR58" i="35"/>
  <c r="AR58" i="35" a="1"/>
  <c r="AP58" i="35" a="1"/>
  <c r="AP58" i="35" s="1"/>
  <c r="AN58" i="35" a="1"/>
  <c r="AN58" i="35" s="1"/>
  <c r="AL58" i="35" a="1"/>
  <c r="AL58" i="35" s="1"/>
  <c r="AJ58" i="35"/>
  <c r="AJ58" i="35" a="1"/>
  <c r="AH58" i="35" a="1"/>
  <c r="AH58" i="35" s="1"/>
  <c r="AF58" i="35"/>
  <c r="AF58" i="35" a="1"/>
  <c r="AD58" i="35"/>
  <c r="AD58" i="35" a="1"/>
  <c r="AB58" i="35"/>
  <c r="AB58" i="35" a="1"/>
  <c r="Z58" i="35" a="1"/>
  <c r="Z58" i="35" s="1"/>
  <c r="X58" i="35" a="1"/>
  <c r="X58" i="35" s="1"/>
  <c r="V58" i="35" a="1"/>
  <c r="V58" i="35" s="1"/>
  <c r="T58" i="35" a="1"/>
  <c r="T58" i="35" s="1"/>
  <c r="R58" i="35" a="1"/>
  <c r="R58" i="35" s="1"/>
  <c r="P58" i="35"/>
  <c r="P58" i="35" a="1"/>
  <c r="N58" i="35"/>
  <c r="N58" i="35" a="1"/>
  <c r="L58" i="35" a="1"/>
  <c r="L58" i="35" s="1"/>
  <c r="J58" i="35" a="1"/>
  <c r="J58" i="35" s="1"/>
  <c r="H58" i="35" a="1"/>
  <c r="H58" i="35" s="1"/>
  <c r="F58" i="35" a="1"/>
  <c r="F58" i="35" s="1"/>
  <c r="D58" i="35" a="1"/>
  <c r="D58" i="35" s="1"/>
  <c r="B58" i="35"/>
  <c r="B58" i="35" a="1"/>
  <c r="AV57" i="35"/>
  <c r="AV57" i="35" a="1"/>
  <c r="AT57" i="35" a="1"/>
  <c r="AT57" i="35" s="1"/>
  <c r="AR57" i="35" a="1"/>
  <c r="AR57" i="35" s="1"/>
  <c r="AP57" i="35" a="1"/>
  <c r="AP57" i="35" s="1"/>
  <c r="AN57" i="35" a="1"/>
  <c r="AN57" i="35" s="1"/>
  <c r="AL57" i="35" a="1"/>
  <c r="AL57" i="35" s="1"/>
  <c r="AJ57" i="35" a="1"/>
  <c r="AJ57" i="35" s="1"/>
  <c r="AH57" i="35" a="1"/>
  <c r="AH57" i="35" s="1"/>
  <c r="AF57" i="35"/>
  <c r="AF57" i="35" a="1"/>
  <c r="AD57" i="35" a="1"/>
  <c r="AD57" i="35" s="1"/>
  <c r="AB57" i="35" a="1"/>
  <c r="AB57" i="35" s="1"/>
  <c r="Z57" i="35" a="1"/>
  <c r="Z57" i="35" s="1"/>
  <c r="X57" i="35" a="1"/>
  <c r="X57" i="35" s="1"/>
  <c r="V57" i="35" a="1"/>
  <c r="V57" i="35" s="1"/>
  <c r="T57" i="35" a="1"/>
  <c r="T57" i="35" s="1"/>
  <c r="R57" i="35"/>
  <c r="R57" i="35" a="1"/>
  <c r="P57" i="35"/>
  <c r="P57" i="35" a="1"/>
  <c r="N57" i="35" a="1"/>
  <c r="N57" i="35" s="1"/>
  <c r="L57" i="35" a="1"/>
  <c r="L57" i="35" s="1"/>
  <c r="J57" i="35" a="1"/>
  <c r="J57" i="35" s="1"/>
  <c r="H57" i="35" a="1"/>
  <c r="H57" i="35" s="1"/>
  <c r="F57" i="35" a="1"/>
  <c r="F57" i="35" s="1"/>
  <c r="D57" i="35" a="1"/>
  <c r="D57" i="35" s="1"/>
  <c r="B57" i="35" a="1"/>
  <c r="B57" i="35" s="1"/>
  <c r="AV56" i="35"/>
  <c r="AT56" i="35"/>
  <c r="AR56" i="35"/>
  <c r="AP56" i="35"/>
  <c r="AN56" i="35"/>
  <c r="AL56" i="35"/>
  <c r="AJ56" i="35"/>
  <c r="AH56" i="35"/>
  <c r="AF56" i="35"/>
  <c r="AD56" i="35"/>
  <c r="AB56" i="35"/>
  <c r="Z56" i="35"/>
  <c r="X56" i="35"/>
  <c r="V56" i="35"/>
  <c r="T56" i="35"/>
  <c r="R56" i="35"/>
  <c r="P56" i="35"/>
  <c r="N56" i="35"/>
  <c r="L56" i="35"/>
  <c r="J56" i="35"/>
  <c r="H56" i="35"/>
  <c r="F56" i="35"/>
  <c r="D56" i="35"/>
  <c r="B56" i="35"/>
  <c r="AV55" i="35"/>
  <c r="AT55" i="35"/>
  <c r="AR55" i="35"/>
  <c r="AP55" i="35"/>
  <c r="AN55" i="35"/>
  <c r="AN80" i="35" s="1"/>
  <c r="AL55" i="35"/>
  <c r="AL80" i="35" s="1"/>
  <c r="AJ55" i="35"/>
  <c r="AJ80" i="35" s="1"/>
  <c r="AH55" i="35"/>
  <c r="AF55" i="35"/>
  <c r="AF80" i="35" s="1"/>
  <c r="AD55" i="35"/>
  <c r="AD80" i="35" s="1"/>
  <c r="AB55" i="35"/>
  <c r="AB80" i="35" s="1"/>
  <c r="Z55" i="35"/>
  <c r="Z80" i="35" s="1"/>
  <c r="X55" i="35"/>
  <c r="X80" i="35" s="1"/>
  <c r="V55" i="35"/>
  <c r="V80" i="35" s="1"/>
  <c r="T55" i="35"/>
  <c r="R55" i="35"/>
  <c r="P55" i="35"/>
  <c r="N55" i="35"/>
  <c r="L55" i="35"/>
  <c r="J55" i="35"/>
  <c r="J80" i="35" s="1"/>
  <c r="H55" i="35"/>
  <c r="H80" i="35" s="1"/>
  <c r="F55" i="35"/>
  <c r="F80" i="35" s="1"/>
  <c r="D55" i="35"/>
  <c r="B55" i="35"/>
  <c r="AV53" i="35"/>
  <c r="AV83" i="35" s="1"/>
  <c r="AV53" i="35" a="1"/>
  <c r="AT53" i="35" a="1"/>
  <c r="AT53" i="35" s="1"/>
  <c r="AT83" i="35" s="1"/>
  <c r="AR53" i="35" a="1"/>
  <c r="AR53" i="35" s="1"/>
  <c r="AR83" i="35" s="1"/>
  <c r="AP53" i="35" a="1"/>
  <c r="AP53" i="35" s="1"/>
  <c r="AP83" i="35" s="1"/>
  <c r="AN53" i="35" a="1"/>
  <c r="AN53" i="35" s="1"/>
  <c r="AN83" i="35" s="1"/>
  <c r="AL53" i="35" a="1"/>
  <c r="AL53" i="35" s="1"/>
  <c r="AL83" i="35" s="1"/>
  <c r="AJ53" i="35" a="1"/>
  <c r="AJ53" i="35" s="1"/>
  <c r="AJ83" i="35" s="1"/>
  <c r="AH53" i="35" a="1"/>
  <c r="AH53" i="35" s="1"/>
  <c r="AH83" i="35" s="1"/>
  <c r="AF53" i="35"/>
  <c r="AF83" i="35" s="1"/>
  <c r="AF53" i="35" a="1"/>
  <c r="AD53" i="35" a="1"/>
  <c r="AD53" i="35" s="1"/>
  <c r="AD83" i="35" s="1"/>
  <c r="AB53" i="35" a="1"/>
  <c r="AB53" i="35" s="1"/>
  <c r="AB83" i="35" s="1"/>
  <c r="Z53" i="35" a="1"/>
  <c r="Z53" i="35" s="1"/>
  <c r="Z83" i="35" s="1"/>
  <c r="X53" i="35" a="1"/>
  <c r="X53" i="35" s="1"/>
  <c r="X83" i="35" s="1"/>
  <c r="V53" i="35" a="1"/>
  <c r="V53" i="35" s="1"/>
  <c r="V83" i="35" s="1"/>
  <c r="T53" i="35"/>
  <c r="T83" i="35" s="1"/>
  <c r="T53" i="35" a="1"/>
  <c r="R53" i="35" a="1"/>
  <c r="R53" i="35" s="1"/>
  <c r="R83" i="35" s="1"/>
  <c r="P53" i="35"/>
  <c r="P83" i="35" s="1"/>
  <c r="P53" i="35" a="1"/>
  <c r="N53" i="35" a="1"/>
  <c r="N53" i="35" s="1"/>
  <c r="N83" i="35" s="1"/>
  <c r="L53" i="35" a="1"/>
  <c r="L53" i="35" s="1"/>
  <c r="L83" i="35" s="1"/>
  <c r="J53" i="35" a="1"/>
  <c r="J53" i="35" s="1"/>
  <c r="J83" i="35" s="1"/>
  <c r="H53" i="35" a="1"/>
  <c r="H53" i="35" s="1"/>
  <c r="H83" i="35" s="1"/>
  <c r="F53" i="35" a="1"/>
  <c r="F53" i="35" s="1"/>
  <c r="F83" i="35" s="1"/>
  <c r="D53" i="35"/>
  <c r="D83" i="35" s="1"/>
  <c r="D53" i="35" a="1"/>
  <c r="B53" i="35" a="1"/>
  <c r="B53" i="35" s="1"/>
  <c r="B83" i="35" s="1"/>
  <c r="AV52" i="35"/>
  <c r="AV82" i="35" s="1"/>
  <c r="AV52" i="35" a="1"/>
  <c r="AT52" i="35" a="1"/>
  <c r="AT52" i="35" s="1"/>
  <c r="AT82" i="35" s="1"/>
  <c r="AR52" i="35" a="1"/>
  <c r="AR52" i="35" s="1"/>
  <c r="AR82" i="35" s="1"/>
  <c r="AP52" i="35" a="1"/>
  <c r="AP52" i="35" s="1"/>
  <c r="AP82" i="35" s="1"/>
  <c r="AN52" i="35" a="1"/>
  <c r="AN52" i="35" s="1"/>
  <c r="AN82" i="35" s="1"/>
  <c r="AL52" i="35" a="1"/>
  <c r="AL52" i="35" s="1"/>
  <c r="AL82" i="35" s="1"/>
  <c r="AJ52" i="35" a="1"/>
  <c r="AJ52" i="35" s="1"/>
  <c r="AJ82" i="35" s="1"/>
  <c r="AH52" i="35" a="1"/>
  <c r="AH52" i="35" s="1"/>
  <c r="AH82" i="35" s="1"/>
  <c r="AF52" i="35"/>
  <c r="AF82" i="35" s="1"/>
  <c r="AF52" i="35" a="1"/>
  <c r="AD52" i="35" a="1"/>
  <c r="AD52" i="35" s="1"/>
  <c r="AD82" i="35" s="1"/>
  <c r="AB52" i="35" a="1"/>
  <c r="AB52" i="35" s="1"/>
  <c r="AB82" i="35" s="1"/>
  <c r="Z52" i="35" a="1"/>
  <c r="Z52" i="35" s="1"/>
  <c r="Z82" i="35" s="1"/>
  <c r="X52" i="35" a="1"/>
  <c r="X52" i="35" s="1"/>
  <c r="X82" i="35" s="1"/>
  <c r="V52" i="35" a="1"/>
  <c r="V52" i="35" s="1"/>
  <c r="V82" i="35" s="1"/>
  <c r="T52" i="35"/>
  <c r="T82" i="35" s="1"/>
  <c r="T52" i="35" a="1"/>
  <c r="R52" i="35" a="1"/>
  <c r="R52" i="35" s="1"/>
  <c r="R82" i="35" s="1"/>
  <c r="P52" i="35"/>
  <c r="P82" i="35" s="1"/>
  <c r="P52" i="35" a="1"/>
  <c r="N52" i="35" a="1"/>
  <c r="N52" i="35" s="1"/>
  <c r="N82" i="35" s="1"/>
  <c r="L52" i="35" a="1"/>
  <c r="L52" i="35" s="1"/>
  <c r="L82" i="35" s="1"/>
  <c r="J52" i="35" a="1"/>
  <c r="J52" i="35" s="1"/>
  <c r="J82" i="35" s="1"/>
  <c r="H52" i="35" a="1"/>
  <c r="H52" i="35" s="1"/>
  <c r="H82" i="35" s="1"/>
  <c r="F52" i="35" a="1"/>
  <c r="F52" i="35" s="1"/>
  <c r="F82" i="35" s="1"/>
  <c r="D52" i="35" a="1"/>
  <c r="D52" i="35" s="1"/>
  <c r="D82" i="35" s="1"/>
  <c r="B52" i="35" a="1"/>
  <c r="B52" i="35" s="1"/>
  <c r="B82" i="35" s="1"/>
  <c r="AV51" i="35"/>
  <c r="AV81" i="35" s="1"/>
  <c r="AT51" i="35"/>
  <c r="AT81" i="35" s="1"/>
  <c r="AR51" i="35"/>
  <c r="AR81" i="35" s="1"/>
  <c r="AP51" i="35"/>
  <c r="AP81" i="35" s="1"/>
  <c r="AN51" i="35"/>
  <c r="AN81" i="35" s="1"/>
  <c r="AL51" i="35"/>
  <c r="AL81" i="35" s="1"/>
  <c r="AJ51" i="35"/>
  <c r="AH51" i="35"/>
  <c r="AF51" i="35"/>
  <c r="AD51" i="35"/>
  <c r="AB51" i="35"/>
  <c r="Z51" i="35"/>
  <c r="Z81" i="35" s="1"/>
  <c r="X51" i="35"/>
  <c r="X81" i="35" s="1"/>
  <c r="V51" i="35"/>
  <c r="T51" i="35"/>
  <c r="R51" i="35"/>
  <c r="P51" i="35"/>
  <c r="P81" i="35" s="1"/>
  <c r="N51" i="35"/>
  <c r="N81" i="35" s="1"/>
  <c r="L51" i="35"/>
  <c r="L81" i="35" s="1"/>
  <c r="J51" i="35"/>
  <c r="J81" i="35" s="1"/>
  <c r="H51" i="35"/>
  <c r="H81" i="35" s="1"/>
  <c r="F51" i="35"/>
  <c r="F81" i="35" s="1"/>
  <c r="D51" i="35"/>
  <c r="B51" i="35"/>
  <c r="AV49" i="35"/>
  <c r="AT49" i="35"/>
  <c r="AR49" i="35"/>
  <c r="AP49" i="35"/>
  <c r="AN49" i="35"/>
  <c r="AL49" i="35"/>
  <c r="AJ49" i="35"/>
  <c r="AH49" i="35"/>
  <c r="AF49" i="35"/>
  <c r="AD49" i="35"/>
  <c r="AB49" i="35"/>
  <c r="Z49" i="35"/>
  <c r="X49" i="35"/>
  <c r="V49" i="35"/>
  <c r="T49" i="35"/>
  <c r="R49" i="35"/>
  <c r="P49" i="35"/>
  <c r="N49" i="35"/>
  <c r="L49" i="35"/>
  <c r="J49" i="35"/>
  <c r="H49" i="35"/>
  <c r="F49" i="35"/>
  <c r="D49" i="35"/>
  <c r="B49" i="35"/>
  <c r="AV48" i="35"/>
  <c r="AT48" i="35"/>
  <c r="AR48" i="35"/>
  <c r="AP48" i="35"/>
  <c r="AN48" i="35"/>
  <c r="AL48" i="35"/>
  <c r="AJ48" i="35"/>
  <c r="AH48" i="35"/>
  <c r="AF48" i="35"/>
  <c r="AD48" i="35"/>
  <c r="AB48" i="35"/>
  <c r="Z48" i="35"/>
  <c r="X48" i="35"/>
  <c r="V48" i="35"/>
  <c r="T48" i="35"/>
  <c r="R48" i="35"/>
  <c r="P48" i="35"/>
  <c r="N48" i="35"/>
  <c r="L48" i="35"/>
  <c r="J48" i="35"/>
  <c r="H48" i="35"/>
  <c r="F48" i="35"/>
  <c r="D48" i="35"/>
  <c r="B48" i="35"/>
  <c r="AV46" i="35"/>
  <c r="AT46" i="35"/>
  <c r="AR46" i="35"/>
  <c r="AP46" i="35"/>
  <c r="AN46" i="35"/>
  <c r="AL46" i="35"/>
  <c r="AJ46" i="35"/>
  <c r="AH46" i="35"/>
  <c r="AF46" i="35"/>
  <c r="AD46" i="35"/>
  <c r="AB46" i="35"/>
  <c r="Z46" i="35"/>
  <c r="X46" i="35"/>
  <c r="V46" i="35"/>
  <c r="T46" i="35"/>
  <c r="R46" i="35"/>
  <c r="P46" i="35"/>
  <c r="N46" i="35"/>
  <c r="L46" i="35"/>
  <c r="J46" i="35"/>
  <c r="H46" i="35"/>
  <c r="F46" i="35"/>
  <c r="D46" i="35"/>
  <c r="B46" i="35"/>
  <c r="AV45" i="35"/>
  <c r="AT45" i="35"/>
  <c r="AR45" i="35"/>
  <c r="AP45" i="35"/>
  <c r="AN45" i="35"/>
  <c r="AL45" i="35"/>
  <c r="AJ45" i="35"/>
  <c r="AH45" i="35"/>
  <c r="AF45" i="35"/>
  <c r="AD45" i="35"/>
  <c r="AB45" i="35"/>
  <c r="Z45" i="35"/>
  <c r="X45" i="35"/>
  <c r="V45" i="35"/>
  <c r="T45" i="35"/>
  <c r="R45" i="35"/>
  <c r="P45" i="35"/>
  <c r="N45" i="35"/>
  <c r="L45" i="35"/>
  <c r="J45" i="35"/>
  <c r="H45" i="35"/>
  <c r="F45" i="35"/>
  <c r="D45" i="35"/>
  <c r="B45" i="35"/>
  <c r="AV44" i="35"/>
  <c r="AT44" i="35"/>
  <c r="AR44" i="35"/>
  <c r="AP44" i="35"/>
  <c r="AN44" i="35"/>
  <c r="AL44" i="35"/>
  <c r="AJ44" i="35"/>
  <c r="AH44" i="35"/>
  <c r="AF44" i="35"/>
  <c r="AD44" i="35"/>
  <c r="AB44" i="35"/>
  <c r="Z44" i="35"/>
  <c r="X44" i="35"/>
  <c r="V44" i="35"/>
  <c r="T44" i="35"/>
  <c r="R44" i="35"/>
  <c r="P44" i="35"/>
  <c r="N44" i="35"/>
  <c r="L44" i="35"/>
  <c r="J44" i="35"/>
  <c r="H44" i="35"/>
  <c r="F44" i="35"/>
  <c r="D44" i="35"/>
  <c r="B44" i="35"/>
  <c r="AV43" i="35"/>
  <c r="AV43" i="35" a="1"/>
  <c r="AT43" i="35" a="1"/>
  <c r="AT43" i="35" s="1"/>
  <c r="AR43" i="35" a="1"/>
  <c r="AR43" i="35" s="1"/>
  <c r="AP43" i="35" a="1"/>
  <c r="AP43" i="35" s="1"/>
  <c r="AN43" i="35" a="1"/>
  <c r="AN43" i="35" s="1"/>
  <c r="AL43" i="35" a="1"/>
  <c r="AL43" i="35" s="1"/>
  <c r="AJ43" i="35" a="1"/>
  <c r="AJ43" i="35" s="1"/>
  <c r="AH43" i="35" a="1"/>
  <c r="AH43" i="35" s="1"/>
  <c r="AF43" i="35"/>
  <c r="AF43" i="35" a="1"/>
  <c r="AD43" i="35" a="1"/>
  <c r="AD43" i="35" s="1"/>
  <c r="AB43" i="35" a="1"/>
  <c r="AB43" i="35" s="1"/>
  <c r="Z43" i="35" a="1"/>
  <c r="Z43" i="35" s="1"/>
  <c r="X43" i="35" a="1"/>
  <c r="X43" i="35" s="1"/>
  <c r="V43" i="35" a="1"/>
  <c r="V43" i="35" s="1"/>
  <c r="T43" i="35" a="1"/>
  <c r="T43" i="35" s="1"/>
  <c r="R43" i="35" a="1"/>
  <c r="R43" i="35" s="1"/>
  <c r="P43" i="35"/>
  <c r="P43" i="35" a="1"/>
  <c r="N43" i="35" a="1"/>
  <c r="N43" i="35" s="1"/>
  <c r="L43" i="35" a="1"/>
  <c r="L43" i="35" s="1"/>
  <c r="J43" i="35" a="1"/>
  <c r="J43" i="35" s="1"/>
  <c r="H43" i="35" a="1"/>
  <c r="H43" i="35" s="1"/>
  <c r="F43" i="35" a="1"/>
  <c r="F43" i="35" s="1"/>
  <c r="D43" i="35" a="1"/>
  <c r="D43" i="35" s="1"/>
  <c r="B43" i="35"/>
  <c r="AV42" i="35"/>
  <c r="AT42" i="35"/>
  <c r="AR42" i="35"/>
  <c r="AP42" i="35"/>
  <c r="AN42" i="35"/>
  <c r="AL42" i="35"/>
  <c r="AJ42" i="35"/>
  <c r="AH42" i="35"/>
  <c r="AF42" i="35"/>
  <c r="AD42" i="35"/>
  <c r="AB42" i="35"/>
  <c r="Z42" i="35"/>
  <c r="X42" i="35"/>
  <c r="V42" i="35"/>
  <c r="T42" i="35"/>
  <c r="R42" i="35"/>
  <c r="P42" i="35"/>
  <c r="N42" i="35"/>
  <c r="L42" i="35"/>
  <c r="J42" i="35"/>
  <c r="H42" i="35"/>
  <c r="F42" i="35"/>
  <c r="D42" i="35"/>
  <c r="B42" i="35"/>
  <c r="K58" i="2" a="1"/>
  <c r="K57" i="2" a="1"/>
  <c r="K56" i="2" a="1"/>
  <c r="K55" i="2" a="1"/>
  <c r="AN81" i="38"/>
  <c r="AL81" i="38"/>
  <c r="AJ81" i="38"/>
  <c r="AH81" i="38"/>
  <c r="AF81" i="38"/>
  <c r="Z81" i="38"/>
  <c r="T81" i="38"/>
  <c r="R81" i="38"/>
  <c r="H81" i="38"/>
  <c r="F81" i="38"/>
  <c r="D81" i="38"/>
  <c r="AT80" i="38"/>
  <c r="AR80" i="38"/>
  <c r="AP80" i="38"/>
  <c r="AN80" i="38"/>
  <c r="X80" i="38"/>
  <c r="V80" i="38"/>
  <c r="T80" i="38"/>
  <c r="N80" i="38"/>
  <c r="L80" i="38"/>
  <c r="J80" i="38"/>
  <c r="H80" i="38"/>
  <c r="F80" i="38"/>
  <c r="D80" i="38"/>
  <c r="B80" i="38"/>
  <c r="AV79" i="38" a="1"/>
  <c r="AV79" i="38" s="1"/>
  <c r="AT79" i="38"/>
  <c r="AT79" i="38" a="1"/>
  <c r="AR79" i="38" a="1"/>
  <c r="AR79" i="38" s="1"/>
  <c r="AP79" i="38" a="1"/>
  <c r="AP79" i="38" s="1"/>
  <c r="AN79" i="38" a="1"/>
  <c r="AN79" i="38" s="1"/>
  <c r="AL79" i="38" a="1"/>
  <c r="AL79" i="38" s="1"/>
  <c r="AJ79" i="38" a="1"/>
  <c r="AJ79" i="38" s="1"/>
  <c r="AH79" i="38" a="1"/>
  <c r="AH79" i="38" s="1"/>
  <c r="AF79" i="38" a="1"/>
  <c r="AF79" i="38" s="1"/>
  <c r="AD79" i="38"/>
  <c r="AD79" i="38" a="1"/>
  <c r="AB79" i="38" a="1"/>
  <c r="AB79" i="38" s="1"/>
  <c r="Z79" i="38" a="1"/>
  <c r="Z79" i="38" s="1"/>
  <c r="X79" i="38" a="1"/>
  <c r="X79" i="38" s="1"/>
  <c r="V79" i="38" a="1"/>
  <c r="V79" i="38" s="1"/>
  <c r="T79" i="38" a="1"/>
  <c r="T79" i="38" s="1"/>
  <c r="R79" i="38" a="1"/>
  <c r="R79" i="38" s="1"/>
  <c r="P79" i="38" a="1"/>
  <c r="P79" i="38" s="1"/>
  <c r="N79" i="38"/>
  <c r="N79" i="38" a="1"/>
  <c r="L79" i="38" a="1"/>
  <c r="L79" i="38" s="1"/>
  <c r="J79" i="38" a="1"/>
  <c r="J79" i="38" s="1"/>
  <c r="H79" i="38" a="1"/>
  <c r="H79" i="38" s="1"/>
  <c r="F79" i="38"/>
  <c r="F79" i="38" a="1"/>
  <c r="D79" i="38"/>
  <c r="D79" i="38" a="1"/>
  <c r="B79" i="38" a="1"/>
  <c r="B79" i="38" s="1"/>
  <c r="AV78" i="38" a="1"/>
  <c r="AV78" i="38" s="1"/>
  <c r="AT78" i="38"/>
  <c r="AT78" i="38" a="1"/>
  <c r="AR78" i="38" a="1"/>
  <c r="AR78" i="38" s="1"/>
  <c r="AP78" i="38" a="1"/>
  <c r="AP78" i="38" s="1"/>
  <c r="AN78" i="38" a="1"/>
  <c r="AN78" i="38" s="1"/>
  <c r="AL78" i="38" a="1"/>
  <c r="AL78" i="38" s="1"/>
  <c r="AJ78" i="38"/>
  <c r="AJ78" i="38" a="1"/>
  <c r="AH78" i="38" a="1"/>
  <c r="AH78" i="38" s="1"/>
  <c r="AF78" i="38" a="1"/>
  <c r="AF78" i="38" s="1"/>
  <c r="AD78" i="38"/>
  <c r="AD78" i="38" a="1"/>
  <c r="AB78" i="38" a="1"/>
  <c r="AB78" i="38" s="1"/>
  <c r="Z78" i="38" a="1"/>
  <c r="Z78" i="38" s="1"/>
  <c r="X78" i="38" a="1"/>
  <c r="X78" i="38" s="1"/>
  <c r="V78" i="38" a="1"/>
  <c r="V78" i="38" s="1"/>
  <c r="T78" i="38" a="1"/>
  <c r="T78" i="38" s="1"/>
  <c r="R78" i="38" a="1"/>
  <c r="R78" i="38" s="1"/>
  <c r="P78" i="38" a="1"/>
  <c r="P78" i="38" s="1"/>
  <c r="N78" i="38"/>
  <c r="N78" i="38" a="1"/>
  <c r="L78" i="38" a="1"/>
  <c r="L78" i="38" s="1"/>
  <c r="J78" i="38" a="1"/>
  <c r="J78" i="38" s="1"/>
  <c r="H78" i="38" a="1"/>
  <c r="H78" i="38" s="1"/>
  <c r="F78" i="38" a="1"/>
  <c r="F78" i="38" s="1"/>
  <c r="D78" i="38" a="1"/>
  <c r="D78" i="38" s="1"/>
  <c r="B78" i="38" a="1"/>
  <c r="B78" i="38" s="1"/>
  <c r="AV77" i="38" a="1"/>
  <c r="AV77" i="38" s="1"/>
  <c r="AT77" i="38"/>
  <c r="AT77" i="38" a="1"/>
  <c r="AR77" i="38" a="1"/>
  <c r="AR77" i="38" s="1"/>
  <c r="AP77" i="38" a="1"/>
  <c r="AP77" i="38" s="1"/>
  <c r="AN77" i="38"/>
  <c r="AN77" i="38" a="1"/>
  <c r="AL77" i="38" a="1"/>
  <c r="AL77" i="38" s="1"/>
  <c r="AJ77" i="38" a="1"/>
  <c r="AJ77" i="38" s="1"/>
  <c r="AH77" i="38" a="1"/>
  <c r="AH77" i="38" s="1"/>
  <c r="AF77" i="38" a="1"/>
  <c r="AF77" i="38" s="1"/>
  <c r="AD77" i="38"/>
  <c r="AD77" i="38" a="1"/>
  <c r="AB77" i="38" a="1"/>
  <c r="AB77" i="38" s="1"/>
  <c r="Z77" i="38" a="1"/>
  <c r="Z77" i="38" s="1"/>
  <c r="X77" i="38"/>
  <c r="X77" i="38" a="1"/>
  <c r="V77" i="38" a="1"/>
  <c r="V77" i="38" s="1"/>
  <c r="T77" i="38" a="1"/>
  <c r="T77" i="38" s="1"/>
  <c r="R77" i="38"/>
  <c r="R77" i="38" a="1"/>
  <c r="P77" i="38" a="1"/>
  <c r="P77" i="38" s="1"/>
  <c r="N77" i="38"/>
  <c r="N77" i="38" a="1"/>
  <c r="L77" i="38" a="1"/>
  <c r="L77" i="38" s="1"/>
  <c r="J77" i="38" a="1"/>
  <c r="J77" i="38" s="1"/>
  <c r="H77" i="38" a="1"/>
  <c r="H77" i="38" s="1"/>
  <c r="F77" i="38" a="1"/>
  <c r="F77" i="38" s="1"/>
  <c r="D77" i="38"/>
  <c r="D77" i="38" a="1"/>
  <c r="B77" i="38"/>
  <c r="B77" i="38" a="1"/>
  <c r="AV76" i="38" a="1"/>
  <c r="AV76" i="38" s="1"/>
  <c r="AT76" i="38"/>
  <c r="AT76" i="38" a="1"/>
  <c r="AR76" i="38" a="1"/>
  <c r="AR76" i="38" s="1"/>
  <c r="AP76" i="38" a="1"/>
  <c r="AP76" i="38" s="1"/>
  <c r="AN76" i="38" a="1"/>
  <c r="AN76" i="38" s="1"/>
  <c r="AL76" i="38" a="1"/>
  <c r="AL76" i="38" s="1"/>
  <c r="AJ76" i="38" a="1"/>
  <c r="AJ76" i="38" s="1"/>
  <c r="AH76" i="38"/>
  <c r="AH76" i="38" a="1"/>
  <c r="AF76" i="38" a="1"/>
  <c r="AF76" i="38" s="1"/>
  <c r="AD76" i="38"/>
  <c r="AD76" i="38" a="1"/>
  <c r="AB76" i="38" a="1"/>
  <c r="AB76" i="38" s="1"/>
  <c r="Z76" i="38" a="1"/>
  <c r="Z76" i="38" s="1"/>
  <c r="X76" i="38" a="1"/>
  <c r="X76" i="38" s="1"/>
  <c r="V76" i="38" a="1"/>
  <c r="V76" i="38" s="1"/>
  <c r="T76" i="38" a="1"/>
  <c r="T76" i="38" s="1"/>
  <c r="R76" i="38" a="1"/>
  <c r="R76" i="38" s="1"/>
  <c r="P76" i="38" a="1"/>
  <c r="P76" i="38" s="1"/>
  <c r="N76" i="38"/>
  <c r="N76" i="38" a="1"/>
  <c r="L76" i="38" a="1"/>
  <c r="L76" i="38" s="1"/>
  <c r="J76" i="38" a="1"/>
  <c r="J76" i="38" s="1"/>
  <c r="H76" i="38" a="1"/>
  <c r="H76" i="38" s="1"/>
  <c r="F76" i="38" a="1"/>
  <c r="F76" i="38" s="1"/>
  <c r="D76" i="38" a="1"/>
  <c r="D76" i="38" s="1"/>
  <c r="B76" i="38" a="1"/>
  <c r="B76" i="38" s="1"/>
  <c r="AV75" i="38" a="1"/>
  <c r="AV75" i="38" s="1"/>
  <c r="AT75" i="38"/>
  <c r="AT75" i="38" a="1"/>
  <c r="AR75" i="38" a="1"/>
  <c r="AR75" i="38" s="1"/>
  <c r="AP75" i="38" a="1"/>
  <c r="AP75" i="38" s="1"/>
  <c r="AN75" i="38"/>
  <c r="AN75" i="38" a="1"/>
  <c r="AL75" i="38"/>
  <c r="AL75" i="38" a="1"/>
  <c r="AJ75" i="38" a="1"/>
  <c r="AJ75" i="38" s="1"/>
  <c r="AH75" i="38" a="1"/>
  <c r="AH75" i="38" s="1"/>
  <c r="AF75" i="38" a="1"/>
  <c r="AF75" i="38" s="1"/>
  <c r="AD75" i="38"/>
  <c r="AD75" i="38" a="1"/>
  <c r="AB75" i="38" a="1"/>
  <c r="AB75" i="38" s="1"/>
  <c r="Z75" i="38" a="1"/>
  <c r="Z75" i="38" s="1"/>
  <c r="X75" i="38" a="1"/>
  <c r="X75" i="38" s="1"/>
  <c r="V75" i="38"/>
  <c r="V75" i="38" a="1"/>
  <c r="T75" i="38" a="1"/>
  <c r="T75" i="38" s="1"/>
  <c r="R75" i="38" a="1"/>
  <c r="R75" i="38" s="1"/>
  <c r="P75" i="38" a="1"/>
  <c r="P75" i="38" s="1"/>
  <c r="N75" i="38"/>
  <c r="N75" i="38" a="1"/>
  <c r="L75" i="38" a="1"/>
  <c r="L75" i="38" s="1"/>
  <c r="J75" i="38" a="1"/>
  <c r="J75" i="38" s="1"/>
  <c r="H75" i="38" a="1"/>
  <c r="H75" i="38" s="1"/>
  <c r="F75" i="38" a="1"/>
  <c r="F75" i="38" s="1"/>
  <c r="D75" i="38" a="1"/>
  <c r="D75" i="38" s="1"/>
  <c r="B75" i="38"/>
  <c r="B75" i="38" a="1"/>
  <c r="AV74" i="38" a="1"/>
  <c r="AV74" i="38" s="1"/>
  <c r="AT74" i="38"/>
  <c r="AT74" i="38" a="1"/>
  <c r="AR74" i="38" a="1"/>
  <c r="AR74" i="38" s="1"/>
  <c r="AP74" i="38" a="1"/>
  <c r="AP74" i="38" s="1"/>
  <c r="AN74" i="38" a="1"/>
  <c r="AN74" i="38" s="1"/>
  <c r="AL74" i="38" a="1"/>
  <c r="AL74" i="38" s="1"/>
  <c r="AJ74" i="38" a="1"/>
  <c r="AJ74" i="38" s="1"/>
  <c r="AH74" i="38" a="1"/>
  <c r="AH74" i="38" s="1"/>
  <c r="AF74" i="38" a="1"/>
  <c r="AF74" i="38" s="1"/>
  <c r="AD74" i="38"/>
  <c r="AD74" i="38" a="1"/>
  <c r="AB74" i="38" a="1"/>
  <c r="AB74" i="38" s="1"/>
  <c r="Z74" i="38" a="1"/>
  <c r="Z74" i="38" s="1"/>
  <c r="X74" i="38" a="1"/>
  <c r="X74" i="38" s="1"/>
  <c r="V74" i="38" a="1"/>
  <c r="V74" i="38" s="1"/>
  <c r="T74" i="38" a="1"/>
  <c r="T74" i="38" s="1"/>
  <c r="R74" i="38" a="1"/>
  <c r="R74" i="38" s="1"/>
  <c r="P74" i="38" a="1"/>
  <c r="P74" i="38" s="1"/>
  <c r="N74" i="38"/>
  <c r="N74" i="38" a="1"/>
  <c r="L74" i="38" a="1"/>
  <c r="L74" i="38" s="1"/>
  <c r="J74" i="38" a="1"/>
  <c r="J74" i="38" s="1"/>
  <c r="H74" i="38" a="1"/>
  <c r="H74" i="38" s="1"/>
  <c r="F74" i="38" a="1"/>
  <c r="F74" i="38" s="1"/>
  <c r="D74" i="38" a="1"/>
  <c r="D74" i="38" s="1"/>
  <c r="B74" i="38" a="1"/>
  <c r="B74" i="38" s="1"/>
  <c r="AV73" i="38" a="1"/>
  <c r="AV73" i="38" s="1"/>
  <c r="AT73" i="38"/>
  <c r="AT73" i="38" a="1"/>
  <c r="AR73" i="38" a="1"/>
  <c r="AR73" i="38" s="1"/>
  <c r="AP73" i="38" a="1"/>
  <c r="AP73" i="38" s="1"/>
  <c r="AN73" i="38" a="1"/>
  <c r="AN73" i="38" s="1"/>
  <c r="AL73" i="38"/>
  <c r="AL73" i="38" a="1"/>
  <c r="AJ73" i="38"/>
  <c r="AJ73" i="38" a="1"/>
  <c r="AH73" i="38" a="1"/>
  <c r="AH73" i="38" s="1"/>
  <c r="AF73" i="38" a="1"/>
  <c r="AF73" i="38" s="1"/>
  <c r="AD73" i="38"/>
  <c r="AD73" i="38" a="1"/>
  <c r="AB73" i="38" a="1"/>
  <c r="AB73" i="38" s="1"/>
  <c r="Z73" i="38" a="1"/>
  <c r="Z73" i="38" s="1"/>
  <c r="X73" i="38" a="1"/>
  <c r="X73" i="38" s="1"/>
  <c r="V73" i="38" a="1"/>
  <c r="V73" i="38" s="1"/>
  <c r="T73" i="38"/>
  <c r="T73" i="38" a="1"/>
  <c r="R73" i="38" a="1"/>
  <c r="R73" i="38" s="1"/>
  <c r="P73" i="38" a="1"/>
  <c r="P73" i="38" s="1"/>
  <c r="N73" i="38"/>
  <c r="N73" i="38" a="1"/>
  <c r="L73" i="38" a="1"/>
  <c r="L73" i="38" s="1"/>
  <c r="J73" i="38" a="1"/>
  <c r="J73" i="38" s="1"/>
  <c r="H73" i="38" a="1"/>
  <c r="H73" i="38" s="1"/>
  <c r="F73" i="38" a="1"/>
  <c r="F73" i="38" s="1"/>
  <c r="D73" i="38" a="1"/>
  <c r="D73" i="38" s="1"/>
  <c r="B73" i="38" a="1"/>
  <c r="B73" i="38" s="1"/>
  <c r="AV72" i="38"/>
  <c r="AT72" i="38"/>
  <c r="AR72" i="38"/>
  <c r="AP72" i="38"/>
  <c r="AN72" i="38"/>
  <c r="AL72" i="38"/>
  <c r="AJ72" i="38"/>
  <c r="AH72" i="38"/>
  <c r="AF72" i="38"/>
  <c r="AD72" i="38"/>
  <c r="AB72" i="38"/>
  <c r="Z72" i="38"/>
  <c r="X72" i="38"/>
  <c r="V72" i="38"/>
  <c r="T72" i="38"/>
  <c r="R72" i="38"/>
  <c r="P72" i="38"/>
  <c r="N72" i="38"/>
  <c r="L72" i="38"/>
  <c r="J72" i="38"/>
  <c r="H72" i="38"/>
  <c r="F72" i="38"/>
  <c r="D72" i="38"/>
  <c r="B72" i="38"/>
  <c r="AV71" i="38"/>
  <c r="AT71" i="38"/>
  <c r="AR71" i="38"/>
  <c r="AP71" i="38"/>
  <c r="AN71" i="38"/>
  <c r="AL71" i="38"/>
  <c r="AJ71" i="38"/>
  <c r="AH71" i="38"/>
  <c r="AF71" i="38"/>
  <c r="AD71" i="38"/>
  <c r="AB71" i="38"/>
  <c r="Z71" i="38"/>
  <c r="X71" i="38"/>
  <c r="V71" i="38"/>
  <c r="T71" i="38"/>
  <c r="R71" i="38"/>
  <c r="P71" i="38"/>
  <c r="N71" i="38"/>
  <c r="L71" i="38"/>
  <c r="J71" i="38"/>
  <c r="H71" i="38"/>
  <c r="F71" i="38"/>
  <c r="D71" i="38"/>
  <c r="B71" i="38"/>
  <c r="AV70" i="38"/>
  <c r="AT70" i="38"/>
  <c r="AR70" i="38"/>
  <c r="AP70" i="38"/>
  <c r="AN70" i="38"/>
  <c r="AL70" i="38"/>
  <c r="AJ70" i="38"/>
  <c r="AH70" i="38"/>
  <c r="AF70" i="38"/>
  <c r="AD70" i="38"/>
  <c r="AB70" i="38"/>
  <c r="Z70" i="38"/>
  <c r="X70" i="38"/>
  <c r="V70" i="38"/>
  <c r="T70" i="38"/>
  <c r="R70" i="38"/>
  <c r="P70" i="38"/>
  <c r="N70" i="38"/>
  <c r="L70" i="38"/>
  <c r="J70" i="38"/>
  <c r="H70" i="38"/>
  <c r="F70" i="38"/>
  <c r="D70" i="38"/>
  <c r="B70" i="38"/>
  <c r="AP69" i="38"/>
  <c r="AN69" i="38"/>
  <c r="AL69" i="38"/>
  <c r="AJ69" i="38"/>
  <c r="T69" i="38"/>
  <c r="AL68" i="38"/>
  <c r="V68" i="38"/>
  <c r="F68" i="38"/>
  <c r="AV67" i="38" a="1"/>
  <c r="AV67" i="38" s="1"/>
  <c r="AT67" i="38" a="1"/>
  <c r="AT67" i="38" s="1"/>
  <c r="AR67" i="38" a="1"/>
  <c r="AR67" i="38" s="1"/>
  <c r="AP67" i="38" a="1"/>
  <c r="AP67" i="38" s="1"/>
  <c r="AN67" i="38" a="1"/>
  <c r="AN67" i="38" s="1"/>
  <c r="AL67" i="38"/>
  <c r="AL67" i="38" a="1"/>
  <c r="AJ67" i="38" a="1"/>
  <c r="AJ67" i="38" s="1"/>
  <c r="AH67" i="38"/>
  <c r="AH67" i="38" a="1"/>
  <c r="AF67" i="38" a="1"/>
  <c r="AF67" i="38" s="1"/>
  <c r="AD67" i="38" a="1"/>
  <c r="AD67" i="38" s="1"/>
  <c r="AD68" i="38" s="1"/>
  <c r="AB67" i="38" a="1"/>
  <c r="AB67" i="38" s="1"/>
  <c r="AB68" i="38" s="1"/>
  <c r="Z67" i="38" a="1"/>
  <c r="Z67" i="38" s="1"/>
  <c r="X67" i="38" a="1"/>
  <c r="X67" i="38" s="1"/>
  <c r="V67" i="38"/>
  <c r="V67" i="38" a="1"/>
  <c r="T67" i="38" a="1"/>
  <c r="T67" i="38" s="1"/>
  <c r="R67" i="38"/>
  <c r="R67" i="38" a="1"/>
  <c r="P67" i="38"/>
  <c r="P67" i="38" a="1"/>
  <c r="N67" i="38" a="1"/>
  <c r="N67" i="38" s="1"/>
  <c r="L67" i="38" a="1"/>
  <c r="L67" i="38" s="1"/>
  <c r="J67" i="38" a="1"/>
  <c r="J67" i="38" s="1"/>
  <c r="H67" i="38" a="1"/>
  <c r="H67" i="38" s="1"/>
  <c r="F67" i="38"/>
  <c r="F67" i="38" a="1"/>
  <c r="D67" i="38" a="1"/>
  <c r="D67" i="38" s="1"/>
  <c r="B67" i="38" a="1"/>
  <c r="B67" i="38" s="1"/>
  <c r="AV66" i="38"/>
  <c r="AV66" i="38" a="1"/>
  <c r="AT66" i="38"/>
  <c r="AT66" i="38" a="1"/>
  <c r="AR66" i="38" a="1"/>
  <c r="AR66" i="38" s="1"/>
  <c r="AR68" i="38" s="1"/>
  <c r="AP66" i="38" a="1"/>
  <c r="AP66" i="38" s="1"/>
  <c r="AP68" i="38" s="1"/>
  <c r="AN66" i="38" a="1"/>
  <c r="AN66" i="38" s="1"/>
  <c r="AL66" i="38"/>
  <c r="AL66" i="38" a="1"/>
  <c r="AJ66" i="38" a="1"/>
  <c r="AJ66" i="38" s="1"/>
  <c r="AJ68" i="38" s="1"/>
  <c r="AH66" i="38" a="1"/>
  <c r="AH66" i="38" s="1"/>
  <c r="AH68" i="38" s="1"/>
  <c r="AF66" i="38" a="1"/>
  <c r="AF66" i="38" s="1"/>
  <c r="AF68" i="38" s="1"/>
  <c r="AD66" i="38"/>
  <c r="AD66" i="38" a="1"/>
  <c r="AB66" i="38"/>
  <c r="AB66" i="38" a="1"/>
  <c r="Z66" i="38" a="1"/>
  <c r="Z66" i="38" s="1"/>
  <c r="Z68" i="38" s="1"/>
  <c r="X66" i="38" a="1"/>
  <c r="X66" i="38" s="1"/>
  <c r="X68" i="38" s="1"/>
  <c r="V66" i="38"/>
  <c r="V66" i="38" a="1"/>
  <c r="T66" i="38" a="1"/>
  <c r="T66" i="38" s="1"/>
  <c r="T68" i="38" s="1"/>
  <c r="R66" i="38" a="1"/>
  <c r="R66" i="38" s="1"/>
  <c r="R68" i="38" s="1"/>
  <c r="P66" i="38" a="1"/>
  <c r="P66" i="38" s="1"/>
  <c r="P68" i="38" s="1"/>
  <c r="N66" i="38" a="1"/>
  <c r="N66" i="38" s="1"/>
  <c r="L66" i="38"/>
  <c r="L66" i="38" a="1"/>
  <c r="J66" i="38"/>
  <c r="J66" i="38" a="1"/>
  <c r="H66" i="38" a="1"/>
  <c r="H66" i="38" s="1"/>
  <c r="F66" i="38"/>
  <c r="F66" i="38" a="1"/>
  <c r="D66" i="38" a="1"/>
  <c r="D66" i="38" s="1"/>
  <c r="B66" i="38" a="1"/>
  <c r="B66" i="38" s="1"/>
  <c r="B68" i="38" s="1"/>
  <c r="AV65" i="38" a="1"/>
  <c r="AV65" i="38" s="1"/>
  <c r="AV69" i="38" s="1"/>
  <c r="AT65" i="38" a="1"/>
  <c r="AT65" i="38" s="1"/>
  <c r="AT69" i="38" s="1"/>
  <c r="AR65" i="38" a="1"/>
  <c r="AR65" i="38" s="1"/>
  <c r="AR69" i="38" s="1"/>
  <c r="AP65" i="38"/>
  <c r="AP65" i="38" a="1"/>
  <c r="AN65" i="38" a="1"/>
  <c r="AN65" i="38" s="1"/>
  <c r="AL65" i="38" a="1"/>
  <c r="AL65" i="38" s="1"/>
  <c r="AJ65" i="38" a="1"/>
  <c r="AJ65" i="38" s="1"/>
  <c r="AH65" i="38" a="1"/>
  <c r="AH65" i="38" s="1"/>
  <c r="AH69" i="38" s="1"/>
  <c r="AF65" i="38" a="1"/>
  <c r="AF65" i="38" s="1"/>
  <c r="AF69" i="38" s="1"/>
  <c r="AD65" i="38" a="1"/>
  <c r="AD65" i="38" s="1"/>
  <c r="AD69" i="38" s="1"/>
  <c r="AB65" i="38" a="1"/>
  <c r="AB65" i="38" s="1"/>
  <c r="AB69" i="38" s="1"/>
  <c r="Z65" i="38" a="1"/>
  <c r="Z65" i="38" s="1"/>
  <c r="Z69" i="38" s="1"/>
  <c r="X65" i="38" a="1"/>
  <c r="X65" i="38" s="1"/>
  <c r="X69" i="38" s="1"/>
  <c r="V65" i="38" a="1"/>
  <c r="V65" i="38" s="1"/>
  <c r="V69" i="38" s="1"/>
  <c r="T65" i="38" a="1"/>
  <c r="T65" i="38" s="1"/>
  <c r="R65" i="38"/>
  <c r="R69" i="38" s="1"/>
  <c r="R65" i="38" a="1"/>
  <c r="P65" i="38" a="1"/>
  <c r="P65" i="38" s="1"/>
  <c r="P69" i="38" s="1"/>
  <c r="N65" i="38" a="1"/>
  <c r="N65" i="38" s="1"/>
  <c r="N69" i="38" s="1"/>
  <c r="L65" i="38" a="1"/>
  <c r="L65" i="38" s="1"/>
  <c r="L69" i="38" s="1"/>
  <c r="J65" i="38" a="1"/>
  <c r="J65" i="38" s="1"/>
  <c r="J69" i="38" s="1"/>
  <c r="H65" i="38" a="1"/>
  <c r="H65" i="38" s="1"/>
  <c r="H69" i="38" s="1"/>
  <c r="F65" i="38" a="1"/>
  <c r="F65" i="38" s="1"/>
  <c r="F69" i="38" s="1"/>
  <c r="D65" i="38" a="1"/>
  <c r="D65" i="38" s="1"/>
  <c r="D69" i="38" s="1"/>
  <c r="B65" i="38"/>
  <c r="B69" i="38" s="1"/>
  <c r="AV62" i="38"/>
  <c r="AT62" i="38"/>
  <c r="AR62" i="38"/>
  <c r="AP62" i="38"/>
  <c r="AN62" i="38"/>
  <c r="AL62" i="38"/>
  <c r="AJ62" i="38"/>
  <c r="AH62" i="38"/>
  <c r="AF62" i="38"/>
  <c r="AD62" i="38"/>
  <c r="AB62" i="38"/>
  <c r="Z62" i="38"/>
  <c r="X62" i="38"/>
  <c r="V62" i="38"/>
  <c r="T62" i="38"/>
  <c r="R62" i="38"/>
  <c r="P62" i="38"/>
  <c r="N62" i="38"/>
  <c r="L62" i="38"/>
  <c r="J62" i="38"/>
  <c r="H62" i="38"/>
  <c r="F62" i="38"/>
  <c r="D62" i="38"/>
  <c r="B62" i="38"/>
  <c r="AV60" i="38"/>
  <c r="AT60" i="38"/>
  <c r="AR60" i="38"/>
  <c r="AP60" i="38"/>
  <c r="AN60" i="38"/>
  <c r="AL60" i="38"/>
  <c r="AJ60" i="38"/>
  <c r="AH60" i="38"/>
  <c r="AF60" i="38"/>
  <c r="AD60" i="38"/>
  <c r="AB60" i="38"/>
  <c r="Z60" i="38"/>
  <c r="X60" i="38"/>
  <c r="V60" i="38"/>
  <c r="T60" i="38"/>
  <c r="R60" i="38"/>
  <c r="P60" i="38"/>
  <c r="N60" i="38"/>
  <c r="L60" i="38"/>
  <c r="J60" i="38"/>
  <c r="H60" i="38"/>
  <c r="F60" i="38"/>
  <c r="D60" i="38"/>
  <c r="B60" i="38"/>
  <c r="AV59" i="38"/>
  <c r="AT59" i="38"/>
  <c r="AR59" i="38"/>
  <c r="AP59" i="38"/>
  <c r="AN59" i="38"/>
  <c r="AL59" i="38"/>
  <c r="AJ59" i="38"/>
  <c r="AH59" i="38"/>
  <c r="AF59" i="38"/>
  <c r="AD59" i="38"/>
  <c r="AB59" i="38"/>
  <c r="Z59" i="38"/>
  <c r="X59" i="38"/>
  <c r="V59" i="38"/>
  <c r="T59" i="38"/>
  <c r="R59" i="38"/>
  <c r="P59" i="38"/>
  <c r="N59" i="38"/>
  <c r="L59" i="38"/>
  <c r="J59" i="38"/>
  <c r="H59" i="38"/>
  <c r="F59" i="38"/>
  <c r="D59" i="38"/>
  <c r="B59" i="38"/>
  <c r="AV58" i="38"/>
  <c r="AV58" i="38" a="1"/>
  <c r="AT58" i="38"/>
  <c r="AT58" i="38" a="1"/>
  <c r="AR58" i="38" a="1"/>
  <c r="AR58" i="38" s="1"/>
  <c r="AP58" i="38" a="1"/>
  <c r="AP58" i="38" s="1"/>
  <c r="AN58" i="38" a="1"/>
  <c r="AN58" i="38" s="1"/>
  <c r="AL58" i="38" a="1"/>
  <c r="AL58" i="38" s="1"/>
  <c r="AJ58" i="38"/>
  <c r="AJ58" i="38" a="1"/>
  <c r="AH58" i="38" a="1"/>
  <c r="AH58" i="38" s="1"/>
  <c r="AF58" i="38"/>
  <c r="AF58" i="38" a="1"/>
  <c r="AD58" i="38" a="1"/>
  <c r="AD58" i="38" s="1"/>
  <c r="AB58" i="38" a="1"/>
  <c r="AB58" i="38" s="1"/>
  <c r="Z58" i="38" a="1"/>
  <c r="Z58" i="38" s="1"/>
  <c r="X58" i="38" a="1"/>
  <c r="X58" i="38" s="1"/>
  <c r="V58" i="38" a="1"/>
  <c r="V58" i="38" s="1"/>
  <c r="T58" i="38"/>
  <c r="T58" i="38" a="1"/>
  <c r="R58" i="38" a="1"/>
  <c r="R58" i="38" s="1"/>
  <c r="P58" i="38"/>
  <c r="P58" i="38" a="1"/>
  <c r="N58" i="38" a="1"/>
  <c r="N58" i="38" s="1"/>
  <c r="L58" i="38" a="1"/>
  <c r="L58" i="38" s="1"/>
  <c r="J58" i="38" a="1"/>
  <c r="J58" i="38" s="1"/>
  <c r="H58" i="38" a="1"/>
  <c r="H58" i="38" s="1"/>
  <c r="F58" i="38" a="1"/>
  <c r="F58" i="38" s="1"/>
  <c r="D58" i="38" a="1"/>
  <c r="D58" i="38" s="1"/>
  <c r="B58" i="38" a="1"/>
  <c r="B58" i="38" s="1"/>
  <c r="AV57" i="38"/>
  <c r="AV57" i="38" a="1"/>
  <c r="AT57" i="38" a="1"/>
  <c r="AT57" i="38" s="1"/>
  <c r="AR57" i="38" a="1"/>
  <c r="AR57" i="38" s="1"/>
  <c r="AP57" i="38" a="1"/>
  <c r="AP57" i="38" s="1"/>
  <c r="AN57" i="38" a="1"/>
  <c r="AN57" i="38" s="1"/>
  <c r="AL57" i="38" a="1"/>
  <c r="AL57" i="38" s="1"/>
  <c r="AJ57" i="38" a="1"/>
  <c r="AJ57" i="38" s="1"/>
  <c r="AH57" i="38" a="1"/>
  <c r="AH57" i="38" s="1"/>
  <c r="AF57" i="38"/>
  <c r="AF57" i="38" a="1"/>
  <c r="AD57" i="38" a="1"/>
  <c r="AD57" i="38" s="1"/>
  <c r="AB57" i="38" a="1"/>
  <c r="AB57" i="38" s="1"/>
  <c r="Z57" i="38" a="1"/>
  <c r="Z57" i="38" s="1"/>
  <c r="X57" i="38"/>
  <c r="X57" i="38" a="1"/>
  <c r="V57" i="38" a="1"/>
  <c r="V57" i="38" s="1"/>
  <c r="T57" i="38" a="1"/>
  <c r="T57" i="38" s="1"/>
  <c r="R57" i="38" a="1"/>
  <c r="R57" i="38" s="1"/>
  <c r="P57" i="38"/>
  <c r="P57" i="38" a="1"/>
  <c r="N57" i="38" a="1"/>
  <c r="N57" i="38" s="1"/>
  <c r="L57" i="38" a="1"/>
  <c r="L57" i="38" s="1"/>
  <c r="J57" i="38" a="1"/>
  <c r="J57" i="38" s="1"/>
  <c r="H57" i="38"/>
  <c r="H57" i="38" a="1"/>
  <c r="F57" i="38" a="1"/>
  <c r="F57" i="38" s="1"/>
  <c r="D57" i="38" a="1"/>
  <c r="D57" i="38" s="1"/>
  <c r="B57" i="38" a="1"/>
  <c r="B57" i="38" s="1"/>
  <c r="AV56" i="38"/>
  <c r="AT56" i="38"/>
  <c r="AR56" i="38"/>
  <c r="AP56" i="38"/>
  <c r="AN56" i="38"/>
  <c r="AL56" i="38"/>
  <c r="AJ56" i="38"/>
  <c r="AH56" i="38"/>
  <c r="AF56" i="38"/>
  <c r="AD56" i="38"/>
  <c r="AB56" i="38"/>
  <c r="Z56" i="38"/>
  <c r="X56" i="38"/>
  <c r="V56" i="38"/>
  <c r="T56" i="38"/>
  <c r="R56" i="38"/>
  <c r="P56" i="38"/>
  <c r="N56" i="38"/>
  <c r="L56" i="38"/>
  <c r="J56" i="38"/>
  <c r="H56" i="38"/>
  <c r="F56" i="38"/>
  <c r="D56" i="38"/>
  <c r="B56" i="38"/>
  <c r="AV55" i="38"/>
  <c r="AV80" i="38" s="1"/>
  <c r="AT55" i="38"/>
  <c r="AR55" i="38"/>
  <c r="AP55" i="38"/>
  <c r="AN55" i="38"/>
  <c r="AL55" i="38"/>
  <c r="AL80" i="38" s="1"/>
  <c r="AJ55" i="38"/>
  <c r="AJ80" i="38" s="1"/>
  <c r="AH55" i="38"/>
  <c r="AH80" i="38" s="1"/>
  <c r="AF55" i="38"/>
  <c r="AF80" i="38" s="1"/>
  <c r="AD55" i="38"/>
  <c r="AD80" i="38" s="1"/>
  <c r="AB55" i="38"/>
  <c r="AB80" i="38" s="1"/>
  <c r="Z55" i="38"/>
  <c r="Z80" i="38" s="1"/>
  <c r="X55" i="38"/>
  <c r="V55" i="38"/>
  <c r="T55" i="38"/>
  <c r="R55" i="38"/>
  <c r="R80" i="38" s="1"/>
  <c r="P55" i="38"/>
  <c r="P80" i="38" s="1"/>
  <c r="N55" i="38"/>
  <c r="L55" i="38"/>
  <c r="J55" i="38"/>
  <c r="H55" i="38"/>
  <c r="F55" i="38"/>
  <c r="D55" i="38"/>
  <c r="B55" i="38"/>
  <c r="AV53" i="38" a="1"/>
  <c r="AT53" i="38" a="1"/>
  <c r="AR53" i="38" a="1"/>
  <c r="AP53" i="38" a="1"/>
  <c r="AN53" i="38" a="1"/>
  <c r="AL53" i="38" a="1"/>
  <c r="AJ53" i="38" a="1"/>
  <c r="AH53" i="38" a="1"/>
  <c r="AF53" i="38" a="1"/>
  <c r="AD53" i="38" a="1"/>
  <c r="AB53" i="38" a="1"/>
  <c r="Z53" i="38" a="1"/>
  <c r="X53" i="38" a="1"/>
  <c r="V53" i="38" a="1"/>
  <c r="T53" i="38" a="1"/>
  <c r="R53" i="38" a="1"/>
  <c r="P53" i="38" a="1"/>
  <c r="N53" i="38" a="1"/>
  <c r="L53" i="38" a="1"/>
  <c r="J53" i="38" a="1"/>
  <c r="H53" i="38" a="1"/>
  <c r="F53" i="38" a="1"/>
  <c r="D53" i="38" a="1"/>
  <c r="B53" i="38" a="1"/>
  <c r="AV52" i="38" a="1"/>
  <c r="AT52" i="38" a="1"/>
  <c r="AR52" i="38" a="1"/>
  <c r="AP52" i="38" a="1"/>
  <c r="AN52" i="38" a="1"/>
  <c r="AL52" i="38" a="1"/>
  <c r="AJ52" i="38" a="1"/>
  <c r="AH52" i="38" a="1"/>
  <c r="AF52" i="38" a="1"/>
  <c r="AD52" i="38" a="1"/>
  <c r="AB52" i="38" a="1"/>
  <c r="Z52" i="38" a="1"/>
  <c r="X52" i="38" a="1"/>
  <c r="V52" i="38" a="1"/>
  <c r="T52" i="38" a="1"/>
  <c r="R52" i="38" a="1"/>
  <c r="P52" i="38" a="1"/>
  <c r="N52" i="38" a="1"/>
  <c r="L52" i="38" a="1"/>
  <c r="J52" i="38" a="1"/>
  <c r="H52" i="38" a="1"/>
  <c r="F52" i="38" a="1"/>
  <c r="D52" i="38" a="1"/>
  <c r="B52" i="38" a="1"/>
  <c r="AV51" i="38"/>
  <c r="AV81" i="38" s="1"/>
  <c r="AT51" i="38"/>
  <c r="AT81" i="38" s="1"/>
  <c r="AR51" i="38"/>
  <c r="AR81" i="38" s="1"/>
  <c r="AP51" i="38"/>
  <c r="AP81" i="38" s="1"/>
  <c r="AN51" i="38"/>
  <c r="AL51" i="38"/>
  <c r="AJ51" i="38"/>
  <c r="AH51" i="38"/>
  <c r="AF51" i="38"/>
  <c r="AD51" i="38"/>
  <c r="AD81" i="38" s="1"/>
  <c r="AB51" i="38"/>
  <c r="AB81" i="38" s="1"/>
  <c r="Z51" i="38"/>
  <c r="X51" i="38"/>
  <c r="X81" i="38" s="1"/>
  <c r="V51" i="38"/>
  <c r="V81" i="38" s="1"/>
  <c r="T51" i="38"/>
  <c r="R51" i="38"/>
  <c r="P51" i="38"/>
  <c r="P81" i="38" s="1"/>
  <c r="N51" i="38"/>
  <c r="N81" i="38" s="1"/>
  <c r="L51" i="38"/>
  <c r="L81" i="38" s="1"/>
  <c r="J51" i="38"/>
  <c r="J81" i="38" s="1"/>
  <c r="H51" i="38"/>
  <c r="F51" i="38"/>
  <c r="D51" i="38"/>
  <c r="B51" i="38"/>
  <c r="B81" i="38" s="1"/>
  <c r="AV49" i="38"/>
  <c r="AT49" i="38"/>
  <c r="AR49" i="38"/>
  <c r="AP49" i="38"/>
  <c r="AN49" i="38"/>
  <c r="AL49" i="38"/>
  <c r="AJ49" i="38"/>
  <c r="AH49" i="38"/>
  <c r="AF49" i="38"/>
  <c r="AD49" i="38"/>
  <c r="AB49" i="38"/>
  <c r="Z49" i="38"/>
  <c r="X49" i="38"/>
  <c r="V49" i="38"/>
  <c r="T49" i="38"/>
  <c r="R49" i="38"/>
  <c r="P49" i="38"/>
  <c r="N49" i="38"/>
  <c r="L49" i="38"/>
  <c r="J49" i="38"/>
  <c r="H49" i="38"/>
  <c r="F49" i="38"/>
  <c r="D49" i="38"/>
  <c r="B49" i="38"/>
  <c r="AV48" i="38"/>
  <c r="AT48" i="38"/>
  <c r="AR48" i="38"/>
  <c r="AP48" i="38"/>
  <c r="AN48" i="38"/>
  <c r="AL48" i="38"/>
  <c r="AJ48" i="38"/>
  <c r="AH48" i="38"/>
  <c r="AF48" i="38"/>
  <c r="AD48" i="38"/>
  <c r="AB48" i="38"/>
  <c r="Z48" i="38"/>
  <c r="X48" i="38"/>
  <c r="V48" i="38"/>
  <c r="T48" i="38"/>
  <c r="R48" i="38"/>
  <c r="P48" i="38"/>
  <c r="N48" i="38"/>
  <c r="L48" i="38"/>
  <c r="J48" i="38"/>
  <c r="H48" i="38"/>
  <c r="F48" i="38"/>
  <c r="D48" i="38"/>
  <c r="B48" i="38"/>
  <c r="AV46" i="38"/>
  <c r="AT46" i="38"/>
  <c r="AR46" i="38"/>
  <c r="AP46" i="38"/>
  <c r="AN46" i="38"/>
  <c r="AL46" i="38"/>
  <c r="AJ46" i="38"/>
  <c r="AH46" i="38"/>
  <c r="AF46" i="38"/>
  <c r="AD46" i="38"/>
  <c r="AB46" i="38"/>
  <c r="Z46" i="38"/>
  <c r="X46" i="38"/>
  <c r="V46" i="38"/>
  <c r="T46" i="38"/>
  <c r="R46" i="38"/>
  <c r="P46" i="38"/>
  <c r="N46" i="38"/>
  <c r="L46" i="38"/>
  <c r="J46" i="38"/>
  <c r="H46" i="38"/>
  <c r="F46" i="38"/>
  <c r="D46" i="38"/>
  <c r="B46" i="38"/>
  <c r="AV45" i="38"/>
  <c r="AT45" i="38"/>
  <c r="AR45" i="38"/>
  <c r="AP45" i="38"/>
  <c r="AN45" i="38"/>
  <c r="AL45" i="38"/>
  <c r="AJ45" i="38"/>
  <c r="AH45" i="38"/>
  <c r="AF45" i="38"/>
  <c r="AD45" i="38"/>
  <c r="AB45" i="38"/>
  <c r="Z45" i="38"/>
  <c r="X45" i="38"/>
  <c r="V45" i="38"/>
  <c r="T45" i="38"/>
  <c r="R45" i="38"/>
  <c r="P45" i="38"/>
  <c r="N45" i="38"/>
  <c r="L45" i="38"/>
  <c r="J45" i="38"/>
  <c r="H45" i="38"/>
  <c r="F45" i="38"/>
  <c r="D45" i="38"/>
  <c r="B45" i="38"/>
  <c r="AV44" i="38"/>
  <c r="AT44" i="38"/>
  <c r="AR44" i="38"/>
  <c r="AP44" i="38"/>
  <c r="AN44" i="38"/>
  <c r="AL44" i="38"/>
  <c r="AJ44" i="38"/>
  <c r="AH44" i="38"/>
  <c r="AF44" i="38"/>
  <c r="AD44" i="38"/>
  <c r="AB44" i="38"/>
  <c r="Z44" i="38"/>
  <c r="X44" i="38"/>
  <c r="V44" i="38"/>
  <c r="T44" i="38"/>
  <c r="R44" i="38"/>
  <c r="P44" i="38"/>
  <c r="N44" i="38"/>
  <c r="L44" i="38"/>
  <c r="J44" i="38"/>
  <c r="H44" i="38"/>
  <c r="F44" i="38"/>
  <c r="D44" i="38"/>
  <c r="B44" i="38"/>
  <c r="AV43" i="38"/>
  <c r="AV43" i="38" a="1"/>
  <c r="AT43" i="38" a="1"/>
  <c r="AT43" i="38" s="1"/>
  <c r="AR43" i="38" a="1"/>
  <c r="AR43" i="38" s="1"/>
  <c r="AP43" i="38" a="1"/>
  <c r="AP43" i="38" s="1"/>
  <c r="AN43" i="38" a="1"/>
  <c r="AN43" i="38" s="1"/>
  <c r="AL43" i="38" a="1"/>
  <c r="AL43" i="38" s="1"/>
  <c r="AJ43" i="38" a="1"/>
  <c r="AJ43" i="38" s="1"/>
  <c r="AH43" i="38"/>
  <c r="AH43" i="38" a="1"/>
  <c r="AF43" i="38"/>
  <c r="AF43" i="38" a="1"/>
  <c r="AD43" i="38" a="1"/>
  <c r="AD43" i="38" s="1"/>
  <c r="AB43" i="38" a="1"/>
  <c r="AB43" i="38" s="1"/>
  <c r="Z43" i="38" a="1"/>
  <c r="Z43" i="38" s="1"/>
  <c r="X43" i="38" a="1"/>
  <c r="X43" i="38" s="1"/>
  <c r="V43" i="38" a="1"/>
  <c r="V43" i="38" s="1"/>
  <c r="T43" i="38" a="1"/>
  <c r="T43" i="38" s="1"/>
  <c r="R43" i="38" a="1"/>
  <c r="R43" i="38" s="1"/>
  <c r="P43" i="38"/>
  <c r="P43" i="38" a="1"/>
  <c r="N43" i="38" a="1"/>
  <c r="N43" i="38" s="1"/>
  <c r="L43" i="38" a="1"/>
  <c r="L43" i="38" s="1"/>
  <c r="J43" i="38" a="1"/>
  <c r="J43" i="38" s="1"/>
  <c r="H43" i="38" a="1"/>
  <c r="H43" i="38" s="1"/>
  <c r="F43" i="38" a="1"/>
  <c r="F43" i="38" s="1"/>
  <c r="D43" i="38" a="1"/>
  <c r="D43" i="38" s="1"/>
  <c r="B43" i="38"/>
  <c r="AV42" i="38"/>
  <c r="AT42" i="38"/>
  <c r="AR42" i="38"/>
  <c r="AP42" i="38"/>
  <c r="AN42" i="38"/>
  <c r="AL42" i="38"/>
  <c r="AJ42" i="38"/>
  <c r="AH42" i="38"/>
  <c r="AF42" i="38"/>
  <c r="AD42" i="38"/>
  <c r="AB42" i="38"/>
  <c r="Z42" i="38"/>
  <c r="X42" i="38"/>
  <c r="V42" i="38"/>
  <c r="T42" i="38"/>
  <c r="R42" i="38"/>
  <c r="P42" i="38"/>
  <c r="N42" i="38"/>
  <c r="L42" i="38"/>
  <c r="J42" i="38"/>
  <c r="H42" i="38"/>
  <c r="F42" i="38"/>
  <c r="D42" i="38"/>
  <c r="B42" i="38"/>
  <c r="AN81" i="21"/>
  <c r="AL81" i="21"/>
  <c r="AJ81" i="21"/>
  <c r="AH81" i="21"/>
  <c r="AF81" i="21"/>
  <c r="AD81" i="21"/>
  <c r="T81" i="21"/>
  <c r="R81" i="21"/>
  <c r="H81" i="21"/>
  <c r="F81" i="21"/>
  <c r="D81" i="21"/>
  <c r="B81" i="21"/>
  <c r="AP80" i="21"/>
  <c r="AN80" i="21"/>
  <c r="AL80" i="21"/>
  <c r="X80" i="21"/>
  <c r="V80" i="21"/>
  <c r="T80" i="21"/>
  <c r="R80" i="21"/>
  <c r="J80" i="21"/>
  <c r="H80" i="21"/>
  <c r="F80" i="21"/>
  <c r="D80" i="21"/>
  <c r="B80" i="21"/>
  <c r="AV79" i="21" a="1"/>
  <c r="AV79" i="21" s="1"/>
  <c r="AT79" i="21" a="1"/>
  <c r="AT79" i="21" s="1"/>
  <c r="AR79" i="21" a="1"/>
  <c r="AR79" i="21" s="1"/>
  <c r="AP79" i="21" a="1"/>
  <c r="AP79" i="21" s="1"/>
  <c r="AN79" i="21"/>
  <c r="AN79" i="21" a="1"/>
  <c r="AL79" i="21" a="1"/>
  <c r="AL79" i="21" s="1"/>
  <c r="AJ79" i="21" a="1"/>
  <c r="AJ79" i="21" s="1"/>
  <c r="AH79" i="21" a="1"/>
  <c r="AH79" i="21" s="1"/>
  <c r="AF79" i="21" a="1"/>
  <c r="AF79" i="21" s="1"/>
  <c r="AD79" i="21" a="1"/>
  <c r="AD79" i="21" s="1"/>
  <c r="AB79" i="21" a="1"/>
  <c r="AB79" i="21" s="1"/>
  <c r="Z79" i="21" a="1"/>
  <c r="Z79" i="21" s="1"/>
  <c r="X79" i="21" a="1"/>
  <c r="X79" i="21" s="1"/>
  <c r="V79" i="21"/>
  <c r="V79" i="21" a="1"/>
  <c r="T79" i="21" a="1"/>
  <c r="T79" i="21" s="1"/>
  <c r="R79" i="21" a="1"/>
  <c r="R79" i="21" s="1"/>
  <c r="P79" i="21" a="1"/>
  <c r="P79" i="21" s="1"/>
  <c r="N79" i="21" a="1"/>
  <c r="N79" i="21" s="1"/>
  <c r="L79" i="21" a="1"/>
  <c r="L79" i="21" s="1"/>
  <c r="J79" i="21" a="1"/>
  <c r="J79" i="21" s="1"/>
  <c r="H79" i="21" a="1"/>
  <c r="H79" i="21" s="1"/>
  <c r="F79" i="21" a="1"/>
  <c r="F79" i="21" s="1"/>
  <c r="D79" i="21" a="1"/>
  <c r="D79" i="21" s="1"/>
  <c r="B79" i="21"/>
  <c r="B79" i="21" a="1"/>
  <c r="AV78" i="21" a="1"/>
  <c r="AV78" i="21" s="1"/>
  <c r="AT78" i="21" a="1"/>
  <c r="AT78" i="21" s="1"/>
  <c r="AR78" i="21" a="1"/>
  <c r="AR78" i="21" s="1"/>
  <c r="AP78" i="21" a="1"/>
  <c r="AP78" i="21" s="1"/>
  <c r="AN78" i="21" a="1"/>
  <c r="AN78" i="21" s="1"/>
  <c r="AL78" i="21" a="1"/>
  <c r="AL78" i="21" s="1"/>
  <c r="AJ78" i="21" a="1"/>
  <c r="AJ78" i="21" s="1"/>
  <c r="AH78" i="21" a="1"/>
  <c r="AH78" i="21" s="1"/>
  <c r="AF78" i="21" a="1"/>
  <c r="AF78" i="21" s="1"/>
  <c r="AD78" i="21" a="1"/>
  <c r="AD78" i="21" s="1"/>
  <c r="AB78" i="21" a="1"/>
  <c r="AB78" i="21" s="1"/>
  <c r="Z78" i="21" a="1"/>
  <c r="Z78" i="21" s="1"/>
  <c r="X78" i="21" a="1"/>
  <c r="X78" i="21" s="1"/>
  <c r="V78" i="21" a="1"/>
  <c r="V78" i="21" s="1"/>
  <c r="T78" i="21" a="1"/>
  <c r="T78" i="21" s="1"/>
  <c r="R78" i="21" a="1"/>
  <c r="R78" i="21" s="1"/>
  <c r="P78" i="21" a="1"/>
  <c r="P78" i="21" s="1"/>
  <c r="N78" i="21" a="1"/>
  <c r="N78" i="21" s="1"/>
  <c r="L78" i="21" a="1"/>
  <c r="L78" i="21" s="1"/>
  <c r="J78" i="21" a="1"/>
  <c r="J78" i="21" s="1"/>
  <c r="H78" i="21" a="1"/>
  <c r="H78" i="21" s="1"/>
  <c r="F78" i="21"/>
  <c r="F78" i="21" a="1"/>
  <c r="D78" i="21" a="1"/>
  <c r="D78" i="21" s="1"/>
  <c r="B78" i="21" a="1"/>
  <c r="B78" i="21" s="1"/>
  <c r="AV77" i="21" a="1"/>
  <c r="AV77" i="21" s="1"/>
  <c r="AT77" i="21" a="1"/>
  <c r="AT77" i="21" s="1"/>
  <c r="AR77" i="21" a="1"/>
  <c r="AR77" i="21" s="1"/>
  <c r="AP77" i="21" a="1"/>
  <c r="AP77" i="21" s="1"/>
  <c r="AN77" i="21" a="1"/>
  <c r="AN77" i="21" s="1"/>
  <c r="AL77" i="21" a="1"/>
  <c r="AL77" i="21" s="1"/>
  <c r="AJ77" i="21" a="1"/>
  <c r="AJ77" i="21" s="1"/>
  <c r="AH77" i="21"/>
  <c r="AH77" i="21" a="1"/>
  <c r="AF77" i="21" a="1"/>
  <c r="AF77" i="21" s="1"/>
  <c r="AD77" i="21" a="1"/>
  <c r="AD77" i="21" s="1"/>
  <c r="AB77" i="21" a="1"/>
  <c r="AB77" i="21" s="1"/>
  <c r="Z77" i="21" a="1"/>
  <c r="Z77" i="21" s="1"/>
  <c r="X77" i="21" a="1"/>
  <c r="X77" i="21" s="1"/>
  <c r="V77" i="21" a="1"/>
  <c r="V77" i="21" s="1"/>
  <c r="T77" i="21" a="1"/>
  <c r="T77" i="21" s="1"/>
  <c r="R77" i="21" a="1"/>
  <c r="R77" i="21" s="1"/>
  <c r="P77" i="21" a="1"/>
  <c r="P77" i="21" s="1"/>
  <c r="N77" i="21" a="1"/>
  <c r="N77" i="21" s="1"/>
  <c r="L77" i="21" a="1"/>
  <c r="L77" i="21" s="1"/>
  <c r="J77" i="21" a="1"/>
  <c r="J77" i="21" s="1"/>
  <c r="H77" i="21" a="1"/>
  <c r="H77" i="21" s="1"/>
  <c r="F77" i="21" a="1"/>
  <c r="F77" i="21" s="1"/>
  <c r="D77" i="21" a="1"/>
  <c r="D77" i="21" s="1"/>
  <c r="B77" i="21" a="1"/>
  <c r="B77" i="21" s="1"/>
  <c r="AV76" i="21" a="1"/>
  <c r="AV76" i="21" s="1"/>
  <c r="AT76" i="21" a="1"/>
  <c r="AT76" i="21" s="1"/>
  <c r="AR76" i="21" a="1"/>
  <c r="AR76" i="21" s="1"/>
  <c r="AP76" i="21" a="1"/>
  <c r="AP76" i="21" s="1"/>
  <c r="AN76" i="21" a="1"/>
  <c r="AN76" i="21" s="1"/>
  <c r="AL76" i="21"/>
  <c r="AL76" i="21" a="1"/>
  <c r="AJ76" i="21" a="1"/>
  <c r="AJ76" i="21" s="1"/>
  <c r="AH76" i="21" a="1"/>
  <c r="AH76" i="21" s="1"/>
  <c r="AF76" i="21" a="1"/>
  <c r="AF76" i="21" s="1"/>
  <c r="AD76" i="21" a="1"/>
  <c r="AD76" i="21" s="1"/>
  <c r="AB76" i="21" a="1"/>
  <c r="AB76" i="21" s="1"/>
  <c r="Z76" i="21" a="1"/>
  <c r="Z76" i="21" s="1"/>
  <c r="X76" i="21" a="1"/>
  <c r="X76" i="21" s="1"/>
  <c r="V76" i="21" a="1"/>
  <c r="V76" i="21" s="1"/>
  <c r="T76" i="21" a="1"/>
  <c r="T76" i="21" s="1"/>
  <c r="R76" i="21"/>
  <c r="R76" i="21" a="1"/>
  <c r="P76" i="21" a="1"/>
  <c r="P76" i="21" s="1"/>
  <c r="N76" i="21" a="1"/>
  <c r="N76" i="21" s="1"/>
  <c r="L76" i="21" a="1"/>
  <c r="L76" i="21" s="1"/>
  <c r="J76" i="21" a="1"/>
  <c r="J76" i="21" s="1"/>
  <c r="H76" i="21" a="1"/>
  <c r="H76" i="21" s="1"/>
  <c r="F76" i="21" a="1"/>
  <c r="F76" i="21" s="1"/>
  <c r="D76" i="21" a="1"/>
  <c r="D76" i="21" s="1"/>
  <c r="B76" i="21" a="1"/>
  <c r="B76" i="21" s="1"/>
  <c r="AV75" i="21" a="1"/>
  <c r="AV75" i="21" s="1"/>
  <c r="AT75" i="21" a="1"/>
  <c r="AT75" i="21" s="1"/>
  <c r="AR75" i="21" a="1"/>
  <c r="AR75" i="21" s="1"/>
  <c r="AP75" i="21" a="1"/>
  <c r="AP75" i="21" s="1"/>
  <c r="AN75" i="21" a="1"/>
  <c r="AN75" i="21" s="1"/>
  <c r="AL75" i="21" a="1"/>
  <c r="AL75" i="21" s="1"/>
  <c r="AJ75" i="21" a="1"/>
  <c r="AJ75" i="21" s="1"/>
  <c r="AH75" i="21" a="1"/>
  <c r="AH75" i="21" s="1"/>
  <c r="AF75" i="21" a="1"/>
  <c r="AF75" i="21" s="1"/>
  <c r="AD75" i="21" a="1"/>
  <c r="AD75" i="21" s="1"/>
  <c r="AB75" i="21" a="1"/>
  <c r="AB75" i="21" s="1"/>
  <c r="Z75" i="21" a="1"/>
  <c r="Z75" i="21" s="1"/>
  <c r="X75" i="21" a="1"/>
  <c r="X75" i="21" s="1"/>
  <c r="V75" i="21"/>
  <c r="V75" i="21" a="1"/>
  <c r="T75" i="21" a="1"/>
  <c r="T75" i="21" s="1"/>
  <c r="R75" i="21" a="1"/>
  <c r="R75" i="21" s="1"/>
  <c r="P75" i="21" a="1"/>
  <c r="P75" i="21" s="1"/>
  <c r="N75" i="21" a="1"/>
  <c r="N75" i="21" s="1"/>
  <c r="L75" i="21" a="1"/>
  <c r="L75" i="21" s="1"/>
  <c r="J75" i="21" a="1"/>
  <c r="J75" i="21" s="1"/>
  <c r="H75" i="21" a="1"/>
  <c r="H75" i="21" s="1"/>
  <c r="F75" i="21" a="1"/>
  <c r="F75" i="21" s="1"/>
  <c r="D75" i="21" a="1"/>
  <c r="D75" i="21" s="1"/>
  <c r="B75" i="21"/>
  <c r="B75" i="21" a="1"/>
  <c r="AV74" i="21" a="1"/>
  <c r="AV74" i="21" s="1"/>
  <c r="AT74" i="21" a="1"/>
  <c r="AT74" i="21" s="1"/>
  <c r="AR74" i="21" a="1"/>
  <c r="AR74" i="21" s="1"/>
  <c r="AP74" i="21" a="1"/>
  <c r="AP74" i="21" s="1"/>
  <c r="AN74" i="21" a="1"/>
  <c r="AN74" i="21" s="1"/>
  <c r="AL74" i="21" a="1"/>
  <c r="AL74" i="21" s="1"/>
  <c r="AJ74" i="21" a="1"/>
  <c r="AJ74" i="21" s="1"/>
  <c r="AH74" i="21" a="1"/>
  <c r="AH74" i="21" s="1"/>
  <c r="AF74" i="21" a="1"/>
  <c r="AF74" i="21" s="1"/>
  <c r="AD74" i="21" a="1"/>
  <c r="AD74" i="21" s="1"/>
  <c r="AB74" i="21" a="1"/>
  <c r="AB74" i="21" s="1"/>
  <c r="Z74" i="21" a="1"/>
  <c r="Z74" i="21" s="1"/>
  <c r="X74" i="21" a="1"/>
  <c r="X74" i="21" s="1"/>
  <c r="V74" i="21" a="1"/>
  <c r="V74" i="21" s="1"/>
  <c r="T74" i="21" a="1"/>
  <c r="T74" i="21" s="1"/>
  <c r="R74" i="21" a="1"/>
  <c r="R74" i="21" s="1"/>
  <c r="P74" i="21" a="1"/>
  <c r="P74" i="21" s="1"/>
  <c r="N74" i="21" a="1"/>
  <c r="N74" i="21" s="1"/>
  <c r="L74" i="21" a="1"/>
  <c r="L74" i="21" s="1"/>
  <c r="J74" i="21" a="1"/>
  <c r="J74" i="21" s="1"/>
  <c r="H74" i="21" a="1"/>
  <c r="H74" i="21" s="1"/>
  <c r="F74" i="21"/>
  <c r="F74" i="21" a="1"/>
  <c r="D74" i="21" a="1"/>
  <c r="D74" i="21" s="1"/>
  <c r="B74" i="21" a="1"/>
  <c r="B74" i="21" s="1"/>
  <c r="AV73" i="21" a="1"/>
  <c r="AV73" i="21" s="1"/>
  <c r="AT73" i="21" a="1"/>
  <c r="AT73" i="21" s="1"/>
  <c r="AR73" i="21" a="1"/>
  <c r="AR73" i="21" s="1"/>
  <c r="AP73" i="21" a="1"/>
  <c r="AP73" i="21" s="1"/>
  <c r="AN73" i="21" a="1"/>
  <c r="AN73" i="21" s="1"/>
  <c r="AL73" i="21" a="1"/>
  <c r="AL73" i="21" s="1"/>
  <c r="AJ73" i="21" a="1"/>
  <c r="AJ73" i="21" s="1"/>
  <c r="AH73" i="21"/>
  <c r="AH73" i="21" a="1"/>
  <c r="AF73" i="21" a="1"/>
  <c r="AF73" i="21" s="1"/>
  <c r="AD73" i="21" a="1"/>
  <c r="AD73" i="21" s="1"/>
  <c r="AB73" i="21" a="1"/>
  <c r="AB73" i="21" s="1"/>
  <c r="Z73" i="21" a="1"/>
  <c r="Z73" i="21" s="1"/>
  <c r="X73" i="21" a="1"/>
  <c r="X73" i="21" s="1"/>
  <c r="V73" i="21" a="1"/>
  <c r="V73" i="21" s="1"/>
  <c r="T73" i="21" a="1"/>
  <c r="T73" i="21" s="1"/>
  <c r="R73" i="21" a="1"/>
  <c r="R73" i="21" s="1"/>
  <c r="P73" i="21" a="1"/>
  <c r="P73" i="21" s="1"/>
  <c r="N73" i="21" a="1"/>
  <c r="N73" i="21" s="1"/>
  <c r="L73" i="21" a="1"/>
  <c r="L73" i="21" s="1"/>
  <c r="J73" i="21" a="1"/>
  <c r="J73" i="21" s="1"/>
  <c r="H73" i="21" a="1"/>
  <c r="H73" i="21" s="1"/>
  <c r="F73" i="21" a="1"/>
  <c r="F73" i="21" s="1"/>
  <c r="D73" i="21" a="1"/>
  <c r="D73" i="21" s="1"/>
  <c r="B73" i="21" a="1"/>
  <c r="B73" i="21" s="1"/>
  <c r="AV72" i="21"/>
  <c r="AT72" i="21"/>
  <c r="AR72" i="21"/>
  <c r="AP72" i="21"/>
  <c r="AN72" i="21"/>
  <c r="AL72" i="21"/>
  <c r="AJ72" i="21"/>
  <c r="AH72" i="21"/>
  <c r="AF72" i="21"/>
  <c r="AD72" i="21"/>
  <c r="AB72" i="21"/>
  <c r="Z72" i="21"/>
  <c r="X72" i="21"/>
  <c r="V72" i="21"/>
  <c r="T72" i="21"/>
  <c r="R72" i="21"/>
  <c r="P72" i="21"/>
  <c r="N72" i="21"/>
  <c r="L72" i="21"/>
  <c r="J72" i="21"/>
  <c r="H72" i="21"/>
  <c r="F72" i="21"/>
  <c r="D72" i="21"/>
  <c r="B72" i="21"/>
  <c r="AV71" i="21"/>
  <c r="AT71" i="21"/>
  <c r="AR71" i="21"/>
  <c r="AP71" i="21"/>
  <c r="AN71" i="21"/>
  <c r="AL71" i="21"/>
  <c r="AJ71" i="21"/>
  <c r="AH71" i="21"/>
  <c r="AF71" i="21"/>
  <c r="AD71" i="21"/>
  <c r="AB71" i="21"/>
  <c r="Z71" i="21"/>
  <c r="X71" i="21"/>
  <c r="V71" i="21"/>
  <c r="T71" i="21"/>
  <c r="R71" i="21"/>
  <c r="P71" i="21"/>
  <c r="N71" i="21"/>
  <c r="L71" i="21"/>
  <c r="J71" i="21"/>
  <c r="H71" i="21"/>
  <c r="F71" i="21"/>
  <c r="D71" i="21"/>
  <c r="B71" i="21"/>
  <c r="AV70" i="21"/>
  <c r="AT70" i="21"/>
  <c r="AR70" i="21"/>
  <c r="AP70" i="21"/>
  <c r="AN70" i="21"/>
  <c r="AL70" i="21"/>
  <c r="AJ70" i="21"/>
  <c r="AH70" i="21"/>
  <c r="AF70" i="21"/>
  <c r="AD70" i="21"/>
  <c r="AB70" i="21"/>
  <c r="Z70" i="21"/>
  <c r="X70" i="21"/>
  <c r="V70" i="21"/>
  <c r="T70" i="21"/>
  <c r="R70" i="21"/>
  <c r="P70" i="21"/>
  <c r="N70" i="21"/>
  <c r="L70" i="21"/>
  <c r="J70" i="21"/>
  <c r="H70" i="21"/>
  <c r="F70" i="21"/>
  <c r="D70" i="21"/>
  <c r="B70" i="21"/>
  <c r="AH69" i="21"/>
  <c r="H69" i="21"/>
  <c r="B69" i="21"/>
  <c r="X68" i="21"/>
  <c r="V68" i="21"/>
  <c r="T68" i="21"/>
  <c r="R68" i="21"/>
  <c r="B68" i="21"/>
  <c r="AV67" i="21" a="1"/>
  <c r="AV67" i="21" s="1"/>
  <c r="AT67" i="21"/>
  <c r="AT67" i="21" a="1"/>
  <c r="AR67" i="21" a="1"/>
  <c r="AR67" i="21" s="1"/>
  <c r="AP67" i="21" a="1"/>
  <c r="AP67" i="21" s="1"/>
  <c r="AN67" i="21" a="1"/>
  <c r="AN67" i="21" s="1"/>
  <c r="AL67" i="21" a="1"/>
  <c r="AL67" i="21" s="1"/>
  <c r="AJ67" i="21" a="1"/>
  <c r="AJ67" i="21" s="1"/>
  <c r="AH67" i="21" a="1"/>
  <c r="AH67" i="21" s="1"/>
  <c r="AF67" i="21" a="1"/>
  <c r="AF67" i="21" s="1"/>
  <c r="AD67" i="21" a="1"/>
  <c r="AD67" i="21" s="1"/>
  <c r="AB67" i="21" a="1"/>
  <c r="AB67" i="21" s="1"/>
  <c r="Z67" i="21"/>
  <c r="Z67" i="21" a="1"/>
  <c r="X67" i="21" a="1"/>
  <c r="X67" i="21" s="1"/>
  <c r="V67" i="21" a="1"/>
  <c r="V67" i="21" s="1"/>
  <c r="T67" i="21" a="1"/>
  <c r="T67" i="21" s="1"/>
  <c r="R67" i="21" a="1"/>
  <c r="R67" i="21" s="1"/>
  <c r="P67" i="21" a="1"/>
  <c r="P67" i="21" s="1"/>
  <c r="N67" i="21" a="1"/>
  <c r="N67" i="21" s="1"/>
  <c r="L67" i="21" a="1"/>
  <c r="L67" i="21" s="1"/>
  <c r="J67" i="21" a="1"/>
  <c r="J67" i="21" s="1"/>
  <c r="H67" i="21" a="1"/>
  <c r="H67" i="21" s="1"/>
  <c r="F67" i="21" a="1"/>
  <c r="F67" i="21" s="1"/>
  <c r="D67" i="21" a="1"/>
  <c r="D67" i="21" s="1"/>
  <c r="B67" i="21" a="1"/>
  <c r="B67" i="21" s="1"/>
  <c r="AV66" i="21" a="1"/>
  <c r="AV66" i="21" s="1"/>
  <c r="AT66" i="21" a="1"/>
  <c r="AT66" i="21" s="1"/>
  <c r="AT68" i="21" s="1"/>
  <c r="AR66" i="21" a="1"/>
  <c r="AR66" i="21" s="1"/>
  <c r="AR68" i="21" s="1"/>
  <c r="AP66" i="21" a="1"/>
  <c r="AP66" i="21" s="1"/>
  <c r="AP68" i="21" s="1"/>
  <c r="AN66" i="21" a="1"/>
  <c r="AN66" i="21" s="1"/>
  <c r="AN68" i="21" s="1"/>
  <c r="AL66" i="21" a="1"/>
  <c r="AL66" i="21" s="1"/>
  <c r="AL68" i="21" s="1"/>
  <c r="AJ66" i="21" a="1"/>
  <c r="AJ66" i="21" s="1"/>
  <c r="AJ68" i="21" s="1"/>
  <c r="AH66" i="21" a="1"/>
  <c r="AH66" i="21" s="1"/>
  <c r="AH68" i="21" s="1"/>
  <c r="AF66" i="21" a="1"/>
  <c r="AF66" i="21" s="1"/>
  <c r="AD66" i="21"/>
  <c r="AD66" i="21" a="1"/>
  <c r="AB66" i="21" a="1"/>
  <c r="AB66" i="21" s="1"/>
  <c r="Z66" i="21" a="1"/>
  <c r="Z66" i="21" s="1"/>
  <c r="Z68" i="21" s="1"/>
  <c r="X66" i="21" a="1"/>
  <c r="X66" i="21" s="1"/>
  <c r="V66" i="21" a="1"/>
  <c r="V66" i="21" s="1"/>
  <c r="T66" i="21" a="1"/>
  <c r="T66" i="21" s="1"/>
  <c r="R66" i="21" a="1"/>
  <c r="R66" i="21" s="1"/>
  <c r="P66" i="21" a="1"/>
  <c r="P66" i="21" s="1"/>
  <c r="P68" i="21" s="1"/>
  <c r="N66" i="21" a="1"/>
  <c r="N66" i="21" s="1"/>
  <c r="N68" i="21" s="1"/>
  <c r="L66" i="21" a="1"/>
  <c r="L66" i="21" s="1"/>
  <c r="L68" i="21" s="1"/>
  <c r="J66" i="21"/>
  <c r="J66" i="21" a="1"/>
  <c r="H66" i="21" a="1"/>
  <c r="H66" i="21" s="1"/>
  <c r="F66" i="21" a="1"/>
  <c r="F66" i="21" s="1"/>
  <c r="D66" i="21" a="1"/>
  <c r="D66" i="21" s="1"/>
  <c r="B66" i="21" a="1"/>
  <c r="B66" i="21" s="1"/>
  <c r="AV65" i="21" a="1"/>
  <c r="AV65" i="21" s="1"/>
  <c r="AV69" i="21" s="1"/>
  <c r="AT65" i="21" a="1"/>
  <c r="AT65" i="21" s="1"/>
  <c r="AT69" i="21" s="1"/>
  <c r="AR65" i="21" a="1"/>
  <c r="AR65" i="21" s="1"/>
  <c r="AR69" i="21" s="1"/>
  <c r="AP65" i="21" a="1"/>
  <c r="AP65" i="21" s="1"/>
  <c r="AP69" i="21" s="1"/>
  <c r="AN65" i="21" a="1"/>
  <c r="AN65" i="21" s="1"/>
  <c r="AN69" i="21" s="1"/>
  <c r="AL65" i="21" a="1"/>
  <c r="AL65" i="21" s="1"/>
  <c r="AL69" i="21" s="1"/>
  <c r="AJ65" i="21" a="1"/>
  <c r="AJ65" i="21" s="1"/>
  <c r="AJ69" i="21" s="1"/>
  <c r="AH65" i="21" a="1"/>
  <c r="AH65" i="21" s="1"/>
  <c r="AF65" i="21" a="1"/>
  <c r="AF65" i="21" s="1"/>
  <c r="AF69" i="21" s="1"/>
  <c r="AD65" i="21" a="1"/>
  <c r="AD65" i="21" s="1"/>
  <c r="AD69" i="21" s="1"/>
  <c r="AB65" i="21" a="1"/>
  <c r="AB65" i="21" s="1"/>
  <c r="AB69" i="21" s="1"/>
  <c r="Z65" i="21" a="1"/>
  <c r="Z65" i="21" s="1"/>
  <c r="Z69" i="21" s="1"/>
  <c r="X65" i="21" a="1"/>
  <c r="X65" i="21" s="1"/>
  <c r="X69" i="21" s="1"/>
  <c r="V65" i="21" a="1"/>
  <c r="V65" i="21" s="1"/>
  <c r="V69" i="21" s="1"/>
  <c r="T65" i="21" a="1"/>
  <c r="T65" i="21" s="1"/>
  <c r="T69" i="21" s="1"/>
  <c r="R65" i="21" a="1"/>
  <c r="R65" i="21" s="1"/>
  <c r="R69" i="21" s="1"/>
  <c r="P65" i="21" a="1"/>
  <c r="P65" i="21" s="1"/>
  <c r="P69" i="21" s="1"/>
  <c r="N65" i="21"/>
  <c r="N69" i="21" s="1"/>
  <c r="N65" i="21" a="1"/>
  <c r="L65" i="21" a="1"/>
  <c r="L65" i="21" s="1"/>
  <c r="L69" i="21" s="1"/>
  <c r="J65" i="21" a="1"/>
  <c r="J65" i="21" s="1"/>
  <c r="J69" i="21" s="1"/>
  <c r="H65" i="21" a="1"/>
  <c r="H65" i="21" s="1"/>
  <c r="F65" i="21" a="1"/>
  <c r="F65" i="21" s="1"/>
  <c r="F69" i="21" s="1"/>
  <c r="D65" i="21" a="1"/>
  <c r="D65" i="21" s="1"/>
  <c r="D69" i="21" s="1"/>
  <c r="B65" i="21"/>
  <c r="AV62" i="21"/>
  <c r="AT62" i="21"/>
  <c r="AR62" i="21"/>
  <c r="AP62" i="21"/>
  <c r="AN62" i="21"/>
  <c r="AL62" i="21"/>
  <c r="AJ62" i="21"/>
  <c r="AH62" i="21"/>
  <c r="AF62" i="21"/>
  <c r="AD62" i="21"/>
  <c r="AB62" i="21"/>
  <c r="Z62" i="21"/>
  <c r="X62" i="21"/>
  <c r="V62" i="21"/>
  <c r="T62" i="21"/>
  <c r="R62" i="21"/>
  <c r="P62" i="21"/>
  <c r="N62" i="21"/>
  <c r="L62" i="21"/>
  <c r="J62" i="21"/>
  <c r="H62" i="21"/>
  <c r="F62" i="21"/>
  <c r="D62" i="21"/>
  <c r="B62" i="21"/>
  <c r="AV60" i="21"/>
  <c r="AT60" i="21"/>
  <c r="AR60" i="21"/>
  <c r="AP60" i="21"/>
  <c r="AN60" i="21"/>
  <c r="AL60" i="21"/>
  <c r="AJ60" i="21"/>
  <c r="AH60" i="21"/>
  <c r="AF60" i="21"/>
  <c r="AD60" i="21"/>
  <c r="AB60" i="21"/>
  <c r="Z60" i="21"/>
  <c r="X60" i="21"/>
  <c r="V60" i="21"/>
  <c r="T60" i="21"/>
  <c r="R60" i="21"/>
  <c r="P60" i="21"/>
  <c r="N60" i="21"/>
  <c r="L60" i="21"/>
  <c r="J60" i="21"/>
  <c r="H60" i="21"/>
  <c r="F60" i="21"/>
  <c r="D60" i="21"/>
  <c r="B60" i="21"/>
  <c r="AV59" i="21"/>
  <c r="AT59" i="21"/>
  <c r="AR59" i="21"/>
  <c r="AP59" i="21"/>
  <c r="AN59" i="21"/>
  <c r="AL59" i="21"/>
  <c r="AJ59" i="21"/>
  <c r="AH59" i="21"/>
  <c r="AF59" i="21"/>
  <c r="AD59" i="21"/>
  <c r="AB59" i="21"/>
  <c r="Z59" i="21"/>
  <c r="X59" i="21"/>
  <c r="V59" i="21"/>
  <c r="T59" i="21"/>
  <c r="R59" i="21"/>
  <c r="P59" i="21"/>
  <c r="N59" i="21"/>
  <c r="L59" i="21"/>
  <c r="J59" i="21"/>
  <c r="H59" i="21"/>
  <c r="F59" i="21"/>
  <c r="D59" i="21"/>
  <c r="B59" i="21"/>
  <c r="AV58" i="21"/>
  <c r="AV58" i="21" a="1"/>
  <c r="AT58" i="21"/>
  <c r="AT58" i="21" a="1"/>
  <c r="AR58" i="21" a="1"/>
  <c r="AR58" i="21" s="1"/>
  <c r="AP58" i="21" a="1"/>
  <c r="AP58" i="21" s="1"/>
  <c r="AN58" i="21" a="1"/>
  <c r="AN58" i="21" s="1"/>
  <c r="AL58" i="21" a="1"/>
  <c r="AL58" i="21" s="1"/>
  <c r="AJ58" i="21" a="1"/>
  <c r="AJ58" i="21" s="1"/>
  <c r="AH58" i="21" a="1"/>
  <c r="AH58" i="21" s="1"/>
  <c r="AF58" i="21"/>
  <c r="AF58" i="21" a="1"/>
  <c r="AD58" i="21"/>
  <c r="AD58" i="21" a="1"/>
  <c r="AB58" i="21" a="1"/>
  <c r="AB58" i="21" s="1"/>
  <c r="Z58" i="21" a="1"/>
  <c r="Z58" i="21" s="1"/>
  <c r="X58" i="21" a="1"/>
  <c r="X58" i="21" s="1"/>
  <c r="V58" i="21" a="1"/>
  <c r="V58" i="21" s="1"/>
  <c r="T58" i="21" a="1"/>
  <c r="T58" i="21" s="1"/>
  <c r="R58" i="21" a="1"/>
  <c r="R58" i="21" s="1"/>
  <c r="P58" i="21"/>
  <c r="P58" i="21" a="1"/>
  <c r="N58" i="21"/>
  <c r="N58" i="21" a="1"/>
  <c r="L58" i="21" a="1"/>
  <c r="L58" i="21" s="1"/>
  <c r="J58" i="21" a="1"/>
  <c r="J58" i="21" s="1"/>
  <c r="H58" i="21" a="1"/>
  <c r="H58" i="21" s="1"/>
  <c r="F58" i="21" a="1"/>
  <c r="F58" i="21" s="1"/>
  <c r="D58" i="21" a="1"/>
  <c r="D58" i="21" s="1"/>
  <c r="B58" i="21" a="1"/>
  <c r="B58" i="21" s="1"/>
  <c r="AV57" i="21"/>
  <c r="AV57" i="21" a="1"/>
  <c r="AT57" i="21"/>
  <c r="AT57" i="21" a="1"/>
  <c r="AR57" i="21" a="1"/>
  <c r="AR57" i="21" s="1"/>
  <c r="AP57" i="21" a="1"/>
  <c r="AP57" i="21" s="1"/>
  <c r="AN57" i="21" a="1"/>
  <c r="AN57" i="21" s="1"/>
  <c r="AL57" i="21" a="1"/>
  <c r="AL57" i="21" s="1"/>
  <c r="AJ57" i="21" a="1"/>
  <c r="AJ57" i="21" s="1"/>
  <c r="AH57" i="21" a="1"/>
  <c r="AH57" i="21" s="1"/>
  <c r="AF57" i="21"/>
  <c r="AF57" i="21" a="1"/>
  <c r="AD57" i="21"/>
  <c r="AD57" i="21" a="1"/>
  <c r="AB57" i="21" a="1"/>
  <c r="AB57" i="21" s="1"/>
  <c r="Z57" i="21" a="1"/>
  <c r="Z57" i="21" s="1"/>
  <c r="X57" i="21"/>
  <c r="X57" i="21" a="1"/>
  <c r="V57" i="21" a="1"/>
  <c r="V57" i="21" s="1"/>
  <c r="T57" i="21" a="1"/>
  <c r="T57" i="21" s="1"/>
  <c r="R57" i="21" a="1"/>
  <c r="R57" i="21" s="1"/>
  <c r="P57" i="21"/>
  <c r="P57" i="21" a="1"/>
  <c r="N57" i="21"/>
  <c r="N57" i="21" a="1"/>
  <c r="L57" i="21" a="1"/>
  <c r="L57" i="21" s="1"/>
  <c r="J57" i="21" a="1"/>
  <c r="J57" i="21" s="1"/>
  <c r="H57" i="21" a="1"/>
  <c r="H57" i="21" s="1"/>
  <c r="F57" i="21"/>
  <c r="F57" i="21" a="1"/>
  <c r="D57" i="21" a="1"/>
  <c r="D57" i="21" s="1"/>
  <c r="B57" i="21" a="1"/>
  <c r="B57" i="21" s="1"/>
  <c r="AV56" i="21"/>
  <c r="AT56" i="21"/>
  <c r="AR56" i="21"/>
  <c r="AP56" i="21"/>
  <c r="AN56" i="21"/>
  <c r="AL56" i="21"/>
  <c r="AJ56" i="21"/>
  <c r="AH56" i="21"/>
  <c r="AF56" i="21"/>
  <c r="AD56" i="21"/>
  <c r="AB56" i="21"/>
  <c r="Z56" i="21"/>
  <c r="X56" i="21"/>
  <c r="V56" i="21"/>
  <c r="T56" i="21"/>
  <c r="R56" i="21"/>
  <c r="P56" i="21"/>
  <c r="N56" i="21"/>
  <c r="L56" i="21"/>
  <c r="J56" i="21"/>
  <c r="H56" i="21"/>
  <c r="F56" i="21"/>
  <c r="D56" i="21"/>
  <c r="B56" i="21"/>
  <c r="AV55" i="21"/>
  <c r="AV80" i="21" s="1"/>
  <c r="AT55" i="21"/>
  <c r="AT80" i="21" s="1"/>
  <c r="AR55" i="21"/>
  <c r="AR80" i="21" s="1"/>
  <c r="AP55" i="21"/>
  <c r="AN55" i="21"/>
  <c r="AL55" i="21"/>
  <c r="AJ55" i="21"/>
  <c r="AJ80" i="21" s="1"/>
  <c r="AH55" i="21"/>
  <c r="AH80" i="21" s="1"/>
  <c r="AF55" i="21"/>
  <c r="AF80" i="21" s="1"/>
  <c r="AD55" i="21"/>
  <c r="AD80" i="21" s="1"/>
  <c r="AB55" i="21"/>
  <c r="AB80" i="21" s="1"/>
  <c r="Z55" i="21"/>
  <c r="Z80" i="21" s="1"/>
  <c r="X55" i="21"/>
  <c r="V55" i="21"/>
  <c r="T55" i="21"/>
  <c r="R55" i="21"/>
  <c r="P55" i="21"/>
  <c r="P80" i="21" s="1"/>
  <c r="N55" i="21"/>
  <c r="N80" i="21" s="1"/>
  <c r="L55" i="21"/>
  <c r="L80" i="21" s="1"/>
  <c r="J55" i="21"/>
  <c r="H55" i="21"/>
  <c r="F55" i="21"/>
  <c r="D55" i="21"/>
  <c r="B55" i="21"/>
  <c r="AV53" i="21" a="1"/>
  <c r="AT53" i="21" a="1"/>
  <c r="AR53" i="21" a="1"/>
  <c r="AP53" i="21" a="1"/>
  <c r="AN53" i="21" a="1"/>
  <c r="AL53" i="21" a="1"/>
  <c r="AJ53" i="21" a="1"/>
  <c r="AH53" i="21" a="1"/>
  <c r="AF53" i="21" a="1"/>
  <c r="AD53" i="21" a="1"/>
  <c r="AB53" i="21" a="1"/>
  <c r="Z53" i="21" a="1"/>
  <c r="X53" i="21" a="1"/>
  <c r="V53" i="21" a="1"/>
  <c r="T53" i="21" a="1"/>
  <c r="R53" i="21" a="1"/>
  <c r="P53" i="21" a="1"/>
  <c r="N53" i="21" a="1"/>
  <c r="L53" i="21" a="1"/>
  <c r="J53" i="21" a="1"/>
  <c r="H53" i="21" a="1"/>
  <c r="F53" i="21" a="1"/>
  <c r="D53" i="21" a="1"/>
  <c r="B53" i="21" a="1"/>
  <c r="AV52" i="21" a="1"/>
  <c r="AT52" i="21" a="1"/>
  <c r="AR52" i="21" a="1"/>
  <c r="AP52" i="21" a="1"/>
  <c r="AN52" i="21" a="1"/>
  <c r="AL52" i="21" a="1"/>
  <c r="AJ52" i="21" a="1"/>
  <c r="AH52" i="21" a="1"/>
  <c r="AF52" i="21" a="1"/>
  <c r="AD52" i="21" a="1"/>
  <c r="AB52" i="21" a="1"/>
  <c r="Z52" i="21" a="1"/>
  <c r="X52" i="21" a="1"/>
  <c r="V52" i="21" a="1"/>
  <c r="T52" i="21" a="1"/>
  <c r="R52" i="21" a="1"/>
  <c r="P52" i="21" a="1"/>
  <c r="N52" i="21" a="1"/>
  <c r="L52" i="21" a="1"/>
  <c r="J52" i="21" a="1"/>
  <c r="H52" i="21" a="1"/>
  <c r="F52" i="21" a="1"/>
  <c r="D52" i="21" a="1"/>
  <c r="B52" i="21" a="1"/>
  <c r="AV51" i="21"/>
  <c r="AV81" i="21" s="1"/>
  <c r="AT51" i="21"/>
  <c r="AT81" i="21" s="1"/>
  <c r="AR51" i="21"/>
  <c r="AR81" i="21" s="1"/>
  <c r="AP51" i="21"/>
  <c r="AP81" i="21" s="1"/>
  <c r="AN51" i="21"/>
  <c r="AL51" i="21"/>
  <c r="AJ51" i="21"/>
  <c r="AH51" i="21"/>
  <c r="AF51" i="21"/>
  <c r="AD51" i="21"/>
  <c r="AB51" i="21"/>
  <c r="AB81" i="21" s="1"/>
  <c r="Z51" i="21"/>
  <c r="Z81" i="21" s="1"/>
  <c r="X51" i="21"/>
  <c r="X81" i="21" s="1"/>
  <c r="V51" i="21"/>
  <c r="V81" i="21" s="1"/>
  <c r="T51" i="21"/>
  <c r="R51" i="21"/>
  <c r="P51" i="21"/>
  <c r="P81" i="21" s="1"/>
  <c r="N51" i="21"/>
  <c r="N81" i="21" s="1"/>
  <c r="L51" i="21"/>
  <c r="L81" i="21" s="1"/>
  <c r="J51" i="21"/>
  <c r="J81" i="21" s="1"/>
  <c r="H51" i="21"/>
  <c r="F51" i="21"/>
  <c r="D51" i="21"/>
  <c r="B51" i="21"/>
  <c r="AV49" i="21"/>
  <c r="AT49" i="21"/>
  <c r="AR49" i="21"/>
  <c r="AP49" i="21"/>
  <c r="AN49" i="21"/>
  <c r="AL49" i="21"/>
  <c r="AJ49" i="21"/>
  <c r="AH49" i="21"/>
  <c r="AF49" i="21"/>
  <c r="AD49" i="21"/>
  <c r="AB49" i="21"/>
  <c r="Z49" i="21"/>
  <c r="X49" i="21"/>
  <c r="V49" i="21"/>
  <c r="T49" i="21"/>
  <c r="R49" i="21"/>
  <c r="P49" i="21"/>
  <c r="N49" i="21"/>
  <c r="L49" i="21"/>
  <c r="J49" i="21"/>
  <c r="H49" i="21"/>
  <c r="F49" i="21"/>
  <c r="D49" i="21"/>
  <c r="B49" i="21"/>
  <c r="AV48" i="21"/>
  <c r="AT48" i="21"/>
  <c r="AR48" i="21"/>
  <c r="AP48" i="21"/>
  <c r="AN48" i="21"/>
  <c r="AL48" i="21"/>
  <c r="AJ48" i="21"/>
  <c r="AH48" i="21"/>
  <c r="AF48" i="21"/>
  <c r="AD48" i="21"/>
  <c r="AB48" i="21"/>
  <c r="Z48" i="21"/>
  <c r="X48" i="21"/>
  <c r="V48" i="21"/>
  <c r="T48" i="21"/>
  <c r="R48" i="21"/>
  <c r="P48" i="21"/>
  <c r="N48" i="21"/>
  <c r="L48" i="21"/>
  <c r="J48" i="21"/>
  <c r="H48" i="21"/>
  <c r="F48" i="21"/>
  <c r="D48" i="21"/>
  <c r="B48" i="21"/>
  <c r="AV46" i="21"/>
  <c r="AT46" i="21"/>
  <c r="AR46" i="21"/>
  <c r="AP46" i="21"/>
  <c r="AN46" i="21"/>
  <c r="AL46" i="21"/>
  <c r="AJ46" i="21"/>
  <c r="AH46" i="21"/>
  <c r="AF46" i="21"/>
  <c r="AD46" i="21"/>
  <c r="AB46" i="21"/>
  <c r="Z46" i="21"/>
  <c r="X46" i="21"/>
  <c r="V46" i="21"/>
  <c r="T46" i="21"/>
  <c r="R46" i="21"/>
  <c r="P46" i="21"/>
  <c r="N46" i="21"/>
  <c r="L46" i="21"/>
  <c r="J46" i="21"/>
  <c r="H46" i="21"/>
  <c r="F46" i="21"/>
  <c r="D46" i="21"/>
  <c r="B46" i="21"/>
  <c r="AV45" i="21"/>
  <c r="AT45" i="21"/>
  <c r="AR45" i="21"/>
  <c r="AP45" i="21"/>
  <c r="AN45" i="21"/>
  <c r="AL45" i="21"/>
  <c r="AJ45" i="21"/>
  <c r="AH45" i="21"/>
  <c r="AF45" i="21"/>
  <c r="AD45" i="21"/>
  <c r="AB45" i="21"/>
  <c r="Z45" i="21"/>
  <c r="X45" i="21"/>
  <c r="V45" i="21"/>
  <c r="T45" i="21"/>
  <c r="R45" i="21"/>
  <c r="P45" i="21"/>
  <c r="N45" i="21"/>
  <c r="L45" i="21"/>
  <c r="J45" i="21"/>
  <c r="H45" i="21"/>
  <c r="F45" i="21"/>
  <c r="D45" i="21"/>
  <c r="B45" i="21"/>
  <c r="AV44" i="21"/>
  <c r="AT44" i="21"/>
  <c r="AR44" i="21"/>
  <c r="AP44" i="21"/>
  <c r="AN44" i="21"/>
  <c r="AL44" i="21"/>
  <c r="AJ44" i="21"/>
  <c r="AH44" i="21"/>
  <c r="AF44" i="21"/>
  <c r="AD44" i="21"/>
  <c r="AB44" i="21"/>
  <c r="Z44" i="21"/>
  <c r="X44" i="21"/>
  <c r="V44" i="21"/>
  <c r="T44" i="21"/>
  <c r="R44" i="21"/>
  <c r="P44" i="21"/>
  <c r="N44" i="21"/>
  <c r="L44" i="21"/>
  <c r="J44" i="21"/>
  <c r="H44" i="21"/>
  <c r="F44" i="21"/>
  <c r="D44" i="21"/>
  <c r="B44" i="21"/>
  <c r="AV43" i="21"/>
  <c r="AV43" i="21" a="1"/>
  <c r="AT43" i="21" a="1"/>
  <c r="AT43" i="21" s="1"/>
  <c r="AR43" i="21" a="1"/>
  <c r="AR43" i="21" s="1"/>
  <c r="AP43" i="21" a="1"/>
  <c r="AP43" i="21" s="1"/>
  <c r="AN43" i="21" a="1"/>
  <c r="AN43" i="21" s="1"/>
  <c r="AL43" i="21" a="1"/>
  <c r="AL43" i="21" s="1"/>
  <c r="AJ43" i="21" a="1"/>
  <c r="AJ43" i="21" s="1"/>
  <c r="AH43" i="21"/>
  <c r="AH43" i="21" a="1"/>
  <c r="AF43" i="21"/>
  <c r="AF43" i="21" a="1"/>
  <c r="AD43" i="21" a="1"/>
  <c r="AD43" i="21" s="1"/>
  <c r="AB43" i="21" a="1"/>
  <c r="AB43" i="21" s="1"/>
  <c r="Z43" i="21" a="1"/>
  <c r="Z43" i="21" s="1"/>
  <c r="X43" i="21" a="1"/>
  <c r="X43" i="21" s="1"/>
  <c r="V43" i="21" a="1"/>
  <c r="V43" i="21" s="1"/>
  <c r="T43" i="21" a="1"/>
  <c r="T43" i="21" s="1"/>
  <c r="R43" i="21" a="1"/>
  <c r="R43" i="21" s="1"/>
  <c r="P43" i="21"/>
  <c r="P43" i="21" a="1"/>
  <c r="N43" i="21" a="1"/>
  <c r="N43" i="21" s="1"/>
  <c r="L43" i="21" a="1"/>
  <c r="L43" i="21" s="1"/>
  <c r="J43" i="21" a="1"/>
  <c r="J43" i="21" s="1"/>
  <c r="H43" i="21" a="1"/>
  <c r="H43" i="21" s="1"/>
  <c r="F43" i="21" a="1"/>
  <c r="F43" i="21" s="1"/>
  <c r="D43" i="21" a="1"/>
  <c r="D43" i="21" s="1"/>
  <c r="B43" i="21"/>
  <c r="AV42" i="21"/>
  <c r="AT42" i="21"/>
  <c r="AR42" i="21"/>
  <c r="AP42" i="21"/>
  <c r="AN42" i="21"/>
  <c r="AL42" i="21"/>
  <c r="AJ42" i="21"/>
  <c r="AH42" i="21"/>
  <c r="AF42" i="21"/>
  <c r="AD42" i="21"/>
  <c r="AB42" i="21"/>
  <c r="Z42" i="21"/>
  <c r="X42" i="21"/>
  <c r="V42" i="21"/>
  <c r="T42" i="21"/>
  <c r="R42" i="21"/>
  <c r="P42" i="21"/>
  <c r="N42" i="21"/>
  <c r="L42" i="21"/>
  <c r="J42" i="21"/>
  <c r="H42" i="21"/>
  <c r="F42" i="21"/>
  <c r="D42" i="21"/>
  <c r="B42" i="21"/>
  <c r="AN81" i="24"/>
  <c r="AH81" i="24"/>
  <c r="AF81" i="24"/>
  <c r="AD81" i="24"/>
  <c r="AB81" i="24"/>
  <c r="T81" i="24"/>
  <c r="R81" i="24"/>
  <c r="H81" i="24"/>
  <c r="B81" i="24"/>
  <c r="AV80" i="24"/>
  <c r="AT80" i="24"/>
  <c r="AR80" i="24"/>
  <c r="AJ80" i="24"/>
  <c r="AH80" i="24"/>
  <c r="X80" i="24"/>
  <c r="R80" i="24"/>
  <c r="P80" i="24"/>
  <c r="N80" i="24"/>
  <c r="L80" i="24"/>
  <c r="J80" i="24"/>
  <c r="D80" i="24"/>
  <c r="B80" i="24"/>
  <c r="AV79" i="24" a="1"/>
  <c r="AV79" i="24" s="1"/>
  <c r="AT79" i="24" a="1"/>
  <c r="AT79" i="24" s="1"/>
  <c r="AR79" i="24"/>
  <c r="AR79" i="24" a="1"/>
  <c r="AP79" i="24" a="1"/>
  <c r="AP79" i="24" s="1"/>
  <c r="AN79" i="24" a="1"/>
  <c r="AN79" i="24" s="1"/>
  <c r="AL79" i="24" a="1"/>
  <c r="AL79" i="24" s="1"/>
  <c r="AJ79" i="24"/>
  <c r="AJ79" i="24" a="1"/>
  <c r="AH79" i="24" a="1"/>
  <c r="AH79" i="24" s="1"/>
  <c r="AF79" i="24" a="1"/>
  <c r="AF79" i="24" s="1"/>
  <c r="AD79" i="24" a="1"/>
  <c r="AD79" i="24" s="1"/>
  <c r="AB79" i="24"/>
  <c r="AB79" i="24" a="1"/>
  <c r="Z79" i="24" a="1"/>
  <c r="Z79" i="24" s="1"/>
  <c r="X79" i="24" a="1"/>
  <c r="X79" i="24" s="1"/>
  <c r="V79" i="24" a="1"/>
  <c r="V79" i="24" s="1"/>
  <c r="T79" i="24"/>
  <c r="T79" i="24" a="1"/>
  <c r="R79" i="24" a="1"/>
  <c r="R79" i="24" s="1"/>
  <c r="P79" i="24" a="1"/>
  <c r="P79" i="24" s="1"/>
  <c r="N79" i="24" a="1"/>
  <c r="N79" i="24" s="1"/>
  <c r="L79" i="24"/>
  <c r="L79" i="24" a="1"/>
  <c r="J79" i="24" a="1"/>
  <c r="J79" i="24" s="1"/>
  <c r="H79" i="24" a="1"/>
  <c r="H79" i="24" s="1"/>
  <c r="F79" i="24" a="1"/>
  <c r="F79" i="24" s="1"/>
  <c r="D79" i="24"/>
  <c r="D79" i="24" a="1"/>
  <c r="B79" i="24" a="1"/>
  <c r="B79" i="24" s="1"/>
  <c r="AV78" i="24" a="1"/>
  <c r="AV78" i="24" s="1"/>
  <c r="AT78" i="24" a="1"/>
  <c r="AT78" i="24" s="1"/>
  <c r="AR78" i="24"/>
  <c r="AR78" i="24" a="1"/>
  <c r="AP78" i="24" a="1"/>
  <c r="AP78" i="24" s="1"/>
  <c r="AN78" i="24" a="1"/>
  <c r="AN78" i="24" s="1"/>
  <c r="AL78" i="24" a="1"/>
  <c r="AL78" i="24" s="1"/>
  <c r="AJ78" i="24"/>
  <c r="AJ78" i="24" a="1"/>
  <c r="AH78" i="24" a="1"/>
  <c r="AH78" i="24" s="1"/>
  <c r="AF78" i="24" a="1"/>
  <c r="AF78" i="24" s="1"/>
  <c r="AD78" i="24" a="1"/>
  <c r="AD78" i="24" s="1"/>
  <c r="AB78" i="24"/>
  <c r="AB78" i="24" a="1"/>
  <c r="Z78" i="24" a="1"/>
  <c r="Z78" i="24" s="1"/>
  <c r="X78" i="24" a="1"/>
  <c r="X78" i="24" s="1"/>
  <c r="V78" i="24" a="1"/>
  <c r="V78" i="24" s="1"/>
  <c r="T78" i="24"/>
  <c r="T78" i="24" a="1"/>
  <c r="R78" i="24" a="1"/>
  <c r="R78" i="24" s="1"/>
  <c r="P78" i="24" a="1"/>
  <c r="P78" i="24" s="1"/>
  <c r="N78" i="24" a="1"/>
  <c r="N78" i="24" s="1"/>
  <c r="L78" i="24"/>
  <c r="L78" i="24" a="1"/>
  <c r="J78" i="24" a="1"/>
  <c r="J78" i="24" s="1"/>
  <c r="H78" i="24" a="1"/>
  <c r="H78" i="24" s="1"/>
  <c r="F78" i="24" a="1"/>
  <c r="F78" i="24" s="1"/>
  <c r="D78" i="24"/>
  <c r="D78" i="24" a="1"/>
  <c r="B78" i="24" a="1"/>
  <c r="B78" i="24" s="1"/>
  <c r="AV77" i="24" a="1"/>
  <c r="AV77" i="24" s="1"/>
  <c r="AT77" i="24" a="1"/>
  <c r="AT77" i="24" s="1"/>
  <c r="AR77" i="24"/>
  <c r="AR77" i="24" a="1"/>
  <c r="AP77" i="24" a="1"/>
  <c r="AP77" i="24" s="1"/>
  <c r="AN77" i="24" a="1"/>
  <c r="AN77" i="24" s="1"/>
  <c r="AL77" i="24" a="1"/>
  <c r="AL77" i="24" s="1"/>
  <c r="AJ77" i="24"/>
  <c r="AJ77" i="24" a="1"/>
  <c r="AH77" i="24" a="1"/>
  <c r="AH77" i="24" s="1"/>
  <c r="AF77" i="24" a="1"/>
  <c r="AF77" i="24" s="1"/>
  <c r="AD77" i="24" a="1"/>
  <c r="AD77" i="24" s="1"/>
  <c r="AB77" i="24"/>
  <c r="AB77" i="24" a="1"/>
  <c r="Z77" i="24" a="1"/>
  <c r="Z77" i="24" s="1"/>
  <c r="X77" i="24" a="1"/>
  <c r="X77" i="24" s="1"/>
  <c r="V77" i="24" a="1"/>
  <c r="V77" i="24" s="1"/>
  <c r="T77" i="24"/>
  <c r="T77" i="24" a="1"/>
  <c r="R77" i="24" a="1"/>
  <c r="R77" i="24" s="1"/>
  <c r="P77" i="24" a="1"/>
  <c r="P77" i="24" s="1"/>
  <c r="N77" i="24" a="1"/>
  <c r="N77" i="24" s="1"/>
  <c r="L77" i="24"/>
  <c r="L77" i="24" a="1"/>
  <c r="J77" i="24" a="1"/>
  <c r="J77" i="24" s="1"/>
  <c r="H77" i="24" a="1"/>
  <c r="H77" i="24" s="1"/>
  <c r="F77" i="24" a="1"/>
  <c r="F77" i="24" s="1"/>
  <c r="D77" i="24"/>
  <c r="D77" i="24" a="1"/>
  <c r="B77" i="24" a="1"/>
  <c r="B77" i="24" s="1"/>
  <c r="AV76" i="24" a="1"/>
  <c r="AV76" i="24" s="1"/>
  <c r="AT76" i="24" a="1"/>
  <c r="AT76" i="24" s="1"/>
  <c r="AR76" i="24"/>
  <c r="AR76" i="24" a="1"/>
  <c r="AP76" i="24" a="1"/>
  <c r="AP76" i="24" s="1"/>
  <c r="AN76" i="24" a="1"/>
  <c r="AN76" i="24" s="1"/>
  <c r="AL76" i="24" a="1"/>
  <c r="AL76" i="24" s="1"/>
  <c r="AJ76" i="24"/>
  <c r="AJ76" i="24" a="1"/>
  <c r="AH76" i="24" a="1"/>
  <c r="AH76" i="24" s="1"/>
  <c r="AF76" i="24" a="1"/>
  <c r="AF76" i="24" s="1"/>
  <c r="AD76" i="24" a="1"/>
  <c r="AD76" i="24" s="1"/>
  <c r="AB76" i="24"/>
  <c r="AB76" i="24" a="1"/>
  <c r="Z76" i="24" a="1"/>
  <c r="Z76" i="24" s="1"/>
  <c r="X76" i="24" a="1"/>
  <c r="X76" i="24" s="1"/>
  <c r="V76" i="24" a="1"/>
  <c r="V76" i="24" s="1"/>
  <c r="T76" i="24"/>
  <c r="T76" i="24" a="1"/>
  <c r="R76" i="24" a="1"/>
  <c r="R76" i="24" s="1"/>
  <c r="P76" i="24" a="1"/>
  <c r="P76" i="24" s="1"/>
  <c r="N76" i="24" a="1"/>
  <c r="N76" i="24" s="1"/>
  <c r="L76" i="24"/>
  <c r="L76" i="24" a="1"/>
  <c r="J76" i="24" a="1"/>
  <c r="J76" i="24" s="1"/>
  <c r="H76" i="24" a="1"/>
  <c r="H76" i="24" s="1"/>
  <c r="F76" i="24" a="1"/>
  <c r="F76" i="24" s="1"/>
  <c r="D76" i="24"/>
  <c r="D76" i="24" a="1"/>
  <c r="B76" i="24" a="1"/>
  <c r="B76" i="24" s="1"/>
  <c r="AV75" i="24" a="1"/>
  <c r="AV75" i="24" s="1"/>
  <c r="AT75" i="24" a="1"/>
  <c r="AT75" i="24" s="1"/>
  <c r="AR75" i="24"/>
  <c r="AR75" i="24" a="1"/>
  <c r="AP75" i="24" a="1"/>
  <c r="AP75" i="24" s="1"/>
  <c r="AN75" i="24" a="1"/>
  <c r="AN75" i="24" s="1"/>
  <c r="AL75" i="24" a="1"/>
  <c r="AL75" i="24" s="1"/>
  <c r="AJ75" i="24"/>
  <c r="AJ75" i="24" a="1"/>
  <c r="AH75" i="24" a="1"/>
  <c r="AH75" i="24" s="1"/>
  <c r="AF75" i="24" a="1"/>
  <c r="AF75" i="24" s="1"/>
  <c r="AD75" i="24" a="1"/>
  <c r="AD75" i="24" s="1"/>
  <c r="AB75" i="24"/>
  <c r="AB75" i="24" a="1"/>
  <c r="Z75" i="24" a="1"/>
  <c r="Z75" i="24" s="1"/>
  <c r="X75" i="24" a="1"/>
  <c r="X75" i="24" s="1"/>
  <c r="V75" i="24" a="1"/>
  <c r="V75" i="24" s="1"/>
  <c r="T75" i="24"/>
  <c r="T75" i="24" a="1"/>
  <c r="R75" i="24" a="1"/>
  <c r="R75" i="24" s="1"/>
  <c r="P75" i="24" a="1"/>
  <c r="P75" i="24" s="1"/>
  <c r="N75" i="24" a="1"/>
  <c r="N75" i="24" s="1"/>
  <c r="L75" i="24"/>
  <c r="L75" i="24" a="1"/>
  <c r="J75" i="24" a="1"/>
  <c r="J75" i="24" s="1"/>
  <c r="H75" i="24" a="1"/>
  <c r="H75" i="24" s="1"/>
  <c r="F75" i="24" a="1"/>
  <c r="F75" i="24" s="1"/>
  <c r="D75" i="24"/>
  <c r="D75" i="24" a="1"/>
  <c r="B75" i="24" a="1"/>
  <c r="B75" i="24" s="1"/>
  <c r="AV74" i="24" a="1"/>
  <c r="AV74" i="24" s="1"/>
  <c r="AT74" i="24" a="1"/>
  <c r="AT74" i="24" s="1"/>
  <c r="AR74" i="24"/>
  <c r="AR74" i="24" a="1"/>
  <c r="AP74" i="24" a="1"/>
  <c r="AP74" i="24" s="1"/>
  <c r="AN74" i="24" a="1"/>
  <c r="AN74" i="24" s="1"/>
  <c r="AL74" i="24"/>
  <c r="AL74" i="24" a="1"/>
  <c r="AJ74" i="24"/>
  <c r="AJ74" i="24" a="1"/>
  <c r="AH74" i="24" a="1"/>
  <c r="AH74" i="24" s="1"/>
  <c r="AF74" i="24" a="1"/>
  <c r="AF74" i="24" s="1"/>
  <c r="AD74" i="24" a="1"/>
  <c r="AD74" i="24" s="1"/>
  <c r="AB74" i="24"/>
  <c r="AB74" i="24" a="1"/>
  <c r="Z74" i="24" a="1"/>
  <c r="Z74" i="24" s="1"/>
  <c r="X74" i="24" a="1"/>
  <c r="X74" i="24" s="1"/>
  <c r="V74" i="24" a="1"/>
  <c r="V74" i="24" s="1"/>
  <c r="T74" i="24" a="1"/>
  <c r="T74" i="24" s="1"/>
  <c r="R74" i="24" a="1"/>
  <c r="R74" i="24" s="1"/>
  <c r="P74" i="24" a="1"/>
  <c r="P74" i="24" s="1"/>
  <c r="N74" i="24" a="1"/>
  <c r="N74" i="24" s="1"/>
  <c r="L74" i="24"/>
  <c r="L74" i="24" a="1"/>
  <c r="J74" i="24" a="1"/>
  <c r="J74" i="24" s="1"/>
  <c r="H74" i="24" a="1"/>
  <c r="H74" i="24" s="1"/>
  <c r="F74" i="24" a="1"/>
  <c r="F74" i="24" s="1"/>
  <c r="D74" i="24" a="1"/>
  <c r="D74" i="24" s="1"/>
  <c r="B74" i="24" a="1"/>
  <c r="B74" i="24" s="1"/>
  <c r="AV73" i="24" a="1"/>
  <c r="AV73" i="24" s="1"/>
  <c r="AT73" i="24" a="1"/>
  <c r="AT73" i="24" s="1"/>
  <c r="AR73" i="24"/>
  <c r="AR73" i="24" a="1"/>
  <c r="AP73" i="24" a="1"/>
  <c r="AP73" i="24" s="1"/>
  <c r="AN73" i="24" a="1"/>
  <c r="AN73" i="24" s="1"/>
  <c r="AL73" i="24" a="1"/>
  <c r="AL73" i="24" s="1"/>
  <c r="AJ73" i="24" a="1"/>
  <c r="AJ73" i="24" s="1"/>
  <c r="AH73" i="24" a="1"/>
  <c r="AH73" i="24" s="1"/>
  <c r="AF73" i="24" a="1"/>
  <c r="AF73" i="24" s="1"/>
  <c r="AD73" i="24" a="1"/>
  <c r="AD73" i="24" s="1"/>
  <c r="AB73" i="24"/>
  <c r="AB73" i="24" a="1"/>
  <c r="Z73" i="24" a="1"/>
  <c r="Z73" i="24" s="1"/>
  <c r="X73" i="24" a="1"/>
  <c r="X73" i="24" s="1"/>
  <c r="V73" i="24" a="1"/>
  <c r="V73" i="24" s="1"/>
  <c r="T73" i="24" a="1"/>
  <c r="T73" i="24" s="1"/>
  <c r="R73" i="24" a="1"/>
  <c r="R73" i="24" s="1"/>
  <c r="P73" i="24" a="1"/>
  <c r="P73" i="24" s="1"/>
  <c r="N73" i="24" a="1"/>
  <c r="N73" i="24" s="1"/>
  <c r="L73" i="24"/>
  <c r="L73" i="24" a="1"/>
  <c r="J73" i="24" a="1"/>
  <c r="J73" i="24" s="1"/>
  <c r="H73" i="24" a="1"/>
  <c r="H73" i="24" s="1"/>
  <c r="F73" i="24" a="1"/>
  <c r="F73" i="24" s="1"/>
  <c r="D73" i="24" a="1"/>
  <c r="D73" i="24" s="1"/>
  <c r="B73" i="24" a="1"/>
  <c r="B73" i="24" s="1"/>
  <c r="AV72" i="24"/>
  <c r="AT72" i="24"/>
  <c r="AR72" i="24"/>
  <c r="AP72" i="24"/>
  <c r="AN72" i="24"/>
  <c r="AL72" i="24"/>
  <c r="AJ72" i="24"/>
  <c r="AH72" i="24"/>
  <c r="AF72" i="24"/>
  <c r="AD72" i="24"/>
  <c r="AB72" i="24"/>
  <c r="Z72" i="24"/>
  <c r="X72" i="24"/>
  <c r="V72" i="24"/>
  <c r="T72" i="24"/>
  <c r="R72" i="24"/>
  <c r="P72" i="24"/>
  <c r="N72" i="24"/>
  <c r="L72" i="24"/>
  <c r="J72" i="24"/>
  <c r="H72" i="24"/>
  <c r="F72" i="24"/>
  <c r="D72" i="24"/>
  <c r="B72" i="24"/>
  <c r="AV71" i="24"/>
  <c r="AT71" i="24"/>
  <c r="AR71" i="24"/>
  <c r="AP71" i="24"/>
  <c r="AN71" i="24"/>
  <c r="AL71" i="24"/>
  <c r="AJ71" i="24"/>
  <c r="AH71" i="24"/>
  <c r="AF71" i="24"/>
  <c r="AD71" i="24"/>
  <c r="AB71" i="24"/>
  <c r="Z71" i="24"/>
  <c r="X71" i="24"/>
  <c r="V71" i="24"/>
  <c r="T71" i="24"/>
  <c r="R71" i="24"/>
  <c r="P71" i="24"/>
  <c r="N71" i="24"/>
  <c r="L71" i="24"/>
  <c r="J71" i="24"/>
  <c r="H71" i="24"/>
  <c r="F71" i="24"/>
  <c r="D71" i="24"/>
  <c r="B71" i="24"/>
  <c r="AV70" i="24"/>
  <c r="AT70" i="24"/>
  <c r="AR70" i="24"/>
  <c r="AP70" i="24"/>
  <c r="AN70" i="24"/>
  <c r="AL70" i="24"/>
  <c r="AJ70" i="24"/>
  <c r="AH70" i="24"/>
  <c r="AF70" i="24"/>
  <c r="AD70" i="24"/>
  <c r="AB70" i="24"/>
  <c r="Z70" i="24"/>
  <c r="X70" i="24"/>
  <c r="V70" i="24"/>
  <c r="T70" i="24"/>
  <c r="R70" i="24"/>
  <c r="P70" i="24"/>
  <c r="N70" i="24"/>
  <c r="L70" i="24"/>
  <c r="J70" i="24"/>
  <c r="H70" i="24"/>
  <c r="F70" i="24"/>
  <c r="D70" i="24"/>
  <c r="B70" i="24"/>
  <c r="AR69" i="24"/>
  <c r="AP69" i="24"/>
  <c r="AJ69" i="24"/>
  <c r="D69" i="24"/>
  <c r="B69" i="24"/>
  <c r="T68" i="24"/>
  <c r="AV67" i="24" a="1"/>
  <c r="AV67" i="24" s="1"/>
  <c r="AT67" i="24" a="1"/>
  <c r="AT67" i="24" s="1"/>
  <c r="AR67" i="24" a="1"/>
  <c r="AR67" i="24" s="1"/>
  <c r="AP67" i="24" a="1"/>
  <c r="AP67" i="24" s="1"/>
  <c r="AN67" i="24" a="1"/>
  <c r="AN67" i="24" s="1"/>
  <c r="AL67" i="24" a="1"/>
  <c r="AL67" i="24" s="1"/>
  <c r="AJ67" i="24"/>
  <c r="AJ67" i="24" a="1"/>
  <c r="AH67" i="24" a="1"/>
  <c r="AH67" i="24" s="1"/>
  <c r="AF67" i="24" a="1"/>
  <c r="AF67" i="24" s="1"/>
  <c r="AD67" i="24" a="1"/>
  <c r="AD67" i="24" s="1"/>
  <c r="AB67" i="24" a="1"/>
  <c r="AB67" i="24" s="1"/>
  <c r="AB68" i="24" s="1"/>
  <c r="Z67" i="24" a="1"/>
  <c r="Z67" i="24" s="1"/>
  <c r="X67" i="24" a="1"/>
  <c r="X67" i="24" s="1"/>
  <c r="V67" i="24" a="1"/>
  <c r="V67" i="24" s="1"/>
  <c r="T67" i="24"/>
  <c r="T67" i="24" a="1"/>
  <c r="R67" i="24" a="1"/>
  <c r="R67" i="24" s="1"/>
  <c r="P67" i="24" a="1"/>
  <c r="P67" i="24" s="1"/>
  <c r="N67" i="24" a="1"/>
  <c r="N67" i="24" s="1"/>
  <c r="L67" i="24" a="1"/>
  <c r="L67" i="24" s="1"/>
  <c r="J67" i="24" a="1"/>
  <c r="J67" i="24" s="1"/>
  <c r="H67" i="24" a="1"/>
  <c r="H67" i="24" s="1"/>
  <c r="F67" i="24" a="1"/>
  <c r="F67" i="24" s="1"/>
  <c r="D67" i="24"/>
  <c r="D67" i="24" a="1"/>
  <c r="B67" i="24" a="1"/>
  <c r="B67" i="24" s="1"/>
  <c r="AV66" i="24" a="1"/>
  <c r="AV66" i="24" s="1"/>
  <c r="AT66" i="24" a="1"/>
  <c r="AT66" i="24" s="1"/>
  <c r="AR66" i="24" a="1"/>
  <c r="AR66" i="24" s="1"/>
  <c r="AP66" i="24" a="1"/>
  <c r="AP66" i="24" s="1"/>
  <c r="AP68" i="24" s="1"/>
  <c r="AN66" i="24" a="1"/>
  <c r="AN66" i="24" s="1"/>
  <c r="AN68" i="24" s="1"/>
  <c r="AL66" i="24" a="1"/>
  <c r="AL66" i="24" s="1"/>
  <c r="AJ66" i="24"/>
  <c r="AJ68" i="24" s="1"/>
  <c r="AJ66" i="24" a="1"/>
  <c r="AH66" i="24" a="1"/>
  <c r="AH66" i="24" s="1"/>
  <c r="AH68" i="24" s="1"/>
  <c r="AF66" i="24" a="1"/>
  <c r="AF66" i="24" s="1"/>
  <c r="AD66" i="24" a="1"/>
  <c r="AD66" i="24" s="1"/>
  <c r="AB66" i="24" a="1"/>
  <c r="AB66" i="24" s="1"/>
  <c r="Z66" i="24" a="1"/>
  <c r="Z66" i="24" s="1"/>
  <c r="Z68" i="24" s="1"/>
  <c r="X66" i="24" a="1"/>
  <c r="X66" i="24" s="1"/>
  <c r="V66" i="24" a="1"/>
  <c r="V66" i="24" s="1"/>
  <c r="T66" i="24"/>
  <c r="T66" i="24" a="1"/>
  <c r="R66" i="24" a="1"/>
  <c r="R66" i="24" s="1"/>
  <c r="P66" i="24" a="1"/>
  <c r="P66" i="24" s="1"/>
  <c r="P68" i="24" s="1"/>
  <c r="N66" i="24"/>
  <c r="N66" i="24" a="1"/>
  <c r="L66" i="24" a="1"/>
  <c r="L66" i="24" s="1"/>
  <c r="J66" i="24" a="1"/>
  <c r="J66" i="24" s="1"/>
  <c r="J68" i="24" s="1"/>
  <c r="H66" i="24" a="1"/>
  <c r="H66" i="24" s="1"/>
  <c r="H68" i="24" s="1"/>
  <c r="F66" i="24" a="1"/>
  <c r="F66" i="24" s="1"/>
  <c r="F68" i="24" s="1"/>
  <c r="D66" i="24"/>
  <c r="D68" i="24" s="1"/>
  <c r="D66" i="24" a="1"/>
  <c r="B66" i="24" a="1"/>
  <c r="B66" i="24" s="1"/>
  <c r="AV65" i="24" a="1"/>
  <c r="AV65" i="24" s="1"/>
  <c r="AV69" i="24" s="1"/>
  <c r="AT65" i="24"/>
  <c r="AT69" i="24" s="1"/>
  <c r="AT65" i="24" a="1"/>
  <c r="AR65" i="24" a="1"/>
  <c r="AR65" i="24" s="1"/>
  <c r="AP65" i="24" a="1"/>
  <c r="AP65" i="24" s="1"/>
  <c r="AN65" i="24" a="1"/>
  <c r="AN65" i="24" s="1"/>
  <c r="AN69" i="24" s="1"/>
  <c r="AL65" i="24" a="1"/>
  <c r="AL65" i="24" s="1"/>
  <c r="AL69" i="24" s="1"/>
  <c r="AJ65" i="24"/>
  <c r="AJ65" i="24" a="1"/>
  <c r="AH65" i="24" a="1"/>
  <c r="AH65" i="24" s="1"/>
  <c r="AH69" i="24" s="1"/>
  <c r="AF65" i="24" a="1"/>
  <c r="AF65" i="24" s="1"/>
  <c r="AF69" i="24" s="1"/>
  <c r="AD65" i="24"/>
  <c r="AD69" i="24" s="1"/>
  <c r="AD65" i="24" a="1"/>
  <c r="AB65" i="24" a="1"/>
  <c r="AB65" i="24" s="1"/>
  <c r="AB69" i="24" s="1"/>
  <c r="Z65" i="24" a="1"/>
  <c r="Z65" i="24" s="1"/>
  <c r="Z69" i="24" s="1"/>
  <c r="X65" i="24" a="1"/>
  <c r="X65" i="24" s="1"/>
  <c r="X69" i="24" s="1"/>
  <c r="V65" i="24" a="1"/>
  <c r="V65" i="24" s="1"/>
  <c r="V69" i="24" s="1"/>
  <c r="T65" i="24"/>
  <c r="T69" i="24" s="1"/>
  <c r="T65" i="24" a="1"/>
  <c r="R65" i="24" a="1"/>
  <c r="R65" i="24" s="1"/>
  <c r="R69" i="24" s="1"/>
  <c r="P65" i="24" a="1"/>
  <c r="P65" i="24" s="1"/>
  <c r="P69" i="24" s="1"/>
  <c r="N65" i="24" a="1"/>
  <c r="N65" i="24" s="1"/>
  <c r="N69" i="24" s="1"/>
  <c r="L65" i="24" a="1"/>
  <c r="L65" i="24" s="1"/>
  <c r="L69" i="24" s="1"/>
  <c r="J65" i="24" a="1"/>
  <c r="J65" i="24" s="1"/>
  <c r="J69" i="24" s="1"/>
  <c r="H65" i="24" a="1"/>
  <c r="H65" i="24" s="1"/>
  <c r="H69" i="24" s="1"/>
  <c r="F65" i="24" a="1"/>
  <c r="F65" i="24" s="1"/>
  <c r="F69" i="24" s="1"/>
  <c r="D65" i="24"/>
  <c r="D65" i="24" a="1"/>
  <c r="B65" i="24"/>
  <c r="AV62" i="24"/>
  <c r="AT62" i="24"/>
  <c r="AR62" i="24"/>
  <c r="AP62" i="24"/>
  <c r="AN62" i="24"/>
  <c r="AL62" i="24"/>
  <c r="AJ62" i="24"/>
  <c r="AH62" i="24"/>
  <c r="AF62" i="24"/>
  <c r="AD62" i="24"/>
  <c r="AB62" i="24"/>
  <c r="Z62" i="24"/>
  <c r="X62" i="24"/>
  <c r="V62" i="24"/>
  <c r="T62" i="24"/>
  <c r="R62" i="24"/>
  <c r="P62" i="24"/>
  <c r="N62" i="24"/>
  <c r="L62" i="24"/>
  <c r="J62" i="24"/>
  <c r="H62" i="24"/>
  <c r="F62" i="24"/>
  <c r="D62" i="24"/>
  <c r="B62" i="24"/>
  <c r="AV60" i="24"/>
  <c r="AT60" i="24"/>
  <c r="AR60" i="24"/>
  <c r="AP60" i="24"/>
  <c r="AN60" i="24"/>
  <c r="AL60" i="24"/>
  <c r="AJ60" i="24"/>
  <c r="AH60" i="24"/>
  <c r="AF60" i="24"/>
  <c r="AD60" i="24"/>
  <c r="AB60" i="24"/>
  <c r="Z60" i="24"/>
  <c r="X60" i="24"/>
  <c r="V60" i="24"/>
  <c r="T60" i="24"/>
  <c r="R60" i="24"/>
  <c r="P60" i="24"/>
  <c r="N60" i="24"/>
  <c r="L60" i="24"/>
  <c r="J60" i="24"/>
  <c r="H60" i="24"/>
  <c r="F60" i="24"/>
  <c r="D60" i="24"/>
  <c r="B60" i="24"/>
  <c r="AV59" i="24"/>
  <c r="AT59" i="24"/>
  <c r="AR59" i="24"/>
  <c r="AP59" i="24"/>
  <c r="AN59" i="24"/>
  <c r="AL59" i="24"/>
  <c r="AJ59" i="24"/>
  <c r="AH59" i="24"/>
  <c r="AF59" i="24"/>
  <c r="AD59" i="24"/>
  <c r="AB59" i="24"/>
  <c r="Z59" i="24"/>
  <c r="X59" i="24"/>
  <c r="V59" i="24"/>
  <c r="T59" i="24"/>
  <c r="R59" i="24"/>
  <c r="P59" i="24"/>
  <c r="N59" i="24"/>
  <c r="L59" i="24"/>
  <c r="J59" i="24"/>
  <c r="H59" i="24"/>
  <c r="F59" i="24"/>
  <c r="D59" i="24"/>
  <c r="B59" i="24"/>
  <c r="AV58" i="24"/>
  <c r="AV58" i="24" a="1"/>
  <c r="AT58" i="24" a="1"/>
  <c r="AT58" i="24" s="1"/>
  <c r="AR58" i="24" a="1"/>
  <c r="AR58" i="24" s="1"/>
  <c r="AP58" i="24"/>
  <c r="AP58" i="24" a="1"/>
  <c r="AN58" i="24" a="1"/>
  <c r="AN58" i="24" s="1"/>
  <c r="AL58" i="24" a="1"/>
  <c r="AL58" i="24" s="1"/>
  <c r="AJ58" i="24"/>
  <c r="AJ58" i="24" a="1"/>
  <c r="AH58" i="24" a="1"/>
  <c r="AH58" i="24" s="1"/>
  <c r="AF58" i="24"/>
  <c r="AF58" i="24" a="1"/>
  <c r="AD58" i="24" a="1"/>
  <c r="AD58" i="24" s="1"/>
  <c r="AB58" i="24" a="1"/>
  <c r="AB58" i="24" s="1"/>
  <c r="Z58" i="24"/>
  <c r="Z58" i="24" a="1"/>
  <c r="X58" i="24" a="1"/>
  <c r="X58" i="24" s="1"/>
  <c r="V58" i="24" a="1"/>
  <c r="V58" i="24" s="1"/>
  <c r="T58" i="24"/>
  <c r="T58" i="24" a="1"/>
  <c r="R58" i="24" a="1"/>
  <c r="R58" i="24" s="1"/>
  <c r="P58" i="24"/>
  <c r="P58" i="24" a="1"/>
  <c r="N58" i="24" a="1"/>
  <c r="N58" i="24" s="1"/>
  <c r="L58" i="24" a="1"/>
  <c r="L58" i="24" s="1"/>
  <c r="J58" i="24"/>
  <c r="J58" i="24" a="1"/>
  <c r="H58" i="24" a="1"/>
  <c r="H58" i="24" s="1"/>
  <c r="F58" i="24" a="1"/>
  <c r="F58" i="24" s="1"/>
  <c r="D58" i="24"/>
  <c r="D58" i="24" a="1"/>
  <c r="B58" i="24" a="1"/>
  <c r="B58" i="24" s="1"/>
  <c r="AV57" i="24"/>
  <c r="AV57" i="24" a="1"/>
  <c r="AT57" i="24" a="1"/>
  <c r="AT57" i="24" s="1"/>
  <c r="AR57" i="24" a="1"/>
  <c r="AR57" i="24" s="1"/>
  <c r="AP57" i="24"/>
  <c r="AP57" i="24" a="1"/>
  <c r="AN57" i="24" a="1"/>
  <c r="AN57" i="24" s="1"/>
  <c r="AL57" i="24" a="1"/>
  <c r="AL57" i="24" s="1"/>
  <c r="AJ57" i="24"/>
  <c r="AJ57" i="24" a="1"/>
  <c r="AH57" i="24" a="1"/>
  <c r="AH57" i="24" s="1"/>
  <c r="AF57" i="24"/>
  <c r="AF57" i="24" a="1"/>
  <c r="AD57" i="24" a="1"/>
  <c r="AD57" i="24" s="1"/>
  <c r="AB57" i="24" a="1"/>
  <c r="AB57" i="24" s="1"/>
  <c r="Z57" i="24"/>
  <c r="Z57" i="24" a="1"/>
  <c r="X57" i="24" a="1"/>
  <c r="X57" i="24" s="1"/>
  <c r="V57" i="24" a="1"/>
  <c r="V57" i="24" s="1"/>
  <c r="T57" i="24"/>
  <c r="T57" i="24" a="1"/>
  <c r="R57" i="24" a="1"/>
  <c r="R57" i="24" s="1"/>
  <c r="P57" i="24"/>
  <c r="P57" i="24" a="1"/>
  <c r="N57" i="24" a="1"/>
  <c r="N57" i="24" s="1"/>
  <c r="L57" i="24" a="1"/>
  <c r="L57" i="24" s="1"/>
  <c r="J57" i="24"/>
  <c r="J57" i="24" a="1"/>
  <c r="H57" i="24" a="1"/>
  <c r="H57" i="24" s="1"/>
  <c r="F57" i="24" a="1"/>
  <c r="F57" i="24" s="1"/>
  <c r="D57" i="24"/>
  <c r="D57" i="24" a="1"/>
  <c r="B57" i="24" a="1"/>
  <c r="B57" i="24" s="1"/>
  <c r="AV56" i="24"/>
  <c r="AT56" i="24"/>
  <c r="AR56" i="24"/>
  <c r="AP56" i="24"/>
  <c r="AN56" i="24"/>
  <c r="AL56" i="24"/>
  <c r="AJ56" i="24"/>
  <c r="AH56" i="24"/>
  <c r="AF56" i="24"/>
  <c r="AD56" i="24"/>
  <c r="AB56" i="24"/>
  <c r="Z56" i="24"/>
  <c r="X56" i="24"/>
  <c r="V56" i="24"/>
  <c r="T56" i="24"/>
  <c r="R56" i="24"/>
  <c r="P56" i="24"/>
  <c r="N56" i="24"/>
  <c r="L56" i="24"/>
  <c r="J56" i="24"/>
  <c r="H56" i="24"/>
  <c r="F56" i="24"/>
  <c r="D56" i="24"/>
  <c r="B56" i="24"/>
  <c r="AV55" i="24"/>
  <c r="AT55" i="24"/>
  <c r="AR55" i="24"/>
  <c r="AP55" i="24"/>
  <c r="AP80" i="24" s="1"/>
  <c r="AN55" i="24"/>
  <c r="AN80" i="24" s="1"/>
  <c r="AL55" i="24"/>
  <c r="AL80" i="24" s="1"/>
  <c r="AJ55" i="24"/>
  <c r="AH55" i="24"/>
  <c r="AF55" i="24"/>
  <c r="AF80" i="24" s="1"/>
  <c r="AD55" i="24"/>
  <c r="AD80" i="24" s="1"/>
  <c r="AB55" i="24"/>
  <c r="AB80" i="24" s="1"/>
  <c r="Z55" i="24"/>
  <c r="Z80" i="24" s="1"/>
  <c r="X55" i="24"/>
  <c r="V55" i="24"/>
  <c r="V80" i="24" s="1"/>
  <c r="T55" i="24"/>
  <c r="T80" i="24" s="1"/>
  <c r="R55" i="24"/>
  <c r="P55" i="24"/>
  <c r="N55" i="24"/>
  <c r="L55" i="24"/>
  <c r="J55" i="24"/>
  <c r="H55" i="24"/>
  <c r="H80" i="24" s="1"/>
  <c r="F55" i="24"/>
  <c r="F80" i="24" s="1"/>
  <c r="D55" i="24"/>
  <c r="B55" i="24"/>
  <c r="AV53" i="24" a="1"/>
  <c r="AT53" i="24" a="1"/>
  <c r="AR53" i="24" a="1"/>
  <c r="AP53" i="24" a="1"/>
  <c r="AN53" i="24" a="1"/>
  <c r="AL53" i="24" a="1"/>
  <c r="AJ53" i="24" a="1"/>
  <c r="AH53" i="24" a="1"/>
  <c r="AF53" i="24" a="1"/>
  <c r="AD53" i="24" a="1"/>
  <c r="AB53" i="24" a="1"/>
  <c r="Z53" i="24" a="1"/>
  <c r="X53" i="24" a="1"/>
  <c r="V53" i="24" a="1"/>
  <c r="T53" i="24" a="1"/>
  <c r="R53" i="24" a="1"/>
  <c r="P53" i="24" a="1"/>
  <c r="N53" i="24" a="1"/>
  <c r="L53" i="24" a="1"/>
  <c r="J53" i="24" a="1"/>
  <c r="H53" i="24" a="1"/>
  <c r="F53" i="24" a="1"/>
  <c r="D53" i="24" a="1"/>
  <c r="B53" i="24" a="1"/>
  <c r="AV52" i="24" a="1"/>
  <c r="AT52" i="24" a="1"/>
  <c r="AR52" i="24" a="1"/>
  <c r="AP52" i="24" a="1"/>
  <c r="AN52" i="24" a="1"/>
  <c r="AL52" i="24" a="1"/>
  <c r="AJ52" i="24" a="1"/>
  <c r="AH52" i="24" a="1"/>
  <c r="AF52" i="24" a="1"/>
  <c r="AD52" i="24" a="1"/>
  <c r="AB52" i="24" a="1"/>
  <c r="Z52" i="24" a="1"/>
  <c r="X52" i="24" a="1"/>
  <c r="V52" i="24" a="1"/>
  <c r="T52" i="24" a="1"/>
  <c r="R52" i="24" a="1"/>
  <c r="P52" i="24" a="1"/>
  <c r="N52" i="24" a="1"/>
  <c r="L52" i="24" a="1"/>
  <c r="J52" i="24" a="1"/>
  <c r="H52" i="24" a="1"/>
  <c r="F52" i="24" a="1"/>
  <c r="D52" i="24" a="1"/>
  <c r="B52" i="24" a="1"/>
  <c r="AV51" i="24"/>
  <c r="AV81" i="24" s="1"/>
  <c r="AT51" i="24"/>
  <c r="AT81" i="24" s="1"/>
  <c r="AR51" i="24"/>
  <c r="AR81" i="24" s="1"/>
  <c r="AP51" i="24"/>
  <c r="AP81" i="24" s="1"/>
  <c r="AN51" i="24"/>
  <c r="AL51" i="24"/>
  <c r="AL81" i="24" s="1"/>
  <c r="AJ51" i="24"/>
  <c r="AJ81" i="24" s="1"/>
  <c r="AH51" i="24"/>
  <c r="AF51" i="24"/>
  <c r="AD51" i="24"/>
  <c r="AB51" i="24"/>
  <c r="Z51" i="24"/>
  <c r="Z81" i="24" s="1"/>
  <c r="X51" i="24"/>
  <c r="X81" i="24" s="1"/>
  <c r="V51" i="24"/>
  <c r="V81" i="24" s="1"/>
  <c r="T51" i="24"/>
  <c r="R51" i="24"/>
  <c r="P51" i="24"/>
  <c r="P81" i="24" s="1"/>
  <c r="N51" i="24"/>
  <c r="N81" i="24" s="1"/>
  <c r="L51" i="24"/>
  <c r="L81" i="24" s="1"/>
  <c r="J51" i="24"/>
  <c r="J81" i="24" s="1"/>
  <c r="H51" i="24"/>
  <c r="F51" i="24"/>
  <c r="F81" i="24" s="1"/>
  <c r="D51" i="24"/>
  <c r="D81" i="24" s="1"/>
  <c r="B51" i="24"/>
  <c r="AV49" i="24"/>
  <c r="AT49" i="24"/>
  <c r="AR49" i="24"/>
  <c r="AP49" i="24"/>
  <c r="AN49" i="24"/>
  <c r="AL49" i="24"/>
  <c r="AJ49" i="24"/>
  <c r="AH49" i="24"/>
  <c r="AF49" i="24"/>
  <c r="AD49" i="24"/>
  <c r="AB49" i="24"/>
  <c r="Z49" i="24"/>
  <c r="X49" i="24"/>
  <c r="V49" i="24"/>
  <c r="T49" i="24"/>
  <c r="R49" i="24"/>
  <c r="P49" i="24"/>
  <c r="N49" i="24"/>
  <c r="L49" i="24"/>
  <c r="J49" i="24"/>
  <c r="H49" i="24"/>
  <c r="F49" i="24"/>
  <c r="D49" i="24"/>
  <c r="B49" i="24"/>
  <c r="AV48" i="24"/>
  <c r="AT48" i="24"/>
  <c r="AR48" i="24"/>
  <c r="AP48" i="24"/>
  <c r="AN48" i="24"/>
  <c r="AL48" i="24"/>
  <c r="AJ48" i="24"/>
  <c r="AH48" i="24"/>
  <c r="AF48" i="24"/>
  <c r="AD48" i="24"/>
  <c r="AB48" i="24"/>
  <c r="Z48" i="24"/>
  <c r="X48" i="24"/>
  <c r="V48" i="24"/>
  <c r="T48" i="24"/>
  <c r="R48" i="24"/>
  <c r="P48" i="24"/>
  <c r="N48" i="24"/>
  <c r="L48" i="24"/>
  <c r="J48" i="24"/>
  <c r="H48" i="24"/>
  <c r="F48" i="24"/>
  <c r="D48" i="24"/>
  <c r="B48" i="24"/>
  <c r="AV46" i="24"/>
  <c r="AT46" i="24"/>
  <c r="AR46" i="24"/>
  <c r="AP46" i="24"/>
  <c r="AN46" i="24"/>
  <c r="AL46" i="24"/>
  <c r="AJ46" i="24"/>
  <c r="AH46" i="24"/>
  <c r="AF46" i="24"/>
  <c r="AD46" i="24"/>
  <c r="AB46" i="24"/>
  <c r="Z46" i="24"/>
  <c r="X46" i="24"/>
  <c r="V46" i="24"/>
  <c r="T46" i="24"/>
  <c r="R46" i="24"/>
  <c r="P46" i="24"/>
  <c r="N46" i="24"/>
  <c r="L46" i="24"/>
  <c r="J46" i="24"/>
  <c r="H46" i="24"/>
  <c r="F46" i="24"/>
  <c r="D46" i="24"/>
  <c r="B46" i="24"/>
  <c r="AV45" i="24"/>
  <c r="AT45" i="24"/>
  <c r="AR45" i="24"/>
  <c r="AP45" i="24"/>
  <c r="AN45" i="24"/>
  <c r="AL45" i="24"/>
  <c r="AJ45" i="24"/>
  <c r="AH45" i="24"/>
  <c r="AF45" i="24"/>
  <c r="AD45" i="24"/>
  <c r="AB45" i="24"/>
  <c r="Z45" i="24"/>
  <c r="X45" i="24"/>
  <c r="V45" i="24"/>
  <c r="T45" i="24"/>
  <c r="R45" i="24"/>
  <c r="P45" i="24"/>
  <c r="N45" i="24"/>
  <c r="L45" i="24"/>
  <c r="J45" i="24"/>
  <c r="H45" i="24"/>
  <c r="F45" i="24"/>
  <c r="D45" i="24"/>
  <c r="B45" i="24"/>
  <c r="AV44" i="24"/>
  <c r="AT44" i="24"/>
  <c r="AR44" i="24"/>
  <c r="AP44" i="24"/>
  <c r="AN44" i="24"/>
  <c r="AL44" i="24"/>
  <c r="AJ44" i="24"/>
  <c r="AH44" i="24"/>
  <c r="AF44" i="24"/>
  <c r="AD44" i="24"/>
  <c r="AB44" i="24"/>
  <c r="Z44" i="24"/>
  <c r="X44" i="24"/>
  <c r="V44" i="24"/>
  <c r="T44" i="24"/>
  <c r="R44" i="24"/>
  <c r="P44" i="24"/>
  <c r="N44" i="24"/>
  <c r="L44" i="24"/>
  <c r="J44" i="24"/>
  <c r="H44" i="24"/>
  <c r="F44" i="24"/>
  <c r="D44" i="24"/>
  <c r="B44" i="24"/>
  <c r="AV43" i="24"/>
  <c r="AV43" i="24" a="1"/>
  <c r="AT43" i="24" a="1"/>
  <c r="AT43" i="24" s="1"/>
  <c r="AR43" i="24" a="1"/>
  <c r="AR43" i="24" s="1"/>
  <c r="AP43" i="24"/>
  <c r="AP43" i="24" a="1"/>
  <c r="AN43" i="24" a="1"/>
  <c r="AN43" i="24" s="1"/>
  <c r="AL43" i="24" a="1"/>
  <c r="AL43" i="24" s="1"/>
  <c r="AJ43" i="24"/>
  <c r="AJ43" i="24" a="1"/>
  <c r="AH43" i="24" a="1"/>
  <c r="AH43" i="24" s="1"/>
  <c r="AF43" i="24"/>
  <c r="AF43" i="24" a="1"/>
  <c r="AD43" i="24" a="1"/>
  <c r="AD43" i="24" s="1"/>
  <c r="AB43" i="24" a="1"/>
  <c r="AB43" i="24" s="1"/>
  <c r="Z43" i="24"/>
  <c r="Z43" i="24" a="1"/>
  <c r="X43" i="24" a="1"/>
  <c r="X43" i="24" s="1"/>
  <c r="V43" i="24" a="1"/>
  <c r="V43" i="24" s="1"/>
  <c r="T43" i="24"/>
  <c r="T43" i="24" a="1"/>
  <c r="R43" i="24" a="1"/>
  <c r="R43" i="24" s="1"/>
  <c r="P43" i="24"/>
  <c r="P43" i="24" a="1"/>
  <c r="N43" i="24" a="1"/>
  <c r="N43" i="24" s="1"/>
  <c r="L43" i="24" a="1"/>
  <c r="L43" i="24" s="1"/>
  <c r="J43" i="24"/>
  <c r="J43" i="24" a="1"/>
  <c r="H43" i="24" a="1"/>
  <c r="H43" i="24" s="1"/>
  <c r="F43" i="24" a="1"/>
  <c r="F43" i="24" s="1"/>
  <c r="D43" i="24"/>
  <c r="D43" i="24" a="1"/>
  <c r="B43" i="24"/>
  <c r="AV42" i="24"/>
  <c r="AT42" i="24"/>
  <c r="AR42" i="24"/>
  <c r="AP42" i="24"/>
  <c r="AN42" i="24"/>
  <c r="AL42" i="24"/>
  <c r="AJ42" i="24"/>
  <c r="AH42" i="24"/>
  <c r="AF42" i="24"/>
  <c r="AD42" i="24"/>
  <c r="AB42" i="24"/>
  <c r="Z42" i="24"/>
  <c r="X42" i="24"/>
  <c r="V42" i="24"/>
  <c r="T42" i="24"/>
  <c r="R42" i="24"/>
  <c r="P42" i="24"/>
  <c r="N42" i="24"/>
  <c r="L42" i="24"/>
  <c r="J42" i="24"/>
  <c r="H42" i="24"/>
  <c r="F42" i="24"/>
  <c r="D42" i="24"/>
  <c r="B42" i="24"/>
  <c r="AN81" i="18"/>
  <c r="AF81" i="18"/>
  <c r="H81" i="18"/>
  <c r="AV80" i="18"/>
  <c r="X80" i="18"/>
  <c r="P80" i="18"/>
  <c r="AV79" i="18" a="1"/>
  <c r="AV79" i="18" s="1"/>
  <c r="AT79" i="18"/>
  <c r="AT79" i="18" a="1"/>
  <c r="AR79" i="18"/>
  <c r="AR79" i="18" a="1"/>
  <c r="AP79" i="18" a="1"/>
  <c r="AP79" i="18" s="1"/>
  <c r="AN79" i="18"/>
  <c r="AN79" i="18" a="1"/>
  <c r="AL79" i="18"/>
  <c r="AL79" i="18" a="1"/>
  <c r="AJ79" i="18" a="1"/>
  <c r="AJ79" i="18" s="1"/>
  <c r="AH79" i="18" a="1"/>
  <c r="AH79" i="18" s="1"/>
  <c r="AF79" i="18" a="1"/>
  <c r="AF79" i="18" s="1"/>
  <c r="AD79" i="18"/>
  <c r="AD79" i="18" a="1"/>
  <c r="AB79" i="18"/>
  <c r="AB79" i="18" a="1"/>
  <c r="Z79" i="18" a="1"/>
  <c r="Z79" i="18" s="1"/>
  <c r="X79" i="18"/>
  <c r="X79" i="18" a="1"/>
  <c r="V79" i="18"/>
  <c r="V79" i="18" a="1"/>
  <c r="T79" i="18" a="1"/>
  <c r="T79" i="18" s="1"/>
  <c r="R79" i="18" a="1"/>
  <c r="R79" i="18" s="1"/>
  <c r="P79" i="18" a="1"/>
  <c r="P79" i="18" s="1"/>
  <c r="N79" i="18"/>
  <c r="N79" i="18" a="1"/>
  <c r="L79" i="18"/>
  <c r="L79" i="18" a="1"/>
  <c r="J79" i="18" a="1"/>
  <c r="J79" i="18" s="1"/>
  <c r="H79" i="18"/>
  <c r="H79" i="18" a="1"/>
  <c r="F79" i="18"/>
  <c r="F79" i="18" a="1"/>
  <c r="D79" i="18" a="1"/>
  <c r="D79" i="18" s="1"/>
  <c r="B79" i="18" a="1"/>
  <c r="B79" i="18" s="1"/>
  <c r="AV78" i="18" a="1"/>
  <c r="AV78" i="18" s="1"/>
  <c r="AT78" i="18"/>
  <c r="AT78" i="18" a="1"/>
  <c r="AR78" i="18"/>
  <c r="AR78" i="18" a="1"/>
  <c r="AP78" i="18" a="1"/>
  <c r="AP78" i="18" s="1"/>
  <c r="AN78" i="18"/>
  <c r="AN78" i="18" a="1"/>
  <c r="AL78" i="18"/>
  <c r="AL78" i="18" a="1"/>
  <c r="AJ78" i="18" a="1"/>
  <c r="AJ78" i="18" s="1"/>
  <c r="AH78" i="18" a="1"/>
  <c r="AH78" i="18" s="1"/>
  <c r="AF78" i="18" a="1"/>
  <c r="AF78" i="18" s="1"/>
  <c r="AD78" i="18"/>
  <c r="AD78" i="18" a="1"/>
  <c r="AB78" i="18"/>
  <c r="AB78" i="18" a="1"/>
  <c r="Z78" i="18" a="1"/>
  <c r="Z78" i="18" s="1"/>
  <c r="X78" i="18"/>
  <c r="X78" i="18" a="1"/>
  <c r="V78" i="18"/>
  <c r="V78" i="18" a="1"/>
  <c r="T78" i="18" a="1"/>
  <c r="T78" i="18" s="1"/>
  <c r="R78" i="18" a="1"/>
  <c r="R78" i="18" s="1"/>
  <c r="P78" i="18" a="1"/>
  <c r="P78" i="18" s="1"/>
  <c r="N78" i="18"/>
  <c r="N78" i="18" a="1"/>
  <c r="L78" i="18"/>
  <c r="L78" i="18" a="1"/>
  <c r="J78" i="18" a="1"/>
  <c r="J78" i="18" s="1"/>
  <c r="H78" i="18"/>
  <c r="H78" i="18" a="1"/>
  <c r="F78" i="18"/>
  <c r="F78" i="18" a="1"/>
  <c r="D78" i="18" a="1"/>
  <c r="D78" i="18" s="1"/>
  <c r="B78" i="18" a="1"/>
  <c r="B78" i="18" s="1"/>
  <c r="AV77" i="18" a="1"/>
  <c r="AV77" i="18" s="1"/>
  <c r="AT77" i="18"/>
  <c r="AT77" i="18" a="1"/>
  <c r="AR77" i="18"/>
  <c r="AR77" i="18" a="1"/>
  <c r="AP77" i="18" a="1"/>
  <c r="AP77" i="18" s="1"/>
  <c r="AN77" i="18"/>
  <c r="AN77" i="18" a="1"/>
  <c r="AL77" i="18"/>
  <c r="AL77" i="18" a="1"/>
  <c r="AJ77" i="18" a="1"/>
  <c r="AJ77" i="18" s="1"/>
  <c r="AH77" i="18" a="1"/>
  <c r="AH77" i="18" s="1"/>
  <c r="AF77" i="18" a="1"/>
  <c r="AF77" i="18" s="1"/>
  <c r="AD77" i="18"/>
  <c r="AD77" i="18" a="1"/>
  <c r="AB77" i="18"/>
  <c r="AB77" i="18" a="1"/>
  <c r="Z77" i="18" a="1"/>
  <c r="Z77" i="18" s="1"/>
  <c r="X77" i="18"/>
  <c r="X77" i="18" a="1"/>
  <c r="V77" i="18"/>
  <c r="V77" i="18" a="1"/>
  <c r="T77" i="18" a="1"/>
  <c r="T77" i="18" s="1"/>
  <c r="R77" i="18" a="1"/>
  <c r="R77" i="18" s="1"/>
  <c r="P77" i="18" a="1"/>
  <c r="P77" i="18" s="1"/>
  <c r="N77" i="18"/>
  <c r="N77" i="18" a="1"/>
  <c r="L77" i="18"/>
  <c r="L77" i="18" a="1"/>
  <c r="J77" i="18" a="1"/>
  <c r="J77" i="18" s="1"/>
  <c r="H77" i="18"/>
  <c r="H77" i="18" a="1"/>
  <c r="F77" i="18"/>
  <c r="F77" i="18" a="1"/>
  <c r="D77" i="18" a="1"/>
  <c r="D77" i="18" s="1"/>
  <c r="B77" i="18" a="1"/>
  <c r="B77" i="18" s="1"/>
  <c r="AV76" i="18" a="1"/>
  <c r="AV76" i="18" s="1"/>
  <c r="AT76" i="18"/>
  <c r="AT76" i="18" a="1"/>
  <c r="AR76" i="18"/>
  <c r="AR76" i="18" a="1"/>
  <c r="AP76" i="18" a="1"/>
  <c r="AP76" i="18" s="1"/>
  <c r="AN76" i="18"/>
  <c r="AN76" i="18" a="1"/>
  <c r="AL76" i="18"/>
  <c r="AL76" i="18" a="1"/>
  <c r="AJ76" i="18" a="1"/>
  <c r="AJ76" i="18" s="1"/>
  <c r="AH76" i="18" a="1"/>
  <c r="AH76" i="18" s="1"/>
  <c r="AF76" i="18" a="1"/>
  <c r="AF76" i="18" s="1"/>
  <c r="AD76" i="18"/>
  <c r="AD76" i="18" a="1"/>
  <c r="AB76" i="18"/>
  <c r="AB76" i="18" a="1"/>
  <c r="Z76" i="18" a="1"/>
  <c r="Z76" i="18" s="1"/>
  <c r="X76" i="18"/>
  <c r="X76" i="18" a="1"/>
  <c r="V76" i="18"/>
  <c r="V76" i="18" a="1"/>
  <c r="T76" i="18" a="1"/>
  <c r="T76" i="18" s="1"/>
  <c r="R76" i="18" a="1"/>
  <c r="R76" i="18" s="1"/>
  <c r="P76" i="18" a="1"/>
  <c r="P76" i="18" s="1"/>
  <c r="N76" i="18"/>
  <c r="N76" i="18" a="1"/>
  <c r="L76" i="18"/>
  <c r="L76" i="18" a="1"/>
  <c r="J76" i="18" a="1"/>
  <c r="J76" i="18" s="1"/>
  <c r="H76" i="18"/>
  <c r="H76" i="18" a="1"/>
  <c r="F76" i="18"/>
  <c r="F76" i="18" a="1"/>
  <c r="D76" i="18" a="1"/>
  <c r="D76" i="18" s="1"/>
  <c r="B76" i="18" a="1"/>
  <c r="B76" i="18" s="1"/>
  <c r="AV75" i="18" a="1"/>
  <c r="AV75" i="18" s="1"/>
  <c r="AT75" i="18"/>
  <c r="AT75" i="18" a="1"/>
  <c r="AR75" i="18"/>
  <c r="AR75" i="18" a="1"/>
  <c r="AP75" i="18" a="1"/>
  <c r="AP75" i="18" s="1"/>
  <c r="AN75" i="18"/>
  <c r="AN75" i="18" a="1"/>
  <c r="AL75" i="18"/>
  <c r="AL75" i="18" a="1"/>
  <c r="AJ75" i="18" a="1"/>
  <c r="AJ75" i="18" s="1"/>
  <c r="AH75" i="18" a="1"/>
  <c r="AH75" i="18" s="1"/>
  <c r="AF75" i="18" a="1"/>
  <c r="AF75" i="18" s="1"/>
  <c r="AD75" i="18"/>
  <c r="AD75" i="18" a="1"/>
  <c r="AB75" i="18"/>
  <c r="AB75" i="18" a="1"/>
  <c r="Z75" i="18" a="1"/>
  <c r="Z75" i="18" s="1"/>
  <c r="X75" i="18"/>
  <c r="X75" i="18" a="1"/>
  <c r="V75" i="18"/>
  <c r="V75" i="18" a="1"/>
  <c r="T75" i="18" a="1"/>
  <c r="T75" i="18" s="1"/>
  <c r="R75" i="18" a="1"/>
  <c r="R75" i="18" s="1"/>
  <c r="P75" i="18" a="1"/>
  <c r="P75" i="18" s="1"/>
  <c r="N75" i="18"/>
  <c r="N75" i="18" a="1"/>
  <c r="L75" i="18"/>
  <c r="L75" i="18" a="1"/>
  <c r="J75" i="18" a="1"/>
  <c r="J75" i="18" s="1"/>
  <c r="H75" i="18"/>
  <c r="H75" i="18" a="1"/>
  <c r="F75" i="18"/>
  <c r="F75" i="18" a="1"/>
  <c r="D75" i="18" a="1"/>
  <c r="D75" i="18" s="1"/>
  <c r="B75" i="18" a="1"/>
  <c r="B75" i="18" s="1"/>
  <c r="AV74" i="18" a="1"/>
  <c r="AV74" i="18" s="1"/>
  <c r="AT74" i="18"/>
  <c r="AT74" i="18" a="1"/>
  <c r="AR74" i="18"/>
  <c r="AR74" i="18" a="1"/>
  <c r="AP74" i="18" a="1"/>
  <c r="AP74" i="18" s="1"/>
  <c r="AN74" i="18"/>
  <c r="AN74" i="18" a="1"/>
  <c r="AL74" i="18"/>
  <c r="AL74" i="18" a="1"/>
  <c r="AJ74" i="18" a="1"/>
  <c r="AJ74" i="18" s="1"/>
  <c r="AH74" i="18" a="1"/>
  <c r="AH74" i="18" s="1"/>
  <c r="AF74" i="18" a="1"/>
  <c r="AF74" i="18" s="1"/>
  <c r="AD74" i="18" a="1"/>
  <c r="AD74" i="18" s="1"/>
  <c r="AB74" i="18"/>
  <c r="AB74" i="18" a="1"/>
  <c r="Z74" i="18" a="1"/>
  <c r="Z74" i="18" s="1"/>
  <c r="X74" i="18"/>
  <c r="X74" i="18" a="1"/>
  <c r="V74" i="18"/>
  <c r="V74" i="18" a="1"/>
  <c r="T74" i="18" a="1"/>
  <c r="T74" i="18" s="1"/>
  <c r="R74" i="18" a="1"/>
  <c r="R74" i="18" s="1"/>
  <c r="P74" i="18" a="1"/>
  <c r="P74" i="18" s="1"/>
  <c r="N74" i="18" a="1"/>
  <c r="N74" i="18" s="1"/>
  <c r="L74" i="18"/>
  <c r="L74" i="18" a="1"/>
  <c r="J74" i="18" a="1"/>
  <c r="J74" i="18" s="1"/>
  <c r="H74" i="18"/>
  <c r="H74" i="18" a="1"/>
  <c r="F74" i="18"/>
  <c r="F74" i="18" a="1"/>
  <c r="D74" i="18" a="1"/>
  <c r="D74" i="18" s="1"/>
  <c r="B74" i="18" a="1"/>
  <c r="B74" i="18" s="1"/>
  <c r="AV73" i="18" a="1"/>
  <c r="AV73" i="18" s="1"/>
  <c r="AT73" i="18" a="1"/>
  <c r="AT73" i="18" s="1"/>
  <c r="AR73" i="18"/>
  <c r="AR73" i="18" a="1"/>
  <c r="AP73" i="18" a="1"/>
  <c r="AP73" i="18" s="1"/>
  <c r="AN73" i="18"/>
  <c r="AN73" i="18" a="1"/>
  <c r="AL73" i="18"/>
  <c r="AL73" i="18" a="1"/>
  <c r="AJ73" i="18" a="1"/>
  <c r="AJ73" i="18" s="1"/>
  <c r="AH73" i="18" a="1"/>
  <c r="AH73" i="18" s="1"/>
  <c r="AF73" i="18" a="1"/>
  <c r="AF73" i="18" s="1"/>
  <c r="AD73" i="18" a="1"/>
  <c r="AD73" i="18" s="1"/>
  <c r="AB73" i="18"/>
  <c r="AB73" i="18" a="1"/>
  <c r="Z73" i="18" a="1"/>
  <c r="Z73" i="18" s="1"/>
  <c r="X73" i="18"/>
  <c r="X73" i="18" a="1"/>
  <c r="V73" i="18"/>
  <c r="V73" i="18" a="1"/>
  <c r="T73" i="18" a="1"/>
  <c r="T73" i="18" s="1"/>
  <c r="R73" i="18" a="1"/>
  <c r="R73" i="18" s="1"/>
  <c r="P73" i="18" a="1"/>
  <c r="P73" i="18" s="1"/>
  <c r="N73" i="18" a="1"/>
  <c r="N73" i="18" s="1"/>
  <c r="L73" i="18"/>
  <c r="L73" i="18" a="1"/>
  <c r="J73" i="18" a="1"/>
  <c r="J73" i="18" s="1"/>
  <c r="H73" i="18"/>
  <c r="H73" i="18" a="1"/>
  <c r="F73" i="18"/>
  <c r="F73" i="18" a="1"/>
  <c r="D73" i="18" a="1"/>
  <c r="D73" i="18" s="1"/>
  <c r="B73" i="18" a="1"/>
  <c r="B73" i="18" s="1"/>
  <c r="AV72" i="18"/>
  <c r="AT72" i="18"/>
  <c r="AR72" i="18"/>
  <c r="AP72" i="18"/>
  <c r="AN72" i="18"/>
  <c r="AL72" i="18"/>
  <c r="AJ72" i="18"/>
  <c r="AH72" i="18"/>
  <c r="AF72" i="18"/>
  <c r="AD72" i="18"/>
  <c r="AB72" i="18"/>
  <c r="Z72" i="18"/>
  <c r="X72" i="18"/>
  <c r="V72" i="18"/>
  <c r="T72" i="18"/>
  <c r="R72" i="18"/>
  <c r="P72" i="18"/>
  <c r="N72" i="18"/>
  <c r="L72" i="18"/>
  <c r="J72" i="18"/>
  <c r="H72" i="18"/>
  <c r="F72" i="18"/>
  <c r="D72" i="18"/>
  <c r="B72" i="18"/>
  <c r="AV71" i="18"/>
  <c r="AT71" i="18"/>
  <c r="AR71" i="18"/>
  <c r="AP71" i="18"/>
  <c r="AN71" i="18"/>
  <c r="AL71" i="18"/>
  <c r="AJ71" i="18"/>
  <c r="AH71" i="18"/>
  <c r="AF71" i="18"/>
  <c r="AD71" i="18"/>
  <c r="AB71" i="18"/>
  <c r="Z71" i="18"/>
  <c r="X71" i="18"/>
  <c r="V71" i="18"/>
  <c r="T71" i="18"/>
  <c r="R71" i="18"/>
  <c r="P71" i="18"/>
  <c r="N71" i="18"/>
  <c r="L71" i="18"/>
  <c r="J71" i="18"/>
  <c r="H71" i="18"/>
  <c r="F71" i="18"/>
  <c r="D71" i="18"/>
  <c r="B71" i="18"/>
  <c r="AV70" i="18"/>
  <c r="AT70" i="18"/>
  <c r="AR70" i="18"/>
  <c r="AP70" i="18"/>
  <c r="AN70" i="18"/>
  <c r="AL70" i="18"/>
  <c r="AJ70" i="18"/>
  <c r="AH70" i="18"/>
  <c r="AF70" i="18"/>
  <c r="AD70" i="18"/>
  <c r="AB70" i="18"/>
  <c r="Z70" i="18"/>
  <c r="X70" i="18"/>
  <c r="V70" i="18"/>
  <c r="T70" i="18"/>
  <c r="R70" i="18"/>
  <c r="P70" i="18"/>
  <c r="N70" i="18"/>
  <c r="L70" i="18"/>
  <c r="J70" i="18"/>
  <c r="H70" i="18"/>
  <c r="F70" i="18"/>
  <c r="D70" i="18"/>
  <c r="B70" i="18"/>
  <c r="AJ68" i="18"/>
  <c r="AV67" i="18"/>
  <c r="AV67" i="18" a="1"/>
  <c r="AT67" i="18"/>
  <c r="AT67" i="18" a="1"/>
  <c r="AR67" i="18" a="1"/>
  <c r="AR67" i="18" s="1"/>
  <c r="AP67" i="18"/>
  <c r="AP67" i="18" a="1"/>
  <c r="AN67" i="18" a="1"/>
  <c r="AN67" i="18" s="1"/>
  <c r="AL67" i="18" a="1"/>
  <c r="AL67" i="18" s="1"/>
  <c r="AJ67" i="18"/>
  <c r="AJ67" i="18" a="1"/>
  <c r="AH67" i="18" a="1"/>
  <c r="AH67" i="18" s="1"/>
  <c r="AF67" i="18"/>
  <c r="AF67" i="18" a="1"/>
  <c r="AD67" i="18"/>
  <c r="AD67" i="18" a="1"/>
  <c r="AB67" i="18" a="1"/>
  <c r="AB67" i="18" s="1"/>
  <c r="Z67" i="18"/>
  <c r="Z67" i="18" a="1"/>
  <c r="X67" i="18" a="1"/>
  <c r="X67" i="18" s="1"/>
  <c r="V67" i="18" a="1"/>
  <c r="V67" i="18" s="1"/>
  <c r="T67" i="18"/>
  <c r="T67" i="18" a="1"/>
  <c r="R67" i="18" a="1"/>
  <c r="R67" i="18" s="1"/>
  <c r="P67" i="18"/>
  <c r="P67" i="18" a="1"/>
  <c r="N67" i="18"/>
  <c r="N67" i="18" a="1"/>
  <c r="L67" i="18" a="1"/>
  <c r="L67" i="18" s="1"/>
  <c r="J67" i="18"/>
  <c r="J67" i="18" a="1"/>
  <c r="H67" i="18" a="1"/>
  <c r="H67" i="18" s="1"/>
  <c r="F67" i="18" a="1"/>
  <c r="F67" i="18" s="1"/>
  <c r="D67" i="18"/>
  <c r="D67" i="18" a="1"/>
  <c r="B67" i="18" a="1"/>
  <c r="B67" i="18" s="1"/>
  <c r="AV66" i="18"/>
  <c r="AV68" i="18" s="1"/>
  <c r="AV66" i="18" a="1"/>
  <c r="AT66" i="18"/>
  <c r="AT68" i="18" s="1"/>
  <c r="AT66" i="18" a="1"/>
  <c r="AR66" i="18" a="1"/>
  <c r="AR66" i="18" s="1"/>
  <c r="AP66" i="18"/>
  <c r="AP68" i="18" s="1"/>
  <c r="AP66" i="18" a="1"/>
  <c r="AN66" i="18" a="1"/>
  <c r="AN66" i="18" s="1"/>
  <c r="AL66" i="18" a="1"/>
  <c r="AL66" i="18" s="1"/>
  <c r="AJ66" i="18"/>
  <c r="AJ66" i="18" a="1"/>
  <c r="AH66" i="18" a="1"/>
  <c r="AH66" i="18" s="1"/>
  <c r="AH68" i="18" s="1"/>
  <c r="AF66" i="18"/>
  <c r="AF68" i="18" s="1"/>
  <c r="AF66" i="18" a="1"/>
  <c r="AD66" i="18"/>
  <c r="AD68" i="18" s="1"/>
  <c r="AD66" i="18" a="1"/>
  <c r="AB66" i="18" a="1"/>
  <c r="AB66" i="18" s="1"/>
  <c r="AB68" i="18" s="1"/>
  <c r="Z66" i="18"/>
  <c r="Z68" i="18" s="1"/>
  <c r="Z66" i="18" a="1"/>
  <c r="X66" i="18" a="1"/>
  <c r="X66" i="18" s="1"/>
  <c r="V66" i="18" a="1"/>
  <c r="V66" i="18" s="1"/>
  <c r="T66" i="18" a="1"/>
  <c r="T66" i="18" s="1"/>
  <c r="T68" i="18" s="1"/>
  <c r="R66" i="18" a="1"/>
  <c r="R66" i="18" s="1"/>
  <c r="P66" i="18"/>
  <c r="P68" i="18" s="1"/>
  <c r="P66" i="18" a="1"/>
  <c r="N66" i="18"/>
  <c r="N68" i="18" s="1"/>
  <c r="N66" i="18" a="1"/>
  <c r="L66" i="18" a="1"/>
  <c r="L66" i="18" s="1"/>
  <c r="L68" i="18" s="1"/>
  <c r="J66" i="18"/>
  <c r="J68" i="18" s="1"/>
  <c r="J66" i="18" a="1"/>
  <c r="H66" i="18" a="1"/>
  <c r="H66" i="18" s="1"/>
  <c r="H68" i="18" s="1"/>
  <c r="F66" i="18" a="1"/>
  <c r="F66" i="18" s="1"/>
  <c r="F68" i="18" s="1"/>
  <c r="D66" i="18" a="1"/>
  <c r="D66" i="18" s="1"/>
  <c r="D68" i="18" s="1"/>
  <c r="B66" i="18" a="1"/>
  <c r="B66" i="18" s="1"/>
  <c r="B68" i="18" s="1"/>
  <c r="AV65" i="18"/>
  <c r="AV69" i="18" s="1"/>
  <c r="AV65" i="18" a="1"/>
  <c r="AT65" i="18"/>
  <c r="AT69" i="18" s="1"/>
  <c r="AT65" i="18" a="1"/>
  <c r="AR65" i="18" a="1"/>
  <c r="AR65" i="18" s="1"/>
  <c r="AR69" i="18" s="1"/>
  <c r="AP65" i="18"/>
  <c r="AP69" i="18" s="1"/>
  <c r="AP65" i="18" a="1"/>
  <c r="AN65" i="18" a="1"/>
  <c r="AN65" i="18" s="1"/>
  <c r="AN69" i="18" s="1"/>
  <c r="AL65" i="18" a="1"/>
  <c r="AL65" i="18" s="1"/>
  <c r="AL69" i="18" s="1"/>
  <c r="AJ65" i="18" a="1"/>
  <c r="AJ65" i="18" s="1"/>
  <c r="AJ69" i="18" s="1"/>
  <c r="AH65" i="18" a="1"/>
  <c r="AH65" i="18" s="1"/>
  <c r="AH69" i="18" s="1"/>
  <c r="AF65" i="18"/>
  <c r="AF69" i="18" s="1"/>
  <c r="AF65" i="18" a="1"/>
  <c r="AD65" i="18"/>
  <c r="AD69" i="18" s="1"/>
  <c r="AD65" i="18" a="1"/>
  <c r="AB65" i="18" a="1"/>
  <c r="AB65" i="18" s="1"/>
  <c r="AB69" i="18" s="1"/>
  <c r="Z65" i="18"/>
  <c r="Z69" i="18" s="1"/>
  <c r="Z65" i="18" a="1"/>
  <c r="X65" i="18" a="1"/>
  <c r="X65" i="18" s="1"/>
  <c r="X69" i="18" s="1"/>
  <c r="V65" i="18" a="1"/>
  <c r="V65" i="18" s="1"/>
  <c r="V69" i="18" s="1"/>
  <c r="T65" i="18" a="1"/>
  <c r="T65" i="18" s="1"/>
  <c r="T69" i="18" s="1"/>
  <c r="R65" i="18" a="1"/>
  <c r="R65" i="18" s="1"/>
  <c r="R69" i="18" s="1"/>
  <c r="P65" i="18"/>
  <c r="P69" i="18" s="1"/>
  <c r="P65" i="18" a="1"/>
  <c r="N65" i="18"/>
  <c r="N69" i="18" s="1"/>
  <c r="N65" i="18" a="1"/>
  <c r="L65" i="18" a="1"/>
  <c r="L65" i="18" s="1"/>
  <c r="L69" i="18" s="1"/>
  <c r="J65" i="18"/>
  <c r="J69" i="18" s="1"/>
  <c r="J65" i="18" a="1"/>
  <c r="H65" i="18" a="1"/>
  <c r="H65" i="18" s="1"/>
  <c r="H69" i="18" s="1"/>
  <c r="F65" i="18" a="1"/>
  <c r="F65" i="18" s="1"/>
  <c r="F69" i="18" s="1"/>
  <c r="D65" i="18" a="1"/>
  <c r="D65" i="18" s="1"/>
  <c r="D69" i="18" s="1"/>
  <c r="B65" i="18"/>
  <c r="B69" i="18" s="1"/>
  <c r="AV62" i="18"/>
  <c r="AT62" i="18"/>
  <c r="AR62" i="18"/>
  <c r="AP62" i="18"/>
  <c r="AN62" i="18"/>
  <c r="AL62" i="18"/>
  <c r="AJ62" i="18"/>
  <c r="AH62" i="18"/>
  <c r="AF62" i="18"/>
  <c r="AD62" i="18"/>
  <c r="AB62" i="18"/>
  <c r="Z62" i="18"/>
  <c r="X62" i="18"/>
  <c r="V62" i="18"/>
  <c r="T62" i="18"/>
  <c r="R62" i="18"/>
  <c r="P62" i="18"/>
  <c r="N62" i="18"/>
  <c r="L62" i="18"/>
  <c r="J62" i="18"/>
  <c r="H62" i="18"/>
  <c r="F62" i="18"/>
  <c r="D62" i="18"/>
  <c r="B62" i="18"/>
  <c r="AV60" i="18"/>
  <c r="AT60" i="18"/>
  <c r="AR60" i="18"/>
  <c r="AP60" i="18"/>
  <c r="AN60" i="18"/>
  <c r="AL60" i="18"/>
  <c r="AJ60" i="18"/>
  <c r="AH60" i="18"/>
  <c r="AF60" i="18"/>
  <c r="AD60" i="18"/>
  <c r="AB60" i="18"/>
  <c r="Z60" i="18"/>
  <c r="X60" i="18"/>
  <c r="V60" i="18"/>
  <c r="T60" i="18"/>
  <c r="R60" i="18"/>
  <c r="P60" i="18"/>
  <c r="N60" i="18"/>
  <c r="L60" i="18"/>
  <c r="J60" i="18"/>
  <c r="H60" i="18"/>
  <c r="F60" i="18"/>
  <c r="D60" i="18"/>
  <c r="B60" i="18"/>
  <c r="AV59" i="18"/>
  <c r="AT59" i="18"/>
  <c r="AR59" i="18"/>
  <c r="AP59" i="18"/>
  <c r="AN59" i="18"/>
  <c r="AL59" i="18"/>
  <c r="AJ59" i="18"/>
  <c r="AH59" i="18"/>
  <c r="AF59" i="18"/>
  <c r="AD59" i="18"/>
  <c r="AB59" i="18"/>
  <c r="Z59" i="18"/>
  <c r="X59" i="18"/>
  <c r="V59" i="18"/>
  <c r="T59" i="18"/>
  <c r="R59" i="18"/>
  <c r="P59" i="18"/>
  <c r="N59" i="18"/>
  <c r="L59" i="18"/>
  <c r="J59" i="18"/>
  <c r="H59" i="18"/>
  <c r="F59" i="18"/>
  <c r="D59" i="18"/>
  <c r="B59" i="18"/>
  <c r="AV58" i="18"/>
  <c r="AV58" i="18" a="1"/>
  <c r="AT58" i="18"/>
  <c r="AT58" i="18" a="1"/>
  <c r="AR58" i="18" a="1"/>
  <c r="AR58" i="18" s="1"/>
  <c r="AP58" i="18" a="1"/>
  <c r="AP58" i="18" s="1"/>
  <c r="AN58" i="18" a="1"/>
  <c r="AN58" i="18" s="1"/>
  <c r="AL58" i="18"/>
  <c r="AL58" i="18" a="1"/>
  <c r="AJ58" i="18" a="1"/>
  <c r="AJ58" i="18" s="1"/>
  <c r="AH58" i="18" a="1"/>
  <c r="AH58" i="18" s="1"/>
  <c r="AF58" i="18"/>
  <c r="AF58" i="18" a="1"/>
  <c r="AD58" i="18"/>
  <c r="AD58" i="18" a="1"/>
  <c r="AB58" i="18" a="1"/>
  <c r="AB58" i="18" s="1"/>
  <c r="Z58" i="18" a="1"/>
  <c r="Z58" i="18" s="1"/>
  <c r="X58" i="18" a="1"/>
  <c r="X58" i="18" s="1"/>
  <c r="V58" i="18" a="1"/>
  <c r="V58" i="18" s="1"/>
  <c r="T58" i="18" a="1"/>
  <c r="T58" i="18" s="1"/>
  <c r="R58" i="18" a="1"/>
  <c r="R58" i="18" s="1"/>
  <c r="P58" i="18"/>
  <c r="P58" i="18" a="1"/>
  <c r="N58" i="18"/>
  <c r="N58" i="18" a="1"/>
  <c r="L58" i="18" a="1"/>
  <c r="L58" i="18" s="1"/>
  <c r="J58" i="18" a="1"/>
  <c r="J58" i="18" s="1"/>
  <c r="H58" i="18" a="1"/>
  <c r="H58" i="18" s="1"/>
  <c r="F58" i="18" a="1"/>
  <c r="F58" i="18" s="1"/>
  <c r="D58" i="18" a="1"/>
  <c r="D58" i="18" s="1"/>
  <c r="B58" i="18" a="1"/>
  <c r="B58" i="18" s="1"/>
  <c r="AV57" i="18"/>
  <c r="AV57" i="18" a="1"/>
  <c r="AT57" i="18" a="1"/>
  <c r="AT57" i="18" s="1"/>
  <c r="AR57" i="18" a="1"/>
  <c r="AR57" i="18" s="1"/>
  <c r="AP57" i="18" a="1"/>
  <c r="AP57" i="18" s="1"/>
  <c r="AN57" i="18" a="1"/>
  <c r="AN57" i="18" s="1"/>
  <c r="AL57" i="18" a="1"/>
  <c r="AL57" i="18" s="1"/>
  <c r="AJ57" i="18" a="1"/>
  <c r="AJ57" i="18" s="1"/>
  <c r="AH57" i="18" a="1"/>
  <c r="AH57" i="18" s="1"/>
  <c r="AF57" i="18"/>
  <c r="AF57" i="18" a="1"/>
  <c r="AD57" i="18" a="1"/>
  <c r="AD57" i="18" s="1"/>
  <c r="AB57" i="18" a="1"/>
  <c r="AB57" i="18" s="1"/>
  <c r="Z57" i="18" a="1"/>
  <c r="Z57" i="18" s="1"/>
  <c r="X57" i="18" a="1"/>
  <c r="X57" i="18" s="1"/>
  <c r="V57" i="18" a="1"/>
  <c r="V57" i="18" s="1"/>
  <c r="T57" i="18" a="1"/>
  <c r="T57" i="18" s="1"/>
  <c r="R57" i="18" a="1"/>
  <c r="R57" i="18" s="1"/>
  <c r="P57" i="18"/>
  <c r="P57" i="18" a="1"/>
  <c r="N57" i="18" a="1"/>
  <c r="N57" i="18" s="1"/>
  <c r="L57" i="18" a="1"/>
  <c r="L57" i="18" s="1"/>
  <c r="J57" i="18" a="1"/>
  <c r="J57" i="18" s="1"/>
  <c r="H57" i="18" a="1"/>
  <c r="H57" i="18" s="1"/>
  <c r="F57" i="18" a="1"/>
  <c r="F57" i="18" s="1"/>
  <c r="D57" i="18" a="1"/>
  <c r="D57" i="18" s="1"/>
  <c r="B57" i="18" a="1"/>
  <c r="B57" i="18" s="1"/>
  <c r="AV56" i="18"/>
  <c r="AT56" i="18"/>
  <c r="AR56" i="18"/>
  <c r="AP56" i="18"/>
  <c r="AN56" i="18"/>
  <c r="AL56" i="18"/>
  <c r="AJ56" i="18"/>
  <c r="AH56" i="18"/>
  <c r="AF56" i="18"/>
  <c r="AD56" i="18"/>
  <c r="AB56" i="18"/>
  <c r="Z56" i="18"/>
  <c r="X56" i="18"/>
  <c r="V56" i="18"/>
  <c r="T56" i="18"/>
  <c r="R56" i="18"/>
  <c r="P56" i="18"/>
  <c r="N56" i="18"/>
  <c r="L56" i="18"/>
  <c r="J56" i="18"/>
  <c r="H56" i="18"/>
  <c r="F56" i="18"/>
  <c r="D56" i="18"/>
  <c r="B56" i="18"/>
  <c r="AV55" i="18"/>
  <c r="AT55" i="18"/>
  <c r="AT80" i="18" s="1"/>
  <c r="AR55" i="18"/>
  <c r="AR80" i="18" s="1"/>
  <c r="AP55" i="18"/>
  <c r="AP80" i="18" s="1"/>
  <c r="AN55" i="18"/>
  <c r="AN80" i="18" s="1"/>
  <c r="AL55" i="18"/>
  <c r="AL80" i="18" s="1"/>
  <c r="AJ55" i="18"/>
  <c r="AJ80" i="18" s="1"/>
  <c r="AH55" i="18"/>
  <c r="AH80" i="18" s="1"/>
  <c r="AF55" i="18"/>
  <c r="AF80" i="18" s="1"/>
  <c r="AD55" i="18"/>
  <c r="AD80" i="18" s="1"/>
  <c r="AB55" i="18"/>
  <c r="AB80" i="18" s="1"/>
  <c r="Z55" i="18"/>
  <c r="Z80" i="18" s="1"/>
  <c r="X55" i="18"/>
  <c r="V55" i="18"/>
  <c r="V80" i="18" s="1"/>
  <c r="T55" i="18"/>
  <c r="T80" i="18" s="1"/>
  <c r="R55" i="18"/>
  <c r="R80" i="18" s="1"/>
  <c r="P55" i="18"/>
  <c r="N55" i="18"/>
  <c r="N80" i="18" s="1"/>
  <c r="L55" i="18"/>
  <c r="L80" i="18" s="1"/>
  <c r="J55" i="18"/>
  <c r="J80" i="18" s="1"/>
  <c r="H55" i="18"/>
  <c r="H80" i="18" s="1"/>
  <c r="F55" i="18"/>
  <c r="F80" i="18" s="1"/>
  <c r="D55" i="18"/>
  <c r="D80" i="18" s="1"/>
  <c r="B55" i="18"/>
  <c r="B80" i="18" s="1"/>
  <c r="AV53" i="18" a="1"/>
  <c r="AT53" i="18" a="1"/>
  <c r="AR53" i="18" a="1"/>
  <c r="AP53" i="18" a="1"/>
  <c r="AN53" i="18" a="1"/>
  <c r="AL53" i="18" a="1"/>
  <c r="AJ53" i="18" a="1"/>
  <c r="AH53" i="18" a="1"/>
  <c r="AF53" i="18" a="1"/>
  <c r="AD53" i="18" a="1"/>
  <c r="AB53" i="18" a="1"/>
  <c r="Z53" i="18" a="1"/>
  <c r="X53" i="18" a="1"/>
  <c r="V53" i="18" a="1"/>
  <c r="T53" i="18" a="1"/>
  <c r="R53" i="18" a="1"/>
  <c r="P53" i="18" a="1"/>
  <c r="N53" i="18" a="1"/>
  <c r="L53" i="18" a="1"/>
  <c r="J53" i="18" a="1"/>
  <c r="H53" i="18" a="1"/>
  <c r="F53" i="18" a="1"/>
  <c r="D53" i="18" a="1"/>
  <c r="B53" i="18" a="1"/>
  <c r="AV52" i="18" a="1"/>
  <c r="AT52" i="18" a="1"/>
  <c r="AR52" i="18" a="1"/>
  <c r="AP52" i="18" a="1"/>
  <c r="AN52" i="18" a="1"/>
  <c r="AL52" i="18" a="1"/>
  <c r="AJ52" i="18" a="1"/>
  <c r="AH52" i="18" a="1"/>
  <c r="AF52" i="18" a="1"/>
  <c r="AD52" i="18" a="1"/>
  <c r="AB52" i="18" a="1"/>
  <c r="Z52" i="18" a="1"/>
  <c r="X52" i="18" a="1"/>
  <c r="V52" i="18" a="1"/>
  <c r="T52" i="18" a="1"/>
  <c r="R52" i="18" a="1"/>
  <c r="P52" i="18" a="1"/>
  <c r="N52" i="18" a="1"/>
  <c r="L52" i="18" a="1"/>
  <c r="J52" i="18" a="1"/>
  <c r="H52" i="18" a="1"/>
  <c r="F52" i="18" a="1"/>
  <c r="D52" i="18" a="1"/>
  <c r="B52" i="18" a="1"/>
  <c r="AV51" i="18"/>
  <c r="AV81" i="18" s="1"/>
  <c r="AT51" i="18"/>
  <c r="AT81" i="18" s="1"/>
  <c r="AR51" i="18"/>
  <c r="AR81" i="18" s="1"/>
  <c r="AP51" i="18"/>
  <c r="AP81" i="18" s="1"/>
  <c r="AN51" i="18"/>
  <c r="AL51" i="18"/>
  <c r="AL81" i="18" s="1"/>
  <c r="AJ51" i="18"/>
  <c r="AJ81" i="18" s="1"/>
  <c r="AH51" i="18"/>
  <c r="AH81" i="18" s="1"/>
  <c r="AF51" i="18"/>
  <c r="AD51" i="18"/>
  <c r="AD81" i="18" s="1"/>
  <c r="AB51" i="18"/>
  <c r="AB81" i="18" s="1"/>
  <c r="Z51" i="18"/>
  <c r="Z81" i="18" s="1"/>
  <c r="X51" i="18"/>
  <c r="X81" i="18" s="1"/>
  <c r="V51" i="18"/>
  <c r="V81" i="18" s="1"/>
  <c r="T51" i="18"/>
  <c r="T81" i="18" s="1"/>
  <c r="R51" i="18"/>
  <c r="R81" i="18" s="1"/>
  <c r="P51" i="18"/>
  <c r="P81" i="18" s="1"/>
  <c r="N51" i="18"/>
  <c r="N81" i="18" s="1"/>
  <c r="L51" i="18"/>
  <c r="L81" i="18" s="1"/>
  <c r="J51" i="18"/>
  <c r="J81" i="18" s="1"/>
  <c r="H51" i="18"/>
  <c r="F51" i="18"/>
  <c r="F81" i="18" s="1"/>
  <c r="D51" i="18"/>
  <c r="D81" i="18" s="1"/>
  <c r="B51" i="18"/>
  <c r="B81" i="18" s="1"/>
  <c r="AV49" i="18"/>
  <c r="AT49" i="18"/>
  <c r="AR49" i="18"/>
  <c r="AP49" i="18"/>
  <c r="AN49" i="18"/>
  <c r="AL49" i="18"/>
  <c r="AJ49" i="18"/>
  <c r="AH49" i="18"/>
  <c r="AF49" i="18"/>
  <c r="AD49" i="18"/>
  <c r="AB49" i="18"/>
  <c r="Z49" i="18"/>
  <c r="X49" i="18"/>
  <c r="V49" i="18"/>
  <c r="T49" i="18"/>
  <c r="R49" i="18"/>
  <c r="P49" i="18"/>
  <c r="N49" i="18"/>
  <c r="L49" i="18"/>
  <c r="J49" i="18"/>
  <c r="H49" i="18"/>
  <c r="F49" i="18"/>
  <c r="D49" i="18"/>
  <c r="B49" i="18"/>
  <c r="AV48" i="18"/>
  <c r="AT48" i="18"/>
  <c r="AR48" i="18"/>
  <c r="AP48" i="18"/>
  <c r="AN48" i="18"/>
  <c r="AL48" i="18"/>
  <c r="AJ48" i="18"/>
  <c r="AH48" i="18"/>
  <c r="AF48" i="18"/>
  <c r="AD48" i="18"/>
  <c r="AB48" i="18"/>
  <c r="Z48" i="18"/>
  <c r="X48" i="18"/>
  <c r="V48" i="18"/>
  <c r="T48" i="18"/>
  <c r="R48" i="18"/>
  <c r="P48" i="18"/>
  <c r="N48" i="18"/>
  <c r="L48" i="18"/>
  <c r="J48" i="18"/>
  <c r="H48" i="18"/>
  <c r="F48" i="18"/>
  <c r="D48" i="18"/>
  <c r="B48" i="18"/>
  <c r="AV46" i="18"/>
  <c r="AT46" i="18"/>
  <c r="AR46" i="18"/>
  <c r="AP46" i="18"/>
  <c r="AN46" i="18"/>
  <c r="AL46" i="18"/>
  <c r="AJ46" i="18"/>
  <c r="AH46" i="18"/>
  <c r="AF46" i="18"/>
  <c r="AD46" i="18"/>
  <c r="AB46" i="18"/>
  <c r="Z46" i="18"/>
  <c r="X46" i="18"/>
  <c r="V46" i="18"/>
  <c r="T46" i="18"/>
  <c r="R46" i="18"/>
  <c r="P46" i="18"/>
  <c r="N46" i="18"/>
  <c r="L46" i="18"/>
  <c r="J46" i="18"/>
  <c r="H46" i="18"/>
  <c r="F46" i="18"/>
  <c r="D46" i="18"/>
  <c r="B46" i="18"/>
  <c r="AV45" i="18"/>
  <c r="AT45" i="18"/>
  <c r="AR45" i="18"/>
  <c r="AP45" i="18"/>
  <c r="AN45" i="18"/>
  <c r="AL45" i="18"/>
  <c r="AJ45" i="18"/>
  <c r="AH45" i="18"/>
  <c r="AF45" i="18"/>
  <c r="AD45" i="18"/>
  <c r="AB45" i="18"/>
  <c r="Z45" i="18"/>
  <c r="X45" i="18"/>
  <c r="V45" i="18"/>
  <c r="T45" i="18"/>
  <c r="R45" i="18"/>
  <c r="P45" i="18"/>
  <c r="N45" i="18"/>
  <c r="L45" i="18"/>
  <c r="J45" i="18"/>
  <c r="H45" i="18"/>
  <c r="F45" i="18"/>
  <c r="D45" i="18"/>
  <c r="B45" i="18"/>
  <c r="AV44" i="18"/>
  <c r="AT44" i="18"/>
  <c r="AR44" i="18"/>
  <c r="AP44" i="18"/>
  <c r="AN44" i="18"/>
  <c r="AL44" i="18"/>
  <c r="AJ44" i="18"/>
  <c r="AH44" i="18"/>
  <c r="AF44" i="18"/>
  <c r="AD44" i="18"/>
  <c r="AB44" i="18"/>
  <c r="Z44" i="18"/>
  <c r="X44" i="18"/>
  <c r="V44" i="18"/>
  <c r="T44" i="18"/>
  <c r="R44" i="18"/>
  <c r="P44" i="18"/>
  <c r="N44" i="18"/>
  <c r="L44" i="18"/>
  <c r="J44" i="18"/>
  <c r="H44" i="18"/>
  <c r="F44" i="18"/>
  <c r="D44" i="18"/>
  <c r="B44" i="18"/>
  <c r="AV43" i="18"/>
  <c r="AV43" i="18" a="1"/>
  <c r="AT43" i="18" a="1"/>
  <c r="AT43" i="18" s="1"/>
  <c r="AR43" i="18" a="1"/>
  <c r="AR43" i="18" s="1"/>
  <c r="AP43" i="18" a="1"/>
  <c r="AP43" i="18" s="1"/>
  <c r="AN43" i="18"/>
  <c r="AN43" i="18" a="1"/>
  <c r="AL43" i="18"/>
  <c r="AL43" i="18" a="1"/>
  <c r="AJ43" i="18"/>
  <c r="AJ43" i="18" a="1"/>
  <c r="AH43" i="18" a="1"/>
  <c r="AH43" i="18" s="1"/>
  <c r="AF43" i="18"/>
  <c r="AF43" i="18" a="1"/>
  <c r="AD43" i="18" a="1"/>
  <c r="AD43" i="18" s="1"/>
  <c r="AB43" i="18" a="1"/>
  <c r="AB43" i="18" s="1"/>
  <c r="Z43" i="18" a="1"/>
  <c r="Z43" i="18" s="1"/>
  <c r="X43" i="18"/>
  <c r="X43" i="18" a="1"/>
  <c r="V43" i="18"/>
  <c r="V43" i="18" a="1"/>
  <c r="T43" i="18"/>
  <c r="T43" i="18" a="1"/>
  <c r="R43" i="18" a="1"/>
  <c r="R43" i="18" s="1"/>
  <c r="P43" i="18" a="1"/>
  <c r="P43" i="18" s="1"/>
  <c r="N43" i="18" a="1"/>
  <c r="N43" i="18" s="1"/>
  <c r="L43" i="18" a="1"/>
  <c r="L43" i="18" s="1"/>
  <c r="J43" i="18" a="1"/>
  <c r="J43" i="18" s="1"/>
  <c r="H43" i="18"/>
  <c r="H43" i="18" a="1"/>
  <c r="F43" i="18"/>
  <c r="F43" i="18" a="1"/>
  <c r="D43" i="18"/>
  <c r="D43" i="18" a="1"/>
  <c r="B43" i="18"/>
  <c r="AV42" i="18"/>
  <c r="AT42" i="18"/>
  <c r="AR42" i="18"/>
  <c r="AP42" i="18"/>
  <c r="AN42" i="18"/>
  <c r="AL42" i="18"/>
  <c r="AJ42" i="18"/>
  <c r="AH42" i="18"/>
  <c r="AF42" i="18"/>
  <c r="AD42" i="18"/>
  <c r="AB42" i="18"/>
  <c r="Z42" i="18"/>
  <c r="X42" i="18"/>
  <c r="V42" i="18"/>
  <c r="T42" i="18"/>
  <c r="R42" i="18"/>
  <c r="P42" i="18"/>
  <c r="N42" i="18"/>
  <c r="L42" i="18"/>
  <c r="J42" i="18"/>
  <c r="H42" i="18"/>
  <c r="F42" i="18"/>
  <c r="D42" i="18"/>
  <c r="B42" i="18"/>
  <c r="AP81" i="22"/>
  <c r="AN81" i="22"/>
  <c r="AF81" i="22"/>
  <c r="AD81" i="22"/>
  <c r="AB81" i="22"/>
  <c r="Z81" i="22"/>
  <c r="V81" i="22"/>
  <c r="J81" i="22"/>
  <c r="H81" i="22"/>
  <c r="F81" i="22"/>
  <c r="AV80" i="22"/>
  <c r="AT80" i="22"/>
  <c r="AR80" i="22"/>
  <c r="AL80" i="22"/>
  <c r="Z80" i="22"/>
  <c r="X80" i="22"/>
  <c r="V80" i="22"/>
  <c r="P80" i="22"/>
  <c r="N80" i="22"/>
  <c r="L80" i="22"/>
  <c r="F80" i="22"/>
  <c r="D80" i="22"/>
  <c r="AV79" i="22" a="1"/>
  <c r="AV79" i="22" s="1"/>
  <c r="AT79" i="22" a="1"/>
  <c r="AT79" i="22" s="1"/>
  <c r="AR79" i="22" a="1"/>
  <c r="AR79" i="22" s="1"/>
  <c r="AP79" i="22" a="1"/>
  <c r="AP79" i="22" s="1"/>
  <c r="AN79" i="22" a="1"/>
  <c r="AN79" i="22" s="1"/>
  <c r="AL79" i="22" a="1"/>
  <c r="AL79" i="22" s="1"/>
  <c r="AJ79" i="22" a="1"/>
  <c r="AJ79" i="22" s="1"/>
  <c r="AH79" i="22"/>
  <c r="AH79" i="22" a="1"/>
  <c r="AF79" i="22" a="1"/>
  <c r="AF79" i="22" s="1"/>
  <c r="AD79" i="22" a="1"/>
  <c r="AD79" i="22" s="1"/>
  <c r="AB79" i="22" a="1"/>
  <c r="AB79" i="22" s="1"/>
  <c r="Z79" i="22" a="1"/>
  <c r="Z79" i="22" s="1"/>
  <c r="X79" i="22" a="1"/>
  <c r="X79" i="22" s="1"/>
  <c r="V79" i="22" a="1"/>
  <c r="V79" i="22" s="1"/>
  <c r="T79" i="22" a="1"/>
  <c r="T79" i="22" s="1"/>
  <c r="R79" i="22"/>
  <c r="R79" i="22" a="1"/>
  <c r="P79" i="22" a="1"/>
  <c r="P79" i="22" s="1"/>
  <c r="N79" i="22" a="1"/>
  <c r="N79" i="22" s="1"/>
  <c r="L79" i="22" a="1"/>
  <c r="L79" i="22" s="1"/>
  <c r="J79" i="22" a="1"/>
  <c r="J79" i="22" s="1"/>
  <c r="H79" i="22" a="1"/>
  <c r="H79" i="22" s="1"/>
  <c r="F79" i="22" a="1"/>
  <c r="F79" i="22" s="1"/>
  <c r="D79" i="22" a="1"/>
  <c r="D79" i="22" s="1"/>
  <c r="B79" i="22" a="1"/>
  <c r="B79" i="22" s="1"/>
  <c r="AV78" i="22" a="1"/>
  <c r="AV78" i="22" s="1"/>
  <c r="AT78" i="22" a="1"/>
  <c r="AT78" i="22" s="1"/>
  <c r="AR78" i="22" a="1"/>
  <c r="AR78" i="22" s="1"/>
  <c r="AP78" i="22" a="1"/>
  <c r="AP78" i="22" s="1"/>
  <c r="AN78" i="22" a="1"/>
  <c r="AN78" i="22" s="1"/>
  <c r="AL78" i="22" a="1"/>
  <c r="AL78" i="22" s="1"/>
  <c r="AJ78" i="22" a="1"/>
  <c r="AJ78" i="22" s="1"/>
  <c r="AH78" i="22" a="1"/>
  <c r="AH78" i="22" s="1"/>
  <c r="AF78" i="22" a="1"/>
  <c r="AF78" i="22" s="1"/>
  <c r="AD78" i="22" a="1"/>
  <c r="AD78" i="22" s="1"/>
  <c r="AB78" i="22" a="1"/>
  <c r="AB78" i="22" s="1"/>
  <c r="Z78" i="22" a="1"/>
  <c r="Z78" i="22" s="1"/>
  <c r="X78" i="22" a="1"/>
  <c r="X78" i="22" s="1"/>
  <c r="V78" i="22" a="1"/>
  <c r="V78" i="22" s="1"/>
  <c r="T78" i="22" a="1"/>
  <c r="T78" i="22" s="1"/>
  <c r="R78" i="22" a="1"/>
  <c r="R78" i="22" s="1"/>
  <c r="P78" i="22" a="1"/>
  <c r="P78" i="22" s="1"/>
  <c r="N78" i="22" a="1"/>
  <c r="N78" i="22" s="1"/>
  <c r="L78" i="22" a="1"/>
  <c r="L78" i="22" s="1"/>
  <c r="J78" i="22" a="1"/>
  <c r="J78" i="22" s="1"/>
  <c r="H78" i="22" a="1"/>
  <c r="H78" i="22" s="1"/>
  <c r="F78" i="22" a="1"/>
  <c r="F78" i="22" s="1"/>
  <c r="D78" i="22" a="1"/>
  <c r="D78" i="22" s="1"/>
  <c r="B78" i="22" a="1"/>
  <c r="B78" i="22" s="1"/>
  <c r="AV77" i="22" a="1"/>
  <c r="AV77" i="22" s="1"/>
  <c r="AT77" i="22" a="1"/>
  <c r="AT77" i="22" s="1"/>
  <c r="AR77" i="22" a="1"/>
  <c r="AR77" i="22" s="1"/>
  <c r="AP77" i="22" a="1"/>
  <c r="AP77" i="22" s="1"/>
  <c r="AN77" i="22" a="1"/>
  <c r="AN77" i="22" s="1"/>
  <c r="AL77" i="22" a="1"/>
  <c r="AL77" i="22" s="1"/>
  <c r="AJ77" i="22" a="1"/>
  <c r="AJ77" i="22" s="1"/>
  <c r="AH77" i="22" a="1"/>
  <c r="AH77" i="22" s="1"/>
  <c r="AF77" i="22" a="1"/>
  <c r="AF77" i="22" s="1"/>
  <c r="AD77" i="22" a="1"/>
  <c r="AD77" i="22" s="1"/>
  <c r="AB77" i="22" a="1"/>
  <c r="AB77" i="22" s="1"/>
  <c r="Z77" i="22" a="1"/>
  <c r="Z77" i="22" s="1"/>
  <c r="X77" i="22" a="1"/>
  <c r="X77" i="22" s="1"/>
  <c r="V77" i="22" a="1"/>
  <c r="V77" i="22" s="1"/>
  <c r="T77" i="22" a="1"/>
  <c r="T77" i="22" s="1"/>
  <c r="R77" i="22"/>
  <c r="R77" i="22" a="1"/>
  <c r="P77" i="22" a="1"/>
  <c r="P77" i="22" s="1"/>
  <c r="N77" i="22" a="1"/>
  <c r="N77" i="22" s="1"/>
  <c r="L77" i="22" a="1"/>
  <c r="L77" i="22" s="1"/>
  <c r="J77" i="22" a="1"/>
  <c r="J77" i="22" s="1"/>
  <c r="H77" i="22" a="1"/>
  <c r="H77" i="22" s="1"/>
  <c r="F77" i="22" a="1"/>
  <c r="F77" i="22" s="1"/>
  <c r="D77" i="22" a="1"/>
  <c r="D77" i="22" s="1"/>
  <c r="B77" i="22"/>
  <c r="B77" i="22" a="1"/>
  <c r="AV76" i="22" a="1"/>
  <c r="AV76" i="22" s="1"/>
  <c r="AT76" i="22" a="1"/>
  <c r="AT76" i="22" s="1"/>
  <c r="AR76" i="22" a="1"/>
  <c r="AR76" i="22" s="1"/>
  <c r="AP76" i="22" a="1"/>
  <c r="AP76" i="22" s="1"/>
  <c r="AN76" i="22" a="1"/>
  <c r="AN76" i="22" s="1"/>
  <c r="AL76" i="22" a="1"/>
  <c r="AL76" i="22" s="1"/>
  <c r="AJ76" i="22" a="1"/>
  <c r="AJ76" i="22" s="1"/>
  <c r="AH76" i="22"/>
  <c r="AH76" i="22" a="1"/>
  <c r="AF76" i="22" a="1"/>
  <c r="AF76" i="22" s="1"/>
  <c r="AD76" i="22" a="1"/>
  <c r="AD76" i="22" s="1"/>
  <c r="AB76" i="22" a="1"/>
  <c r="AB76" i="22" s="1"/>
  <c r="Z76" i="22" a="1"/>
  <c r="Z76" i="22" s="1"/>
  <c r="X76" i="22" a="1"/>
  <c r="X76" i="22" s="1"/>
  <c r="V76" i="22" a="1"/>
  <c r="V76" i="22" s="1"/>
  <c r="T76" i="22" a="1"/>
  <c r="T76" i="22" s="1"/>
  <c r="R76" i="22" a="1"/>
  <c r="R76" i="22" s="1"/>
  <c r="P76" i="22" a="1"/>
  <c r="P76" i="22" s="1"/>
  <c r="N76" i="22" a="1"/>
  <c r="N76" i="22" s="1"/>
  <c r="L76" i="22" a="1"/>
  <c r="L76" i="22" s="1"/>
  <c r="J76" i="22" a="1"/>
  <c r="J76" i="22" s="1"/>
  <c r="H76" i="22" a="1"/>
  <c r="H76" i="22" s="1"/>
  <c r="F76" i="22" a="1"/>
  <c r="F76" i="22" s="1"/>
  <c r="D76" i="22" a="1"/>
  <c r="D76" i="22" s="1"/>
  <c r="B76" i="22" a="1"/>
  <c r="B76" i="22" s="1"/>
  <c r="AV75" i="22" a="1"/>
  <c r="AV75" i="22" s="1"/>
  <c r="AT75" i="22" a="1"/>
  <c r="AT75" i="22" s="1"/>
  <c r="AR75" i="22" a="1"/>
  <c r="AR75" i="22" s="1"/>
  <c r="AP75" i="22" a="1"/>
  <c r="AP75" i="22" s="1"/>
  <c r="AN75" i="22" a="1"/>
  <c r="AN75" i="22" s="1"/>
  <c r="AL75" i="22" a="1"/>
  <c r="AL75" i="22" s="1"/>
  <c r="AJ75" i="22" a="1"/>
  <c r="AJ75" i="22" s="1"/>
  <c r="AH75" i="22" a="1"/>
  <c r="AH75" i="22" s="1"/>
  <c r="AF75" i="22" a="1"/>
  <c r="AF75" i="22" s="1"/>
  <c r="AD75" i="22" a="1"/>
  <c r="AD75" i="22" s="1"/>
  <c r="AB75" i="22" a="1"/>
  <c r="AB75" i="22" s="1"/>
  <c r="Z75" i="22" a="1"/>
  <c r="Z75" i="22" s="1"/>
  <c r="X75" i="22" a="1"/>
  <c r="X75" i="22" s="1"/>
  <c r="V75" i="22" a="1"/>
  <c r="V75" i="22" s="1"/>
  <c r="T75" i="22" a="1"/>
  <c r="T75" i="22" s="1"/>
  <c r="R75" i="22" a="1"/>
  <c r="R75" i="22" s="1"/>
  <c r="P75" i="22" a="1"/>
  <c r="P75" i="22" s="1"/>
  <c r="N75" i="22" a="1"/>
  <c r="N75" i="22" s="1"/>
  <c r="L75" i="22" a="1"/>
  <c r="L75" i="22" s="1"/>
  <c r="J75" i="22" a="1"/>
  <c r="J75" i="22" s="1"/>
  <c r="H75" i="22" a="1"/>
  <c r="H75" i="22" s="1"/>
  <c r="F75" i="22" a="1"/>
  <c r="F75" i="22" s="1"/>
  <c r="D75" i="22" a="1"/>
  <c r="D75" i="22" s="1"/>
  <c r="B75" i="22" a="1"/>
  <c r="B75" i="22" s="1"/>
  <c r="AV74" i="22" a="1"/>
  <c r="AV74" i="22" s="1"/>
  <c r="AT74" i="22" a="1"/>
  <c r="AT74" i="22" s="1"/>
  <c r="AR74" i="22" a="1"/>
  <c r="AR74" i="22" s="1"/>
  <c r="AP74" i="22" a="1"/>
  <c r="AP74" i="22" s="1"/>
  <c r="AN74" i="22" a="1"/>
  <c r="AN74" i="22" s="1"/>
  <c r="AL74" i="22" a="1"/>
  <c r="AL74" i="22" s="1"/>
  <c r="AJ74" i="22" a="1"/>
  <c r="AJ74" i="22" s="1"/>
  <c r="AH74" i="22"/>
  <c r="AH74" i="22" a="1"/>
  <c r="AF74" i="22" a="1"/>
  <c r="AF74" i="22" s="1"/>
  <c r="AD74" i="22" a="1"/>
  <c r="AD74" i="22" s="1"/>
  <c r="AB74" i="22" a="1"/>
  <c r="AB74" i="22" s="1"/>
  <c r="Z74" i="22" a="1"/>
  <c r="Z74" i="22" s="1"/>
  <c r="X74" i="22" a="1"/>
  <c r="X74" i="22" s="1"/>
  <c r="V74" i="22" a="1"/>
  <c r="V74" i="22" s="1"/>
  <c r="T74" i="22" a="1"/>
  <c r="T74" i="22" s="1"/>
  <c r="R74" i="22"/>
  <c r="R74" i="22" a="1"/>
  <c r="P74" i="22" a="1"/>
  <c r="P74" i="22" s="1"/>
  <c r="N74" i="22" a="1"/>
  <c r="N74" i="22" s="1"/>
  <c r="L74" i="22" a="1"/>
  <c r="L74" i="22" s="1"/>
  <c r="J74" i="22" a="1"/>
  <c r="J74" i="22" s="1"/>
  <c r="H74" i="22" a="1"/>
  <c r="H74" i="22" s="1"/>
  <c r="F74" i="22" a="1"/>
  <c r="F74" i="22" s="1"/>
  <c r="D74" i="22" a="1"/>
  <c r="D74" i="22" s="1"/>
  <c r="B74" i="22"/>
  <c r="B74" i="22" a="1"/>
  <c r="AV73" i="22" a="1"/>
  <c r="AV73" i="22" s="1"/>
  <c r="AT73" i="22" a="1"/>
  <c r="AT73" i="22" s="1"/>
  <c r="AR73" i="22" a="1"/>
  <c r="AR73" i="22" s="1"/>
  <c r="AP73" i="22" a="1"/>
  <c r="AP73" i="22" s="1"/>
  <c r="AN73" i="22" a="1"/>
  <c r="AN73" i="22" s="1"/>
  <c r="AL73" i="22" a="1"/>
  <c r="AL73" i="22" s="1"/>
  <c r="AJ73" i="22" a="1"/>
  <c r="AJ73" i="22" s="1"/>
  <c r="AH73" i="22" a="1"/>
  <c r="AH73" i="22" s="1"/>
  <c r="AF73" i="22" a="1"/>
  <c r="AF73" i="22" s="1"/>
  <c r="AD73" i="22" a="1"/>
  <c r="AD73" i="22" s="1"/>
  <c r="AB73" i="22" a="1"/>
  <c r="AB73" i="22" s="1"/>
  <c r="Z73" i="22" a="1"/>
  <c r="Z73" i="22" s="1"/>
  <c r="X73" i="22" a="1"/>
  <c r="X73" i="22" s="1"/>
  <c r="V73" i="22" a="1"/>
  <c r="V73" i="22" s="1"/>
  <c r="T73" i="22" a="1"/>
  <c r="T73" i="22" s="1"/>
  <c r="R73" i="22" a="1"/>
  <c r="R73" i="22" s="1"/>
  <c r="P73" i="22" a="1"/>
  <c r="P73" i="22" s="1"/>
  <c r="N73" i="22" a="1"/>
  <c r="N73" i="22" s="1"/>
  <c r="L73" i="22" a="1"/>
  <c r="L73" i="22" s="1"/>
  <c r="J73" i="22" a="1"/>
  <c r="J73" i="22" s="1"/>
  <c r="H73" i="22" a="1"/>
  <c r="H73" i="22" s="1"/>
  <c r="F73" i="22" a="1"/>
  <c r="F73" i="22" s="1"/>
  <c r="D73" i="22" a="1"/>
  <c r="D73" i="22" s="1"/>
  <c r="B73" i="22" a="1"/>
  <c r="B73" i="22" s="1"/>
  <c r="AV72" i="22"/>
  <c r="AT72" i="22"/>
  <c r="AR72" i="22"/>
  <c r="AP72" i="22"/>
  <c r="AN72" i="22"/>
  <c r="AL72" i="22"/>
  <c r="AJ72" i="22"/>
  <c r="AH72" i="22"/>
  <c r="AF72" i="22"/>
  <c r="AD72" i="22"/>
  <c r="AB72" i="22"/>
  <c r="Z72" i="22"/>
  <c r="X72" i="22"/>
  <c r="V72" i="22"/>
  <c r="T72" i="22"/>
  <c r="R72" i="22"/>
  <c r="P72" i="22"/>
  <c r="N72" i="22"/>
  <c r="L72" i="22"/>
  <c r="J72" i="22"/>
  <c r="H72" i="22"/>
  <c r="F72" i="22"/>
  <c r="D72" i="22"/>
  <c r="B72" i="22"/>
  <c r="AV71" i="22"/>
  <c r="AT71" i="22"/>
  <c r="AR71" i="22"/>
  <c r="AP71" i="22"/>
  <c r="AN71" i="22"/>
  <c r="AL71" i="22"/>
  <c r="AJ71" i="22"/>
  <c r="AH71" i="22"/>
  <c r="AF71" i="22"/>
  <c r="AD71" i="22"/>
  <c r="AB71" i="22"/>
  <c r="Z71" i="22"/>
  <c r="X71" i="22"/>
  <c r="V71" i="22"/>
  <c r="T71" i="22"/>
  <c r="R71" i="22"/>
  <c r="P71" i="22"/>
  <c r="N71" i="22"/>
  <c r="L71" i="22"/>
  <c r="J71" i="22"/>
  <c r="H71" i="22"/>
  <c r="F71" i="22"/>
  <c r="D71" i="22"/>
  <c r="B71" i="22"/>
  <c r="AV70" i="22"/>
  <c r="AT70" i="22"/>
  <c r="AR70" i="22"/>
  <c r="AP70" i="22"/>
  <c r="AN70" i="22"/>
  <c r="AL70" i="22"/>
  <c r="AJ70" i="22"/>
  <c r="AH70" i="22"/>
  <c r="AF70" i="22"/>
  <c r="AD70" i="22"/>
  <c r="AB70" i="22"/>
  <c r="Z70" i="22"/>
  <c r="X70" i="22"/>
  <c r="V70" i="22"/>
  <c r="T70" i="22"/>
  <c r="R70" i="22"/>
  <c r="P70" i="22"/>
  <c r="N70" i="22"/>
  <c r="L70" i="22"/>
  <c r="J70" i="22"/>
  <c r="H70" i="22"/>
  <c r="F70" i="22"/>
  <c r="D70" i="22"/>
  <c r="B70" i="22"/>
  <c r="V69" i="22"/>
  <c r="B69" i="22"/>
  <c r="AV67" i="22" a="1"/>
  <c r="AV67" i="22" s="1"/>
  <c r="AT67" i="22" a="1"/>
  <c r="AT67" i="22" s="1"/>
  <c r="AR67" i="22" a="1"/>
  <c r="AR67" i="22" s="1"/>
  <c r="AP67" i="22" a="1"/>
  <c r="AP67" i="22" s="1"/>
  <c r="AN67" i="22" a="1"/>
  <c r="AN67" i="22" s="1"/>
  <c r="AL67" i="22" a="1"/>
  <c r="AL67" i="22" s="1"/>
  <c r="AJ67" i="22" a="1"/>
  <c r="AJ67" i="22" s="1"/>
  <c r="AH67" i="22" a="1"/>
  <c r="AH67" i="22" s="1"/>
  <c r="AF67" i="22" a="1"/>
  <c r="AF67" i="22" s="1"/>
  <c r="AD67" i="22" a="1"/>
  <c r="AD67" i="22" s="1"/>
  <c r="AB67" i="22" a="1"/>
  <c r="AB67" i="22" s="1"/>
  <c r="Z67" i="22" a="1"/>
  <c r="Z67" i="22" s="1"/>
  <c r="X67" i="22" a="1"/>
  <c r="X67" i="22" s="1"/>
  <c r="V67" i="22" a="1"/>
  <c r="V67" i="22" s="1"/>
  <c r="T67" i="22" a="1"/>
  <c r="T67" i="22" s="1"/>
  <c r="T68" i="22" s="1"/>
  <c r="R67" i="22" a="1"/>
  <c r="R67" i="22" s="1"/>
  <c r="R68" i="22" s="1"/>
  <c r="P67" i="22" a="1"/>
  <c r="P67" i="22" s="1"/>
  <c r="N67" i="22"/>
  <c r="N67" i="22" a="1"/>
  <c r="L67" i="22" a="1"/>
  <c r="L67" i="22" s="1"/>
  <c r="J67" i="22" a="1"/>
  <c r="J67" i="22" s="1"/>
  <c r="H67" i="22" a="1"/>
  <c r="H67" i="22" s="1"/>
  <c r="F67" i="22" a="1"/>
  <c r="F67" i="22" s="1"/>
  <c r="D67" i="22" a="1"/>
  <c r="D67" i="22" s="1"/>
  <c r="B67" i="22" a="1"/>
  <c r="B67" i="22" s="1"/>
  <c r="AV66" i="22" a="1"/>
  <c r="AV66" i="22" s="1"/>
  <c r="AV68" i="22" s="1"/>
  <c r="AT66" i="22"/>
  <c r="AT66" i="22" a="1"/>
  <c r="AR66" i="22" a="1"/>
  <c r="AR66" i="22" s="1"/>
  <c r="AP66" i="22" a="1"/>
  <c r="AP66" i="22" s="1"/>
  <c r="AP68" i="22" s="1"/>
  <c r="AN66" i="22" a="1"/>
  <c r="AN66" i="22" s="1"/>
  <c r="AN68" i="22" s="1"/>
  <c r="AL66" i="22" a="1"/>
  <c r="AL66" i="22" s="1"/>
  <c r="AL68" i="22" s="1"/>
  <c r="AJ66" i="22" a="1"/>
  <c r="AJ66" i="22" s="1"/>
  <c r="AH66" i="22" a="1"/>
  <c r="AH66" i="22" s="1"/>
  <c r="AF66" i="22" a="1"/>
  <c r="AF66" i="22" s="1"/>
  <c r="AF68" i="22" s="1"/>
  <c r="AD66" i="22"/>
  <c r="AD66" i="22" a="1"/>
  <c r="AB66" i="22" a="1"/>
  <c r="AB66" i="22" s="1"/>
  <c r="AB68" i="22" s="1"/>
  <c r="Z66" i="22" a="1"/>
  <c r="Z66" i="22" s="1"/>
  <c r="X66" i="22" a="1"/>
  <c r="X66" i="22" s="1"/>
  <c r="X68" i="22" s="1"/>
  <c r="V66" i="22" a="1"/>
  <c r="V66" i="22" s="1"/>
  <c r="V68" i="22" s="1"/>
  <c r="T66" i="22" a="1"/>
  <c r="T66" i="22" s="1"/>
  <c r="R66" i="22" a="1"/>
  <c r="R66" i="22" s="1"/>
  <c r="P66" i="22" a="1"/>
  <c r="P66" i="22" s="1"/>
  <c r="N66" i="22" a="1"/>
  <c r="N66" i="22" s="1"/>
  <c r="N68" i="22" s="1"/>
  <c r="L66" i="22" a="1"/>
  <c r="L66" i="22" s="1"/>
  <c r="L68" i="22" s="1"/>
  <c r="J66" i="22" a="1"/>
  <c r="J66" i="22" s="1"/>
  <c r="H66" i="22" a="1"/>
  <c r="H66" i="22" s="1"/>
  <c r="H68" i="22" s="1"/>
  <c r="F66" i="22" a="1"/>
  <c r="F66" i="22" s="1"/>
  <c r="F68" i="22" s="1"/>
  <c r="D66" i="22" a="1"/>
  <c r="D66" i="22" s="1"/>
  <c r="B66" i="22" a="1"/>
  <c r="B66" i="22" s="1"/>
  <c r="AV65" i="22" a="1"/>
  <c r="AV65" i="22" s="1"/>
  <c r="AV69" i="22" s="1"/>
  <c r="AT65" i="22" a="1"/>
  <c r="AT65" i="22" s="1"/>
  <c r="AT69" i="22" s="1"/>
  <c r="AR65" i="22" a="1"/>
  <c r="AR65" i="22" s="1"/>
  <c r="AR69" i="22" s="1"/>
  <c r="AP65" i="22" a="1"/>
  <c r="AP65" i="22" s="1"/>
  <c r="AP69" i="22" s="1"/>
  <c r="AN65" i="22" a="1"/>
  <c r="AN65" i="22" s="1"/>
  <c r="AN69" i="22" s="1"/>
  <c r="AL65" i="22" a="1"/>
  <c r="AL65" i="22" s="1"/>
  <c r="AL69" i="22" s="1"/>
  <c r="AJ65" i="22" a="1"/>
  <c r="AJ65" i="22" s="1"/>
  <c r="AJ69" i="22" s="1"/>
  <c r="AH65" i="22" a="1"/>
  <c r="AH65" i="22" s="1"/>
  <c r="AH69" i="22" s="1"/>
  <c r="AF65" i="22" a="1"/>
  <c r="AF65" i="22" s="1"/>
  <c r="AF69" i="22" s="1"/>
  <c r="AD65" i="22" a="1"/>
  <c r="AD65" i="22" s="1"/>
  <c r="AD69" i="22" s="1"/>
  <c r="AB65" i="22" a="1"/>
  <c r="AB65" i="22" s="1"/>
  <c r="AB69" i="22" s="1"/>
  <c r="Z65" i="22" a="1"/>
  <c r="Z65" i="22" s="1"/>
  <c r="Z69" i="22" s="1"/>
  <c r="X65" i="22" a="1"/>
  <c r="X65" i="22" s="1"/>
  <c r="X69" i="22" s="1"/>
  <c r="V65" i="22" a="1"/>
  <c r="V65" i="22" s="1"/>
  <c r="T65" i="22" a="1"/>
  <c r="T65" i="22" s="1"/>
  <c r="T69" i="22" s="1"/>
  <c r="R65" i="22" a="1"/>
  <c r="R65" i="22" s="1"/>
  <c r="R69" i="22" s="1"/>
  <c r="P65" i="22" a="1"/>
  <c r="P65" i="22" s="1"/>
  <c r="P69" i="22" s="1"/>
  <c r="N65" i="22" a="1"/>
  <c r="N65" i="22" s="1"/>
  <c r="N69" i="22" s="1"/>
  <c r="L65" i="22" a="1"/>
  <c r="L65" i="22" s="1"/>
  <c r="L69" i="22" s="1"/>
  <c r="J65" i="22" a="1"/>
  <c r="J65" i="22" s="1"/>
  <c r="J69" i="22" s="1"/>
  <c r="H65" i="22" a="1"/>
  <c r="H65" i="22" s="1"/>
  <c r="H69" i="22" s="1"/>
  <c r="F65" i="22" a="1"/>
  <c r="F65" i="22" s="1"/>
  <c r="F69" i="22" s="1"/>
  <c r="D65" i="22" a="1"/>
  <c r="D65" i="22" s="1"/>
  <c r="D69" i="22" s="1"/>
  <c r="B65" i="22"/>
  <c r="AV62" i="22"/>
  <c r="AT62" i="22"/>
  <c r="AR62" i="22"/>
  <c r="AP62" i="22"/>
  <c r="AN62" i="22"/>
  <c r="AL62" i="22"/>
  <c r="AJ62" i="22"/>
  <c r="AH62" i="22"/>
  <c r="AF62" i="22"/>
  <c r="AD62" i="22"/>
  <c r="AB62" i="22"/>
  <c r="Z62" i="22"/>
  <c r="X62" i="22"/>
  <c r="V62" i="22"/>
  <c r="T62" i="22"/>
  <c r="R62" i="22"/>
  <c r="P62" i="22"/>
  <c r="N62" i="22"/>
  <c r="L62" i="22"/>
  <c r="J62" i="22"/>
  <c r="H62" i="22"/>
  <c r="F62" i="22"/>
  <c r="D62" i="22"/>
  <c r="B62" i="22"/>
  <c r="AV60" i="22"/>
  <c r="AT60" i="22"/>
  <c r="AR60" i="22"/>
  <c r="AP60" i="22"/>
  <c r="AN60" i="22"/>
  <c r="AL60" i="22"/>
  <c r="AJ60" i="22"/>
  <c r="AH60" i="22"/>
  <c r="AF60" i="22"/>
  <c r="AD60" i="22"/>
  <c r="AB60" i="22"/>
  <c r="Z60" i="22"/>
  <c r="X60" i="22"/>
  <c r="V60" i="22"/>
  <c r="T60" i="22"/>
  <c r="R60" i="22"/>
  <c r="P60" i="22"/>
  <c r="N60" i="22"/>
  <c r="L60" i="22"/>
  <c r="J60" i="22"/>
  <c r="H60" i="22"/>
  <c r="F60" i="22"/>
  <c r="D60" i="22"/>
  <c r="B60" i="22"/>
  <c r="AV59" i="22"/>
  <c r="AT59" i="22"/>
  <c r="AR59" i="22"/>
  <c r="AP59" i="22"/>
  <c r="AN59" i="22"/>
  <c r="AL59" i="22"/>
  <c r="AJ59" i="22"/>
  <c r="AH59" i="22"/>
  <c r="AF59" i="22"/>
  <c r="AD59" i="22"/>
  <c r="AB59" i="22"/>
  <c r="Z59" i="22"/>
  <c r="X59" i="22"/>
  <c r="V59" i="22"/>
  <c r="T59" i="22"/>
  <c r="R59" i="22"/>
  <c r="P59" i="22"/>
  <c r="N59" i="22"/>
  <c r="L59" i="22"/>
  <c r="J59" i="22"/>
  <c r="H59" i="22"/>
  <c r="F59" i="22"/>
  <c r="D59" i="22"/>
  <c r="B59" i="22"/>
  <c r="AV58" i="22"/>
  <c r="AV58" i="22" a="1"/>
  <c r="AT58" i="22" a="1"/>
  <c r="AT58" i="22" s="1"/>
  <c r="AR58" i="22" a="1"/>
  <c r="AR58" i="22" s="1"/>
  <c r="AP58" i="22"/>
  <c r="AP58" i="22" a="1"/>
  <c r="AN58" i="22" a="1"/>
  <c r="AN58" i="22" s="1"/>
  <c r="AL58" i="22" a="1"/>
  <c r="AL58" i="22" s="1"/>
  <c r="AJ58" i="22"/>
  <c r="AJ58" i="22" a="1"/>
  <c r="AH58" i="22" a="1"/>
  <c r="AH58" i="22" s="1"/>
  <c r="AF58" i="22"/>
  <c r="AF58" i="22" a="1"/>
  <c r="AD58" i="22" a="1"/>
  <c r="AD58" i="22" s="1"/>
  <c r="AB58" i="22" a="1"/>
  <c r="AB58" i="22" s="1"/>
  <c r="Z58" i="22"/>
  <c r="Z58" i="22" a="1"/>
  <c r="X58" i="22" a="1"/>
  <c r="X58" i="22" s="1"/>
  <c r="V58" i="22" a="1"/>
  <c r="V58" i="22" s="1"/>
  <c r="T58" i="22"/>
  <c r="T58" i="22" a="1"/>
  <c r="R58" i="22" a="1"/>
  <c r="R58" i="22" s="1"/>
  <c r="P58" i="22"/>
  <c r="P58" i="22" a="1"/>
  <c r="N58" i="22" a="1"/>
  <c r="N58" i="22" s="1"/>
  <c r="L58" i="22" a="1"/>
  <c r="L58" i="22" s="1"/>
  <c r="J58" i="22"/>
  <c r="J58" i="22" a="1"/>
  <c r="H58" i="22" a="1"/>
  <c r="H58" i="22" s="1"/>
  <c r="F58" i="22" a="1"/>
  <c r="F58" i="22" s="1"/>
  <c r="D58" i="22"/>
  <c r="D58" i="22" a="1"/>
  <c r="B58" i="22" a="1"/>
  <c r="B58" i="22" s="1"/>
  <c r="AV57" i="22"/>
  <c r="AV57" i="22" a="1"/>
  <c r="AT57" i="22" a="1"/>
  <c r="AT57" i="22" s="1"/>
  <c r="AR57" i="22" a="1"/>
  <c r="AR57" i="22" s="1"/>
  <c r="AP57" i="22"/>
  <c r="AP57" i="22" a="1"/>
  <c r="AN57" i="22" a="1"/>
  <c r="AN57" i="22" s="1"/>
  <c r="AL57" i="22" a="1"/>
  <c r="AL57" i="22" s="1"/>
  <c r="AJ57" i="22"/>
  <c r="AJ57" i="22" a="1"/>
  <c r="AH57" i="22" a="1"/>
  <c r="AH57" i="22" s="1"/>
  <c r="AF57" i="22"/>
  <c r="AF57" i="22" a="1"/>
  <c r="AD57" i="22" a="1"/>
  <c r="AD57" i="22" s="1"/>
  <c r="AB57" i="22" a="1"/>
  <c r="AB57" i="22" s="1"/>
  <c r="Z57" i="22"/>
  <c r="Z57" i="22" a="1"/>
  <c r="X57" i="22" a="1"/>
  <c r="X57" i="22" s="1"/>
  <c r="V57" i="22" a="1"/>
  <c r="V57" i="22" s="1"/>
  <c r="T57" i="22"/>
  <c r="T57" i="22" a="1"/>
  <c r="R57" i="22" a="1"/>
  <c r="R57" i="22" s="1"/>
  <c r="P57" i="22"/>
  <c r="P57" i="22" a="1"/>
  <c r="N57" i="22" a="1"/>
  <c r="N57" i="22" s="1"/>
  <c r="L57" i="22" a="1"/>
  <c r="L57" i="22" s="1"/>
  <c r="J57" i="22"/>
  <c r="J57" i="22" a="1"/>
  <c r="H57" i="22" a="1"/>
  <c r="H57" i="22" s="1"/>
  <c r="F57" i="22" a="1"/>
  <c r="F57" i="22" s="1"/>
  <c r="D57" i="22"/>
  <c r="D57" i="22" a="1"/>
  <c r="B57" i="22" a="1"/>
  <c r="B57" i="22" s="1"/>
  <c r="AV56" i="22"/>
  <c r="AT56" i="22"/>
  <c r="AR56" i="22"/>
  <c r="AP56" i="22"/>
  <c r="AN56" i="22"/>
  <c r="AL56" i="22"/>
  <c r="AJ56" i="22"/>
  <c r="AH56" i="22"/>
  <c r="AF56" i="22"/>
  <c r="AD56" i="22"/>
  <c r="AB56" i="22"/>
  <c r="Z56" i="22"/>
  <c r="X56" i="22"/>
  <c r="V56" i="22"/>
  <c r="T56" i="22"/>
  <c r="R56" i="22"/>
  <c r="P56" i="22"/>
  <c r="N56" i="22"/>
  <c r="L56" i="22"/>
  <c r="J56" i="22"/>
  <c r="H56" i="22"/>
  <c r="F56" i="22"/>
  <c r="D56" i="22"/>
  <c r="B56" i="22"/>
  <c r="AV55" i="22"/>
  <c r="AT55" i="22"/>
  <c r="AR55" i="22"/>
  <c r="AP55" i="22"/>
  <c r="AP80" i="22" s="1"/>
  <c r="AN55" i="22"/>
  <c r="AN80" i="22" s="1"/>
  <c r="AL55" i="22"/>
  <c r="AJ55" i="22"/>
  <c r="AJ80" i="22" s="1"/>
  <c r="AH55" i="22"/>
  <c r="AH80" i="22" s="1"/>
  <c r="AF55" i="22"/>
  <c r="AF80" i="22" s="1"/>
  <c r="AD55" i="22"/>
  <c r="AD80" i="22" s="1"/>
  <c r="AB55" i="22"/>
  <c r="AB80" i="22" s="1"/>
  <c r="Z55" i="22"/>
  <c r="X55" i="22"/>
  <c r="V55" i="22"/>
  <c r="T55" i="22"/>
  <c r="T80" i="22" s="1"/>
  <c r="R55" i="22"/>
  <c r="R80" i="22" s="1"/>
  <c r="P55" i="22"/>
  <c r="N55" i="22"/>
  <c r="L55" i="22"/>
  <c r="J55" i="22"/>
  <c r="J80" i="22" s="1"/>
  <c r="H55" i="22"/>
  <c r="H80" i="22" s="1"/>
  <c r="F55" i="22"/>
  <c r="D55" i="22"/>
  <c r="B55" i="22"/>
  <c r="B80" i="22" s="1"/>
  <c r="AV53" i="22" a="1"/>
  <c r="AT53" i="22" a="1"/>
  <c r="AR53" i="22" a="1"/>
  <c r="AP53" i="22" a="1"/>
  <c r="AN53" i="22" a="1"/>
  <c r="AL53" i="22" a="1"/>
  <c r="AJ53" i="22" a="1"/>
  <c r="AH53" i="22" a="1"/>
  <c r="AF53" i="22" a="1"/>
  <c r="AD53" i="22" a="1"/>
  <c r="AB53" i="22" a="1"/>
  <c r="Z53" i="22" a="1"/>
  <c r="X53" i="22" a="1"/>
  <c r="V53" i="22" a="1"/>
  <c r="T53" i="22" a="1"/>
  <c r="R53" i="22" a="1"/>
  <c r="P53" i="22" a="1"/>
  <c r="N53" i="22" a="1"/>
  <c r="L53" i="22" a="1"/>
  <c r="J53" i="22" a="1"/>
  <c r="H53" i="22" a="1"/>
  <c r="F53" i="22" a="1"/>
  <c r="D53" i="22" a="1"/>
  <c r="B53" i="22" a="1"/>
  <c r="AV52" i="22" a="1"/>
  <c r="AT52" i="22" a="1"/>
  <c r="AR52" i="22" a="1"/>
  <c r="AP52" i="22" a="1"/>
  <c r="AN52" i="22" a="1"/>
  <c r="AL52" i="22" a="1"/>
  <c r="AJ52" i="22" a="1"/>
  <c r="AH52" i="22" a="1"/>
  <c r="AF52" i="22" a="1"/>
  <c r="AD52" i="22" a="1"/>
  <c r="AB52" i="22" a="1"/>
  <c r="Z52" i="22" a="1"/>
  <c r="X52" i="22" a="1"/>
  <c r="V52" i="22" a="1"/>
  <c r="T52" i="22" a="1"/>
  <c r="R52" i="22" a="1"/>
  <c r="P52" i="22" a="1"/>
  <c r="N52" i="22" a="1"/>
  <c r="L52" i="22" a="1"/>
  <c r="J52" i="22" a="1"/>
  <c r="H52" i="22" a="1"/>
  <c r="F52" i="22" a="1"/>
  <c r="D52" i="22" a="1"/>
  <c r="B52" i="22" a="1"/>
  <c r="AV51" i="22"/>
  <c r="AV81" i="22" s="1"/>
  <c r="AT51" i="22"/>
  <c r="AT81" i="22" s="1"/>
  <c r="AR51" i="22"/>
  <c r="AR81" i="22" s="1"/>
  <c r="AP51" i="22"/>
  <c r="AN51" i="22"/>
  <c r="AL51" i="22"/>
  <c r="AL81" i="22" s="1"/>
  <c r="AJ51" i="22"/>
  <c r="AJ81" i="22" s="1"/>
  <c r="AH51" i="22"/>
  <c r="AH81" i="22" s="1"/>
  <c r="AF51" i="22"/>
  <c r="AD51" i="22"/>
  <c r="AB51" i="22"/>
  <c r="Z51" i="22"/>
  <c r="X51" i="22"/>
  <c r="X81" i="22" s="1"/>
  <c r="V51" i="22"/>
  <c r="T51" i="22"/>
  <c r="T81" i="22" s="1"/>
  <c r="R51" i="22"/>
  <c r="R81" i="22" s="1"/>
  <c r="P51" i="22"/>
  <c r="P81" i="22" s="1"/>
  <c r="N51" i="22"/>
  <c r="N81" i="22" s="1"/>
  <c r="L51" i="22"/>
  <c r="L81" i="22" s="1"/>
  <c r="J51" i="22"/>
  <c r="H51" i="22"/>
  <c r="F51" i="22"/>
  <c r="D51" i="22"/>
  <c r="D81" i="22" s="1"/>
  <c r="B51" i="22"/>
  <c r="B81" i="22" s="1"/>
  <c r="AV49" i="22"/>
  <c r="AT49" i="22"/>
  <c r="AR49" i="22"/>
  <c r="AP49" i="22"/>
  <c r="AN49" i="22"/>
  <c r="AL49" i="22"/>
  <c r="AJ49" i="22"/>
  <c r="AH49" i="22"/>
  <c r="AF49" i="22"/>
  <c r="AD49" i="22"/>
  <c r="AB49" i="22"/>
  <c r="Z49" i="22"/>
  <c r="X49" i="22"/>
  <c r="V49" i="22"/>
  <c r="T49" i="22"/>
  <c r="R49" i="22"/>
  <c r="P49" i="22"/>
  <c r="N49" i="22"/>
  <c r="L49" i="22"/>
  <c r="J49" i="22"/>
  <c r="H49" i="22"/>
  <c r="F49" i="22"/>
  <c r="D49" i="22"/>
  <c r="B49" i="22"/>
  <c r="AV48" i="22"/>
  <c r="AT48" i="22"/>
  <c r="AR48" i="22"/>
  <c r="AP48" i="22"/>
  <c r="AN48" i="22"/>
  <c r="AL48" i="22"/>
  <c r="AJ48" i="22"/>
  <c r="AH48" i="22"/>
  <c r="AF48" i="22"/>
  <c r="AD48" i="22"/>
  <c r="AB48" i="22"/>
  <c r="Z48" i="22"/>
  <c r="X48" i="22"/>
  <c r="V48" i="22"/>
  <c r="T48" i="22"/>
  <c r="R48" i="22"/>
  <c r="P48" i="22"/>
  <c r="N48" i="22"/>
  <c r="L48" i="22"/>
  <c r="J48" i="22"/>
  <c r="H48" i="22"/>
  <c r="F48" i="22"/>
  <c r="D48" i="22"/>
  <c r="B48" i="22"/>
  <c r="AV46" i="22"/>
  <c r="AT46" i="22"/>
  <c r="AR46" i="22"/>
  <c r="AP46" i="22"/>
  <c r="AN46" i="22"/>
  <c r="AL46" i="22"/>
  <c r="AJ46" i="22"/>
  <c r="AH46" i="22"/>
  <c r="AF46" i="22"/>
  <c r="AD46" i="22"/>
  <c r="AB46" i="22"/>
  <c r="Z46" i="22"/>
  <c r="X46" i="22"/>
  <c r="V46" i="22"/>
  <c r="T46" i="22"/>
  <c r="R46" i="22"/>
  <c r="P46" i="22"/>
  <c r="N46" i="22"/>
  <c r="L46" i="22"/>
  <c r="J46" i="22"/>
  <c r="H46" i="22"/>
  <c r="F46" i="22"/>
  <c r="D46" i="22"/>
  <c r="B46" i="22"/>
  <c r="AV45" i="22"/>
  <c r="AT45" i="22"/>
  <c r="AR45" i="22"/>
  <c r="AP45" i="22"/>
  <c r="AN45" i="22"/>
  <c r="AL45" i="22"/>
  <c r="AJ45" i="22"/>
  <c r="AH45" i="22"/>
  <c r="AF45" i="22"/>
  <c r="AD45" i="22"/>
  <c r="AB45" i="22"/>
  <c r="Z45" i="22"/>
  <c r="X45" i="22"/>
  <c r="V45" i="22"/>
  <c r="T45" i="22"/>
  <c r="R45" i="22"/>
  <c r="P45" i="22"/>
  <c r="N45" i="22"/>
  <c r="L45" i="22"/>
  <c r="J45" i="22"/>
  <c r="H45" i="22"/>
  <c r="F45" i="22"/>
  <c r="D45" i="22"/>
  <c r="B45" i="22"/>
  <c r="AV44" i="22"/>
  <c r="AT44" i="22"/>
  <c r="AR44" i="22"/>
  <c r="AP44" i="22"/>
  <c r="AN44" i="22"/>
  <c r="AL44" i="22"/>
  <c r="AJ44" i="22"/>
  <c r="AH44" i="22"/>
  <c r="AF44" i="22"/>
  <c r="AD44" i="22"/>
  <c r="AB44" i="22"/>
  <c r="Z44" i="22"/>
  <c r="X44" i="22"/>
  <c r="V44" i="22"/>
  <c r="T44" i="22"/>
  <c r="R44" i="22"/>
  <c r="P44" i="22"/>
  <c r="N44" i="22"/>
  <c r="L44" i="22"/>
  <c r="J44" i="22"/>
  <c r="H44" i="22"/>
  <c r="F44" i="22"/>
  <c r="D44" i="22"/>
  <c r="B44" i="22"/>
  <c r="AV43" i="22" a="1"/>
  <c r="AV43" i="22" s="1"/>
  <c r="AT43" i="22" a="1"/>
  <c r="AT43" i="22" s="1"/>
  <c r="AR43" i="22" a="1"/>
  <c r="AR43" i="22" s="1"/>
  <c r="AP43" i="22"/>
  <c r="AP43" i="22" a="1"/>
  <c r="AN43" i="22" a="1"/>
  <c r="AN43" i="22" s="1"/>
  <c r="AL43" i="22" a="1"/>
  <c r="AL43" i="22" s="1"/>
  <c r="AJ43" i="22"/>
  <c r="AJ43" i="22" a="1"/>
  <c r="AH43" i="22"/>
  <c r="AH43" i="22" a="1"/>
  <c r="AF43" i="22" a="1"/>
  <c r="AF43" i="22" s="1"/>
  <c r="AD43" i="22" a="1"/>
  <c r="AD43" i="22" s="1"/>
  <c r="AB43" i="22" a="1"/>
  <c r="AB43" i="22" s="1"/>
  <c r="Z43" i="22"/>
  <c r="Z43" i="22" a="1"/>
  <c r="X43" i="22" a="1"/>
  <c r="X43" i="22" s="1"/>
  <c r="V43" i="22" a="1"/>
  <c r="V43" i="22" s="1"/>
  <c r="T43" i="22"/>
  <c r="T43" i="22" a="1"/>
  <c r="R43" i="22" a="1"/>
  <c r="R43" i="22" s="1"/>
  <c r="P43" i="22" a="1"/>
  <c r="P43" i="22" s="1"/>
  <c r="N43" i="22" a="1"/>
  <c r="N43" i="22" s="1"/>
  <c r="L43" i="22" a="1"/>
  <c r="L43" i="22" s="1"/>
  <c r="J43" i="22"/>
  <c r="J43" i="22" a="1"/>
  <c r="H43" i="22" a="1"/>
  <c r="H43" i="22" s="1"/>
  <c r="F43" i="22"/>
  <c r="F43" i="22" a="1"/>
  <c r="D43" i="22"/>
  <c r="D43" i="22" a="1"/>
  <c r="B43" i="22"/>
  <c r="AV42" i="22"/>
  <c r="AT42" i="22"/>
  <c r="AR42" i="22"/>
  <c r="AP42" i="22"/>
  <c r="AN42" i="22"/>
  <c r="AL42" i="22"/>
  <c r="AJ42" i="22"/>
  <c r="AH42" i="22"/>
  <c r="AF42" i="22"/>
  <c r="AD42" i="22"/>
  <c r="AB42" i="22"/>
  <c r="Z42" i="22"/>
  <c r="X42" i="22"/>
  <c r="V42" i="22"/>
  <c r="T42" i="22"/>
  <c r="R42" i="22"/>
  <c r="P42" i="22"/>
  <c r="N42" i="22"/>
  <c r="L42" i="22"/>
  <c r="J42" i="22"/>
  <c r="H42" i="22"/>
  <c r="F42" i="22"/>
  <c r="D42" i="22"/>
  <c r="B42" i="22"/>
  <c r="AN81" i="12"/>
  <c r="AH81" i="12"/>
  <c r="AF81" i="12"/>
  <c r="X81" i="12"/>
  <c r="V81" i="12"/>
  <c r="T81" i="12"/>
  <c r="R81" i="12"/>
  <c r="H81" i="12"/>
  <c r="B81" i="12"/>
  <c r="AV80" i="12"/>
  <c r="AR80" i="12"/>
  <c r="AP80" i="12"/>
  <c r="AN80" i="12"/>
  <c r="AL80" i="12"/>
  <c r="AJ80" i="12"/>
  <c r="AH80" i="12"/>
  <c r="Z80" i="12"/>
  <c r="X80" i="12"/>
  <c r="R80" i="12"/>
  <c r="P80" i="12"/>
  <c r="N80" i="12"/>
  <c r="L80" i="12"/>
  <c r="AV79" i="12" a="1"/>
  <c r="AV79" i="12" s="1"/>
  <c r="AT79" i="12" a="1"/>
  <c r="AT79" i="12" s="1"/>
  <c r="AR79" i="12"/>
  <c r="AR79" i="12" a="1"/>
  <c r="AP79" i="12" a="1"/>
  <c r="AP79" i="12" s="1"/>
  <c r="AN79" i="12" a="1"/>
  <c r="AN79" i="12" s="1"/>
  <c r="AL79" i="12" a="1"/>
  <c r="AL79" i="12" s="1"/>
  <c r="AJ79" i="12" a="1"/>
  <c r="AJ79" i="12" s="1"/>
  <c r="AH79" i="12"/>
  <c r="AH79" i="12" a="1"/>
  <c r="AF79" i="12" a="1"/>
  <c r="AF79" i="12" s="1"/>
  <c r="AD79" i="12" a="1"/>
  <c r="AD79" i="12" s="1"/>
  <c r="AB79" i="12"/>
  <c r="AB79" i="12" a="1"/>
  <c r="Z79" i="12" a="1"/>
  <c r="Z79" i="12" s="1"/>
  <c r="X79" i="12" a="1"/>
  <c r="X79" i="12" s="1"/>
  <c r="V79" i="12" a="1"/>
  <c r="V79" i="12" s="1"/>
  <c r="T79" i="12" a="1"/>
  <c r="T79" i="12" s="1"/>
  <c r="R79" i="12" a="1"/>
  <c r="R79" i="12" s="1"/>
  <c r="P79" i="12" a="1"/>
  <c r="P79" i="12" s="1"/>
  <c r="N79" i="12" a="1"/>
  <c r="N79" i="12" s="1"/>
  <c r="L79" i="12"/>
  <c r="L79" i="12" a="1"/>
  <c r="J79" i="12" a="1"/>
  <c r="J79" i="12" s="1"/>
  <c r="H79" i="12" a="1"/>
  <c r="H79" i="12" s="1"/>
  <c r="F79" i="12" a="1"/>
  <c r="F79" i="12" s="1"/>
  <c r="D79" i="12"/>
  <c r="D79" i="12" a="1"/>
  <c r="B79" i="12" a="1"/>
  <c r="B79" i="12" s="1"/>
  <c r="AV78" i="12" a="1"/>
  <c r="AV78" i="12" s="1"/>
  <c r="AT78" i="12" a="1"/>
  <c r="AT78" i="12" s="1"/>
  <c r="AR78" i="12"/>
  <c r="AR78" i="12" a="1"/>
  <c r="AP78" i="12" a="1"/>
  <c r="AP78" i="12" s="1"/>
  <c r="AN78" i="12" a="1"/>
  <c r="AN78" i="12" s="1"/>
  <c r="AL78" i="12"/>
  <c r="AL78" i="12" a="1"/>
  <c r="AJ78" i="12" a="1"/>
  <c r="AJ78" i="12" s="1"/>
  <c r="AH78" i="12" a="1"/>
  <c r="AH78" i="12" s="1"/>
  <c r="AF78" i="12" a="1"/>
  <c r="AF78" i="12" s="1"/>
  <c r="AD78" i="12" a="1"/>
  <c r="AD78" i="12" s="1"/>
  <c r="AB78" i="12"/>
  <c r="AB78" i="12" a="1"/>
  <c r="Z78" i="12" a="1"/>
  <c r="Z78" i="12" s="1"/>
  <c r="X78" i="12" a="1"/>
  <c r="X78" i="12" s="1"/>
  <c r="V78" i="12" a="1"/>
  <c r="V78" i="12" s="1"/>
  <c r="T78" i="12" a="1"/>
  <c r="T78" i="12" s="1"/>
  <c r="R78" i="12"/>
  <c r="R78" i="12" a="1"/>
  <c r="P78" i="12" a="1"/>
  <c r="P78" i="12" s="1"/>
  <c r="N78" i="12" a="1"/>
  <c r="N78" i="12" s="1"/>
  <c r="L78" i="12"/>
  <c r="L78" i="12" a="1"/>
  <c r="J78" i="12" a="1"/>
  <c r="J78" i="12" s="1"/>
  <c r="H78" i="12" a="1"/>
  <c r="H78" i="12" s="1"/>
  <c r="F78" i="12" a="1"/>
  <c r="F78" i="12" s="1"/>
  <c r="D78" i="12" a="1"/>
  <c r="D78" i="12" s="1"/>
  <c r="B78" i="12" a="1"/>
  <c r="B78" i="12" s="1"/>
  <c r="AV77" i="12" a="1"/>
  <c r="AV77" i="12" s="1"/>
  <c r="AT77" i="12" a="1"/>
  <c r="AT77" i="12" s="1"/>
  <c r="AR77" i="12"/>
  <c r="AR77" i="12" a="1"/>
  <c r="AP77" i="12" a="1"/>
  <c r="AP77" i="12" s="1"/>
  <c r="AN77" i="12" a="1"/>
  <c r="AN77" i="12" s="1"/>
  <c r="AL77" i="12" a="1"/>
  <c r="AL77" i="12" s="1"/>
  <c r="AJ77" i="12"/>
  <c r="AJ77" i="12" a="1"/>
  <c r="AH77" i="12" a="1"/>
  <c r="AH77" i="12" s="1"/>
  <c r="AF77" i="12" a="1"/>
  <c r="AF77" i="12" s="1"/>
  <c r="AD77" i="12" a="1"/>
  <c r="AD77" i="12" s="1"/>
  <c r="AB77" i="12"/>
  <c r="AB77" i="12" a="1"/>
  <c r="Z77" i="12" a="1"/>
  <c r="Z77" i="12" s="1"/>
  <c r="X77" i="12" a="1"/>
  <c r="X77" i="12" s="1"/>
  <c r="V77" i="12"/>
  <c r="V77" i="12" a="1"/>
  <c r="T77" i="12" a="1"/>
  <c r="T77" i="12" s="1"/>
  <c r="R77" i="12" a="1"/>
  <c r="R77" i="12" s="1"/>
  <c r="P77" i="12" a="1"/>
  <c r="P77" i="12" s="1"/>
  <c r="N77" i="12" a="1"/>
  <c r="N77" i="12" s="1"/>
  <c r="L77" i="12"/>
  <c r="L77" i="12" a="1"/>
  <c r="J77" i="12" a="1"/>
  <c r="J77" i="12" s="1"/>
  <c r="H77" i="12" a="1"/>
  <c r="H77" i="12" s="1"/>
  <c r="F77" i="12" a="1"/>
  <c r="F77" i="12" s="1"/>
  <c r="D77" i="12" a="1"/>
  <c r="D77" i="12" s="1"/>
  <c r="B77" i="12"/>
  <c r="B77" i="12" a="1"/>
  <c r="AV76" i="12" a="1"/>
  <c r="AV76" i="12" s="1"/>
  <c r="AT76" i="12" a="1"/>
  <c r="AT76" i="12" s="1"/>
  <c r="AR76" i="12"/>
  <c r="AR76" i="12" a="1"/>
  <c r="AP76" i="12" a="1"/>
  <c r="AP76" i="12" s="1"/>
  <c r="AN76" i="12" a="1"/>
  <c r="AN76" i="12" s="1"/>
  <c r="AL76" i="12" a="1"/>
  <c r="AL76" i="12" s="1"/>
  <c r="AJ76" i="12" a="1"/>
  <c r="AJ76" i="12" s="1"/>
  <c r="AH76" i="12" a="1"/>
  <c r="AH76" i="12" s="1"/>
  <c r="AF76" i="12" a="1"/>
  <c r="AF76" i="12" s="1"/>
  <c r="AD76" i="12" a="1"/>
  <c r="AD76" i="12" s="1"/>
  <c r="AB76" i="12"/>
  <c r="AB76" i="12" a="1"/>
  <c r="Z76" i="12" a="1"/>
  <c r="Z76" i="12" s="1"/>
  <c r="X76" i="12" a="1"/>
  <c r="X76" i="12" s="1"/>
  <c r="V76" i="12" a="1"/>
  <c r="V76" i="12" s="1"/>
  <c r="T76" i="12"/>
  <c r="T76" i="12" a="1"/>
  <c r="R76" i="12" a="1"/>
  <c r="R76" i="12" s="1"/>
  <c r="P76" i="12" a="1"/>
  <c r="P76" i="12" s="1"/>
  <c r="N76" i="12" a="1"/>
  <c r="N76" i="12" s="1"/>
  <c r="L76" i="12"/>
  <c r="L76" i="12" a="1"/>
  <c r="J76" i="12" a="1"/>
  <c r="J76" i="12" s="1"/>
  <c r="H76" i="12" a="1"/>
  <c r="H76" i="12" s="1"/>
  <c r="F76" i="12"/>
  <c r="F76" i="12" a="1"/>
  <c r="D76" i="12" a="1"/>
  <c r="D76" i="12" s="1"/>
  <c r="B76" i="12" a="1"/>
  <c r="B76" i="12" s="1"/>
  <c r="AV75" i="12" a="1"/>
  <c r="AV75" i="12" s="1"/>
  <c r="AT75" i="12" a="1"/>
  <c r="AT75" i="12" s="1"/>
  <c r="AR75" i="12"/>
  <c r="AR75" i="12" a="1"/>
  <c r="AP75" i="12" a="1"/>
  <c r="AP75" i="12" s="1"/>
  <c r="AN75" i="12" a="1"/>
  <c r="AN75" i="12" s="1"/>
  <c r="AL75" i="12" a="1"/>
  <c r="AL75" i="12" s="1"/>
  <c r="AJ75" i="12" a="1"/>
  <c r="AJ75" i="12" s="1"/>
  <c r="AH75" i="12"/>
  <c r="AH75" i="12" a="1"/>
  <c r="AF75" i="12" a="1"/>
  <c r="AF75" i="12" s="1"/>
  <c r="AD75" i="12" a="1"/>
  <c r="AD75" i="12" s="1"/>
  <c r="AB75" i="12"/>
  <c r="AB75" i="12" a="1"/>
  <c r="Z75" i="12" a="1"/>
  <c r="Z75" i="12" s="1"/>
  <c r="X75" i="12" a="1"/>
  <c r="X75" i="12" s="1"/>
  <c r="V75" i="12" a="1"/>
  <c r="V75" i="12" s="1"/>
  <c r="T75" i="12" a="1"/>
  <c r="T75" i="12" s="1"/>
  <c r="R75" i="12" a="1"/>
  <c r="R75" i="12" s="1"/>
  <c r="P75" i="12" a="1"/>
  <c r="P75" i="12" s="1"/>
  <c r="N75" i="12" a="1"/>
  <c r="N75" i="12" s="1"/>
  <c r="L75" i="12"/>
  <c r="L75" i="12" a="1"/>
  <c r="J75" i="12" a="1"/>
  <c r="J75" i="12" s="1"/>
  <c r="H75" i="12" a="1"/>
  <c r="H75" i="12" s="1"/>
  <c r="F75" i="12" a="1"/>
  <c r="F75" i="12" s="1"/>
  <c r="D75" i="12"/>
  <c r="D75" i="12" a="1"/>
  <c r="B75" i="12" a="1"/>
  <c r="B75" i="12" s="1"/>
  <c r="AV74" i="12" a="1"/>
  <c r="AV74" i="12" s="1"/>
  <c r="AT74" i="12" a="1"/>
  <c r="AT74" i="12" s="1"/>
  <c r="AR74" i="12"/>
  <c r="AR74" i="12" a="1"/>
  <c r="AP74" i="12" a="1"/>
  <c r="AP74" i="12" s="1"/>
  <c r="AN74" i="12" a="1"/>
  <c r="AN74" i="12" s="1"/>
  <c r="AL74" i="12"/>
  <c r="AL74" i="12" a="1"/>
  <c r="AJ74" i="12" a="1"/>
  <c r="AJ74" i="12" s="1"/>
  <c r="AH74" i="12" a="1"/>
  <c r="AH74" i="12" s="1"/>
  <c r="AF74" i="12" a="1"/>
  <c r="AF74" i="12" s="1"/>
  <c r="AD74" i="12" a="1"/>
  <c r="AD74" i="12" s="1"/>
  <c r="AB74" i="12"/>
  <c r="AB74" i="12" a="1"/>
  <c r="Z74" i="12" a="1"/>
  <c r="Z74" i="12" s="1"/>
  <c r="X74" i="12" a="1"/>
  <c r="X74" i="12" s="1"/>
  <c r="V74" i="12" a="1"/>
  <c r="V74" i="12" s="1"/>
  <c r="T74" i="12" a="1"/>
  <c r="T74" i="12" s="1"/>
  <c r="R74" i="12"/>
  <c r="R74" i="12" a="1"/>
  <c r="P74" i="12" a="1"/>
  <c r="P74" i="12" s="1"/>
  <c r="N74" i="12" a="1"/>
  <c r="N74" i="12" s="1"/>
  <c r="L74" i="12"/>
  <c r="L74" i="12" a="1"/>
  <c r="J74" i="12" a="1"/>
  <c r="J74" i="12" s="1"/>
  <c r="H74" i="12" a="1"/>
  <c r="H74" i="12" s="1"/>
  <c r="F74" i="12" a="1"/>
  <c r="F74" i="12" s="1"/>
  <c r="D74" i="12" a="1"/>
  <c r="D74" i="12" s="1"/>
  <c r="B74" i="12" a="1"/>
  <c r="B74" i="12" s="1"/>
  <c r="AV73" i="12" a="1"/>
  <c r="AV73" i="12" s="1"/>
  <c r="AT73" i="12" a="1"/>
  <c r="AT73" i="12" s="1"/>
  <c r="AR73" i="12"/>
  <c r="AR73" i="12" a="1"/>
  <c r="AP73" i="12" a="1"/>
  <c r="AP73" i="12" s="1"/>
  <c r="AN73" i="12" a="1"/>
  <c r="AN73" i="12" s="1"/>
  <c r="AL73" i="12" a="1"/>
  <c r="AL73" i="12" s="1"/>
  <c r="AJ73" i="12"/>
  <c r="AJ73" i="12" a="1"/>
  <c r="AH73" i="12" a="1"/>
  <c r="AH73" i="12" s="1"/>
  <c r="AF73" i="12" a="1"/>
  <c r="AF73" i="12" s="1"/>
  <c r="AD73" i="12" a="1"/>
  <c r="AD73" i="12" s="1"/>
  <c r="AB73" i="12"/>
  <c r="AB73" i="12" a="1"/>
  <c r="Z73" i="12" a="1"/>
  <c r="Z73" i="12" s="1"/>
  <c r="X73" i="12" a="1"/>
  <c r="X73" i="12" s="1"/>
  <c r="V73" i="12"/>
  <c r="V73" i="12" a="1"/>
  <c r="T73" i="12" a="1"/>
  <c r="T73" i="12" s="1"/>
  <c r="R73" i="12" a="1"/>
  <c r="R73" i="12" s="1"/>
  <c r="P73" i="12" a="1"/>
  <c r="P73" i="12" s="1"/>
  <c r="N73" i="12" a="1"/>
  <c r="N73" i="12" s="1"/>
  <c r="L73" i="12"/>
  <c r="L73" i="12" a="1"/>
  <c r="J73" i="12" a="1"/>
  <c r="J73" i="12" s="1"/>
  <c r="H73" i="12" a="1"/>
  <c r="H73" i="12" s="1"/>
  <c r="F73" i="12" a="1"/>
  <c r="F73" i="12" s="1"/>
  <c r="D73" i="12" a="1"/>
  <c r="D73" i="12" s="1"/>
  <c r="B73" i="12"/>
  <c r="B73" i="12" a="1"/>
  <c r="AV72" i="12"/>
  <c r="AT72" i="12"/>
  <c r="AR72" i="12"/>
  <c r="AP72" i="12"/>
  <c r="AN72" i="12"/>
  <c r="AL72" i="12"/>
  <c r="AJ72" i="12"/>
  <c r="AH72" i="12"/>
  <c r="AF72" i="12"/>
  <c r="AD72" i="12"/>
  <c r="AB72" i="12"/>
  <c r="Z72" i="12"/>
  <c r="X72" i="12"/>
  <c r="V72" i="12"/>
  <c r="T72" i="12"/>
  <c r="R72" i="12"/>
  <c r="P72" i="12"/>
  <c r="N72" i="12"/>
  <c r="L72" i="12"/>
  <c r="J72" i="12"/>
  <c r="H72" i="12"/>
  <c r="F72" i="12"/>
  <c r="D72" i="12"/>
  <c r="B72" i="12"/>
  <c r="AV71" i="12"/>
  <c r="AT71" i="12"/>
  <c r="AR71" i="12"/>
  <c r="AP71" i="12"/>
  <c r="AN71" i="12"/>
  <c r="AL71" i="12"/>
  <c r="AJ71" i="12"/>
  <c r="AH71" i="12"/>
  <c r="AF71" i="12"/>
  <c r="AD71" i="12"/>
  <c r="AB71" i="12"/>
  <c r="Z71" i="12"/>
  <c r="X71" i="12"/>
  <c r="V71" i="12"/>
  <c r="T71" i="12"/>
  <c r="R71" i="12"/>
  <c r="P71" i="12"/>
  <c r="N71" i="12"/>
  <c r="L71" i="12"/>
  <c r="J71" i="12"/>
  <c r="H71" i="12"/>
  <c r="F71" i="12"/>
  <c r="D71" i="12"/>
  <c r="B71" i="12"/>
  <c r="AV70" i="12"/>
  <c r="AT70" i="12"/>
  <c r="AR70" i="12"/>
  <c r="AP70" i="12"/>
  <c r="AN70" i="12"/>
  <c r="AL70" i="12"/>
  <c r="AJ70" i="12"/>
  <c r="AH70" i="12"/>
  <c r="AF70" i="12"/>
  <c r="AD70" i="12"/>
  <c r="AB70" i="12"/>
  <c r="Z70" i="12"/>
  <c r="X70" i="12"/>
  <c r="V70" i="12"/>
  <c r="T70" i="12"/>
  <c r="R70" i="12"/>
  <c r="P70" i="12"/>
  <c r="N70" i="12"/>
  <c r="L70" i="12"/>
  <c r="J70" i="12"/>
  <c r="H70" i="12"/>
  <c r="F70" i="12"/>
  <c r="D70" i="12"/>
  <c r="B70" i="12"/>
  <c r="AP69" i="12"/>
  <c r="AN69" i="12"/>
  <c r="AL69" i="12"/>
  <c r="AJ69" i="12"/>
  <c r="AH69" i="12"/>
  <c r="B69" i="12"/>
  <c r="V68" i="12"/>
  <c r="T68" i="12"/>
  <c r="AV67" i="12" a="1"/>
  <c r="AV67" i="12" s="1"/>
  <c r="AT67" i="12" a="1"/>
  <c r="AT67" i="12" s="1"/>
  <c r="AR67" i="12"/>
  <c r="AR67" i="12" a="1"/>
  <c r="AP67" i="12" a="1"/>
  <c r="AP67" i="12" s="1"/>
  <c r="AN67" i="12" a="1"/>
  <c r="AN67" i="12" s="1"/>
  <c r="AL67" i="12" a="1"/>
  <c r="AL67" i="12" s="1"/>
  <c r="AJ67" i="12"/>
  <c r="AJ67" i="12" a="1"/>
  <c r="AH67" i="12" a="1"/>
  <c r="AH67" i="12" s="1"/>
  <c r="AF67" i="12" a="1"/>
  <c r="AF67" i="12" s="1"/>
  <c r="AD67" i="12" a="1"/>
  <c r="AD67" i="12" s="1"/>
  <c r="AB67" i="12"/>
  <c r="AB67" i="12" a="1"/>
  <c r="Z67" i="12" a="1"/>
  <c r="Z67" i="12" s="1"/>
  <c r="X67" i="12" a="1"/>
  <c r="X67" i="12" s="1"/>
  <c r="V67" i="12" a="1"/>
  <c r="V67" i="12" s="1"/>
  <c r="T67" i="12"/>
  <c r="T67" i="12" a="1"/>
  <c r="R67" i="12" a="1"/>
  <c r="R67" i="12" s="1"/>
  <c r="P67" i="12" a="1"/>
  <c r="P67" i="12" s="1"/>
  <c r="N67" i="12" a="1"/>
  <c r="N67" i="12" s="1"/>
  <c r="L67" i="12" a="1"/>
  <c r="L67" i="12" s="1"/>
  <c r="J67" i="12" a="1"/>
  <c r="J67" i="12" s="1"/>
  <c r="H67" i="12" a="1"/>
  <c r="H67" i="12" s="1"/>
  <c r="F67" i="12" a="1"/>
  <c r="F67" i="12" s="1"/>
  <c r="D67" i="12"/>
  <c r="D67" i="12" a="1"/>
  <c r="B67" i="12" a="1"/>
  <c r="B67" i="12" s="1"/>
  <c r="AV66" i="12"/>
  <c r="AV66" i="12" a="1"/>
  <c r="AT66" i="12" a="1"/>
  <c r="AT66" i="12" s="1"/>
  <c r="AR66" i="12" a="1"/>
  <c r="AR66" i="12" s="1"/>
  <c r="AR68" i="12" s="1"/>
  <c r="AP66" i="12" a="1"/>
  <c r="AP66" i="12" s="1"/>
  <c r="AN66" i="12" a="1"/>
  <c r="AN66" i="12" s="1"/>
  <c r="AN68" i="12" s="1"/>
  <c r="AL66" i="12" a="1"/>
  <c r="AL66" i="12" s="1"/>
  <c r="AL68" i="12" s="1"/>
  <c r="AJ66" i="12"/>
  <c r="AJ68" i="12" s="1"/>
  <c r="AJ66" i="12" a="1"/>
  <c r="AH66" i="12" a="1"/>
  <c r="AH66" i="12" s="1"/>
  <c r="AF66" i="12"/>
  <c r="AF66" i="12" a="1"/>
  <c r="AD66" i="12" a="1"/>
  <c r="AD66" i="12" s="1"/>
  <c r="AD68" i="12" s="1"/>
  <c r="AB66" i="12" a="1"/>
  <c r="AB66" i="12" s="1"/>
  <c r="AB68" i="12" s="1"/>
  <c r="Z66" i="12" a="1"/>
  <c r="Z66" i="12" s="1"/>
  <c r="X66" i="12" a="1"/>
  <c r="X66" i="12" s="1"/>
  <c r="X68" i="12" s="1"/>
  <c r="V66" i="12" a="1"/>
  <c r="V66" i="12" s="1"/>
  <c r="T66" i="12"/>
  <c r="T66" i="12" a="1"/>
  <c r="R66" i="12" a="1"/>
  <c r="R66" i="12" s="1"/>
  <c r="R68" i="12" s="1"/>
  <c r="P66" i="12"/>
  <c r="P66" i="12" a="1"/>
  <c r="N66" i="12" a="1"/>
  <c r="N66" i="12" s="1"/>
  <c r="L66" i="12" a="1"/>
  <c r="L66" i="12" s="1"/>
  <c r="L68" i="12" s="1"/>
  <c r="J66" i="12"/>
  <c r="J66" i="12" a="1"/>
  <c r="H66" i="12" a="1"/>
  <c r="H66" i="12" s="1"/>
  <c r="H68" i="12" s="1"/>
  <c r="F66" i="12" a="1"/>
  <c r="F66" i="12" s="1"/>
  <c r="F68" i="12" s="1"/>
  <c r="D66" i="12"/>
  <c r="D68" i="12" s="1"/>
  <c r="D66" i="12" a="1"/>
  <c r="B66" i="12" a="1"/>
  <c r="B66" i="12" s="1"/>
  <c r="B68" i="12" s="1"/>
  <c r="AV65" i="12" a="1"/>
  <c r="AV65" i="12" s="1"/>
  <c r="AV69" i="12" s="1"/>
  <c r="AT65" i="12" a="1"/>
  <c r="AT65" i="12" s="1"/>
  <c r="AT69" i="12" s="1"/>
  <c r="AR65" i="12" a="1"/>
  <c r="AR65" i="12" s="1"/>
  <c r="AR69" i="12" s="1"/>
  <c r="AP65" i="12"/>
  <c r="AP65" i="12" a="1"/>
  <c r="AN65" i="12" a="1"/>
  <c r="AN65" i="12" s="1"/>
  <c r="AL65" i="12" a="1"/>
  <c r="AL65" i="12" s="1"/>
  <c r="AJ65" i="12" a="1"/>
  <c r="AJ65" i="12" s="1"/>
  <c r="AH65" i="12" a="1"/>
  <c r="AH65" i="12" s="1"/>
  <c r="AF65" i="12" a="1"/>
  <c r="AF65" i="12" s="1"/>
  <c r="AF69" i="12" s="1"/>
  <c r="AD65" i="12" a="1"/>
  <c r="AD65" i="12" s="1"/>
  <c r="AD69" i="12" s="1"/>
  <c r="AB65" i="12" a="1"/>
  <c r="AB65" i="12" s="1"/>
  <c r="AB69" i="12" s="1"/>
  <c r="Z65" i="12"/>
  <c r="Z69" i="12" s="1"/>
  <c r="Z65" i="12" a="1"/>
  <c r="X65" i="12" a="1"/>
  <c r="X65" i="12" s="1"/>
  <c r="X69" i="12" s="1"/>
  <c r="V65" i="12" a="1"/>
  <c r="V65" i="12" s="1"/>
  <c r="V69" i="12" s="1"/>
  <c r="T65" i="12" a="1"/>
  <c r="T65" i="12" s="1"/>
  <c r="T69" i="12" s="1"/>
  <c r="R65" i="12" a="1"/>
  <c r="R65" i="12" s="1"/>
  <c r="R69" i="12" s="1"/>
  <c r="P65" i="12" a="1"/>
  <c r="P65" i="12" s="1"/>
  <c r="P69" i="12" s="1"/>
  <c r="N65" i="12" a="1"/>
  <c r="N65" i="12" s="1"/>
  <c r="N69" i="12" s="1"/>
  <c r="L65" i="12" a="1"/>
  <c r="L65" i="12" s="1"/>
  <c r="L69" i="12" s="1"/>
  <c r="J65" i="12" a="1"/>
  <c r="J65" i="12" s="1"/>
  <c r="J69" i="12" s="1"/>
  <c r="H65" i="12" a="1"/>
  <c r="H65" i="12" s="1"/>
  <c r="H69" i="12" s="1"/>
  <c r="F65" i="12" a="1"/>
  <c r="F65" i="12" s="1"/>
  <c r="F69" i="12" s="1"/>
  <c r="D65" i="12" a="1"/>
  <c r="D65" i="12" s="1"/>
  <c r="D69" i="12" s="1"/>
  <c r="B65" i="12"/>
  <c r="AV62" i="12"/>
  <c r="AT62" i="12"/>
  <c r="AR62" i="12"/>
  <c r="AP62" i="12"/>
  <c r="AN62" i="12"/>
  <c r="AL62" i="12"/>
  <c r="AJ62" i="12"/>
  <c r="AH62" i="12"/>
  <c r="AF62" i="12"/>
  <c r="AD62" i="12"/>
  <c r="AB62" i="12"/>
  <c r="Z62" i="12"/>
  <c r="X62" i="12"/>
  <c r="V62" i="12"/>
  <c r="T62" i="12"/>
  <c r="R62" i="12"/>
  <c r="P62" i="12"/>
  <c r="N62" i="12"/>
  <c r="L62" i="12"/>
  <c r="J62" i="12"/>
  <c r="H62" i="12"/>
  <c r="F62" i="12"/>
  <c r="D62" i="12"/>
  <c r="B62" i="12"/>
  <c r="AV60" i="12"/>
  <c r="AT60" i="12"/>
  <c r="AR60" i="12"/>
  <c r="AP60" i="12"/>
  <c r="AN60" i="12"/>
  <c r="AL60" i="12"/>
  <c r="AJ60" i="12"/>
  <c r="AH60" i="12"/>
  <c r="AF60" i="12"/>
  <c r="AD60" i="12"/>
  <c r="AB60" i="12"/>
  <c r="Z60" i="12"/>
  <c r="X60" i="12"/>
  <c r="V60" i="12"/>
  <c r="T60" i="12"/>
  <c r="R60" i="12"/>
  <c r="P60" i="12"/>
  <c r="N60" i="12"/>
  <c r="L60" i="12"/>
  <c r="J60" i="12"/>
  <c r="H60" i="12"/>
  <c r="F60" i="12"/>
  <c r="D60" i="12"/>
  <c r="B60" i="12"/>
  <c r="AV59" i="12"/>
  <c r="AT59" i="12"/>
  <c r="AR59" i="12"/>
  <c r="AP59" i="12"/>
  <c r="AN59" i="12"/>
  <c r="AL59" i="12"/>
  <c r="AJ59" i="12"/>
  <c r="AH59" i="12"/>
  <c r="AF59" i="12"/>
  <c r="AD59" i="12"/>
  <c r="AB59" i="12"/>
  <c r="Z59" i="12"/>
  <c r="X59" i="12"/>
  <c r="V59" i="12"/>
  <c r="T59" i="12"/>
  <c r="R59" i="12"/>
  <c r="P59" i="12"/>
  <c r="N59" i="12"/>
  <c r="L59" i="12"/>
  <c r="J59" i="12"/>
  <c r="H59" i="12"/>
  <c r="F59" i="12"/>
  <c r="D59" i="12"/>
  <c r="B59" i="12"/>
  <c r="AV58" i="12"/>
  <c r="AV58" i="12" a="1"/>
  <c r="AT58" i="12" a="1"/>
  <c r="AT58" i="12" s="1"/>
  <c r="AR58" i="12" a="1"/>
  <c r="AR58" i="12" s="1"/>
  <c r="AP58" i="12"/>
  <c r="AP58" i="12" a="1"/>
  <c r="AN58" i="12" a="1"/>
  <c r="AN58" i="12" s="1"/>
  <c r="AL58" i="12"/>
  <c r="AL58" i="12" a="1"/>
  <c r="AJ58" i="12" a="1"/>
  <c r="AJ58" i="12" s="1"/>
  <c r="AH58" i="12" a="1"/>
  <c r="AH58" i="12" s="1"/>
  <c r="AF58" i="12"/>
  <c r="AF58" i="12" a="1"/>
  <c r="AD58" i="12" a="1"/>
  <c r="AD58" i="12" s="1"/>
  <c r="AB58" i="12" a="1"/>
  <c r="AB58" i="12" s="1"/>
  <c r="Z58" i="12"/>
  <c r="Z58" i="12" a="1"/>
  <c r="X58" i="12" a="1"/>
  <c r="X58" i="12" s="1"/>
  <c r="V58" i="12" a="1"/>
  <c r="V58" i="12" s="1"/>
  <c r="T58" i="12" a="1"/>
  <c r="T58" i="12" s="1"/>
  <c r="R58" i="12" a="1"/>
  <c r="R58" i="12" s="1"/>
  <c r="P58" i="12"/>
  <c r="P58" i="12" a="1"/>
  <c r="N58" i="12" a="1"/>
  <c r="N58" i="12" s="1"/>
  <c r="L58" i="12" a="1"/>
  <c r="L58" i="12" s="1"/>
  <c r="J58" i="12"/>
  <c r="J58" i="12" a="1"/>
  <c r="H58" i="12" a="1"/>
  <c r="H58" i="12" s="1"/>
  <c r="F58" i="12" a="1"/>
  <c r="F58" i="12" s="1"/>
  <c r="D58" i="12" a="1"/>
  <c r="D58" i="12" s="1"/>
  <c r="B58" i="12" a="1"/>
  <c r="B58" i="12" s="1"/>
  <c r="AV57" i="12"/>
  <c r="AV57" i="12" a="1"/>
  <c r="AT57" i="12" a="1"/>
  <c r="AT57" i="12" s="1"/>
  <c r="AR57" i="12" a="1"/>
  <c r="AR57" i="12" s="1"/>
  <c r="AP57" i="12"/>
  <c r="AP57" i="12" a="1"/>
  <c r="AN57" i="12" a="1"/>
  <c r="AN57" i="12" s="1"/>
  <c r="AL57" i="12" a="1"/>
  <c r="AL57" i="12" s="1"/>
  <c r="AJ57" i="12" a="1"/>
  <c r="AJ57" i="12" s="1"/>
  <c r="AH57" i="12" a="1"/>
  <c r="AH57" i="12" s="1"/>
  <c r="AF57" i="12"/>
  <c r="AF57" i="12" a="1"/>
  <c r="AD57" i="12" a="1"/>
  <c r="AD57" i="12" s="1"/>
  <c r="AB57" i="12" a="1"/>
  <c r="AB57" i="12" s="1"/>
  <c r="Z57" i="12"/>
  <c r="Z57" i="12" a="1"/>
  <c r="X57" i="12" a="1"/>
  <c r="X57" i="12" s="1"/>
  <c r="V57" i="12" a="1"/>
  <c r="V57" i="12" s="1"/>
  <c r="T57" i="12"/>
  <c r="T57" i="12" a="1"/>
  <c r="R57" i="12" a="1"/>
  <c r="R57" i="12" s="1"/>
  <c r="P57" i="12"/>
  <c r="P57" i="12" a="1"/>
  <c r="N57" i="12" a="1"/>
  <c r="N57" i="12" s="1"/>
  <c r="L57" i="12" a="1"/>
  <c r="L57" i="12" s="1"/>
  <c r="J57" i="12"/>
  <c r="J57" i="12" a="1"/>
  <c r="H57" i="12" a="1"/>
  <c r="H57" i="12" s="1"/>
  <c r="F57" i="12" a="1"/>
  <c r="F57" i="12" s="1"/>
  <c r="D57" i="12"/>
  <c r="D57" i="12" a="1"/>
  <c r="B57" i="12" a="1"/>
  <c r="B57" i="12" s="1"/>
  <c r="AV56" i="12"/>
  <c r="AT56" i="12"/>
  <c r="AR56" i="12"/>
  <c r="AP56" i="12"/>
  <c r="AN56" i="12"/>
  <c r="AL56" i="12"/>
  <c r="AJ56" i="12"/>
  <c r="AH56" i="12"/>
  <c r="AF56" i="12"/>
  <c r="AD56" i="12"/>
  <c r="AB56" i="12"/>
  <c r="Z56" i="12"/>
  <c r="X56" i="12"/>
  <c r="V56" i="12"/>
  <c r="T56" i="12"/>
  <c r="R56" i="12"/>
  <c r="P56" i="12"/>
  <c r="N56" i="12"/>
  <c r="L56" i="12"/>
  <c r="J56" i="12"/>
  <c r="H56" i="12"/>
  <c r="F56" i="12"/>
  <c r="D56" i="12"/>
  <c r="B56" i="12"/>
  <c r="AV55" i="12"/>
  <c r="AT55" i="12"/>
  <c r="AT80" i="12" s="1"/>
  <c r="AR55" i="12"/>
  <c r="AP55" i="12"/>
  <c r="AN55" i="12"/>
  <c r="AL55" i="12"/>
  <c r="AJ55" i="12"/>
  <c r="AH55" i="12"/>
  <c r="AF55" i="12"/>
  <c r="AF80" i="12" s="1"/>
  <c r="AD55" i="12"/>
  <c r="AD80" i="12" s="1"/>
  <c r="AB55" i="12"/>
  <c r="AB80" i="12" s="1"/>
  <c r="Z55" i="12"/>
  <c r="X55" i="12"/>
  <c r="V55" i="12"/>
  <c r="V80" i="12" s="1"/>
  <c r="T55" i="12"/>
  <c r="T80" i="12" s="1"/>
  <c r="R55" i="12"/>
  <c r="P55" i="12"/>
  <c r="N55" i="12"/>
  <c r="L55" i="12"/>
  <c r="J55" i="12"/>
  <c r="J80" i="12" s="1"/>
  <c r="H55" i="12"/>
  <c r="H80" i="12" s="1"/>
  <c r="F55" i="12"/>
  <c r="F80" i="12" s="1"/>
  <c r="D55" i="12"/>
  <c r="D80" i="12" s="1"/>
  <c r="B55" i="12"/>
  <c r="B80" i="12" s="1"/>
  <c r="AV53" i="12" a="1"/>
  <c r="AT53" i="12" a="1"/>
  <c r="AR53" i="12" a="1"/>
  <c r="AP53" i="12" a="1"/>
  <c r="AN53" i="12" a="1"/>
  <c r="AL53" i="12" a="1"/>
  <c r="AJ53" i="12" a="1"/>
  <c r="AH53" i="12" a="1"/>
  <c r="AF53" i="12" a="1"/>
  <c r="AD53" i="12" a="1"/>
  <c r="AB53" i="12" a="1"/>
  <c r="Z53" i="12" a="1"/>
  <c r="X53" i="12" a="1"/>
  <c r="V53" i="12" a="1"/>
  <c r="T53" i="12" a="1"/>
  <c r="R53" i="12" a="1"/>
  <c r="P53" i="12" a="1"/>
  <c r="N53" i="12" a="1"/>
  <c r="L53" i="12" a="1"/>
  <c r="J53" i="12" a="1"/>
  <c r="H53" i="12" a="1"/>
  <c r="F53" i="12" a="1"/>
  <c r="D53" i="12" a="1"/>
  <c r="B53" i="12" a="1"/>
  <c r="AV52" i="12" a="1"/>
  <c r="AT52" i="12" a="1"/>
  <c r="AR52" i="12" a="1"/>
  <c r="AP52" i="12" a="1"/>
  <c r="AN52" i="12" a="1"/>
  <c r="AL52" i="12" a="1"/>
  <c r="AJ52" i="12" a="1"/>
  <c r="AH52" i="12" a="1"/>
  <c r="AF52" i="12" a="1"/>
  <c r="AD52" i="12" a="1"/>
  <c r="AB52" i="12" a="1"/>
  <c r="Z52" i="12" a="1"/>
  <c r="X52" i="12" a="1"/>
  <c r="V52" i="12" a="1"/>
  <c r="T52" i="12" a="1"/>
  <c r="R52" i="12" a="1"/>
  <c r="P52" i="12" a="1"/>
  <c r="N52" i="12" a="1"/>
  <c r="L52" i="12" a="1"/>
  <c r="J52" i="12" a="1"/>
  <c r="H52" i="12" a="1"/>
  <c r="F52" i="12" a="1"/>
  <c r="D52" i="12" a="1"/>
  <c r="B52" i="12" a="1"/>
  <c r="AV51" i="12"/>
  <c r="AV81" i="12" s="1"/>
  <c r="AT51" i="12"/>
  <c r="AT81" i="12" s="1"/>
  <c r="AR51" i="12"/>
  <c r="AR81" i="12" s="1"/>
  <c r="AP51" i="12"/>
  <c r="AP81" i="12" s="1"/>
  <c r="AN51" i="12"/>
  <c r="AL51" i="12"/>
  <c r="AL81" i="12" s="1"/>
  <c r="AJ51" i="12"/>
  <c r="AJ81" i="12" s="1"/>
  <c r="AH51" i="12"/>
  <c r="AF51" i="12"/>
  <c r="AD51" i="12"/>
  <c r="AD81" i="12" s="1"/>
  <c r="AB51" i="12"/>
  <c r="AB81" i="12" s="1"/>
  <c r="Z51" i="12"/>
  <c r="Z81" i="12" s="1"/>
  <c r="X51" i="12"/>
  <c r="V51" i="12"/>
  <c r="T51" i="12"/>
  <c r="R51" i="12"/>
  <c r="P51" i="12"/>
  <c r="P81" i="12" s="1"/>
  <c r="N51" i="12"/>
  <c r="N81" i="12" s="1"/>
  <c r="L51" i="12"/>
  <c r="L81" i="12" s="1"/>
  <c r="J51" i="12"/>
  <c r="J81" i="12" s="1"/>
  <c r="H51" i="12"/>
  <c r="F51" i="12"/>
  <c r="F81" i="12" s="1"/>
  <c r="D51" i="12"/>
  <c r="D81" i="12" s="1"/>
  <c r="B51" i="12"/>
  <c r="AV49" i="12"/>
  <c r="AT49" i="12"/>
  <c r="AR49" i="12"/>
  <c r="AP49" i="12"/>
  <c r="AN49" i="12"/>
  <c r="AL49" i="12"/>
  <c r="AJ49" i="12"/>
  <c r="AH49" i="12"/>
  <c r="AF49" i="12"/>
  <c r="AD49" i="12"/>
  <c r="AB49" i="12"/>
  <c r="Z49" i="12"/>
  <c r="X49" i="12"/>
  <c r="V49" i="12"/>
  <c r="T49" i="12"/>
  <c r="R49" i="12"/>
  <c r="P49" i="12"/>
  <c r="N49" i="12"/>
  <c r="L49" i="12"/>
  <c r="J49" i="12"/>
  <c r="H49" i="12"/>
  <c r="F49" i="12"/>
  <c r="D49" i="12"/>
  <c r="B49" i="12"/>
  <c r="AV48" i="12"/>
  <c r="AT48" i="12"/>
  <c r="AR48" i="12"/>
  <c r="AP48" i="12"/>
  <c r="AN48" i="12"/>
  <c r="AL48" i="12"/>
  <c r="AJ48" i="12"/>
  <c r="AH48" i="12"/>
  <c r="AF48" i="12"/>
  <c r="AD48" i="12"/>
  <c r="AB48" i="12"/>
  <c r="Z48" i="12"/>
  <c r="X48" i="12"/>
  <c r="V48" i="12"/>
  <c r="T48" i="12"/>
  <c r="R48" i="12"/>
  <c r="P48" i="12"/>
  <c r="N48" i="12"/>
  <c r="L48" i="12"/>
  <c r="J48" i="12"/>
  <c r="H48" i="12"/>
  <c r="F48" i="12"/>
  <c r="D48" i="12"/>
  <c r="B48" i="12"/>
  <c r="AV46" i="12"/>
  <c r="AT46" i="12"/>
  <c r="AR46" i="12"/>
  <c r="AP46" i="12"/>
  <c r="AN46" i="12"/>
  <c r="AL46" i="12"/>
  <c r="AJ46" i="12"/>
  <c r="AH46" i="12"/>
  <c r="AF46" i="12"/>
  <c r="AD46" i="12"/>
  <c r="AB46" i="12"/>
  <c r="Z46" i="12"/>
  <c r="X46" i="12"/>
  <c r="V46" i="12"/>
  <c r="T46" i="12"/>
  <c r="R46" i="12"/>
  <c r="P46" i="12"/>
  <c r="N46" i="12"/>
  <c r="L46" i="12"/>
  <c r="J46" i="12"/>
  <c r="H46" i="12"/>
  <c r="F46" i="12"/>
  <c r="D46" i="12"/>
  <c r="B46" i="12"/>
  <c r="AV45" i="12"/>
  <c r="AT45" i="12"/>
  <c r="AR45" i="12"/>
  <c r="AP45" i="12"/>
  <c r="AN45" i="12"/>
  <c r="AL45" i="12"/>
  <c r="AJ45" i="12"/>
  <c r="AH45" i="12"/>
  <c r="AF45" i="12"/>
  <c r="AD45" i="12"/>
  <c r="AB45" i="12"/>
  <c r="Z45" i="12"/>
  <c r="X45" i="12"/>
  <c r="V45" i="12"/>
  <c r="T45" i="12"/>
  <c r="R45" i="12"/>
  <c r="P45" i="12"/>
  <c r="N45" i="12"/>
  <c r="L45" i="12"/>
  <c r="J45" i="12"/>
  <c r="H45" i="12"/>
  <c r="F45" i="12"/>
  <c r="D45" i="12"/>
  <c r="B45" i="12"/>
  <c r="AV44" i="12"/>
  <c r="AT44" i="12"/>
  <c r="AR44" i="12"/>
  <c r="AP44" i="12"/>
  <c r="AN44" i="12"/>
  <c r="AL44" i="12"/>
  <c r="AJ44" i="12"/>
  <c r="AH44" i="12"/>
  <c r="AF44" i="12"/>
  <c r="AD44" i="12"/>
  <c r="AB44" i="12"/>
  <c r="Z44" i="12"/>
  <c r="X44" i="12"/>
  <c r="V44" i="12"/>
  <c r="T44" i="12"/>
  <c r="R44" i="12"/>
  <c r="P44" i="12"/>
  <c r="N44" i="12"/>
  <c r="L44" i="12"/>
  <c r="J44" i="12"/>
  <c r="H44" i="12"/>
  <c r="F44" i="12"/>
  <c r="D44" i="12"/>
  <c r="B44" i="12"/>
  <c r="AV43" i="12"/>
  <c r="AV43" i="12" a="1"/>
  <c r="AT43" i="12" a="1"/>
  <c r="AT43" i="12" s="1"/>
  <c r="AR43" i="12" a="1"/>
  <c r="AR43" i="12" s="1"/>
  <c r="AP43" i="12"/>
  <c r="AP43" i="12" a="1"/>
  <c r="AN43" i="12" a="1"/>
  <c r="AN43" i="12" s="1"/>
  <c r="AL43" i="12" a="1"/>
  <c r="AL43" i="12" s="1"/>
  <c r="AJ43" i="12" a="1"/>
  <c r="AJ43" i="12" s="1"/>
  <c r="AH43" i="12"/>
  <c r="AH43" i="12" a="1"/>
  <c r="AF43" i="12"/>
  <c r="AF43" i="12" a="1"/>
  <c r="AD43" i="12" a="1"/>
  <c r="AD43" i="12" s="1"/>
  <c r="AB43" i="12" a="1"/>
  <c r="AB43" i="12" s="1"/>
  <c r="Z43" i="12"/>
  <c r="Z43" i="12" a="1"/>
  <c r="X43" i="12" a="1"/>
  <c r="X43" i="12" s="1"/>
  <c r="V43" i="12" a="1"/>
  <c r="V43" i="12" s="1"/>
  <c r="T43" i="12" a="1"/>
  <c r="T43" i="12" s="1"/>
  <c r="R43" i="12" a="1"/>
  <c r="R43" i="12" s="1"/>
  <c r="P43" i="12"/>
  <c r="P43" i="12" a="1"/>
  <c r="N43" i="12" a="1"/>
  <c r="N43" i="12" s="1"/>
  <c r="L43" i="12" a="1"/>
  <c r="L43" i="12" s="1"/>
  <c r="J43" i="12"/>
  <c r="J43" i="12" a="1"/>
  <c r="H43" i="12" a="1"/>
  <c r="H43" i="12" s="1"/>
  <c r="F43" i="12"/>
  <c r="F43" i="12" a="1"/>
  <c r="D43" i="12" a="1"/>
  <c r="D43" i="12" s="1"/>
  <c r="B43" i="12"/>
  <c r="AV42" i="12"/>
  <c r="AT42" i="12"/>
  <c r="AR42" i="12"/>
  <c r="AP42" i="12"/>
  <c r="AN42" i="12"/>
  <c r="AL42" i="12"/>
  <c r="AJ42" i="12"/>
  <c r="AH42" i="12"/>
  <c r="AF42" i="12"/>
  <c r="AD42" i="12"/>
  <c r="AB42" i="12"/>
  <c r="Z42" i="12"/>
  <c r="X42" i="12"/>
  <c r="V42" i="12"/>
  <c r="T42" i="12"/>
  <c r="R42" i="12"/>
  <c r="P42" i="12"/>
  <c r="N42" i="12"/>
  <c r="L42" i="12"/>
  <c r="J42" i="12"/>
  <c r="H42" i="12"/>
  <c r="F42" i="12"/>
  <c r="D42" i="12"/>
  <c r="B42" i="12"/>
  <c r="AT81" i="11"/>
  <c r="AR81" i="11"/>
  <c r="AP81" i="11"/>
  <c r="AN81" i="11"/>
  <c r="AL81" i="11"/>
  <c r="AJ81" i="11"/>
  <c r="AH81" i="11"/>
  <c r="AF81" i="11"/>
  <c r="AD81" i="11"/>
  <c r="AB81" i="11"/>
  <c r="Z81" i="11"/>
  <c r="V81" i="11"/>
  <c r="T81" i="11"/>
  <c r="R81" i="11"/>
  <c r="N81" i="11"/>
  <c r="L81" i="11"/>
  <c r="J81" i="11"/>
  <c r="H81" i="11"/>
  <c r="F81" i="11"/>
  <c r="D81" i="11"/>
  <c r="B81" i="11"/>
  <c r="AV80" i="11"/>
  <c r="AT80" i="11"/>
  <c r="AR80" i="11"/>
  <c r="AP80" i="11"/>
  <c r="AL80" i="11"/>
  <c r="AJ80" i="11"/>
  <c r="AH80" i="11"/>
  <c r="AD80" i="11"/>
  <c r="AB80" i="11"/>
  <c r="Z80" i="11"/>
  <c r="X80" i="11"/>
  <c r="V80" i="11"/>
  <c r="T80" i="11"/>
  <c r="R80" i="11"/>
  <c r="P80" i="11"/>
  <c r="N80" i="11"/>
  <c r="L80" i="11"/>
  <c r="J80" i="11"/>
  <c r="F80" i="11"/>
  <c r="D80" i="11"/>
  <c r="B80" i="11"/>
  <c r="AV79" i="11"/>
  <c r="AV79" i="11" a="1"/>
  <c r="AT79" i="11"/>
  <c r="AT79" i="11" a="1"/>
  <c r="AR79" i="11"/>
  <c r="AR79" i="11" a="1"/>
  <c r="AP79" i="11"/>
  <c r="AP79" i="11" a="1"/>
  <c r="AN79" i="11"/>
  <c r="AN79" i="11" a="1"/>
  <c r="AL79" i="11" a="1"/>
  <c r="AL79" i="11" s="1"/>
  <c r="AJ79" i="11"/>
  <c r="AJ79" i="11" a="1"/>
  <c r="AH79" i="11" a="1"/>
  <c r="AH79" i="11" s="1"/>
  <c r="AF79" i="11"/>
  <c r="AF79" i="11" a="1"/>
  <c r="AD79" i="11"/>
  <c r="AD79" i="11" a="1"/>
  <c r="AB79" i="11"/>
  <c r="AB79" i="11" a="1"/>
  <c r="Z79" i="11"/>
  <c r="Z79" i="11" a="1"/>
  <c r="X79" i="11"/>
  <c r="X79" i="11" a="1"/>
  <c r="V79" i="11" a="1"/>
  <c r="V79" i="11" s="1"/>
  <c r="T79" i="11"/>
  <c r="T79" i="11" a="1"/>
  <c r="R79" i="11" a="1"/>
  <c r="R79" i="11" s="1"/>
  <c r="P79" i="11"/>
  <c r="P79" i="11" a="1"/>
  <c r="N79" i="11"/>
  <c r="N79" i="11" a="1"/>
  <c r="L79" i="11"/>
  <c r="L79" i="11" a="1"/>
  <c r="J79" i="11"/>
  <c r="J79" i="11" a="1"/>
  <c r="H79" i="11"/>
  <c r="H79" i="11" a="1"/>
  <c r="F79" i="11" a="1"/>
  <c r="F79" i="11" s="1"/>
  <c r="D79" i="11"/>
  <c r="D79" i="11" a="1"/>
  <c r="B79" i="11" a="1"/>
  <c r="B79" i="11" s="1"/>
  <c r="AV78" i="11"/>
  <c r="AV78" i="11" a="1"/>
  <c r="AT78" i="11"/>
  <c r="AT78" i="11" a="1"/>
  <c r="AR78" i="11"/>
  <c r="AR78" i="11" a="1"/>
  <c r="AP78" i="11"/>
  <c r="AP78" i="11" a="1"/>
  <c r="AN78" i="11"/>
  <c r="AN78" i="11" a="1"/>
  <c r="AL78" i="11" a="1"/>
  <c r="AL78" i="11" s="1"/>
  <c r="AJ78" i="11"/>
  <c r="AJ78" i="11" a="1"/>
  <c r="AH78" i="11" a="1"/>
  <c r="AH78" i="11" s="1"/>
  <c r="AF78" i="11"/>
  <c r="AF78" i="11" a="1"/>
  <c r="AD78" i="11"/>
  <c r="AD78" i="11" a="1"/>
  <c r="AB78" i="11"/>
  <c r="AB78" i="11" a="1"/>
  <c r="Z78" i="11"/>
  <c r="Z78" i="11" a="1"/>
  <c r="X78" i="11"/>
  <c r="X78" i="11" a="1"/>
  <c r="V78" i="11" a="1"/>
  <c r="V78" i="11" s="1"/>
  <c r="T78" i="11"/>
  <c r="T78" i="11" a="1"/>
  <c r="R78" i="11" a="1"/>
  <c r="R78" i="11" s="1"/>
  <c r="P78" i="11"/>
  <c r="P78" i="11" a="1"/>
  <c r="N78" i="11"/>
  <c r="N78" i="11" a="1"/>
  <c r="L78" i="11"/>
  <c r="L78" i="11" a="1"/>
  <c r="J78" i="11"/>
  <c r="J78" i="11" a="1"/>
  <c r="H78" i="11"/>
  <c r="H78" i="11" a="1"/>
  <c r="F78" i="11" a="1"/>
  <c r="F78" i="11" s="1"/>
  <c r="D78" i="11"/>
  <c r="D78" i="11" a="1"/>
  <c r="B78" i="11" a="1"/>
  <c r="B78" i="11" s="1"/>
  <c r="AV77" i="11"/>
  <c r="AV77" i="11" a="1"/>
  <c r="AT77" i="11"/>
  <c r="AT77" i="11" a="1"/>
  <c r="AR77" i="11"/>
  <c r="AR77" i="11" a="1"/>
  <c r="AP77" i="11"/>
  <c r="AP77" i="11" a="1"/>
  <c r="AN77" i="11"/>
  <c r="AN77" i="11" a="1"/>
  <c r="AL77" i="11" a="1"/>
  <c r="AL77" i="11" s="1"/>
  <c r="AJ77" i="11"/>
  <c r="AJ77" i="11" a="1"/>
  <c r="AH77" i="11" a="1"/>
  <c r="AH77" i="11" s="1"/>
  <c r="AF77" i="11"/>
  <c r="AF77" i="11" a="1"/>
  <c r="AD77" i="11"/>
  <c r="AD77" i="11" a="1"/>
  <c r="AB77" i="11"/>
  <c r="AB77" i="11" a="1"/>
  <c r="Z77" i="11"/>
  <c r="Z77" i="11" a="1"/>
  <c r="X77" i="11"/>
  <c r="X77" i="11" a="1"/>
  <c r="V77" i="11" a="1"/>
  <c r="V77" i="11" s="1"/>
  <c r="T77" i="11"/>
  <c r="T77" i="11" a="1"/>
  <c r="R77" i="11" a="1"/>
  <c r="R77" i="11" s="1"/>
  <c r="P77" i="11"/>
  <c r="P77" i="11" a="1"/>
  <c r="N77" i="11"/>
  <c r="N77" i="11" a="1"/>
  <c r="L77" i="11"/>
  <c r="L77" i="11" a="1"/>
  <c r="J77" i="11"/>
  <c r="J77" i="11" a="1"/>
  <c r="H77" i="11"/>
  <c r="H77" i="11" a="1"/>
  <c r="F77" i="11" a="1"/>
  <c r="F77" i="11" s="1"/>
  <c r="D77" i="11"/>
  <c r="D77" i="11" a="1"/>
  <c r="B77" i="11" a="1"/>
  <c r="B77" i="11" s="1"/>
  <c r="AV76" i="11"/>
  <c r="AV76" i="11" a="1"/>
  <c r="AT76" i="11"/>
  <c r="AT76" i="11" a="1"/>
  <c r="AR76" i="11"/>
  <c r="AR76" i="11" a="1"/>
  <c r="AP76" i="11"/>
  <c r="AP76" i="11" a="1"/>
  <c r="AN76" i="11"/>
  <c r="AN76" i="11" a="1"/>
  <c r="AL76" i="11" a="1"/>
  <c r="AL76" i="11" s="1"/>
  <c r="AJ76" i="11"/>
  <c r="AJ76" i="11" a="1"/>
  <c r="AH76" i="11" a="1"/>
  <c r="AH76" i="11" s="1"/>
  <c r="AF76" i="11"/>
  <c r="AF76" i="11" a="1"/>
  <c r="AD76" i="11"/>
  <c r="AD76" i="11" a="1"/>
  <c r="AB76" i="11"/>
  <c r="AB76" i="11" a="1"/>
  <c r="Z76" i="11"/>
  <c r="Z76" i="11" a="1"/>
  <c r="X76" i="11"/>
  <c r="X76" i="11" a="1"/>
  <c r="V76" i="11" a="1"/>
  <c r="V76" i="11" s="1"/>
  <c r="T76" i="11"/>
  <c r="T76" i="11" a="1"/>
  <c r="R76" i="11" a="1"/>
  <c r="R76" i="11" s="1"/>
  <c r="P76" i="11"/>
  <c r="P76" i="11" a="1"/>
  <c r="N76" i="11"/>
  <c r="N76" i="11" a="1"/>
  <c r="L76" i="11"/>
  <c r="L76" i="11" a="1"/>
  <c r="J76" i="11"/>
  <c r="J76" i="11" a="1"/>
  <c r="H76" i="11"/>
  <c r="H76" i="11" a="1"/>
  <c r="F76" i="11" a="1"/>
  <c r="F76" i="11" s="1"/>
  <c r="D76" i="11"/>
  <c r="D76" i="11" a="1"/>
  <c r="B76" i="11" a="1"/>
  <c r="B76" i="11" s="1"/>
  <c r="AV75" i="11"/>
  <c r="AV75" i="11" a="1"/>
  <c r="AT75" i="11"/>
  <c r="AT75" i="11" a="1"/>
  <c r="AR75" i="11"/>
  <c r="AR75" i="11" a="1"/>
  <c r="AP75" i="11"/>
  <c r="AP75" i="11" a="1"/>
  <c r="AN75" i="11"/>
  <c r="AN75" i="11" a="1"/>
  <c r="AL75" i="11" a="1"/>
  <c r="AL75" i="11" s="1"/>
  <c r="AJ75" i="11"/>
  <c r="AJ75" i="11" a="1"/>
  <c r="AH75" i="11" a="1"/>
  <c r="AH75" i="11" s="1"/>
  <c r="AF75" i="11"/>
  <c r="AF75" i="11" a="1"/>
  <c r="AD75" i="11"/>
  <c r="AD75" i="11" a="1"/>
  <c r="AB75" i="11"/>
  <c r="AB75" i="11" a="1"/>
  <c r="Z75" i="11"/>
  <c r="Z75" i="11" a="1"/>
  <c r="X75" i="11"/>
  <c r="X75" i="11" a="1"/>
  <c r="V75" i="11" a="1"/>
  <c r="V75" i="11" s="1"/>
  <c r="T75" i="11"/>
  <c r="T75" i="11" a="1"/>
  <c r="R75" i="11" a="1"/>
  <c r="R75" i="11" s="1"/>
  <c r="P75" i="11"/>
  <c r="P75" i="11" a="1"/>
  <c r="N75" i="11"/>
  <c r="N75" i="11" a="1"/>
  <c r="L75" i="11"/>
  <c r="L75" i="11" a="1"/>
  <c r="J75" i="11"/>
  <c r="J75" i="11" a="1"/>
  <c r="H75" i="11"/>
  <c r="H75" i="11" a="1"/>
  <c r="F75" i="11" a="1"/>
  <c r="F75" i="11" s="1"/>
  <c r="D75" i="11"/>
  <c r="D75" i="11" a="1"/>
  <c r="B75" i="11" a="1"/>
  <c r="B75" i="11" s="1"/>
  <c r="AV74" i="11"/>
  <c r="AV74" i="11" a="1"/>
  <c r="AT74" i="11"/>
  <c r="AT74" i="11" a="1"/>
  <c r="AR74" i="11"/>
  <c r="AR74" i="11" a="1"/>
  <c r="AP74" i="11"/>
  <c r="AP74" i="11" a="1"/>
  <c r="AN74" i="11"/>
  <c r="AN74" i="11" a="1"/>
  <c r="AL74" i="11" a="1"/>
  <c r="AL74" i="11" s="1"/>
  <c r="AJ74" i="11"/>
  <c r="AJ74" i="11" a="1"/>
  <c r="AH74" i="11" a="1"/>
  <c r="AH74" i="11" s="1"/>
  <c r="AF74" i="11"/>
  <c r="AF74" i="11" a="1"/>
  <c r="AD74" i="11"/>
  <c r="AD74" i="11" a="1"/>
  <c r="AB74" i="11"/>
  <c r="AB74" i="11" a="1"/>
  <c r="Z74" i="11"/>
  <c r="Z74" i="11" a="1"/>
  <c r="X74" i="11"/>
  <c r="X74" i="11" a="1"/>
  <c r="V74" i="11" a="1"/>
  <c r="V74" i="11" s="1"/>
  <c r="T74" i="11"/>
  <c r="T74" i="11" a="1"/>
  <c r="R74" i="11" a="1"/>
  <c r="R74" i="11" s="1"/>
  <c r="P74" i="11"/>
  <c r="P74" i="11" a="1"/>
  <c r="N74" i="11"/>
  <c r="N74" i="11" a="1"/>
  <c r="L74" i="11"/>
  <c r="L74" i="11" a="1"/>
  <c r="J74" i="11"/>
  <c r="J74" i="11" a="1"/>
  <c r="H74" i="11"/>
  <c r="H74" i="11" a="1"/>
  <c r="F74" i="11" a="1"/>
  <c r="F74" i="11" s="1"/>
  <c r="D74" i="11"/>
  <c r="D74" i="11" a="1"/>
  <c r="B74" i="11" a="1"/>
  <c r="B74" i="11" s="1"/>
  <c r="AV73" i="11"/>
  <c r="AV73" i="11" a="1"/>
  <c r="AT73" i="11"/>
  <c r="AT73" i="11" a="1"/>
  <c r="AR73" i="11"/>
  <c r="AR73" i="11" a="1"/>
  <c r="AP73" i="11"/>
  <c r="AP73" i="11" a="1"/>
  <c r="AN73" i="11"/>
  <c r="AN73" i="11" a="1"/>
  <c r="AL73" i="11" a="1"/>
  <c r="AL73" i="11" s="1"/>
  <c r="AJ73" i="11"/>
  <c r="AJ73" i="11" a="1"/>
  <c r="AH73" i="11" a="1"/>
  <c r="AH73" i="11" s="1"/>
  <c r="AF73" i="11"/>
  <c r="AF73" i="11" a="1"/>
  <c r="AD73" i="11"/>
  <c r="AD73" i="11" a="1"/>
  <c r="AB73" i="11"/>
  <c r="AB73" i="11" a="1"/>
  <c r="Z73" i="11"/>
  <c r="Z73" i="11" a="1"/>
  <c r="X73" i="11"/>
  <c r="X73" i="11" a="1"/>
  <c r="V73" i="11" a="1"/>
  <c r="V73" i="11" s="1"/>
  <c r="T73" i="11"/>
  <c r="T73" i="11" a="1"/>
  <c r="R73" i="11" a="1"/>
  <c r="R73" i="11" s="1"/>
  <c r="P73" i="11"/>
  <c r="P73" i="11" a="1"/>
  <c r="N73" i="11"/>
  <c r="N73" i="11" a="1"/>
  <c r="L73" i="11"/>
  <c r="L73" i="11" a="1"/>
  <c r="J73" i="11"/>
  <c r="J73" i="11" a="1"/>
  <c r="H73" i="11"/>
  <c r="H73" i="11" a="1"/>
  <c r="F73" i="11" a="1"/>
  <c r="F73" i="11" s="1"/>
  <c r="D73" i="11"/>
  <c r="D73" i="11" a="1"/>
  <c r="B73" i="11" a="1"/>
  <c r="B73" i="11" s="1"/>
  <c r="AV72" i="11"/>
  <c r="AT72" i="11"/>
  <c r="AR72" i="11"/>
  <c r="AP72" i="11"/>
  <c r="AN72" i="11"/>
  <c r="AL72" i="11"/>
  <c r="AJ72" i="11"/>
  <c r="AH72" i="11"/>
  <c r="AF72" i="11"/>
  <c r="AD72" i="11"/>
  <c r="AB72" i="11"/>
  <c r="Z72" i="11"/>
  <c r="X72" i="11"/>
  <c r="V72" i="11"/>
  <c r="T72" i="11"/>
  <c r="R72" i="11"/>
  <c r="P72" i="11"/>
  <c r="N72" i="11"/>
  <c r="L72" i="11"/>
  <c r="J72" i="11"/>
  <c r="H72" i="11"/>
  <c r="F72" i="11"/>
  <c r="D72" i="11"/>
  <c r="B72" i="11"/>
  <c r="AV71" i="11"/>
  <c r="AT71" i="11"/>
  <c r="AR71" i="11"/>
  <c r="AP71" i="11"/>
  <c r="AN71" i="11"/>
  <c r="AL71" i="11"/>
  <c r="AJ71" i="11"/>
  <c r="AH71" i="11"/>
  <c r="AF71" i="11"/>
  <c r="AD71" i="11"/>
  <c r="AB71" i="11"/>
  <c r="Z71" i="11"/>
  <c r="X71" i="11"/>
  <c r="V71" i="11"/>
  <c r="T71" i="11"/>
  <c r="R71" i="11"/>
  <c r="P71" i="11"/>
  <c r="N71" i="11"/>
  <c r="L71" i="11"/>
  <c r="J71" i="11"/>
  <c r="H71" i="11"/>
  <c r="F71" i="11"/>
  <c r="D71" i="11"/>
  <c r="B71" i="11"/>
  <c r="AV70" i="11"/>
  <c r="AT70" i="11"/>
  <c r="AR70" i="11"/>
  <c r="AP70" i="11"/>
  <c r="AN70" i="11"/>
  <c r="AL70" i="11"/>
  <c r="AJ70" i="11"/>
  <c r="AH70" i="11"/>
  <c r="AF70" i="11"/>
  <c r="AD70" i="11"/>
  <c r="AB70" i="11"/>
  <c r="Z70" i="11"/>
  <c r="X70" i="11"/>
  <c r="V70" i="11"/>
  <c r="T70" i="11"/>
  <c r="R70" i="11"/>
  <c r="P70" i="11"/>
  <c r="N70" i="11"/>
  <c r="L70" i="11"/>
  <c r="J70" i="11"/>
  <c r="H70" i="11"/>
  <c r="F70" i="11"/>
  <c r="D70" i="11"/>
  <c r="B70" i="11"/>
  <c r="AV69" i="11"/>
  <c r="AR69" i="11"/>
  <c r="AN69" i="11"/>
  <c r="AL69" i="11"/>
  <c r="AJ69" i="11"/>
  <c r="AH69" i="11"/>
  <c r="AF69" i="11"/>
  <c r="AB69" i="11"/>
  <c r="X69" i="11"/>
  <c r="V69" i="11"/>
  <c r="T69" i="11"/>
  <c r="R69" i="11"/>
  <c r="P69" i="11"/>
  <c r="L69" i="11"/>
  <c r="H69" i="11"/>
  <c r="F69" i="11"/>
  <c r="D69" i="11"/>
  <c r="B69" i="11"/>
  <c r="AV68" i="11"/>
  <c r="AR68" i="11"/>
  <c r="AN68" i="11"/>
  <c r="AL68" i="11"/>
  <c r="AJ68" i="11"/>
  <c r="AH68" i="11"/>
  <c r="AF68" i="11"/>
  <c r="AB68" i="11"/>
  <c r="X68" i="11"/>
  <c r="V68" i="11"/>
  <c r="T68" i="11"/>
  <c r="R68" i="11"/>
  <c r="P68" i="11"/>
  <c r="L68" i="11"/>
  <c r="H68" i="11"/>
  <c r="F68" i="11"/>
  <c r="D68" i="11"/>
  <c r="B68" i="11"/>
  <c r="AV67" i="11"/>
  <c r="AV67" i="11" a="1"/>
  <c r="AT67" i="11" a="1"/>
  <c r="AT67" i="11" s="1"/>
  <c r="AR67" i="11"/>
  <c r="AR67" i="11" a="1"/>
  <c r="AP67" i="11" a="1"/>
  <c r="AP67" i="11" s="1"/>
  <c r="AN67" i="11"/>
  <c r="AN67" i="11" a="1"/>
  <c r="AL67" i="11"/>
  <c r="AL67" i="11" a="1"/>
  <c r="AJ67" i="11"/>
  <c r="AJ67" i="11" a="1"/>
  <c r="AH67" i="11"/>
  <c r="AH67" i="11" a="1"/>
  <c r="AF67" i="11"/>
  <c r="AF67" i="11" a="1"/>
  <c r="AD67" i="11" a="1"/>
  <c r="AD67" i="11" s="1"/>
  <c r="AB67" i="11"/>
  <c r="AB67" i="11" a="1"/>
  <c r="Z67" i="11" a="1"/>
  <c r="Z67" i="11" s="1"/>
  <c r="X67" i="11"/>
  <c r="X67" i="11" a="1"/>
  <c r="V67" i="11"/>
  <c r="V67" i="11" a="1"/>
  <c r="T67" i="11"/>
  <c r="T67" i="11" a="1"/>
  <c r="R67" i="11"/>
  <c r="R67" i="11" a="1"/>
  <c r="P67" i="11"/>
  <c r="P67" i="11" a="1"/>
  <c r="N67" i="11" a="1"/>
  <c r="N67" i="11" s="1"/>
  <c r="L67" i="11"/>
  <c r="L67" i="11" a="1"/>
  <c r="J67" i="11" a="1"/>
  <c r="J67" i="11" s="1"/>
  <c r="H67" i="11"/>
  <c r="H67" i="11" a="1"/>
  <c r="F67" i="11"/>
  <c r="F67" i="11" a="1"/>
  <c r="D67" i="11"/>
  <c r="D67" i="11" a="1"/>
  <c r="B67" i="11"/>
  <c r="B67" i="11" a="1"/>
  <c r="AV66" i="11"/>
  <c r="AV66" i="11" a="1"/>
  <c r="AT66" i="11" a="1"/>
  <c r="AT66" i="11" s="1"/>
  <c r="AT68" i="11" s="1"/>
  <c r="AR66" i="11"/>
  <c r="AR66" i="11" a="1"/>
  <c r="AP66" i="11" a="1"/>
  <c r="AP66" i="11" s="1"/>
  <c r="AP68" i="11" s="1"/>
  <c r="AN66" i="11"/>
  <c r="AN66" i="11" a="1"/>
  <c r="AL66" i="11"/>
  <c r="AL66" i="11" a="1"/>
  <c r="AJ66" i="11"/>
  <c r="AJ66" i="11" a="1"/>
  <c r="AH66" i="11"/>
  <c r="AH66" i="11" a="1"/>
  <c r="AF66" i="11"/>
  <c r="AF66" i="11" a="1"/>
  <c r="AD66" i="11" a="1"/>
  <c r="AD66" i="11" s="1"/>
  <c r="AD68" i="11" s="1"/>
  <c r="AB66" i="11"/>
  <c r="AB66" i="11" a="1"/>
  <c r="Z66" i="11" a="1"/>
  <c r="Z66" i="11" s="1"/>
  <c r="Z68" i="11" s="1"/>
  <c r="X66" i="11"/>
  <c r="X66" i="11" a="1"/>
  <c r="V66" i="11"/>
  <c r="V66" i="11" a="1"/>
  <c r="T66" i="11"/>
  <c r="T66" i="11" a="1"/>
  <c r="R66" i="11"/>
  <c r="R66" i="11" a="1"/>
  <c r="P66" i="11"/>
  <c r="P66" i="11" a="1"/>
  <c r="N66" i="11" a="1"/>
  <c r="N66" i="11" s="1"/>
  <c r="L66" i="11"/>
  <c r="L66" i="11" a="1"/>
  <c r="J66" i="11" a="1"/>
  <c r="J66" i="11" s="1"/>
  <c r="J68" i="11" s="1"/>
  <c r="H66" i="11"/>
  <c r="H66" i="11" a="1"/>
  <c r="F66" i="11"/>
  <c r="F66" i="11" a="1"/>
  <c r="D66" i="11"/>
  <c r="D66" i="11" a="1"/>
  <c r="B66" i="11"/>
  <c r="B66" i="11" a="1"/>
  <c r="AV65" i="11"/>
  <c r="AV65" i="11" a="1"/>
  <c r="AT65" i="11" a="1"/>
  <c r="AT65" i="11" s="1"/>
  <c r="AT69" i="11" s="1"/>
  <c r="AR65" i="11"/>
  <c r="AR65" i="11" a="1"/>
  <c r="AP65" i="11" a="1"/>
  <c r="AP65" i="11" s="1"/>
  <c r="AP69" i="11" s="1"/>
  <c r="AN65" i="11"/>
  <c r="AN65" i="11" a="1"/>
  <c r="AL65" i="11"/>
  <c r="AL65" i="11" a="1"/>
  <c r="AJ65" i="11"/>
  <c r="AJ65" i="11" a="1"/>
  <c r="AH65" i="11"/>
  <c r="AH65" i="11" a="1"/>
  <c r="AF65" i="11"/>
  <c r="AF65" i="11" a="1"/>
  <c r="AD65" i="11" a="1"/>
  <c r="AD65" i="11" s="1"/>
  <c r="AD69" i="11" s="1"/>
  <c r="AB65" i="11"/>
  <c r="AB65" i="11" a="1"/>
  <c r="Z65" i="11" a="1"/>
  <c r="Z65" i="11" s="1"/>
  <c r="Z69" i="11" s="1"/>
  <c r="X65" i="11"/>
  <c r="X65" i="11" a="1"/>
  <c r="V65" i="11"/>
  <c r="V65" i="11" a="1"/>
  <c r="T65" i="11"/>
  <c r="T65" i="11" a="1"/>
  <c r="R65" i="11"/>
  <c r="R65" i="11" a="1"/>
  <c r="P65" i="11"/>
  <c r="P65" i="11" a="1"/>
  <c r="N65" i="11" a="1"/>
  <c r="N65" i="11" s="1"/>
  <c r="N69" i="11" s="1"/>
  <c r="L65" i="11"/>
  <c r="L65" i="11" a="1"/>
  <c r="J65" i="11" a="1"/>
  <c r="J65" i="11" s="1"/>
  <c r="J69" i="11" s="1"/>
  <c r="H65" i="11"/>
  <c r="H65" i="11" a="1"/>
  <c r="F65" i="11"/>
  <c r="F65" i="11" a="1"/>
  <c r="D65" i="11"/>
  <c r="D65" i="11" a="1"/>
  <c r="B65" i="11"/>
  <c r="AV62" i="11"/>
  <c r="AT62" i="11"/>
  <c r="AR62" i="11"/>
  <c r="AP62" i="11"/>
  <c r="AN62" i="11"/>
  <c r="AL62" i="11"/>
  <c r="AJ62" i="11"/>
  <c r="AH62" i="11"/>
  <c r="AF62" i="11"/>
  <c r="AD62" i="11"/>
  <c r="AB62" i="11"/>
  <c r="Z62" i="11"/>
  <c r="X62" i="11"/>
  <c r="V62" i="11"/>
  <c r="T62" i="11"/>
  <c r="R62" i="11"/>
  <c r="P62" i="11"/>
  <c r="N62" i="11"/>
  <c r="L62" i="11"/>
  <c r="J62" i="11"/>
  <c r="H62" i="11"/>
  <c r="F62" i="11"/>
  <c r="D62" i="11"/>
  <c r="B62" i="11"/>
  <c r="AV60" i="11"/>
  <c r="AT60" i="11"/>
  <c r="AR60" i="11"/>
  <c r="AP60" i="11"/>
  <c r="AN60" i="11"/>
  <c r="AL60" i="11"/>
  <c r="AJ60" i="11"/>
  <c r="AH60" i="11"/>
  <c r="AF60" i="11"/>
  <c r="AD60" i="11"/>
  <c r="AB60" i="11"/>
  <c r="Z60" i="11"/>
  <c r="X60" i="11"/>
  <c r="V60" i="11"/>
  <c r="T60" i="11"/>
  <c r="R60" i="11"/>
  <c r="P60" i="11"/>
  <c r="N60" i="11"/>
  <c r="L60" i="11"/>
  <c r="J60" i="11"/>
  <c r="H60" i="11"/>
  <c r="F60" i="11"/>
  <c r="D60" i="11"/>
  <c r="B60" i="11"/>
  <c r="AV59" i="11"/>
  <c r="AT59" i="11"/>
  <c r="AR59" i="11"/>
  <c r="AP59" i="11"/>
  <c r="AN59" i="11"/>
  <c r="AL59" i="11"/>
  <c r="AJ59" i="11"/>
  <c r="AH59" i="11"/>
  <c r="AF59" i="11"/>
  <c r="AD59" i="11"/>
  <c r="AB59" i="11"/>
  <c r="Z59" i="11"/>
  <c r="X59" i="11"/>
  <c r="V59" i="11"/>
  <c r="T59" i="11"/>
  <c r="R59" i="11"/>
  <c r="P59" i="11"/>
  <c r="N59" i="11"/>
  <c r="L59" i="11"/>
  <c r="J59" i="11"/>
  <c r="H59" i="11"/>
  <c r="F59" i="11"/>
  <c r="D59" i="11"/>
  <c r="B59" i="11"/>
  <c r="AV58" i="11"/>
  <c r="AV58" i="11" a="1"/>
  <c r="AT58" i="11"/>
  <c r="AT58" i="11" a="1"/>
  <c r="AR58" i="11"/>
  <c r="AR58" i="11" a="1"/>
  <c r="AP58" i="11"/>
  <c r="AP58" i="11" a="1"/>
  <c r="AN58" i="11"/>
  <c r="AN58" i="11" a="1"/>
  <c r="AL58" i="11" a="1"/>
  <c r="AL58" i="11" s="1"/>
  <c r="AJ58" i="11"/>
  <c r="AJ58" i="11" a="1"/>
  <c r="AH58" i="11" a="1"/>
  <c r="AH58" i="11" s="1"/>
  <c r="AF58" i="11"/>
  <c r="AF58" i="11" a="1"/>
  <c r="AD58" i="11"/>
  <c r="AD58" i="11" a="1"/>
  <c r="AB58" i="11"/>
  <c r="AB58" i="11" a="1"/>
  <c r="Z58" i="11"/>
  <c r="Z58" i="11" a="1"/>
  <c r="X58" i="11"/>
  <c r="X58" i="11" a="1"/>
  <c r="V58" i="11" a="1"/>
  <c r="V58" i="11" s="1"/>
  <c r="T58" i="11"/>
  <c r="T58" i="11" a="1"/>
  <c r="R58" i="11" a="1"/>
  <c r="R58" i="11" s="1"/>
  <c r="P58" i="11"/>
  <c r="P58" i="11" a="1"/>
  <c r="N58" i="11"/>
  <c r="N58" i="11" a="1"/>
  <c r="L58" i="11"/>
  <c r="L58" i="11" a="1"/>
  <c r="J58" i="11"/>
  <c r="J58" i="11" a="1"/>
  <c r="H58" i="11"/>
  <c r="H58" i="11" a="1"/>
  <c r="F58" i="11" a="1"/>
  <c r="F58" i="11" s="1"/>
  <c r="D58" i="11"/>
  <c r="D58" i="11" a="1"/>
  <c r="B58" i="11" a="1"/>
  <c r="B58" i="11" s="1"/>
  <c r="AV57" i="11"/>
  <c r="AV57" i="11" a="1"/>
  <c r="AT57" i="11"/>
  <c r="AT57" i="11" a="1"/>
  <c r="AR57" i="11"/>
  <c r="AR57" i="11" a="1"/>
  <c r="AP57" i="11"/>
  <c r="AP57" i="11" a="1"/>
  <c r="AN57" i="11"/>
  <c r="AN57" i="11" a="1"/>
  <c r="AL57" i="11" a="1"/>
  <c r="AL57" i="11" s="1"/>
  <c r="AJ57" i="11"/>
  <c r="AJ57" i="11" a="1"/>
  <c r="AH57" i="11" a="1"/>
  <c r="AH57" i="11" s="1"/>
  <c r="AF57" i="11"/>
  <c r="AF57" i="11" a="1"/>
  <c r="AD57" i="11"/>
  <c r="AD57" i="11" a="1"/>
  <c r="AB57" i="11"/>
  <c r="AB57" i="11" a="1"/>
  <c r="Z57" i="11"/>
  <c r="Z57" i="11" a="1"/>
  <c r="X57" i="11"/>
  <c r="X57" i="11" a="1"/>
  <c r="V57" i="11" a="1"/>
  <c r="V57" i="11" s="1"/>
  <c r="T57" i="11"/>
  <c r="T57" i="11" a="1"/>
  <c r="R57" i="11" a="1"/>
  <c r="R57" i="11" s="1"/>
  <c r="P57" i="11"/>
  <c r="P57" i="11" a="1"/>
  <c r="N57" i="11"/>
  <c r="N57" i="11" a="1"/>
  <c r="L57" i="11"/>
  <c r="L57" i="11" a="1"/>
  <c r="J57" i="11"/>
  <c r="J57" i="11" a="1"/>
  <c r="H57" i="11"/>
  <c r="H57" i="11" a="1"/>
  <c r="F57" i="11" a="1"/>
  <c r="F57" i="11" s="1"/>
  <c r="D57" i="11"/>
  <c r="D57" i="11" a="1"/>
  <c r="B57" i="11" a="1"/>
  <c r="B57" i="11" s="1"/>
  <c r="AV56" i="11"/>
  <c r="AT56" i="11"/>
  <c r="AR56" i="11"/>
  <c r="AP56" i="11"/>
  <c r="AN56" i="11"/>
  <c r="AL56" i="11"/>
  <c r="AJ56" i="11"/>
  <c r="AH56" i="11"/>
  <c r="AF56" i="11"/>
  <c r="AD56" i="11"/>
  <c r="AB56" i="11"/>
  <c r="Z56" i="11"/>
  <c r="X56" i="11"/>
  <c r="V56" i="11"/>
  <c r="T56" i="11"/>
  <c r="R56" i="11"/>
  <c r="P56" i="11"/>
  <c r="N56" i="11"/>
  <c r="L56" i="11"/>
  <c r="J56" i="11"/>
  <c r="H56" i="11"/>
  <c r="F56" i="11"/>
  <c r="D56" i="11"/>
  <c r="B56" i="11"/>
  <c r="AV55" i="11"/>
  <c r="AT55" i="11"/>
  <c r="AR55" i="11"/>
  <c r="AP55" i="11"/>
  <c r="AN55" i="11"/>
  <c r="AN80" i="11" s="1"/>
  <c r="AL55" i="11"/>
  <c r="AJ55" i="11"/>
  <c r="AH55" i="11"/>
  <c r="AF55" i="11"/>
  <c r="AF80" i="11" s="1"/>
  <c r="AD55" i="11"/>
  <c r="AB55" i="11"/>
  <c r="Z55" i="11"/>
  <c r="X55" i="11"/>
  <c r="V55" i="11"/>
  <c r="T55" i="11"/>
  <c r="R55" i="11"/>
  <c r="P55" i="11"/>
  <c r="N55" i="11"/>
  <c r="L55" i="11"/>
  <c r="J55" i="11"/>
  <c r="H55" i="11"/>
  <c r="H80" i="11" s="1"/>
  <c r="F55" i="11"/>
  <c r="D55" i="11"/>
  <c r="B55" i="11"/>
  <c r="AV53" i="11" a="1"/>
  <c r="AT53" i="11" a="1"/>
  <c r="AR53" i="11" a="1"/>
  <c r="AP53" i="11" a="1"/>
  <c r="AN53" i="11" a="1"/>
  <c r="AL53" i="11" a="1"/>
  <c r="AJ53" i="11" a="1"/>
  <c r="AH53" i="11" a="1"/>
  <c r="AF53" i="11" a="1"/>
  <c r="AD53" i="11" a="1"/>
  <c r="AB53" i="11" a="1"/>
  <c r="Z53" i="11" a="1"/>
  <c r="X53" i="11" a="1"/>
  <c r="V53" i="11" a="1"/>
  <c r="T53" i="11" a="1"/>
  <c r="R53" i="11" a="1"/>
  <c r="P53" i="11" a="1"/>
  <c r="N53" i="11" a="1"/>
  <c r="L53" i="11" a="1"/>
  <c r="J53" i="11" a="1"/>
  <c r="H53" i="11" a="1"/>
  <c r="F53" i="11" a="1"/>
  <c r="D53" i="11" a="1"/>
  <c r="B53" i="11" a="1"/>
  <c r="AV52" i="11" a="1"/>
  <c r="AT52" i="11" a="1"/>
  <c r="AR52" i="11" a="1"/>
  <c r="AP52" i="11" a="1"/>
  <c r="AN52" i="11" a="1"/>
  <c r="AL52" i="11" a="1"/>
  <c r="AJ52" i="11" a="1"/>
  <c r="AH52" i="11" a="1"/>
  <c r="AF52" i="11" a="1"/>
  <c r="AD52" i="11" a="1"/>
  <c r="AB52" i="11" a="1"/>
  <c r="Z52" i="11" a="1"/>
  <c r="X52" i="11" a="1"/>
  <c r="V52" i="11" a="1"/>
  <c r="T52" i="11" a="1"/>
  <c r="R52" i="11" a="1"/>
  <c r="P52" i="11" a="1"/>
  <c r="N52" i="11" a="1"/>
  <c r="L52" i="11" a="1"/>
  <c r="J52" i="11" a="1"/>
  <c r="H52" i="11" a="1"/>
  <c r="F52" i="11" a="1"/>
  <c r="D52" i="11" a="1"/>
  <c r="B52" i="11" a="1"/>
  <c r="AV51" i="11"/>
  <c r="AV81" i="11" s="1"/>
  <c r="AT51" i="11"/>
  <c r="AR51" i="11"/>
  <c r="AP51" i="11"/>
  <c r="AN51" i="11"/>
  <c r="AL51" i="11"/>
  <c r="AJ51" i="11"/>
  <c r="AH51" i="11"/>
  <c r="AF51" i="11"/>
  <c r="AD51" i="11"/>
  <c r="AB51" i="11"/>
  <c r="Z51" i="11"/>
  <c r="X51" i="11"/>
  <c r="X81" i="11" s="1"/>
  <c r="V51" i="11"/>
  <c r="T51" i="11"/>
  <c r="R51" i="11"/>
  <c r="P51" i="11"/>
  <c r="P81" i="11" s="1"/>
  <c r="N51" i="11"/>
  <c r="L51" i="11"/>
  <c r="J51" i="11"/>
  <c r="H51" i="11"/>
  <c r="F51" i="11"/>
  <c r="D51" i="11"/>
  <c r="B51" i="11"/>
  <c r="AV49" i="11"/>
  <c r="AT49" i="11"/>
  <c r="AR49" i="11"/>
  <c r="AP49" i="11"/>
  <c r="AN49" i="11"/>
  <c r="AL49" i="11"/>
  <c r="AJ49" i="11"/>
  <c r="AH49" i="11"/>
  <c r="AF49" i="11"/>
  <c r="AD49" i="11"/>
  <c r="AB49" i="11"/>
  <c r="Z49" i="11"/>
  <c r="X49" i="11"/>
  <c r="V49" i="11"/>
  <c r="T49" i="11"/>
  <c r="R49" i="11"/>
  <c r="P49" i="11"/>
  <c r="N49" i="11"/>
  <c r="L49" i="11"/>
  <c r="J49" i="11"/>
  <c r="H49" i="11"/>
  <c r="F49" i="11"/>
  <c r="D49" i="11"/>
  <c r="B49" i="11"/>
  <c r="AV48" i="11"/>
  <c r="AT48" i="11"/>
  <c r="AR48" i="11"/>
  <c r="AP48" i="11"/>
  <c r="AN48" i="11"/>
  <c r="AL48" i="11"/>
  <c r="AJ48" i="11"/>
  <c r="AH48" i="11"/>
  <c r="AF48" i="11"/>
  <c r="AD48" i="11"/>
  <c r="AB48" i="11"/>
  <c r="Z48" i="11"/>
  <c r="X48" i="11"/>
  <c r="V48" i="11"/>
  <c r="T48" i="11"/>
  <c r="R48" i="11"/>
  <c r="P48" i="11"/>
  <c r="N48" i="11"/>
  <c r="L48" i="11"/>
  <c r="J48" i="11"/>
  <c r="H48" i="11"/>
  <c r="F48" i="11"/>
  <c r="D48" i="11"/>
  <c r="B48" i="11"/>
  <c r="AV46" i="11"/>
  <c r="AT46" i="11"/>
  <c r="AR46" i="11"/>
  <c r="AP46" i="11"/>
  <c r="AN46" i="11"/>
  <c r="AL46" i="11"/>
  <c r="AJ46" i="11"/>
  <c r="AH46" i="11"/>
  <c r="AF46" i="11"/>
  <c r="AD46" i="11"/>
  <c r="AB46" i="11"/>
  <c r="Z46" i="11"/>
  <c r="X46" i="11"/>
  <c r="V46" i="11"/>
  <c r="T46" i="11"/>
  <c r="R46" i="11"/>
  <c r="P46" i="11"/>
  <c r="N46" i="11"/>
  <c r="L46" i="11"/>
  <c r="J46" i="11"/>
  <c r="H46" i="11"/>
  <c r="F46" i="11"/>
  <c r="D46" i="11"/>
  <c r="B46" i="11"/>
  <c r="AV45" i="11"/>
  <c r="AT45" i="11"/>
  <c r="AR45" i="11"/>
  <c r="AP45" i="11"/>
  <c r="AN45" i="11"/>
  <c r="AL45" i="11"/>
  <c r="AJ45" i="11"/>
  <c r="AH45" i="11"/>
  <c r="AF45" i="11"/>
  <c r="AD45" i="11"/>
  <c r="AB45" i="11"/>
  <c r="Z45" i="11"/>
  <c r="X45" i="11"/>
  <c r="V45" i="11"/>
  <c r="T45" i="11"/>
  <c r="R45" i="11"/>
  <c r="P45" i="11"/>
  <c r="N45" i="11"/>
  <c r="L45" i="11"/>
  <c r="J45" i="11"/>
  <c r="H45" i="11"/>
  <c r="F45" i="11"/>
  <c r="D45" i="11"/>
  <c r="B45" i="11"/>
  <c r="AV44" i="11"/>
  <c r="AT44" i="11"/>
  <c r="AR44" i="11"/>
  <c r="AP44" i="11"/>
  <c r="AN44" i="11"/>
  <c r="AL44" i="11"/>
  <c r="AJ44" i="11"/>
  <c r="AH44" i="11"/>
  <c r="AF44" i="11"/>
  <c r="AD44" i="11"/>
  <c r="AB44" i="11"/>
  <c r="Z44" i="11"/>
  <c r="X44" i="11"/>
  <c r="V44" i="11"/>
  <c r="T44" i="11"/>
  <c r="R44" i="11"/>
  <c r="P44" i="11"/>
  <c r="N44" i="11"/>
  <c r="L44" i="11"/>
  <c r="J44" i="11"/>
  <c r="H44" i="11"/>
  <c r="F44" i="11"/>
  <c r="D44" i="11"/>
  <c r="B44" i="11"/>
  <c r="AV43" i="11"/>
  <c r="AV43" i="11" a="1"/>
  <c r="AT43" i="11"/>
  <c r="AT43" i="11" a="1"/>
  <c r="AR43" i="11"/>
  <c r="AR43" i="11" a="1"/>
  <c r="AP43" i="11"/>
  <c r="AP43" i="11" a="1"/>
  <c r="AN43" i="11"/>
  <c r="AN43" i="11" a="1"/>
  <c r="AL43" i="11" a="1"/>
  <c r="AL43" i="11" s="1"/>
  <c r="AJ43" i="11"/>
  <c r="AJ43" i="11" a="1"/>
  <c r="AH43" i="11" a="1"/>
  <c r="AH43" i="11" s="1"/>
  <c r="AF43" i="11"/>
  <c r="AF43" i="11" a="1"/>
  <c r="AD43" i="11"/>
  <c r="AD43" i="11" a="1"/>
  <c r="AB43" i="11"/>
  <c r="AB43" i="11" a="1"/>
  <c r="Z43" i="11"/>
  <c r="Z43" i="11" a="1"/>
  <c r="X43" i="11"/>
  <c r="X43" i="11" a="1"/>
  <c r="V43" i="11" a="1"/>
  <c r="V43" i="11" s="1"/>
  <c r="T43" i="11"/>
  <c r="T43" i="11" a="1"/>
  <c r="R43" i="11" a="1"/>
  <c r="R43" i="11" s="1"/>
  <c r="P43" i="11"/>
  <c r="P43" i="11" a="1"/>
  <c r="N43" i="11"/>
  <c r="N43" i="11" a="1"/>
  <c r="L43" i="11"/>
  <c r="L43" i="11" a="1"/>
  <c r="J43" i="11"/>
  <c r="J43" i="11" a="1"/>
  <c r="H43" i="11"/>
  <c r="H43" i="11" a="1"/>
  <c r="F43" i="11" a="1"/>
  <c r="F43" i="11" s="1"/>
  <c r="D43" i="11"/>
  <c r="D43" i="11" a="1"/>
  <c r="B43" i="11"/>
  <c r="AV42" i="11"/>
  <c r="AT42" i="11"/>
  <c r="AR42" i="11"/>
  <c r="AP42" i="11"/>
  <c r="AN42" i="11"/>
  <c r="AL42" i="11"/>
  <c r="AJ42" i="11"/>
  <c r="AH42" i="11"/>
  <c r="AF42" i="11"/>
  <c r="AD42" i="11"/>
  <c r="AB42" i="11"/>
  <c r="Z42" i="11"/>
  <c r="X42" i="11"/>
  <c r="V42" i="11"/>
  <c r="T42" i="11"/>
  <c r="R42" i="11"/>
  <c r="P42" i="11"/>
  <c r="N42" i="11"/>
  <c r="L42" i="11"/>
  <c r="J42" i="11"/>
  <c r="H42" i="11"/>
  <c r="F42" i="11"/>
  <c r="D42" i="11"/>
  <c r="B42" i="11"/>
  <c r="T6" i="23"/>
  <c r="S6" i="23"/>
  <c r="R6" i="23"/>
  <c r="Y4" i="23"/>
  <c r="X4" i="23"/>
  <c r="W4" i="23"/>
  <c r="V4" i="23"/>
  <c r="U4" i="23"/>
  <c r="J68" i="35" l="1"/>
  <c r="L68" i="35"/>
  <c r="N68" i="35"/>
  <c r="AT68" i="35"/>
  <c r="AR68" i="35"/>
  <c r="D68" i="35"/>
  <c r="N68" i="38"/>
  <c r="AN68" i="38"/>
  <c r="H68" i="38"/>
  <c r="D68" i="38"/>
  <c r="J68" i="38"/>
  <c r="AT68" i="38"/>
  <c r="L68" i="38"/>
  <c r="AV68" i="38"/>
  <c r="AV68" i="21"/>
  <c r="AB68" i="21"/>
  <c r="AD68" i="21"/>
  <c r="AF68" i="21"/>
  <c r="J68" i="21"/>
  <c r="D68" i="21"/>
  <c r="F68" i="21"/>
  <c r="H68" i="21"/>
  <c r="AD68" i="24"/>
  <c r="AT68" i="24"/>
  <c r="L68" i="24"/>
  <c r="AL68" i="24"/>
  <c r="V68" i="24"/>
  <c r="AV68" i="24"/>
  <c r="X68" i="24"/>
  <c r="N68" i="24"/>
  <c r="R68" i="24"/>
  <c r="B68" i="24"/>
  <c r="AR68" i="24"/>
  <c r="AF68" i="24"/>
  <c r="V68" i="18"/>
  <c r="AR68" i="18"/>
  <c r="X68" i="18"/>
  <c r="AL68" i="18"/>
  <c r="AN68" i="18"/>
  <c r="R68" i="18"/>
  <c r="Z68" i="22"/>
  <c r="J68" i="22"/>
  <c r="AD68" i="22"/>
  <c r="AH68" i="22"/>
  <c r="AJ68" i="22"/>
  <c r="P68" i="22"/>
  <c r="AR68" i="22"/>
  <c r="AT68" i="22"/>
  <c r="B68" i="22"/>
  <c r="D68" i="22"/>
  <c r="AP68" i="12"/>
  <c r="AT68" i="12"/>
  <c r="Z68" i="12"/>
  <c r="N68" i="12"/>
  <c r="P68" i="12"/>
  <c r="AF68" i="12"/>
  <c r="AH68" i="12"/>
  <c r="J68" i="12"/>
  <c r="AV68" i="12"/>
  <c r="N68" i="11"/>
  <c r="W58" i="2" a="1"/>
  <c r="W59" i="2" a="1"/>
  <c r="A9" i="45"/>
  <c r="A8" i="45"/>
  <c r="A7" i="45"/>
  <c r="A6" i="45"/>
  <c r="A5" i="45"/>
  <c r="A4" i="45"/>
  <c r="A3" i="45"/>
  <c r="A2" i="45"/>
  <c r="Y1" i="45"/>
  <c r="X1" i="45"/>
  <c r="W1" i="45"/>
  <c r="V1" i="45"/>
  <c r="U1" i="45"/>
  <c r="T1" i="45"/>
  <c r="S1" i="45"/>
  <c r="R1" i="45"/>
  <c r="Q1" i="45"/>
  <c r="P1" i="45"/>
  <c r="O1" i="45"/>
  <c r="N1" i="45"/>
  <c r="M1" i="45"/>
  <c r="L1" i="45"/>
  <c r="K1" i="45"/>
  <c r="J1" i="45"/>
  <c r="I1" i="45"/>
  <c r="H1" i="45"/>
  <c r="G1" i="45"/>
  <c r="F1" i="45"/>
  <c r="E1" i="45"/>
  <c r="D1" i="45"/>
  <c r="C1" i="45"/>
  <c r="B1" i="45"/>
  <c r="A9" i="44" l="1"/>
  <c r="A8" i="44"/>
  <c r="A7" i="44"/>
  <c r="A6" i="44"/>
  <c r="A5" i="44"/>
  <c r="A4" i="44"/>
  <c r="A3" i="44"/>
  <c r="A2" i="44"/>
  <c r="Y1" i="44"/>
  <c r="X1" i="44"/>
  <c r="W1" i="44"/>
  <c r="V1" i="44"/>
  <c r="U1" i="44"/>
  <c r="T1" i="44"/>
  <c r="S1" i="44"/>
  <c r="R1" i="44"/>
  <c r="Q1" i="44"/>
  <c r="P1" i="44"/>
  <c r="O1" i="44"/>
  <c r="N1" i="44"/>
  <c r="M1" i="44"/>
  <c r="L1" i="44"/>
  <c r="K1" i="44"/>
  <c r="J1" i="44"/>
  <c r="I1" i="44"/>
  <c r="H1" i="44"/>
  <c r="G1" i="44"/>
  <c r="F1" i="44"/>
  <c r="E1" i="44"/>
  <c r="D1" i="44"/>
  <c r="C1" i="44"/>
  <c r="B1" i="44"/>
  <c r="Y65" i="23" l="1"/>
  <c r="X65" i="23"/>
  <c r="W65" i="23"/>
  <c r="V65" i="23"/>
  <c r="U65" i="23"/>
  <c r="T65" i="23"/>
  <c r="S65" i="23"/>
  <c r="R65" i="23"/>
  <c r="Q65" i="23"/>
  <c r="P65" i="23"/>
  <c r="O65" i="23"/>
  <c r="N65" i="23"/>
  <c r="M65" i="23"/>
  <c r="L65" i="23"/>
  <c r="K65" i="23"/>
  <c r="J65" i="23"/>
  <c r="I65" i="23"/>
  <c r="H65" i="23"/>
  <c r="G65" i="23"/>
  <c r="F65" i="23"/>
  <c r="E65" i="23"/>
  <c r="D65" i="23"/>
  <c r="C65" i="23"/>
  <c r="B65" i="23"/>
  <c r="Y64" i="23"/>
  <c r="X64" i="23"/>
  <c r="W64" i="23"/>
  <c r="V64" i="23"/>
  <c r="U64" i="23"/>
  <c r="T64" i="23"/>
  <c r="S64" i="23"/>
  <c r="R64" i="23"/>
  <c r="Q64" i="23"/>
  <c r="P64" i="23"/>
  <c r="O64" i="23"/>
  <c r="N64" i="23"/>
  <c r="M64" i="23"/>
  <c r="L64" i="23"/>
  <c r="K64" i="23"/>
  <c r="J64" i="23"/>
  <c r="I64" i="23"/>
  <c r="H64" i="23"/>
  <c r="G64" i="23"/>
  <c r="F64" i="23"/>
  <c r="E64" i="23"/>
  <c r="D64" i="23"/>
  <c r="C64" i="23"/>
  <c r="B64" i="23"/>
  <c r="T63" i="23"/>
  <c r="S63" i="23"/>
  <c r="R63" i="23"/>
  <c r="Q63" i="23"/>
  <c r="P63" i="23"/>
  <c r="O63" i="23"/>
  <c r="N63" i="23"/>
  <c r="M63" i="23"/>
  <c r="L63" i="23"/>
  <c r="K63" i="23"/>
  <c r="J63" i="23"/>
  <c r="I63" i="23"/>
  <c r="H63" i="23"/>
  <c r="G63" i="23"/>
  <c r="F63" i="23"/>
  <c r="E63" i="23"/>
  <c r="D63" i="23"/>
  <c r="C63" i="23"/>
  <c r="B63" i="23"/>
  <c r="O62" i="23"/>
  <c r="N62" i="23"/>
  <c r="M62" i="23"/>
  <c r="L62" i="23"/>
  <c r="K62" i="23"/>
  <c r="J62" i="23"/>
  <c r="I62" i="23"/>
  <c r="H62" i="23"/>
  <c r="G62" i="23"/>
  <c r="F62" i="23"/>
  <c r="E62" i="23"/>
  <c r="D62" i="23"/>
  <c r="C62" i="23"/>
  <c r="B62" i="23"/>
  <c r="Q61" i="23"/>
  <c r="P61" i="23"/>
  <c r="O61" i="23"/>
  <c r="N61" i="23"/>
  <c r="M61" i="23"/>
  <c r="L61" i="23"/>
  <c r="K61" i="23"/>
  <c r="J61" i="23"/>
  <c r="I61" i="23"/>
  <c r="H61" i="23"/>
  <c r="G61" i="23"/>
  <c r="F61" i="23"/>
  <c r="E61" i="23"/>
  <c r="D61" i="23"/>
  <c r="C61" i="23"/>
  <c r="B61" i="23"/>
  <c r="Y60" i="23"/>
  <c r="X60" i="23"/>
  <c r="W60" i="23"/>
  <c r="V60" i="23"/>
  <c r="U60" i="23"/>
  <c r="T60" i="23"/>
  <c r="S60" i="23"/>
  <c r="R60" i="23"/>
  <c r="Q60" i="23"/>
  <c r="P60" i="23"/>
  <c r="O60" i="23"/>
  <c r="N60" i="23"/>
  <c r="M60" i="23"/>
  <c r="L60" i="23"/>
  <c r="K60" i="23"/>
  <c r="J60" i="23"/>
  <c r="I60" i="23"/>
  <c r="H60" i="23"/>
  <c r="G60" i="23"/>
  <c r="F60" i="23"/>
  <c r="E60" i="23"/>
  <c r="D60" i="23"/>
  <c r="C60" i="23"/>
  <c r="B60" i="23"/>
  <c r="T59" i="23"/>
  <c r="S59" i="23"/>
  <c r="R59" i="23"/>
  <c r="Q59" i="23"/>
  <c r="P59" i="23"/>
  <c r="O59" i="23"/>
  <c r="N59" i="23"/>
  <c r="M59" i="23"/>
  <c r="L59" i="23"/>
  <c r="K59" i="23"/>
  <c r="J59" i="23"/>
  <c r="I59" i="23"/>
  <c r="H59" i="23"/>
  <c r="G59" i="23"/>
  <c r="F59" i="23"/>
  <c r="E59" i="23"/>
  <c r="D59" i="23"/>
  <c r="C59" i="23"/>
  <c r="B59" i="23"/>
  <c r="Y58" i="23"/>
  <c r="X58" i="23"/>
  <c r="W58" i="23"/>
  <c r="V58" i="23"/>
  <c r="U58" i="23"/>
  <c r="T58" i="23"/>
  <c r="S58" i="23"/>
  <c r="R58" i="23"/>
  <c r="Q58" i="23"/>
  <c r="P58" i="23"/>
  <c r="O58" i="23"/>
  <c r="N58" i="23"/>
  <c r="M58" i="23"/>
  <c r="L58" i="23"/>
  <c r="K58" i="23"/>
  <c r="J58" i="23"/>
  <c r="I58" i="23"/>
  <c r="H58" i="23"/>
  <c r="G58" i="23"/>
  <c r="F58" i="23"/>
  <c r="E58" i="23"/>
  <c r="D58" i="23"/>
  <c r="C58" i="23"/>
  <c r="B58" i="23"/>
  <c r="Y54" i="23"/>
  <c r="X54" i="23"/>
  <c r="W54" i="23"/>
  <c r="V54" i="23"/>
  <c r="U54" i="23"/>
  <c r="T54" i="23"/>
  <c r="S54" i="23"/>
  <c r="R54" i="23"/>
  <c r="Q54" i="23"/>
  <c r="P54" i="23"/>
  <c r="O54" i="23"/>
  <c r="N54" i="23"/>
  <c r="M54" i="23"/>
  <c r="L54" i="23"/>
  <c r="K54" i="23"/>
  <c r="J54" i="23"/>
  <c r="I54" i="23"/>
  <c r="H54" i="23"/>
  <c r="G54" i="23"/>
  <c r="F54" i="23"/>
  <c r="E54" i="23"/>
  <c r="D54" i="23"/>
  <c r="C54" i="23"/>
  <c r="B54" i="23"/>
  <c r="Y53" i="23"/>
  <c r="X53" i="23"/>
  <c r="W53" i="23"/>
  <c r="V53" i="23"/>
  <c r="U53" i="23"/>
  <c r="T53" i="23"/>
  <c r="S53" i="23"/>
  <c r="R53" i="23"/>
  <c r="Q53" i="23"/>
  <c r="P53" i="23"/>
  <c r="O53" i="23"/>
  <c r="N53" i="23"/>
  <c r="M53" i="23"/>
  <c r="L53" i="23"/>
  <c r="K53" i="23"/>
  <c r="J53" i="23"/>
  <c r="I53" i="23"/>
  <c r="H53" i="23"/>
  <c r="G53" i="23"/>
  <c r="F53" i="23"/>
  <c r="E53" i="23"/>
  <c r="D53" i="23"/>
  <c r="C53" i="23"/>
  <c r="B53" i="23"/>
  <c r="O51" i="23"/>
  <c r="N51" i="23"/>
  <c r="M51" i="23"/>
  <c r="L51" i="23"/>
  <c r="K51" i="23"/>
  <c r="J51" i="23"/>
  <c r="I51" i="23"/>
  <c r="H51" i="23"/>
  <c r="G51" i="23"/>
  <c r="F51" i="23"/>
  <c r="E51" i="23"/>
  <c r="D51" i="23"/>
  <c r="C51" i="23"/>
  <c r="B51" i="23"/>
  <c r="Q50" i="23"/>
  <c r="P50" i="23"/>
  <c r="O50" i="23"/>
  <c r="N50" i="23"/>
  <c r="M50" i="23"/>
  <c r="L50" i="23"/>
  <c r="K50" i="23"/>
  <c r="J50" i="23"/>
  <c r="I50" i="23"/>
  <c r="H50" i="23"/>
  <c r="G50" i="23"/>
  <c r="F50" i="23"/>
  <c r="E50" i="23"/>
  <c r="D50" i="23"/>
  <c r="C50" i="23"/>
  <c r="B50" i="23"/>
  <c r="T52" i="23"/>
  <c r="S52" i="23"/>
  <c r="R52" i="23"/>
  <c r="Q52" i="23"/>
  <c r="P52" i="23"/>
  <c r="O52" i="23"/>
  <c r="N52" i="23"/>
  <c r="M52" i="23"/>
  <c r="L52" i="23"/>
  <c r="K52" i="23"/>
  <c r="J52" i="23"/>
  <c r="I52" i="23"/>
  <c r="H52" i="23"/>
  <c r="G52" i="23"/>
  <c r="F52" i="23"/>
  <c r="E52" i="23"/>
  <c r="D52" i="23"/>
  <c r="C52" i="23"/>
  <c r="B52" i="23"/>
  <c r="T48" i="23"/>
  <c r="S48" i="23"/>
  <c r="R48" i="23"/>
  <c r="Q48" i="23"/>
  <c r="P48" i="23"/>
  <c r="O48" i="23"/>
  <c r="N48" i="23"/>
  <c r="M48" i="23"/>
  <c r="L48" i="23"/>
  <c r="K48" i="23"/>
  <c r="J48" i="23"/>
  <c r="I48" i="23"/>
  <c r="H48" i="23"/>
  <c r="G48" i="23"/>
  <c r="F48" i="23"/>
  <c r="E48" i="23"/>
  <c r="D48" i="23"/>
  <c r="C48" i="23"/>
  <c r="B48" i="23"/>
  <c r="Y49" i="23"/>
  <c r="X49" i="23"/>
  <c r="W49" i="23"/>
  <c r="V49" i="23"/>
  <c r="U49" i="23"/>
  <c r="T49" i="23"/>
  <c r="S49" i="23"/>
  <c r="R49" i="23"/>
  <c r="Q49" i="23"/>
  <c r="P49" i="23"/>
  <c r="O49" i="23"/>
  <c r="N49" i="23"/>
  <c r="M49" i="23"/>
  <c r="L49" i="23"/>
  <c r="K49" i="23"/>
  <c r="J49" i="23"/>
  <c r="I49" i="23"/>
  <c r="H49" i="23"/>
  <c r="G49" i="23"/>
  <c r="F49" i="23"/>
  <c r="E49" i="23"/>
  <c r="D49" i="23"/>
  <c r="C49" i="23"/>
  <c r="B49" i="23"/>
  <c r="Y47" i="23"/>
  <c r="X47" i="23"/>
  <c r="W47" i="23"/>
  <c r="V47" i="23"/>
  <c r="U47" i="23"/>
  <c r="T47" i="23"/>
  <c r="S47" i="23"/>
  <c r="R47" i="23"/>
  <c r="Q47" i="23"/>
  <c r="P47" i="23"/>
  <c r="O47" i="23"/>
  <c r="N47" i="23"/>
  <c r="M47" i="23"/>
  <c r="L47" i="23"/>
  <c r="K47" i="23"/>
  <c r="J47" i="23"/>
  <c r="I47" i="23"/>
  <c r="H47" i="23"/>
  <c r="G47" i="23"/>
  <c r="F47" i="23"/>
  <c r="E47" i="23"/>
  <c r="D47" i="23"/>
  <c r="C47" i="23"/>
  <c r="B47" i="23"/>
  <c r="Y42" i="23"/>
  <c r="Y8" i="45" s="1"/>
  <c r="X42" i="23"/>
  <c r="X8" i="45" s="1"/>
  <c r="W42" i="23"/>
  <c r="W8" i="45" s="1"/>
  <c r="V42" i="23"/>
  <c r="V8" i="45" s="1"/>
  <c r="U42" i="23"/>
  <c r="U8" i="45" s="1"/>
  <c r="T42" i="23"/>
  <c r="T8" i="45" s="1"/>
  <c r="S42" i="23"/>
  <c r="S8" i="45" s="1"/>
  <c r="R42" i="23"/>
  <c r="R8" i="45" s="1"/>
  <c r="Q42" i="23"/>
  <c r="Q8" i="45" s="1"/>
  <c r="P42" i="23"/>
  <c r="P8" i="45" s="1"/>
  <c r="O42" i="23"/>
  <c r="O8" i="45" s="1"/>
  <c r="N42" i="23"/>
  <c r="N8" i="45" s="1"/>
  <c r="M42" i="23"/>
  <c r="M8" i="45" s="1"/>
  <c r="L42" i="23"/>
  <c r="L8" i="45" s="1"/>
  <c r="K42" i="23"/>
  <c r="K8" i="45" s="1"/>
  <c r="J42" i="23"/>
  <c r="J8" i="45" s="1"/>
  <c r="I42" i="23"/>
  <c r="I8" i="45" s="1"/>
  <c r="H42" i="23"/>
  <c r="H8" i="45" s="1"/>
  <c r="G42" i="23"/>
  <c r="G8" i="45" s="1"/>
  <c r="F42" i="23"/>
  <c r="F8" i="45" s="1"/>
  <c r="E42" i="23"/>
  <c r="E8" i="45" s="1"/>
  <c r="D42" i="23"/>
  <c r="D8" i="45" s="1"/>
  <c r="C42" i="23"/>
  <c r="C8" i="45" s="1"/>
  <c r="B42" i="23"/>
  <c r="B8" i="45" s="1"/>
  <c r="Y21" i="23"/>
  <c r="Y8" i="46" s="1"/>
  <c r="X21" i="23"/>
  <c r="X8" i="46" s="1"/>
  <c r="W21" i="23"/>
  <c r="W8" i="46" s="1"/>
  <c r="V21" i="23"/>
  <c r="V8" i="46" s="1"/>
  <c r="U21" i="23"/>
  <c r="U8" i="46" s="1"/>
  <c r="T21" i="23"/>
  <c r="T8" i="46" s="1"/>
  <c r="S21" i="23"/>
  <c r="S8" i="46" s="1"/>
  <c r="R21" i="23"/>
  <c r="R8" i="46" s="1"/>
  <c r="Q21" i="23"/>
  <c r="Q8" i="46" s="1"/>
  <c r="P21" i="23"/>
  <c r="P8" i="46" s="1"/>
  <c r="O21" i="23"/>
  <c r="O8" i="46" s="1"/>
  <c r="N21" i="23"/>
  <c r="N8" i="46" s="1"/>
  <c r="M21" i="23"/>
  <c r="M8" i="46" s="1"/>
  <c r="L21" i="23"/>
  <c r="L8" i="46" s="1"/>
  <c r="K21" i="23"/>
  <c r="K8" i="46" s="1"/>
  <c r="J21" i="23"/>
  <c r="J8" i="46" s="1"/>
  <c r="I21" i="23"/>
  <c r="I8" i="46" s="1"/>
  <c r="H21" i="23"/>
  <c r="H8" i="46" s="1"/>
  <c r="G21" i="23"/>
  <c r="G8" i="46" s="1"/>
  <c r="F21" i="23"/>
  <c r="F8" i="46" s="1"/>
  <c r="E21" i="23"/>
  <c r="E8" i="46" s="1"/>
  <c r="D21" i="23"/>
  <c r="D8" i="46" s="1"/>
  <c r="C21" i="23"/>
  <c r="C8" i="46" s="1"/>
  <c r="B21" i="23"/>
  <c r="B8" i="46" s="1"/>
  <c r="Y20" i="23"/>
  <c r="Y7" i="46" s="1"/>
  <c r="X20" i="23"/>
  <c r="X7" i="46" s="1"/>
  <c r="W20" i="23"/>
  <c r="W7" i="46" s="1"/>
  <c r="V20" i="23"/>
  <c r="V7" i="46" s="1"/>
  <c r="U20" i="23"/>
  <c r="U7" i="46" s="1"/>
  <c r="T20" i="23"/>
  <c r="T7" i="46" s="1"/>
  <c r="S20" i="23"/>
  <c r="S7" i="46" s="1"/>
  <c r="R20" i="23"/>
  <c r="R7" i="46" s="1"/>
  <c r="Q20" i="23"/>
  <c r="Q7" i="46" s="1"/>
  <c r="P20" i="23"/>
  <c r="P7" i="46" s="1"/>
  <c r="O20" i="23"/>
  <c r="O7" i="46" s="1"/>
  <c r="N20" i="23"/>
  <c r="N7" i="46" s="1"/>
  <c r="M20" i="23"/>
  <c r="M7" i="46" s="1"/>
  <c r="L20" i="23"/>
  <c r="L7" i="46" s="1"/>
  <c r="K20" i="23"/>
  <c r="K7" i="46" s="1"/>
  <c r="J20" i="23"/>
  <c r="J7" i="46" s="1"/>
  <c r="I20" i="23"/>
  <c r="I7" i="46" s="1"/>
  <c r="H20" i="23"/>
  <c r="H7" i="46" s="1"/>
  <c r="G20" i="23"/>
  <c r="G7" i="46" s="1"/>
  <c r="F20" i="23"/>
  <c r="F7" i="46" s="1"/>
  <c r="E20" i="23"/>
  <c r="E7" i="46" s="1"/>
  <c r="D20" i="23"/>
  <c r="D7" i="46" s="1"/>
  <c r="C20" i="23"/>
  <c r="C7" i="46" s="1"/>
  <c r="B20" i="23"/>
  <c r="B7" i="46" s="1"/>
  <c r="O18" i="23"/>
  <c r="O5" i="46" s="1"/>
  <c r="N18" i="23"/>
  <c r="N5" i="46" s="1"/>
  <c r="M18" i="23"/>
  <c r="M5" i="46" s="1"/>
  <c r="L18" i="23"/>
  <c r="L5" i="46" s="1"/>
  <c r="K18" i="23"/>
  <c r="K5" i="46" s="1"/>
  <c r="J18" i="23"/>
  <c r="J5" i="46" s="1"/>
  <c r="I18" i="23"/>
  <c r="I5" i="46" s="1"/>
  <c r="H18" i="23"/>
  <c r="H5" i="46" s="1"/>
  <c r="G18" i="23"/>
  <c r="G5" i="46" s="1"/>
  <c r="F18" i="23"/>
  <c r="F5" i="46" s="1"/>
  <c r="E18" i="23"/>
  <c r="E5" i="46" s="1"/>
  <c r="D18" i="23"/>
  <c r="D5" i="46" s="1"/>
  <c r="C18" i="23"/>
  <c r="C5" i="46" s="1"/>
  <c r="B18" i="23"/>
  <c r="B5" i="46" s="1"/>
  <c r="T15" i="23"/>
  <c r="T9" i="46" s="1"/>
  <c r="S15" i="23"/>
  <c r="S9" i="46" s="1"/>
  <c r="R15" i="23"/>
  <c r="R9" i="46" s="1"/>
  <c r="Q15" i="23"/>
  <c r="Q9" i="46" s="1"/>
  <c r="P15" i="23"/>
  <c r="P9" i="46" s="1"/>
  <c r="O15" i="23"/>
  <c r="O9" i="46" s="1"/>
  <c r="N15" i="23"/>
  <c r="N9" i="46" s="1"/>
  <c r="M15" i="23"/>
  <c r="M9" i="46" s="1"/>
  <c r="L15" i="23"/>
  <c r="L9" i="46" s="1"/>
  <c r="K15" i="23"/>
  <c r="K9" i="46" s="1"/>
  <c r="J15" i="23"/>
  <c r="J9" i="46" s="1"/>
  <c r="I15" i="23"/>
  <c r="I9" i="46" s="1"/>
  <c r="H15" i="23"/>
  <c r="H9" i="46" s="1"/>
  <c r="G15" i="23"/>
  <c r="G9" i="46" s="1"/>
  <c r="F15" i="23"/>
  <c r="F9" i="46" s="1"/>
  <c r="E15" i="23"/>
  <c r="E9" i="46" s="1"/>
  <c r="D15" i="23"/>
  <c r="D9" i="46" s="1"/>
  <c r="C15" i="23"/>
  <c r="C9" i="46" s="1"/>
  <c r="B15" i="23"/>
  <c r="B9" i="46" s="1"/>
  <c r="K78" i="23"/>
  <c r="J78" i="23"/>
  <c r="I78" i="23"/>
  <c r="H78" i="23"/>
  <c r="G78" i="23"/>
  <c r="F78" i="23"/>
  <c r="E78" i="23"/>
  <c r="D78" i="23"/>
  <c r="C78" i="23"/>
  <c r="B78" i="23"/>
  <c r="O77" i="23"/>
  <c r="N77" i="23"/>
  <c r="M77" i="23"/>
  <c r="L77" i="23"/>
  <c r="K77" i="23"/>
  <c r="J77" i="23"/>
  <c r="I77" i="23"/>
  <c r="H77" i="23"/>
  <c r="G77" i="23"/>
  <c r="F77" i="23"/>
  <c r="E77" i="23"/>
  <c r="D77" i="23"/>
  <c r="C77" i="23"/>
  <c r="B77" i="23"/>
  <c r="O76" i="23"/>
  <c r="N76" i="23"/>
  <c r="M76" i="23"/>
  <c r="L76" i="23"/>
  <c r="K76" i="23"/>
  <c r="J76" i="23"/>
  <c r="I76" i="23"/>
  <c r="H76" i="23"/>
  <c r="G76" i="23"/>
  <c r="F76" i="23"/>
  <c r="E76" i="23"/>
  <c r="D76" i="23"/>
  <c r="C76" i="23"/>
  <c r="B76" i="23"/>
  <c r="O75" i="23"/>
  <c r="N75" i="23"/>
  <c r="M75" i="23"/>
  <c r="L75" i="23"/>
  <c r="K75" i="23"/>
  <c r="J75" i="23"/>
  <c r="I75" i="23"/>
  <c r="H75" i="23"/>
  <c r="G75" i="23"/>
  <c r="F75" i="23"/>
  <c r="E75" i="23"/>
  <c r="D75" i="23"/>
  <c r="C75" i="23"/>
  <c r="B75" i="23"/>
  <c r="O74" i="23"/>
  <c r="N74" i="23"/>
  <c r="M74" i="23"/>
  <c r="L74" i="23"/>
  <c r="K74" i="23"/>
  <c r="J74" i="23"/>
  <c r="I74" i="23"/>
  <c r="H74" i="23"/>
  <c r="G74" i="23"/>
  <c r="F74" i="23"/>
  <c r="E74" i="23"/>
  <c r="D74" i="23"/>
  <c r="C74" i="23"/>
  <c r="B74" i="23"/>
  <c r="O73" i="23"/>
  <c r="N73" i="23"/>
  <c r="M73" i="23"/>
  <c r="L73" i="23"/>
  <c r="K73" i="23"/>
  <c r="J73" i="23"/>
  <c r="I73" i="23"/>
  <c r="H73" i="23"/>
  <c r="G73" i="23"/>
  <c r="F73" i="23"/>
  <c r="E73" i="23"/>
  <c r="D73" i="23"/>
  <c r="C73" i="23"/>
  <c r="B73" i="23"/>
  <c r="O72" i="23"/>
  <c r="N72" i="23"/>
  <c r="M72" i="23"/>
  <c r="L72" i="23"/>
  <c r="K72" i="23"/>
  <c r="J72" i="23"/>
  <c r="I72" i="23"/>
  <c r="H72" i="23"/>
  <c r="G72" i="23"/>
  <c r="F72" i="23"/>
  <c r="E72" i="23"/>
  <c r="D72" i="23"/>
  <c r="C72" i="23"/>
  <c r="B72" i="23"/>
  <c r="O71" i="23"/>
  <c r="N71" i="23"/>
  <c r="M71" i="23"/>
  <c r="L71" i="23"/>
  <c r="K71" i="23"/>
  <c r="J71" i="23"/>
  <c r="I71" i="23"/>
  <c r="H71" i="23"/>
  <c r="G71" i="23"/>
  <c r="F71" i="23"/>
  <c r="E71" i="23"/>
  <c r="D71" i="23"/>
  <c r="C71" i="23"/>
  <c r="B71" i="23"/>
  <c r="O70" i="23"/>
  <c r="N70" i="23"/>
  <c r="M70" i="23"/>
  <c r="L70" i="23"/>
  <c r="K70" i="23"/>
  <c r="J70" i="23"/>
  <c r="I70" i="23"/>
  <c r="H70" i="23"/>
  <c r="G70" i="23"/>
  <c r="F70" i="23"/>
  <c r="E70" i="23"/>
  <c r="D70" i="23"/>
  <c r="C70" i="23"/>
  <c r="B70" i="23"/>
  <c r="O69" i="23"/>
  <c r="N69" i="23"/>
  <c r="M69" i="23"/>
  <c r="L69" i="23"/>
  <c r="K69" i="23"/>
  <c r="J69" i="23"/>
  <c r="I69" i="23"/>
  <c r="H69" i="23"/>
  <c r="G69" i="23"/>
  <c r="F69" i="23"/>
  <c r="E69" i="23"/>
  <c r="D69" i="23"/>
  <c r="C69" i="23"/>
  <c r="B69" i="23"/>
  <c r="Y43" i="23"/>
  <c r="Y9" i="45" s="1"/>
  <c r="X43" i="23"/>
  <c r="X9" i="45" s="1"/>
  <c r="W43" i="23"/>
  <c r="W9" i="45" s="1"/>
  <c r="V43" i="23"/>
  <c r="V9" i="45" s="1"/>
  <c r="U43" i="23"/>
  <c r="U9" i="45" s="1"/>
  <c r="T43" i="23"/>
  <c r="T9" i="45" s="1"/>
  <c r="S43" i="23"/>
  <c r="S9" i="45" s="1"/>
  <c r="R43" i="23"/>
  <c r="R9" i="45" s="1"/>
  <c r="Q43" i="23"/>
  <c r="Q9" i="45" s="1"/>
  <c r="P43" i="23"/>
  <c r="P9" i="45" s="1"/>
  <c r="O43" i="23"/>
  <c r="O9" i="45" s="1"/>
  <c r="N43" i="23"/>
  <c r="N9" i="45" s="1"/>
  <c r="M43" i="23"/>
  <c r="M9" i="45" s="1"/>
  <c r="L43" i="23"/>
  <c r="L9" i="45" s="1"/>
  <c r="K43" i="23"/>
  <c r="K9" i="45" s="1"/>
  <c r="J43" i="23"/>
  <c r="J9" i="45" s="1"/>
  <c r="I43" i="23"/>
  <c r="I9" i="45" s="1"/>
  <c r="H43" i="23"/>
  <c r="H9" i="45" s="1"/>
  <c r="G43" i="23"/>
  <c r="G9" i="45" s="1"/>
  <c r="F43" i="23"/>
  <c r="F9" i="45" s="1"/>
  <c r="E43" i="23"/>
  <c r="E9" i="45" s="1"/>
  <c r="D43" i="23"/>
  <c r="D9" i="45" s="1"/>
  <c r="C43" i="23"/>
  <c r="C9" i="45" s="1"/>
  <c r="B43" i="23"/>
  <c r="B9" i="45" s="1"/>
  <c r="O40" i="23"/>
  <c r="O6" i="45" s="1"/>
  <c r="N40" i="23"/>
  <c r="N6" i="45" s="1"/>
  <c r="M40" i="23"/>
  <c r="M6" i="45" s="1"/>
  <c r="L40" i="23"/>
  <c r="L6" i="45" s="1"/>
  <c r="K40" i="23"/>
  <c r="K6" i="45" s="1"/>
  <c r="J40" i="23"/>
  <c r="J6" i="45" s="1"/>
  <c r="I40" i="23"/>
  <c r="I6" i="45" s="1"/>
  <c r="H40" i="23"/>
  <c r="H6" i="45" s="1"/>
  <c r="G40" i="23"/>
  <c r="G6" i="45" s="1"/>
  <c r="F40" i="23"/>
  <c r="F6" i="45" s="1"/>
  <c r="E40" i="23"/>
  <c r="E6" i="45" s="1"/>
  <c r="D40" i="23"/>
  <c r="D6" i="45" s="1"/>
  <c r="C40" i="23"/>
  <c r="C6" i="45" s="1"/>
  <c r="B40" i="23"/>
  <c r="B6" i="45" s="1"/>
  <c r="Q39" i="23"/>
  <c r="Q5" i="45" s="1"/>
  <c r="P39" i="23"/>
  <c r="P5" i="45" s="1"/>
  <c r="O39" i="23"/>
  <c r="O5" i="45" s="1"/>
  <c r="N39" i="23"/>
  <c r="N5" i="45" s="1"/>
  <c r="M39" i="23"/>
  <c r="M5" i="45" s="1"/>
  <c r="L39" i="23"/>
  <c r="L5" i="45" s="1"/>
  <c r="K39" i="23"/>
  <c r="K5" i="45" s="1"/>
  <c r="J39" i="23"/>
  <c r="J5" i="45" s="1"/>
  <c r="I39" i="23"/>
  <c r="I5" i="45" s="1"/>
  <c r="H39" i="23"/>
  <c r="H5" i="45" s="1"/>
  <c r="G39" i="23"/>
  <c r="G5" i="45" s="1"/>
  <c r="F39" i="23"/>
  <c r="F5" i="45" s="1"/>
  <c r="E39" i="23"/>
  <c r="E5" i="45" s="1"/>
  <c r="D39" i="23"/>
  <c r="D5" i="45" s="1"/>
  <c r="C39" i="23"/>
  <c r="C5" i="45" s="1"/>
  <c r="B39" i="23"/>
  <c r="B5" i="45" s="1"/>
  <c r="T41" i="23"/>
  <c r="T7" i="45" s="1"/>
  <c r="S41" i="23"/>
  <c r="S7" i="45" s="1"/>
  <c r="R41" i="23"/>
  <c r="R7" i="45" s="1"/>
  <c r="Q41" i="23"/>
  <c r="Q7" i="45" s="1"/>
  <c r="P41" i="23"/>
  <c r="P7" i="45" s="1"/>
  <c r="O41" i="23"/>
  <c r="O7" i="45" s="1"/>
  <c r="N41" i="23"/>
  <c r="N7" i="45" s="1"/>
  <c r="M41" i="23"/>
  <c r="M7" i="45" s="1"/>
  <c r="L41" i="23"/>
  <c r="L7" i="45" s="1"/>
  <c r="K41" i="23"/>
  <c r="K7" i="45" s="1"/>
  <c r="J41" i="23"/>
  <c r="J7" i="45" s="1"/>
  <c r="I41" i="23"/>
  <c r="I7" i="45" s="1"/>
  <c r="H41" i="23"/>
  <c r="H7" i="45" s="1"/>
  <c r="G41" i="23"/>
  <c r="G7" i="45" s="1"/>
  <c r="F41" i="23"/>
  <c r="F7" i="45" s="1"/>
  <c r="E41" i="23"/>
  <c r="E7" i="45" s="1"/>
  <c r="D41" i="23"/>
  <c r="D7" i="45" s="1"/>
  <c r="C41" i="23"/>
  <c r="C7" i="45" s="1"/>
  <c r="B41" i="23"/>
  <c r="B7" i="45" s="1"/>
  <c r="T37" i="23"/>
  <c r="T3" i="45" s="1"/>
  <c r="S37" i="23"/>
  <c r="S3" i="45" s="1"/>
  <c r="R37" i="23"/>
  <c r="R3" i="45" s="1"/>
  <c r="Q37" i="23"/>
  <c r="Q3" i="45" s="1"/>
  <c r="P37" i="23"/>
  <c r="P3" i="45" s="1"/>
  <c r="O37" i="23"/>
  <c r="O3" i="45" s="1"/>
  <c r="N37" i="23"/>
  <c r="N3" i="45" s="1"/>
  <c r="M37" i="23"/>
  <c r="M3" i="45" s="1"/>
  <c r="L37" i="23"/>
  <c r="L3" i="45" s="1"/>
  <c r="K37" i="23"/>
  <c r="K3" i="45" s="1"/>
  <c r="J37" i="23"/>
  <c r="J3" i="45" s="1"/>
  <c r="I37" i="23"/>
  <c r="I3" i="45" s="1"/>
  <c r="H37" i="23"/>
  <c r="H3" i="45" s="1"/>
  <c r="G37" i="23"/>
  <c r="G3" i="45" s="1"/>
  <c r="F37" i="23"/>
  <c r="F3" i="45" s="1"/>
  <c r="E37" i="23"/>
  <c r="E3" i="45" s="1"/>
  <c r="D37" i="23"/>
  <c r="D3" i="45" s="1"/>
  <c r="C37" i="23"/>
  <c r="C3" i="45" s="1"/>
  <c r="B37" i="23"/>
  <c r="B3" i="45" s="1"/>
  <c r="Y38" i="23"/>
  <c r="Y4" i="45" s="1"/>
  <c r="X38" i="23"/>
  <c r="X4" i="45" s="1"/>
  <c r="W38" i="23"/>
  <c r="W4" i="45" s="1"/>
  <c r="V38" i="23"/>
  <c r="V4" i="45" s="1"/>
  <c r="U38" i="23"/>
  <c r="U4" i="45" s="1"/>
  <c r="T38" i="23"/>
  <c r="T4" i="45" s="1"/>
  <c r="S38" i="23"/>
  <c r="S4" i="45" s="1"/>
  <c r="R38" i="23"/>
  <c r="R4" i="45" s="1"/>
  <c r="Q38" i="23"/>
  <c r="Q4" i="45" s="1"/>
  <c r="P38" i="23"/>
  <c r="P4" i="45" s="1"/>
  <c r="O38" i="23"/>
  <c r="O4" i="45" s="1"/>
  <c r="N38" i="23"/>
  <c r="N4" i="45" s="1"/>
  <c r="M38" i="23"/>
  <c r="M4" i="45" s="1"/>
  <c r="L38" i="23"/>
  <c r="L4" i="45" s="1"/>
  <c r="K38" i="23"/>
  <c r="K4" i="45" s="1"/>
  <c r="J38" i="23"/>
  <c r="J4" i="45" s="1"/>
  <c r="I38" i="23"/>
  <c r="I4" i="45" s="1"/>
  <c r="H38" i="23"/>
  <c r="H4" i="45" s="1"/>
  <c r="G38" i="23"/>
  <c r="G4" i="45" s="1"/>
  <c r="F38" i="23"/>
  <c r="F4" i="45" s="1"/>
  <c r="E38" i="23"/>
  <c r="E4" i="45" s="1"/>
  <c r="D38" i="23"/>
  <c r="D4" i="45" s="1"/>
  <c r="C38" i="23"/>
  <c r="C4" i="45" s="1"/>
  <c r="B38" i="23"/>
  <c r="B4" i="45" s="1"/>
  <c r="Y36" i="23"/>
  <c r="Y2" i="45" s="1"/>
  <c r="X36" i="23"/>
  <c r="X2" i="45" s="1"/>
  <c r="W36" i="23"/>
  <c r="W2" i="45" s="1"/>
  <c r="V36" i="23"/>
  <c r="V2" i="45" s="1"/>
  <c r="U36" i="23"/>
  <c r="U2" i="45" s="1"/>
  <c r="T36" i="23"/>
  <c r="T2" i="45" s="1"/>
  <c r="S36" i="23"/>
  <c r="S2" i="45" s="1"/>
  <c r="R36" i="23"/>
  <c r="R2" i="45" s="1"/>
  <c r="Q36" i="23"/>
  <c r="Q2" i="45" s="1"/>
  <c r="P36" i="23"/>
  <c r="P2" i="45" s="1"/>
  <c r="O36" i="23"/>
  <c r="O2" i="45" s="1"/>
  <c r="N36" i="23"/>
  <c r="N2" i="45" s="1"/>
  <c r="M36" i="23"/>
  <c r="M2" i="45" s="1"/>
  <c r="L36" i="23"/>
  <c r="L2" i="45" s="1"/>
  <c r="K36" i="23"/>
  <c r="K2" i="45" s="1"/>
  <c r="J36" i="23"/>
  <c r="J2" i="45" s="1"/>
  <c r="I36" i="23"/>
  <c r="I2" i="45" s="1"/>
  <c r="H36" i="23"/>
  <c r="H2" i="45" s="1"/>
  <c r="G36" i="23"/>
  <c r="G2" i="45" s="1"/>
  <c r="F36" i="23"/>
  <c r="F2" i="45" s="1"/>
  <c r="E36" i="23"/>
  <c r="E2" i="45" s="1"/>
  <c r="D36" i="23"/>
  <c r="D2" i="45" s="1"/>
  <c r="C36" i="23"/>
  <c r="C2" i="45" s="1"/>
  <c r="B36" i="23"/>
  <c r="B2" i="45" s="1"/>
  <c r="Y9" i="23"/>
  <c r="Y8" i="44" s="1"/>
  <c r="X9" i="23"/>
  <c r="X8" i="44" s="1"/>
  <c r="W9" i="23"/>
  <c r="W8" i="44" s="1"/>
  <c r="V9" i="23"/>
  <c r="V8" i="44" s="1"/>
  <c r="U9" i="23"/>
  <c r="U8" i="44" s="1"/>
  <c r="T9" i="23"/>
  <c r="T8" i="44" s="1"/>
  <c r="S9" i="23"/>
  <c r="S8" i="44" s="1"/>
  <c r="R9" i="23"/>
  <c r="R8" i="44" s="1"/>
  <c r="Q9" i="23"/>
  <c r="Q8" i="44" s="1"/>
  <c r="P9" i="23"/>
  <c r="P8" i="44" s="1"/>
  <c r="O9" i="23"/>
  <c r="O8" i="44" s="1"/>
  <c r="N9" i="23"/>
  <c r="N8" i="44" s="1"/>
  <c r="M9" i="23"/>
  <c r="M8" i="44" s="1"/>
  <c r="L9" i="23"/>
  <c r="L8" i="44" s="1"/>
  <c r="K9" i="23"/>
  <c r="K8" i="44" s="1"/>
  <c r="J9" i="23"/>
  <c r="J8" i="44" s="1"/>
  <c r="I9" i="23"/>
  <c r="I8" i="44" s="1"/>
  <c r="H9" i="23"/>
  <c r="H8" i="44" s="1"/>
  <c r="G9" i="23"/>
  <c r="G8" i="44" s="1"/>
  <c r="F9" i="23"/>
  <c r="F8" i="44" s="1"/>
  <c r="E9" i="23"/>
  <c r="E8" i="44" s="1"/>
  <c r="D9" i="23"/>
  <c r="D8" i="44" s="1"/>
  <c r="C9" i="23"/>
  <c r="C8" i="44" s="1"/>
  <c r="B9" i="23"/>
  <c r="B8" i="44" s="1"/>
  <c r="Y10" i="23"/>
  <c r="Y9" i="44" s="1"/>
  <c r="X10" i="23"/>
  <c r="X9" i="44" s="1"/>
  <c r="W10" i="23"/>
  <c r="W9" i="44" s="1"/>
  <c r="V10" i="23"/>
  <c r="V9" i="44" s="1"/>
  <c r="U10" i="23"/>
  <c r="U9" i="44" s="1"/>
  <c r="T10" i="23"/>
  <c r="T9" i="44" s="1"/>
  <c r="S10" i="23"/>
  <c r="S9" i="44" s="1"/>
  <c r="R10" i="23"/>
  <c r="R9" i="44" s="1"/>
  <c r="Q10" i="23"/>
  <c r="Q9" i="44" s="1"/>
  <c r="P10" i="23"/>
  <c r="P9" i="44" s="1"/>
  <c r="O10" i="23"/>
  <c r="O9" i="44" s="1"/>
  <c r="N10" i="23"/>
  <c r="N9" i="44" s="1"/>
  <c r="M10" i="23"/>
  <c r="M9" i="44" s="1"/>
  <c r="L10" i="23"/>
  <c r="L9" i="44" s="1"/>
  <c r="K10" i="23"/>
  <c r="K9" i="44" s="1"/>
  <c r="J10" i="23"/>
  <c r="J9" i="44" s="1"/>
  <c r="I10" i="23"/>
  <c r="I9" i="44" s="1"/>
  <c r="H10" i="23"/>
  <c r="H9" i="44" s="1"/>
  <c r="G10" i="23"/>
  <c r="G9" i="44" s="1"/>
  <c r="F10" i="23"/>
  <c r="F9" i="44" s="1"/>
  <c r="E10" i="23"/>
  <c r="E9" i="44" s="1"/>
  <c r="D10" i="23"/>
  <c r="D9" i="44" s="1"/>
  <c r="C10" i="23"/>
  <c r="C9" i="44" s="1"/>
  <c r="B10" i="23"/>
  <c r="B9" i="44" s="1"/>
  <c r="T8" i="23"/>
  <c r="S8" i="23"/>
  <c r="S7" i="44" s="1"/>
  <c r="R8" i="23"/>
  <c r="R7" i="44" s="1"/>
  <c r="Q8" i="23"/>
  <c r="Q7" i="44" s="1"/>
  <c r="P8" i="23"/>
  <c r="P7" i="44" s="1"/>
  <c r="O8" i="23"/>
  <c r="O7" i="44" s="1"/>
  <c r="N8" i="23"/>
  <c r="N7" i="44" s="1"/>
  <c r="M8" i="23"/>
  <c r="M7" i="44" s="1"/>
  <c r="L8" i="23"/>
  <c r="L7" i="44" s="1"/>
  <c r="K8" i="23"/>
  <c r="K7" i="44" s="1"/>
  <c r="J8" i="23"/>
  <c r="J7" i="44" s="1"/>
  <c r="I8" i="23"/>
  <c r="I7" i="44" s="1"/>
  <c r="H8" i="23"/>
  <c r="H7" i="44" s="1"/>
  <c r="G8" i="23"/>
  <c r="G7" i="44" s="1"/>
  <c r="F8" i="23"/>
  <c r="F7" i="44" s="1"/>
  <c r="E8" i="23"/>
  <c r="E7" i="44" s="1"/>
  <c r="D8" i="23"/>
  <c r="D7" i="44" s="1"/>
  <c r="C8" i="23"/>
  <c r="C7" i="44" s="1"/>
  <c r="B8" i="23"/>
  <c r="B7" i="44" s="1"/>
  <c r="O7" i="23"/>
  <c r="N7" i="23"/>
  <c r="M7" i="23"/>
  <c r="M6" i="44" s="1"/>
  <c r="L7" i="23"/>
  <c r="L6" i="44" s="1"/>
  <c r="K7" i="23"/>
  <c r="K6" i="44" s="1"/>
  <c r="J7" i="23"/>
  <c r="J6" i="44" s="1"/>
  <c r="I7" i="23"/>
  <c r="I6" i="44" s="1"/>
  <c r="H7" i="23"/>
  <c r="H6" i="44" s="1"/>
  <c r="G7" i="23"/>
  <c r="G6" i="44" s="1"/>
  <c r="F7" i="23"/>
  <c r="F6" i="44" s="1"/>
  <c r="E7" i="23"/>
  <c r="E6" i="44" s="1"/>
  <c r="D7" i="23"/>
  <c r="D6" i="44" s="1"/>
  <c r="C7" i="23"/>
  <c r="C6" i="44" s="1"/>
  <c r="B7" i="23"/>
  <c r="B6" i="44" s="1"/>
  <c r="Q6" i="23"/>
  <c r="P6" i="23"/>
  <c r="O6" i="23"/>
  <c r="N6" i="23"/>
  <c r="N5" i="44" s="1"/>
  <c r="M6" i="23"/>
  <c r="M5" i="44" s="1"/>
  <c r="L6" i="23"/>
  <c r="L5" i="44" s="1"/>
  <c r="K6" i="23"/>
  <c r="K5" i="44" s="1"/>
  <c r="J6" i="23"/>
  <c r="J5" i="44" s="1"/>
  <c r="I6" i="23"/>
  <c r="I5" i="44" s="1"/>
  <c r="H6" i="23"/>
  <c r="H5" i="44" s="1"/>
  <c r="G6" i="23"/>
  <c r="G5" i="44" s="1"/>
  <c r="F6" i="23"/>
  <c r="F5" i="44" s="1"/>
  <c r="E6" i="23"/>
  <c r="E5" i="44" s="1"/>
  <c r="D6" i="23"/>
  <c r="D5" i="44" s="1"/>
  <c r="C6" i="23"/>
  <c r="C5" i="44" s="1"/>
  <c r="B6" i="23"/>
  <c r="B5" i="44" s="1"/>
  <c r="Y5" i="23"/>
  <c r="X5" i="23"/>
  <c r="X4" i="44" s="1"/>
  <c r="W5" i="23"/>
  <c r="W4" i="44" s="1"/>
  <c r="V5" i="23"/>
  <c r="V4" i="44" s="1"/>
  <c r="U5" i="23"/>
  <c r="U4" i="44" s="1"/>
  <c r="T5" i="23"/>
  <c r="T4" i="44" s="1"/>
  <c r="S5" i="23"/>
  <c r="S4" i="44" s="1"/>
  <c r="R5" i="23"/>
  <c r="R4" i="44" s="1"/>
  <c r="Q5" i="23"/>
  <c r="Q4" i="44" s="1"/>
  <c r="P5" i="23"/>
  <c r="P4" i="44" s="1"/>
  <c r="O5" i="23"/>
  <c r="O4" i="44" s="1"/>
  <c r="N5" i="23"/>
  <c r="N4" i="44" s="1"/>
  <c r="M5" i="23"/>
  <c r="M4" i="44" s="1"/>
  <c r="L5" i="23"/>
  <c r="L4" i="44" s="1"/>
  <c r="K5" i="23"/>
  <c r="K4" i="44" s="1"/>
  <c r="J5" i="23"/>
  <c r="J4" i="44" s="1"/>
  <c r="I5" i="23"/>
  <c r="I4" i="44" s="1"/>
  <c r="H5" i="23"/>
  <c r="H4" i="44" s="1"/>
  <c r="G5" i="23"/>
  <c r="G4" i="44" s="1"/>
  <c r="F5" i="23"/>
  <c r="F4" i="44" s="1"/>
  <c r="E5" i="23"/>
  <c r="E4" i="44" s="1"/>
  <c r="D5" i="23"/>
  <c r="D4" i="44" s="1"/>
  <c r="C5" i="23"/>
  <c r="C4" i="44" s="1"/>
  <c r="B5" i="23"/>
  <c r="B4" i="44" s="1"/>
  <c r="T4" i="23"/>
  <c r="S4" i="23"/>
  <c r="R4" i="23"/>
  <c r="R3" i="44" s="1"/>
  <c r="Q4" i="23"/>
  <c r="Q3" i="44" s="1"/>
  <c r="P4" i="23"/>
  <c r="P3" i="44" s="1"/>
  <c r="O4" i="23"/>
  <c r="O3" i="44" s="1"/>
  <c r="N4" i="23"/>
  <c r="N3" i="44" s="1"/>
  <c r="M4" i="23"/>
  <c r="M3" i="44" s="1"/>
  <c r="L4" i="23"/>
  <c r="L3" i="44" s="1"/>
  <c r="K4" i="23"/>
  <c r="K3" i="44" s="1"/>
  <c r="J4" i="23"/>
  <c r="J3" i="44" s="1"/>
  <c r="I4" i="23"/>
  <c r="I3" i="44" s="1"/>
  <c r="H4" i="23"/>
  <c r="H3" i="44" s="1"/>
  <c r="G4" i="23"/>
  <c r="G3" i="44" s="1"/>
  <c r="F4" i="23"/>
  <c r="F3" i="44" s="1"/>
  <c r="E4" i="23"/>
  <c r="E3" i="44" s="1"/>
  <c r="D4" i="23"/>
  <c r="D3" i="44" s="1"/>
  <c r="C4" i="23"/>
  <c r="C3" i="44" s="1"/>
  <c r="B4" i="23"/>
  <c r="B3" i="44" s="1"/>
  <c r="Y3" i="23"/>
  <c r="Y2" i="44" s="1"/>
  <c r="X3" i="23"/>
  <c r="X2" i="44" s="1"/>
  <c r="W3" i="23"/>
  <c r="W2" i="44" s="1"/>
  <c r="V3" i="23"/>
  <c r="V2" i="44" s="1"/>
  <c r="U3" i="23"/>
  <c r="U2" i="44" s="1"/>
  <c r="T3" i="23"/>
  <c r="T2" i="44" s="1"/>
  <c r="S3" i="23"/>
  <c r="S2" i="44" s="1"/>
  <c r="R3" i="23"/>
  <c r="R2" i="44" s="1"/>
  <c r="Q3" i="23"/>
  <c r="Q2" i="44" s="1"/>
  <c r="P3" i="23"/>
  <c r="P2" i="44" s="1"/>
  <c r="O3" i="23"/>
  <c r="O2" i="44" s="1"/>
  <c r="N3" i="23"/>
  <c r="N2" i="44" s="1"/>
  <c r="M3" i="23"/>
  <c r="M2" i="44" s="1"/>
  <c r="L3" i="23"/>
  <c r="L2" i="44" s="1"/>
  <c r="K3" i="23"/>
  <c r="K2" i="44" s="1"/>
  <c r="J3" i="23"/>
  <c r="J2" i="44" s="1"/>
  <c r="I3" i="23"/>
  <c r="I2" i="44" s="1"/>
  <c r="H3" i="23"/>
  <c r="H2" i="44" s="1"/>
  <c r="G3" i="23"/>
  <c r="G2" i="44" s="1"/>
  <c r="F3" i="23"/>
  <c r="F2" i="44" s="1"/>
  <c r="E3" i="23"/>
  <c r="E2" i="44" s="1"/>
  <c r="D3" i="23"/>
  <c r="D2" i="44" s="1"/>
  <c r="C3" i="23"/>
  <c r="C2" i="44" s="1"/>
  <c r="B3" i="23"/>
  <c r="B2" i="44" s="1"/>
  <c r="AV79" i="3" a="1"/>
  <c r="AV79" i="3" s="1"/>
  <c r="AT79" i="3" a="1"/>
  <c r="AT79" i="3"/>
  <c r="AR79" i="3" a="1"/>
  <c r="AR79" i="3" s="1"/>
  <c r="AP79" i="3" a="1"/>
  <c r="AP79" i="3"/>
  <c r="AN79" i="3" a="1"/>
  <c r="AN79" i="3" s="1"/>
  <c r="AL79" i="3" a="1"/>
  <c r="AL79" i="3" s="1"/>
  <c r="AJ79" i="3" a="1"/>
  <c r="AJ79" i="3" s="1"/>
  <c r="AH79" i="3" a="1"/>
  <c r="AH79" i="3" s="1"/>
  <c r="AF79" i="3" a="1"/>
  <c r="AF79" i="3" s="1"/>
  <c r="AD79" i="3" a="1"/>
  <c r="AD79" i="3"/>
  <c r="AB79" i="3" a="1"/>
  <c r="AB79" i="3" s="1"/>
  <c r="Z79" i="3" a="1"/>
  <c r="Z79" i="3" s="1"/>
  <c r="X79" i="3" a="1"/>
  <c r="X79" i="3" s="1"/>
  <c r="V79" i="3" a="1"/>
  <c r="V79" i="3" s="1"/>
  <c r="T79" i="3" a="1"/>
  <c r="T79" i="3"/>
  <c r="R79" i="3" a="1"/>
  <c r="R79" i="3" s="1"/>
  <c r="P79" i="3" a="1"/>
  <c r="P79" i="3"/>
  <c r="N79" i="3" a="1"/>
  <c r="N79" i="3" s="1"/>
  <c r="L79" i="3" a="1"/>
  <c r="L79" i="3" s="1"/>
  <c r="J79" i="3" a="1"/>
  <c r="J79" i="3"/>
  <c r="H79" i="3" a="1"/>
  <c r="H79" i="3" s="1"/>
  <c r="F79" i="3" a="1"/>
  <c r="F79" i="3" s="1"/>
  <c r="D79" i="3" a="1"/>
  <c r="D79" i="3" s="1"/>
  <c r="B79" i="3" a="1"/>
  <c r="B79" i="3" s="1"/>
  <c r="AV78" i="3" a="1"/>
  <c r="AV78" i="3"/>
  <c r="AT78" i="3" a="1"/>
  <c r="AT78" i="3" s="1"/>
  <c r="AR78" i="3" a="1"/>
  <c r="AR78" i="3"/>
  <c r="AP78" i="3" a="1"/>
  <c r="AP78" i="3" s="1"/>
  <c r="AN78" i="3" a="1"/>
  <c r="AN78" i="3" s="1"/>
  <c r="AL78" i="3" a="1"/>
  <c r="AL78" i="3"/>
  <c r="AJ78" i="3" a="1"/>
  <c r="AJ78" i="3" s="1"/>
  <c r="AH78" i="3" a="1"/>
  <c r="AH78" i="3" s="1"/>
  <c r="AF78" i="3" a="1"/>
  <c r="AF78" i="3" s="1"/>
  <c r="AD78" i="3" a="1"/>
  <c r="AD78" i="3" s="1"/>
  <c r="AB78" i="3" a="1"/>
  <c r="AB78" i="3"/>
  <c r="Z78" i="3" a="1"/>
  <c r="Z78" i="3" s="1"/>
  <c r="X78" i="3" a="1"/>
  <c r="X78" i="3"/>
  <c r="V78" i="3" a="1"/>
  <c r="V78" i="3" s="1"/>
  <c r="T78" i="3" a="1"/>
  <c r="T78" i="3" s="1"/>
  <c r="R78" i="3" a="1"/>
  <c r="R78" i="3"/>
  <c r="P78" i="3" a="1"/>
  <c r="P78" i="3" s="1"/>
  <c r="N78" i="3" a="1"/>
  <c r="N78" i="3" s="1"/>
  <c r="L78" i="3" a="1"/>
  <c r="L78" i="3" s="1"/>
  <c r="J78" i="3" a="1"/>
  <c r="J78" i="3" s="1"/>
  <c r="H78" i="3" a="1"/>
  <c r="H78" i="3"/>
  <c r="F78" i="3" a="1"/>
  <c r="F78" i="3" s="1"/>
  <c r="D78" i="3" a="1"/>
  <c r="D78" i="3"/>
  <c r="B78" i="3" a="1"/>
  <c r="B78" i="3" s="1"/>
  <c r="AV77" i="3" a="1"/>
  <c r="AV77" i="3" s="1"/>
  <c r="AT77" i="3" a="1"/>
  <c r="AT77" i="3"/>
  <c r="AR77" i="3" a="1"/>
  <c r="AR77" i="3" s="1"/>
  <c r="AP77" i="3" a="1"/>
  <c r="AP77" i="3" s="1"/>
  <c r="AN77" i="3" a="1"/>
  <c r="AN77" i="3" s="1"/>
  <c r="AL77" i="3" a="1"/>
  <c r="AL77" i="3" s="1"/>
  <c r="AJ77" i="3" a="1"/>
  <c r="AJ77" i="3"/>
  <c r="AH77" i="3" a="1"/>
  <c r="AH77" i="3" s="1"/>
  <c r="AF77" i="3" a="1"/>
  <c r="AF77" i="3"/>
  <c r="AD77" i="3" a="1"/>
  <c r="AD77" i="3" s="1"/>
  <c r="AB77" i="3" a="1"/>
  <c r="AB77" i="3" s="1"/>
  <c r="Z77" i="3" a="1"/>
  <c r="Z77" i="3"/>
  <c r="X77" i="3" a="1"/>
  <c r="X77" i="3" s="1"/>
  <c r="V77" i="3" a="1"/>
  <c r="V77" i="3" s="1"/>
  <c r="T77" i="3" a="1"/>
  <c r="T77" i="3" s="1"/>
  <c r="R77" i="3" a="1"/>
  <c r="R77" i="3"/>
  <c r="P77" i="3" a="1"/>
  <c r="P77" i="3"/>
  <c r="N77" i="3" a="1"/>
  <c r="N77" i="3" s="1"/>
  <c r="L77" i="3" a="1"/>
  <c r="L77" i="3" s="1"/>
  <c r="J77" i="3" a="1"/>
  <c r="J77" i="3" s="1"/>
  <c r="H77" i="3" a="1"/>
  <c r="H77" i="3"/>
  <c r="F77" i="3" a="1"/>
  <c r="F77" i="3"/>
  <c r="D77" i="3" a="1"/>
  <c r="D77" i="3" s="1"/>
  <c r="B77" i="3" a="1"/>
  <c r="B77" i="3" s="1"/>
  <c r="AV76" i="3" a="1"/>
  <c r="AV76" i="3" s="1"/>
  <c r="AT76" i="3" a="1"/>
  <c r="AT76" i="3" s="1"/>
  <c r="AR76" i="3" a="1"/>
  <c r="AR76" i="3" s="1"/>
  <c r="AP76" i="3" a="1"/>
  <c r="AP76" i="3" s="1"/>
  <c r="AN76" i="3" a="1"/>
  <c r="AN76" i="3"/>
  <c r="AL76" i="3" a="1"/>
  <c r="AL76" i="3" s="1"/>
  <c r="AJ76" i="3" a="1"/>
  <c r="AJ76" i="3" s="1"/>
  <c r="AH76" i="3" a="1"/>
  <c r="AH76" i="3" s="1"/>
  <c r="AF76" i="3" a="1"/>
  <c r="AF76" i="3" s="1"/>
  <c r="AD76" i="3" a="1"/>
  <c r="AD76" i="3" s="1"/>
  <c r="AB76" i="3" a="1"/>
  <c r="AB76" i="3" s="1"/>
  <c r="Z76" i="3" a="1"/>
  <c r="Z76" i="3" s="1"/>
  <c r="X76" i="3" a="1"/>
  <c r="X76" i="3"/>
  <c r="V76" i="3" a="1"/>
  <c r="V76" i="3" s="1"/>
  <c r="T76" i="3" a="1"/>
  <c r="T76" i="3"/>
  <c r="R76" i="3" a="1"/>
  <c r="R76" i="3" s="1"/>
  <c r="P76" i="3" a="1"/>
  <c r="P76" i="3"/>
  <c r="N76" i="3" a="1"/>
  <c r="N76" i="3"/>
  <c r="L76" i="3" a="1"/>
  <c r="L76" i="3" s="1"/>
  <c r="J76" i="3" a="1"/>
  <c r="J76" i="3" s="1"/>
  <c r="H76" i="3" a="1"/>
  <c r="H76" i="3" s="1"/>
  <c r="F76" i="3" a="1"/>
  <c r="F76" i="3"/>
  <c r="D76" i="3" a="1"/>
  <c r="D76" i="3" s="1"/>
  <c r="B76" i="3" a="1"/>
  <c r="B76" i="3" s="1"/>
  <c r="AV75" i="3" a="1"/>
  <c r="AV75" i="3"/>
  <c r="AT75" i="3" a="1"/>
  <c r="AT75" i="3" s="1"/>
  <c r="AR75" i="3" a="1"/>
  <c r="AR75" i="3" s="1"/>
  <c r="AP75" i="3" a="1"/>
  <c r="AP75" i="3" s="1"/>
  <c r="AN75" i="3" a="1"/>
  <c r="AN75" i="3" s="1"/>
  <c r="AL75" i="3" a="1"/>
  <c r="AL75" i="3" s="1"/>
  <c r="AJ75" i="3" a="1"/>
  <c r="AJ75" i="3" s="1"/>
  <c r="AH75" i="3" a="1"/>
  <c r="AH75" i="3" s="1"/>
  <c r="AF75" i="3" a="1"/>
  <c r="AF75" i="3" s="1"/>
  <c r="AD75" i="3" a="1"/>
  <c r="AD75" i="3" s="1"/>
  <c r="AB75" i="3" a="1"/>
  <c r="AB75" i="3" s="1"/>
  <c r="Z75" i="3" a="1"/>
  <c r="Z75" i="3" s="1"/>
  <c r="X75" i="3" a="1"/>
  <c r="X75" i="3"/>
  <c r="V75" i="3" a="1"/>
  <c r="V75" i="3"/>
  <c r="T75" i="3" a="1"/>
  <c r="T75" i="3" s="1"/>
  <c r="R75" i="3" a="1"/>
  <c r="R75" i="3" s="1"/>
  <c r="P75" i="3" a="1"/>
  <c r="P75" i="3" s="1"/>
  <c r="N75" i="3" a="1"/>
  <c r="N75" i="3"/>
  <c r="L75" i="3" a="1"/>
  <c r="L75" i="3"/>
  <c r="J75" i="3" a="1"/>
  <c r="J75" i="3" s="1"/>
  <c r="H75" i="3" a="1"/>
  <c r="H75" i="3"/>
  <c r="F75" i="3" a="1"/>
  <c r="F75" i="3" s="1"/>
  <c r="D75" i="3" a="1"/>
  <c r="D75" i="3"/>
  <c r="B75" i="3" a="1"/>
  <c r="B75" i="3" s="1"/>
  <c r="AV74" i="3" a="1"/>
  <c r="AV74" i="3" s="1"/>
  <c r="AT74" i="3" a="1"/>
  <c r="AT74" i="3" s="1"/>
  <c r="AR74" i="3" a="1"/>
  <c r="AR74" i="3" s="1"/>
  <c r="AP74" i="3" a="1"/>
  <c r="AP74" i="3"/>
  <c r="AN74" i="3" a="1"/>
  <c r="AN74" i="3" s="1"/>
  <c r="AL74" i="3" a="1"/>
  <c r="AL74" i="3" s="1"/>
  <c r="AJ74" i="3" a="1"/>
  <c r="AJ74" i="3" s="1"/>
  <c r="AH74" i="3" a="1"/>
  <c r="AH74" i="3" s="1"/>
  <c r="AF74" i="3" a="1"/>
  <c r="AF74" i="3" s="1"/>
  <c r="AD74" i="3" a="1"/>
  <c r="AD74" i="3"/>
  <c r="AB74" i="3" a="1"/>
  <c r="AB74" i="3" s="1"/>
  <c r="Z74" i="3" a="1"/>
  <c r="Z74" i="3" s="1"/>
  <c r="X74" i="3" a="1"/>
  <c r="X74" i="3" s="1"/>
  <c r="V74" i="3" a="1"/>
  <c r="V74" i="3" s="1"/>
  <c r="T74" i="3" a="1"/>
  <c r="T74" i="3"/>
  <c r="R74" i="3" a="1"/>
  <c r="R74" i="3" s="1"/>
  <c r="P74" i="3" a="1"/>
  <c r="P74" i="3"/>
  <c r="N74" i="3" a="1"/>
  <c r="N74" i="3" s="1"/>
  <c r="L74" i="3" a="1"/>
  <c r="L74" i="3"/>
  <c r="J74" i="3" a="1"/>
  <c r="J74" i="3" s="1"/>
  <c r="H74" i="3" a="1"/>
  <c r="H74" i="3" s="1"/>
  <c r="F74" i="3" a="1"/>
  <c r="F74" i="3" s="1"/>
  <c r="D74" i="3" a="1"/>
  <c r="D74" i="3" s="1"/>
  <c r="B74" i="3" a="1"/>
  <c r="B74" i="3" s="1"/>
  <c r="AV73" i="3" a="1"/>
  <c r="AV73" i="3"/>
  <c r="AT73" i="3" a="1"/>
  <c r="AT73" i="3" s="1"/>
  <c r="AR73" i="3" a="1"/>
  <c r="AR73" i="3"/>
  <c r="AP73" i="3" a="1"/>
  <c r="AP73" i="3" s="1"/>
  <c r="AN73" i="3" a="1"/>
  <c r="AN73" i="3" s="1"/>
  <c r="AL73" i="3" a="1"/>
  <c r="AL73" i="3"/>
  <c r="AJ73" i="3" a="1"/>
  <c r="AJ73" i="3" s="1"/>
  <c r="AH73" i="3" a="1"/>
  <c r="AH73" i="3" s="1"/>
  <c r="AF73" i="3" a="1"/>
  <c r="AF73" i="3" s="1"/>
  <c r="AD73" i="3" a="1"/>
  <c r="AD73" i="3" s="1"/>
  <c r="AB73" i="3" a="1"/>
  <c r="AB73" i="3"/>
  <c r="Z73" i="3" a="1"/>
  <c r="Z73" i="3" s="1"/>
  <c r="X73" i="3" a="1"/>
  <c r="X73" i="3" s="1"/>
  <c r="V73" i="3" a="1"/>
  <c r="V73" i="3" s="1"/>
  <c r="T73" i="3" a="1"/>
  <c r="T73" i="3" s="1"/>
  <c r="R73" i="3" a="1"/>
  <c r="R73" i="3" s="1"/>
  <c r="P73" i="3" a="1"/>
  <c r="P73" i="3" s="1"/>
  <c r="N73" i="3" a="1"/>
  <c r="N73" i="3" s="1"/>
  <c r="L73" i="3" a="1"/>
  <c r="L73" i="3" s="1"/>
  <c r="J73" i="3" a="1"/>
  <c r="J73" i="3" s="1"/>
  <c r="H73" i="3" a="1"/>
  <c r="H73" i="3" s="1"/>
  <c r="F73" i="3" a="1"/>
  <c r="F73" i="3" s="1"/>
  <c r="D73" i="3" a="1"/>
  <c r="D73" i="3"/>
  <c r="B73" i="3" a="1"/>
  <c r="B73" i="3" s="1"/>
  <c r="AV65" i="3" a="1"/>
  <c r="AV65" i="3" s="1"/>
  <c r="AV69" i="3" s="1"/>
  <c r="AT65" i="3" a="1"/>
  <c r="AT65" i="3" s="1"/>
  <c r="AT69" i="3" s="1"/>
  <c r="AR65" i="3" a="1"/>
  <c r="AR65" i="3" s="1"/>
  <c r="AR69" i="3" s="1"/>
  <c r="AP65" i="3" a="1"/>
  <c r="AP65" i="3" s="1"/>
  <c r="AP69" i="3" s="1"/>
  <c r="AN65" i="3" a="1"/>
  <c r="AN65" i="3" s="1"/>
  <c r="AN69" i="3" s="1"/>
  <c r="AL65" i="3" a="1"/>
  <c r="AL65" i="3" s="1"/>
  <c r="AL69" i="3" s="1"/>
  <c r="AJ65" i="3" a="1"/>
  <c r="AJ65" i="3" s="1"/>
  <c r="AJ69" i="3" s="1"/>
  <c r="AH65" i="3" a="1"/>
  <c r="AH65" i="3" s="1"/>
  <c r="AH69" i="3" s="1"/>
  <c r="AF65" i="3" a="1"/>
  <c r="AF65" i="3" s="1"/>
  <c r="AF69" i="3" s="1"/>
  <c r="AD65" i="3" a="1"/>
  <c r="AD65" i="3" s="1"/>
  <c r="AD69" i="3" s="1"/>
  <c r="AB65" i="3" a="1"/>
  <c r="AB65" i="3" s="1"/>
  <c r="AB69" i="3" s="1"/>
  <c r="Z65" i="3" a="1"/>
  <c r="Z65" i="3" s="1"/>
  <c r="Z69" i="3" s="1"/>
  <c r="X65" i="3" a="1"/>
  <c r="X65" i="3" s="1"/>
  <c r="X69" i="3" s="1"/>
  <c r="V65" i="3" a="1"/>
  <c r="V65" i="3" s="1"/>
  <c r="V69" i="3" s="1"/>
  <c r="T65" i="3" a="1"/>
  <c r="T65" i="3" s="1"/>
  <c r="T69" i="3" s="1"/>
  <c r="R65" i="3" a="1"/>
  <c r="R65" i="3" s="1"/>
  <c r="R69" i="3" s="1"/>
  <c r="P65" i="3" a="1"/>
  <c r="P65" i="3" s="1"/>
  <c r="P69" i="3" s="1"/>
  <c r="N65" i="3" a="1"/>
  <c r="N65" i="3" s="1"/>
  <c r="N69" i="3" s="1"/>
  <c r="L65" i="3" a="1"/>
  <c r="L65" i="3" s="1"/>
  <c r="L69" i="3" s="1"/>
  <c r="J65" i="3" a="1"/>
  <c r="J65" i="3"/>
  <c r="J69" i="3" s="1"/>
  <c r="H65" i="3" a="1"/>
  <c r="H65" i="3" s="1"/>
  <c r="H69" i="3" s="1"/>
  <c r="F65" i="3" a="1"/>
  <c r="F65" i="3" s="1"/>
  <c r="F69" i="3" s="1"/>
  <c r="D65" i="3" a="1"/>
  <c r="D65" i="3" s="1"/>
  <c r="D69" i="3" s="1"/>
  <c r="B65" i="3"/>
  <c r="B69" i="3" s="1"/>
  <c r="AV62" i="3"/>
  <c r="AT62" i="3"/>
  <c r="AR62" i="3"/>
  <c r="AP62" i="3"/>
  <c r="AN62" i="3"/>
  <c r="AL62" i="3"/>
  <c r="AJ62" i="3"/>
  <c r="AH62" i="3"/>
  <c r="AF62" i="3"/>
  <c r="AD62" i="3"/>
  <c r="AB62" i="3"/>
  <c r="Z62" i="3"/>
  <c r="X62" i="3"/>
  <c r="V62" i="3"/>
  <c r="T62" i="3"/>
  <c r="R62" i="3"/>
  <c r="P62" i="3"/>
  <c r="N62" i="3"/>
  <c r="L62" i="3"/>
  <c r="J62" i="3"/>
  <c r="H62" i="3"/>
  <c r="F62" i="3"/>
  <c r="D62" i="3"/>
  <c r="B62" i="3"/>
  <c r="AV59" i="3"/>
  <c r="AT59" i="3"/>
  <c r="AR59" i="3"/>
  <c r="AP59" i="3"/>
  <c r="AN59" i="3"/>
  <c r="AL59" i="3"/>
  <c r="AJ59" i="3"/>
  <c r="AH59" i="3"/>
  <c r="AF59" i="3"/>
  <c r="AD59" i="3"/>
  <c r="AB59" i="3"/>
  <c r="Z59" i="3"/>
  <c r="X59" i="3"/>
  <c r="V59" i="3"/>
  <c r="T59" i="3"/>
  <c r="R59" i="3"/>
  <c r="P59" i="3"/>
  <c r="N59" i="3"/>
  <c r="L59" i="3"/>
  <c r="J59" i="3"/>
  <c r="H59" i="3"/>
  <c r="F59" i="3"/>
  <c r="D59" i="3"/>
  <c r="B59" i="3"/>
  <c r="AV55" i="3"/>
  <c r="AT55" i="3"/>
  <c r="AR55" i="3"/>
  <c r="AP55" i="3"/>
  <c r="AN55" i="3"/>
  <c r="AL55" i="3"/>
  <c r="AJ55" i="3"/>
  <c r="AH55" i="3"/>
  <c r="AF55" i="3"/>
  <c r="AD55" i="3"/>
  <c r="AB55" i="3"/>
  <c r="Z55" i="3"/>
  <c r="X55" i="3"/>
  <c r="V55" i="3"/>
  <c r="T55" i="3"/>
  <c r="R55" i="3"/>
  <c r="P55" i="3"/>
  <c r="N55" i="3"/>
  <c r="L55" i="3"/>
  <c r="J55" i="3"/>
  <c r="H55" i="3"/>
  <c r="F55" i="3"/>
  <c r="D55" i="3"/>
  <c r="B55" i="3"/>
  <c r="AV51" i="3"/>
  <c r="AV81" i="3" s="1"/>
  <c r="AT51" i="3"/>
  <c r="AT81" i="3" s="1"/>
  <c r="AR51" i="3"/>
  <c r="AR81" i="3" s="1"/>
  <c r="AP51" i="3"/>
  <c r="AP81" i="3" s="1"/>
  <c r="AN51" i="3"/>
  <c r="AN81" i="3" s="1"/>
  <c r="AL51" i="3"/>
  <c r="AL81" i="3" s="1"/>
  <c r="AJ51" i="3"/>
  <c r="AJ81" i="3" s="1"/>
  <c r="AH51" i="3"/>
  <c r="AH81" i="3" s="1"/>
  <c r="AF51" i="3"/>
  <c r="AF81" i="3" s="1"/>
  <c r="AD51" i="3"/>
  <c r="AD81" i="3" s="1"/>
  <c r="AB51" i="3"/>
  <c r="AB81" i="3" s="1"/>
  <c r="Z51" i="3"/>
  <c r="Z81" i="3" s="1"/>
  <c r="X51" i="3"/>
  <c r="X81" i="3" s="1"/>
  <c r="V51" i="3"/>
  <c r="V81" i="3" s="1"/>
  <c r="T51" i="3"/>
  <c r="T81" i="3" s="1"/>
  <c r="R51" i="3"/>
  <c r="R81" i="3" s="1"/>
  <c r="P51" i="3"/>
  <c r="P81" i="3" s="1"/>
  <c r="N51" i="3"/>
  <c r="N81" i="3" s="1"/>
  <c r="L51" i="3"/>
  <c r="L81" i="3" s="1"/>
  <c r="J51" i="3"/>
  <c r="J81" i="3" s="1"/>
  <c r="H51" i="3"/>
  <c r="H81" i="3" s="1"/>
  <c r="F51" i="3"/>
  <c r="F81" i="3" s="1"/>
  <c r="D51" i="3"/>
  <c r="D81" i="3" s="1"/>
  <c r="B51" i="3"/>
  <c r="B81" i="3" s="1"/>
  <c r="AV49" i="3"/>
  <c r="AT49" i="3"/>
  <c r="AR49" i="3"/>
  <c r="AP49" i="3"/>
  <c r="AN49" i="3"/>
  <c r="AL49" i="3"/>
  <c r="AJ49" i="3"/>
  <c r="AH49" i="3"/>
  <c r="AF49" i="3"/>
  <c r="AD49" i="3"/>
  <c r="AB49" i="3"/>
  <c r="Z49" i="3"/>
  <c r="X49" i="3"/>
  <c r="V49" i="3"/>
  <c r="T49" i="3"/>
  <c r="R49" i="3"/>
  <c r="P49" i="3"/>
  <c r="N49" i="3"/>
  <c r="L49" i="3"/>
  <c r="J49" i="3"/>
  <c r="H49" i="3"/>
  <c r="F49" i="3"/>
  <c r="D49" i="3"/>
  <c r="B49" i="3"/>
  <c r="AV46" i="3"/>
  <c r="AT46" i="3"/>
  <c r="AR46" i="3"/>
  <c r="AP46" i="3"/>
  <c r="AN46" i="3"/>
  <c r="AL46" i="3"/>
  <c r="AJ46" i="3"/>
  <c r="AH46" i="3"/>
  <c r="AF46" i="3"/>
  <c r="AD46" i="3"/>
  <c r="AB46" i="3"/>
  <c r="Z46" i="3"/>
  <c r="X46" i="3"/>
  <c r="V46" i="3"/>
  <c r="T46" i="3"/>
  <c r="R46" i="3"/>
  <c r="P46" i="3"/>
  <c r="N46" i="3"/>
  <c r="L46" i="3"/>
  <c r="J46" i="3"/>
  <c r="H46" i="3"/>
  <c r="F46" i="3"/>
  <c r="D46" i="3"/>
  <c r="B46" i="3"/>
  <c r="AV45" i="3"/>
  <c r="AT45" i="3"/>
  <c r="AR45" i="3"/>
  <c r="AP45" i="3"/>
  <c r="AN45" i="3"/>
  <c r="AL45" i="3"/>
  <c r="AJ45" i="3"/>
  <c r="AH45" i="3"/>
  <c r="AF45" i="3"/>
  <c r="AD45" i="3"/>
  <c r="AB45" i="3"/>
  <c r="Z45" i="3"/>
  <c r="X45" i="3"/>
  <c r="V45" i="3"/>
  <c r="T45" i="3"/>
  <c r="R45" i="3"/>
  <c r="P45" i="3"/>
  <c r="N45" i="3"/>
  <c r="L45" i="3"/>
  <c r="J45" i="3"/>
  <c r="H45" i="3"/>
  <c r="F45" i="3"/>
  <c r="D45" i="3"/>
  <c r="B45" i="3"/>
  <c r="AV44" i="3"/>
  <c r="AT44" i="3"/>
  <c r="AR44" i="3"/>
  <c r="AP44" i="3"/>
  <c r="AN44" i="3"/>
  <c r="AL44" i="3"/>
  <c r="AJ44" i="3"/>
  <c r="AH44" i="3"/>
  <c r="AF44" i="3"/>
  <c r="AD44" i="3"/>
  <c r="AB44" i="3"/>
  <c r="Z44" i="3"/>
  <c r="X44" i="3"/>
  <c r="V44" i="3"/>
  <c r="T44" i="3"/>
  <c r="R44" i="3"/>
  <c r="P44" i="3"/>
  <c r="N44" i="3"/>
  <c r="L44" i="3"/>
  <c r="J44" i="3"/>
  <c r="H44" i="3"/>
  <c r="F44" i="3"/>
  <c r="D44" i="3"/>
  <c r="B44" i="3"/>
  <c r="AV43" i="3" a="1"/>
  <c r="AV43" i="3" s="1"/>
  <c r="AT43" i="3" a="1"/>
  <c r="AT43" i="3" s="1"/>
  <c r="AR43" i="3" a="1"/>
  <c r="AR43" i="3" s="1"/>
  <c r="AP43" i="3" a="1"/>
  <c r="AP43" i="3" s="1"/>
  <c r="AN43" i="3" a="1"/>
  <c r="AN43" i="3"/>
  <c r="AL43" i="3" a="1"/>
  <c r="AL43" i="3" s="1"/>
  <c r="AJ43" i="3" a="1"/>
  <c r="AJ43" i="3" s="1"/>
  <c r="AH43" i="3" a="1"/>
  <c r="AH43" i="3"/>
  <c r="AF43" i="3" a="1"/>
  <c r="AF43" i="3" s="1"/>
  <c r="AD43" i="3" a="1"/>
  <c r="AD43" i="3"/>
  <c r="AB43" i="3" a="1"/>
  <c r="AB43" i="3"/>
  <c r="Z43" i="3" a="1"/>
  <c r="Z43" i="3" s="1"/>
  <c r="X43" i="3" a="1"/>
  <c r="X43" i="3"/>
  <c r="V43" i="3" a="1"/>
  <c r="V43" i="3" s="1"/>
  <c r="T43" i="3" a="1"/>
  <c r="T43" i="3"/>
  <c r="R43" i="3" a="1"/>
  <c r="R43" i="3"/>
  <c r="P43" i="3" a="1"/>
  <c r="P43" i="3" s="1"/>
  <c r="N43" i="3" a="1"/>
  <c r="N43" i="3" s="1"/>
  <c r="L43" i="3" a="1"/>
  <c r="L43" i="3" s="1"/>
  <c r="J43" i="3" a="1"/>
  <c r="J43" i="3" s="1"/>
  <c r="H43" i="3" a="1"/>
  <c r="H43" i="3" s="1"/>
  <c r="F43" i="3" a="1"/>
  <c r="F43" i="3" s="1"/>
  <c r="D43" i="3" a="1"/>
  <c r="D43" i="3" s="1"/>
  <c r="B43" i="3"/>
  <c r="C33" i="2"/>
  <c r="H4" i="2"/>
  <c r="E3" i="2" a="1"/>
  <c r="F4" i="2" s="1"/>
  <c r="D11" i="2"/>
  <c r="C11" i="2"/>
  <c r="C9" i="2"/>
  <c r="D8" i="2"/>
  <c r="D7" i="2"/>
  <c r="C7" i="2"/>
  <c r="C6" i="2"/>
  <c r="C3" i="2" a="1"/>
  <c r="C10" i="2" s="1"/>
  <c r="C3" i="2"/>
  <c r="C59" i="1"/>
  <c r="E57" i="1"/>
  <c r="C52" i="1" a="1"/>
  <c r="D52" i="1" s="1"/>
  <c r="G12" i="1"/>
  <c r="F12" i="1"/>
  <c r="D12" i="1"/>
  <c r="C12" i="1"/>
  <c r="F8" i="1"/>
  <c r="I3" i="1"/>
  <c r="O78" i="23"/>
  <c r="N78" i="23"/>
  <c r="M78" i="23"/>
  <c r="L78" i="23"/>
  <c r="D33" i="2" l="1"/>
  <c r="C52" i="1"/>
  <c r="C41" i="1" s="1" a="1"/>
  <c r="G4" i="2"/>
  <c r="D5" i="2"/>
  <c r="D6" i="2"/>
  <c r="C8" i="2"/>
  <c r="C14" i="1"/>
  <c r="D10" i="2"/>
  <c r="C41" i="1"/>
  <c r="D41" i="1"/>
  <c r="C42" i="1" a="1"/>
  <c r="E3" i="2"/>
  <c r="F3" i="2"/>
  <c r="C43" i="1" a="1"/>
  <c r="D3" i="2"/>
  <c r="G3" i="2"/>
  <c r="C4" i="2"/>
  <c r="H3" i="2"/>
  <c r="D4" i="2"/>
  <c r="E4" i="2"/>
  <c r="C5" i="2"/>
  <c r="D9" i="2"/>
  <c r="V32" i="23"/>
  <c r="U32" i="23"/>
  <c r="T32" i="23"/>
  <c r="S32" i="23"/>
  <c r="R32" i="23"/>
  <c r="Q32" i="23"/>
  <c r="P32" i="23"/>
  <c r="O32" i="23"/>
  <c r="N32" i="23"/>
  <c r="M32" i="23"/>
  <c r="L32" i="23"/>
  <c r="K32" i="23"/>
  <c r="J32" i="23"/>
  <c r="I32" i="23"/>
  <c r="H32" i="23"/>
  <c r="G32" i="23"/>
  <c r="F32" i="23"/>
  <c r="E32" i="23"/>
  <c r="D32" i="23"/>
  <c r="C32" i="23"/>
  <c r="B32" i="23"/>
  <c r="Y31" i="23"/>
  <c r="X31" i="23"/>
  <c r="W31" i="23"/>
  <c r="V31" i="23"/>
  <c r="U31" i="23"/>
  <c r="T31" i="23"/>
  <c r="S31" i="23"/>
  <c r="R31" i="23"/>
  <c r="Q31" i="23"/>
  <c r="P31" i="23"/>
  <c r="O31" i="23"/>
  <c r="N31" i="23"/>
  <c r="M31" i="23"/>
  <c r="L31" i="23"/>
  <c r="K31" i="23"/>
  <c r="J31" i="23"/>
  <c r="I31" i="23"/>
  <c r="H31" i="23"/>
  <c r="G31" i="23"/>
  <c r="F31" i="23"/>
  <c r="E31" i="23"/>
  <c r="D31" i="23"/>
  <c r="C31" i="23"/>
  <c r="B31" i="23"/>
  <c r="T30" i="23"/>
  <c r="S30" i="23"/>
  <c r="R30" i="23"/>
  <c r="Q30" i="23"/>
  <c r="P30" i="23"/>
  <c r="O30" i="23"/>
  <c r="N30" i="23"/>
  <c r="M30" i="23"/>
  <c r="L30" i="23"/>
  <c r="K30" i="23"/>
  <c r="J30" i="23"/>
  <c r="I30" i="23"/>
  <c r="H30" i="23"/>
  <c r="G30" i="23"/>
  <c r="F30" i="23"/>
  <c r="E30" i="23"/>
  <c r="D30" i="23"/>
  <c r="C30" i="23"/>
  <c r="B30" i="23"/>
  <c r="O29" i="23"/>
  <c r="N29" i="23"/>
  <c r="M29" i="23"/>
  <c r="L29" i="23"/>
  <c r="K29" i="23"/>
  <c r="J29" i="23"/>
  <c r="I29" i="23"/>
  <c r="H29" i="23"/>
  <c r="G29" i="23"/>
  <c r="F29" i="23"/>
  <c r="E29" i="23"/>
  <c r="D29" i="23"/>
  <c r="C29" i="23"/>
  <c r="B29" i="23"/>
  <c r="Q28" i="23"/>
  <c r="P28" i="23"/>
  <c r="O28" i="23"/>
  <c r="N28" i="23"/>
  <c r="M28" i="23"/>
  <c r="L28" i="23"/>
  <c r="K28" i="23"/>
  <c r="J28" i="23"/>
  <c r="I28" i="23"/>
  <c r="H28" i="23"/>
  <c r="G28" i="23"/>
  <c r="F28" i="23"/>
  <c r="E28" i="23"/>
  <c r="D28" i="23"/>
  <c r="C28" i="23"/>
  <c r="B28" i="23"/>
  <c r="T26" i="23"/>
  <c r="S26" i="23"/>
  <c r="R26" i="23"/>
  <c r="Q26" i="23"/>
  <c r="P26" i="23"/>
  <c r="O26" i="23"/>
  <c r="N26" i="23"/>
  <c r="M26" i="23"/>
  <c r="L26" i="23"/>
  <c r="K26" i="23"/>
  <c r="J26" i="23"/>
  <c r="I26" i="23"/>
  <c r="H26" i="23"/>
  <c r="G26" i="23"/>
  <c r="F26" i="23"/>
  <c r="E26" i="23"/>
  <c r="D26" i="23"/>
  <c r="C26" i="23"/>
  <c r="B26" i="23"/>
  <c r="Y27" i="23"/>
  <c r="X27" i="23"/>
  <c r="W27" i="23"/>
  <c r="V27" i="23"/>
  <c r="U27" i="23"/>
  <c r="T27" i="23"/>
  <c r="S27" i="23"/>
  <c r="R27" i="23"/>
  <c r="Q27" i="23"/>
  <c r="P27" i="23"/>
  <c r="O27" i="23"/>
  <c r="N27" i="23"/>
  <c r="M27" i="23"/>
  <c r="L27" i="23"/>
  <c r="K27" i="23"/>
  <c r="J27" i="23"/>
  <c r="I27" i="23"/>
  <c r="H27" i="23"/>
  <c r="G27" i="23"/>
  <c r="F27" i="23"/>
  <c r="E27" i="23"/>
  <c r="D27" i="23"/>
  <c r="C27" i="23"/>
  <c r="B27" i="23"/>
  <c r="Y25" i="23"/>
  <c r="X25" i="23"/>
  <c r="W25" i="23"/>
  <c r="V25" i="23"/>
  <c r="U25" i="23"/>
  <c r="T25" i="23"/>
  <c r="S25" i="23"/>
  <c r="R25" i="23"/>
  <c r="Q25" i="23"/>
  <c r="P25" i="23"/>
  <c r="O25" i="23"/>
  <c r="N25" i="23"/>
  <c r="M25" i="23"/>
  <c r="L25" i="23"/>
  <c r="K25" i="23"/>
  <c r="J25" i="23"/>
  <c r="I25" i="23"/>
  <c r="H25" i="23"/>
  <c r="G25" i="23"/>
  <c r="F25" i="23"/>
  <c r="E25" i="23"/>
  <c r="D25" i="23"/>
  <c r="C25" i="23"/>
  <c r="B25" i="23"/>
  <c r="C27" i="1" l="1" a="1"/>
  <c r="D27" i="1" s="1"/>
  <c r="D42" i="1"/>
  <c r="C42" i="1"/>
  <c r="C28" i="1" s="1" a="1"/>
  <c r="F12" i="2"/>
  <c r="C12" i="2"/>
  <c r="G12" i="2"/>
  <c r="D12" i="2"/>
  <c r="I3" i="2"/>
  <c r="C14" i="2" s="1"/>
  <c r="D43" i="1"/>
  <c r="C43" i="1"/>
  <c r="AV42" i="3"/>
  <c r="AT42" i="3"/>
  <c r="AR42" i="3"/>
  <c r="AP42" i="3"/>
  <c r="AN42" i="3"/>
  <c r="AL42" i="3"/>
  <c r="AJ42" i="3"/>
  <c r="AH42" i="3"/>
  <c r="AF42" i="3"/>
  <c r="AD42" i="3"/>
  <c r="AB42" i="3"/>
  <c r="Z42" i="3"/>
  <c r="X42" i="3"/>
  <c r="V42" i="3"/>
  <c r="T42" i="3"/>
  <c r="R42" i="3"/>
  <c r="P42" i="3"/>
  <c r="N42" i="3"/>
  <c r="L42" i="3"/>
  <c r="J42" i="3"/>
  <c r="H42" i="3"/>
  <c r="F42" i="3"/>
  <c r="D42" i="3"/>
  <c r="B42" i="3"/>
  <c r="C27" i="1" l="1"/>
  <c r="D28" i="1"/>
  <c r="C28" i="1"/>
  <c r="C120" i="1"/>
  <c r="C29" i="1" a="1"/>
  <c r="C66" i="1"/>
  <c r="G8" i="1"/>
  <c r="X52" i="38" l="1"/>
  <c r="X82" i="38" s="1"/>
  <c r="V52" i="38"/>
  <c r="V82" i="38" s="1"/>
  <c r="P52" i="38"/>
  <c r="P82" i="38" s="1"/>
  <c r="AV52" i="38"/>
  <c r="AV82" i="38" s="1"/>
  <c r="AF52" i="38"/>
  <c r="AF82" i="38" s="1"/>
  <c r="F52" i="38"/>
  <c r="F82" i="38" s="1"/>
  <c r="AD52" i="38"/>
  <c r="AD82" i="38" s="1"/>
  <c r="R52" i="38"/>
  <c r="R82" i="38" s="1"/>
  <c r="H52" i="38"/>
  <c r="H82" i="38" s="1"/>
  <c r="L52" i="38"/>
  <c r="L82" i="38" s="1"/>
  <c r="T52" i="38"/>
  <c r="T82" i="38" s="1"/>
  <c r="AT52" i="38"/>
  <c r="AT82" i="38" s="1"/>
  <c r="AR52" i="38"/>
  <c r="AR82" i="38" s="1"/>
  <c r="AJ52" i="38"/>
  <c r="AJ82" i="38" s="1"/>
  <c r="N52" i="38"/>
  <c r="N82" i="38" s="1"/>
  <c r="AN52" i="38"/>
  <c r="AN82" i="38" s="1"/>
  <c r="AL52" i="38"/>
  <c r="AL82" i="38" s="1"/>
  <c r="J52" i="38"/>
  <c r="J82" i="38" s="1"/>
  <c r="B52" i="38"/>
  <c r="B82" i="38" s="1"/>
  <c r="AH52" i="38"/>
  <c r="AH82" i="38" s="1"/>
  <c r="Z52" i="38"/>
  <c r="Z82" i="38" s="1"/>
  <c r="D52" i="38"/>
  <c r="D82" i="38" s="1"/>
  <c r="AP52" i="38"/>
  <c r="AP82" i="38" s="1"/>
  <c r="AB52" i="38"/>
  <c r="AB82" i="38" s="1"/>
  <c r="X52" i="21"/>
  <c r="X82" i="21" s="1"/>
  <c r="P52" i="21"/>
  <c r="P82" i="21" s="1"/>
  <c r="AF52" i="21"/>
  <c r="AF82" i="21" s="1"/>
  <c r="F52" i="21"/>
  <c r="F82" i="21" s="1"/>
  <c r="AV52" i="21"/>
  <c r="AV82" i="21" s="1"/>
  <c r="H52" i="21"/>
  <c r="H82" i="21" s="1"/>
  <c r="AR52" i="21"/>
  <c r="AR82" i="21" s="1"/>
  <c r="R52" i="21"/>
  <c r="R82" i="21" s="1"/>
  <c r="N52" i="21"/>
  <c r="N82" i="21" s="1"/>
  <c r="AB52" i="21"/>
  <c r="AB82" i="21" s="1"/>
  <c r="L52" i="21"/>
  <c r="L82" i="21" s="1"/>
  <c r="AD52" i="21"/>
  <c r="AD82" i="21" s="1"/>
  <c r="T52" i="21"/>
  <c r="T82" i="21" s="1"/>
  <c r="J52" i="21"/>
  <c r="J82" i="21" s="1"/>
  <c r="AT52" i="21"/>
  <c r="AT82" i="21" s="1"/>
  <c r="AP52" i="21"/>
  <c r="AP82" i="21" s="1"/>
  <c r="AN52" i="21"/>
  <c r="AN82" i="21" s="1"/>
  <c r="Z52" i="21"/>
  <c r="Z82" i="21" s="1"/>
  <c r="AJ52" i="21"/>
  <c r="AJ82" i="21" s="1"/>
  <c r="V52" i="21"/>
  <c r="V82" i="21" s="1"/>
  <c r="AH52" i="21"/>
  <c r="AH82" i="21" s="1"/>
  <c r="B52" i="21"/>
  <c r="B82" i="21" s="1"/>
  <c r="D52" i="21"/>
  <c r="D82" i="21" s="1"/>
  <c r="AL52" i="21"/>
  <c r="AL82" i="21" s="1"/>
  <c r="T52" i="24"/>
  <c r="T82" i="24" s="1"/>
  <c r="AF52" i="24"/>
  <c r="AF82" i="24" s="1"/>
  <c r="AP52" i="24"/>
  <c r="AP82" i="24" s="1"/>
  <c r="P52" i="24"/>
  <c r="P82" i="24" s="1"/>
  <c r="AJ52" i="24"/>
  <c r="AJ82" i="24" s="1"/>
  <c r="J52" i="24"/>
  <c r="J82" i="24" s="1"/>
  <c r="D52" i="24"/>
  <c r="D82" i="24" s="1"/>
  <c r="Z52" i="24"/>
  <c r="Z82" i="24" s="1"/>
  <c r="AV52" i="24"/>
  <c r="AV82" i="24" s="1"/>
  <c r="B52" i="24"/>
  <c r="B82" i="24" s="1"/>
  <c r="AH52" i="24"/>
  <c r="AH82" i="24" s="1"/>
  <c r="L52" i="24"/>
  <c r="L82" i="24" s="1"/>
  <c r="F52" i="24"/>
  <c r="F82" i="24" s="1"/>
  <c r="AD52" i="24"/>
  <c r="AD82" i="24" s="1"/>
  <c r="AR52" i="24"/>
  <c r="AR82" i="24" s="1"/>
  <c r="V52" i="24"/>
  <c r="V82" i="24" s="1"/>
  <c r="N52" i="24"/>
  <c r="N82" i="24" s="1"/>
  <c r="AB52" i="24"/>
  <c r="AB82" i="24" s="1"/>
  <c r="X52" i="24"/>
  <c r="X82" i="24" s="1"/>
  <c r="AL52" i="24"/>
  <c r="AL82" i="24" s="1"/>
  <c r="R52" i="24"/>
  <c r="R82" i="24" s="1"/>
  <c r="H52" i="24"/>
  <c r="H82" i="24" s="1"/>
  <c r="AN52" i="24"/>
  <c r="AN82" i="24" s="1"/>
  <c r="AT52" i="24"/>
  <c r="AT82" i="24" s="1"/>
  <c r="AV52" i="18"/>
  <c r="AV82" i="18" s="1"/>
  <c r="P52" i="18"/>
  <c r="P82" i="18" s="1"/>
  <c r="AF52" i="18"/>
  <c r="AF82" i="18" s="1"/>
  <c r="AB52" i="18"/>
  <c r="AB82" i="18" s="1"/>
  <c r="H52" i="18"/>
  <c r="H82" i="18" s="1"/>
  <c r="AN52" i="18"/>
  <c r="AN82" i="18" s="1"/>
  <c r="J52" i="18"/>
  <c r="J82" i="18" s="1"/>
  <c r="F52" i="18"/>
  <c r="F82" i="18" s="1"/>
  <c r="X52" i="18"/>
  <c r="X82" i="18" s="1"/>
  <c r="AJ52" i="18"/>
  <c r="AJ82" i="18" s="1"/>
  <c r="AD52" i="18"/>
  <c r="AD82" i="18" s="1"/>
  <c r="L52" i="18"/>
  <c r="L82" i="18" s="1"/>
  <c r="AH52" i="18"/>
  <c r="AH82" i="18" s="1"/>
  <c r="N52" i="18"/>
  <c r="N82" i="18" s="1"/>
  <c r="AL52" i="18"/>
  <c r="AL82" i="18" s="1"/>
  <c r="AP52" i="18"/>
  <c r="AP82" i="18" s="1"/>
  <c r="B52" i="18"/>
  <c r="B82" i="18" s="1"/>
  <c r="Z52" i="18"/>
  <c r="Z82" i="18" s="1"/>
  <c r="D52" i="18"/>
  <c r="D82" i="18" s="1"/>
  <c r="AT52" i="18"/>
  <c r="AT82" i="18" s="1"/>
  <c r="R52" i="18"/>
  <c r="R82" i="18" s="1"/>
  <c r="AR52" i="18"/>
  <c r="AR82" i="18" s="1"/>
  <c r="T52" i="18"/>
  <c r="T82" i="18" s="1"/>
  <c r="V52" i="18"/>
  <c r="V82" i="18" s="1"/>
  <c r="R52" i="22"/>
  <c r="R82" i="22" s="1"/>
  <c r="P52" i="22"/>
  <c r="P82" i="22" s="1"/>
  <c r="AJ52" i="22"/>
  <c r="AJ82" i="22" s="1"/>
  <c r="J52" i="22"/>
  <c r="J82" i="22" s="1"/>
  <c r="Z52" i="22"/>
  <c r="Z82" i="22" s="1"/>
  <c r="D52" i="22"/>
  <c r="D82" i="22" s="1"/>
  <c r="AV52" i="22"/>
  <c r="AV82" i="22" s="1"/>
  <c r="T52" i="22"/>
  <c r="T82" i="22" s="1"/>
  <c r="AP52" i="22"/>
  <c r="AP82" i="22" s="1"/>
  <c r="AF52" i="22"/>
  <c r="AF82" i="22" s="1"/>
  <c r="L52" i="22"/>
  <c r="L82" i="22" s="1"/>
  <c r="AH52" i="22"/>
  <c r="AH82" i="22" s="1"/>
  <c r="N52" i="22"/>
  <c r="N82" i="22" s="1"/>
  <c r="F52" i="22"/>
  <c r="F82" i="22" s="1"/>
  <c r="AL52" i="22"/>
  <c r="AL82" i="22" s="1"/>
  <c r="AB52" i="22"/>
  <c r="AB82" i="22" s="1"/>
  <c r="AN52" i="22"/>
  <c r="AN82" i="22" s="1"/>
  <c r="AR52" i="22"/>
  <c r="AR82" i="22" s="1"/>
  <c r="V52" i="22"/>
  <c r="V82" i="22" s="1"/>
  <c r="AT52" i="22"/>
  <c r="AT82" i="22" s="1"/>
  <c r="B52" i="22"/>
  <c r="B82" i="22" s="1"/>
  <c r="X52" i="22"/>
  <c r="X82" i="22" s="1"/>
  <c r="H52" i="22"/>
  <c r="H82" i="22" s="1"/>
  <c r="AD52" i="22"/>
  <c r="AD82" i="22" s="1"/>
  <c r="R52" i="12"/>
  <c r="R82" i="12" s="1"/>
  <c r="AF52" i="12"/>
  <c r="AF82" i="12" s="1"/>
  <c r="AP52" i="12"/>
  <c r="AP82" i="12" s="1"/>
  <c r="J52" i="12"/>
  <c r="J82" i="12" s="1"/>
  <c r="F52" i="12"/>
  <c r="F82" i="12" s="1"/>
  <c r="AV52" i="12"/>
  <c r="AV82" i="12" s="1"/>
  <c r="P52" i="12"/>
  <c r="P82" i="12" s="1"/>
  <c r="B52" i="12"/>
  <c r="B82" i="12" s="1"/>
  <c r="Z52" i="12"/>
  <c r="Z82" i="12" s="1"/>
  <c r="AJ52" i="12"/>
  <c r="AJ82" i="12" s="1"/>
  <c r="N52" i="12"/>
  <c r="N82" i="12" s="1"/>
  <c r="AB52" i="12"/>
  <c r="AB82" i="12" s="1"/>
  <c r="AR52" i="12"/>
  <c r="AR82" i="12" s="1"/>
  <c r="L52" i="12"/>
  <c r="L82" i="12" s="1"/>
  <c r="H52" i="12"/>
  <c r="H82" i="12" s="1"/>
  <c r="AN52" i="12"/>
  <c r="AN82" i="12" s="1"/>
  <c r="X52" i="12"/>
  <c r="X82" i="12" s="1"/>
  <c r="AL52" i="12"/>
  <c r="AL82" i="12" s="1"/>
  <c r="D52" i="12"/>
  <c r="D82" i="12" s="1"/>
  <c r="AH52" i="12"/>
  <c r="AH82" i="12" s="1"/>
  <c r="V52" i="12"/>
  <c r="V82" i="12" s="1"/>
  <c r="T52" i="12"/>
  <c r="T82" i="12" s="1"/>
  <c r="AT52" i="12"/>
  <c r="AT82" i="12" s="1"/>
  <c r="AD52" i="12"/>
  <c r="AD82" i="12" s="1"/>
  <c r="T52" i="11"/>
  <c r="T82" i="11" s="1"/>
  <c r="AR52" i="11"/>
  <c r="AR82" i="11" s="1"/>
  <c r="AP52" i="11"/>
  <c r="AP82" i="11" s="1"/>
  <c r="X52" i="11"/>
  <c r="X82" i="11" s="1"/>
  <c r="N52" i="11"/>
  <c r="N82" i="11" s="1"/>
  <c r="L52" i="11"/>
  <c r="L82" i="11" s="1"/>
  <c r="D52" i="11"/>
  <c r="D82" i="11" s="1"/>
  <c r="AN52" i="11"/>
  <c r="AN82" i="11" s="1"/>
  <c r="P52" i="11"/>
  <c r="P82" i="11" s="1"/>
  <c r="AF52" i="11"/>
  <c r="AF82" i="11" s="1"/>
  <c r="AD52" i="11"/>
  <c r="AD82" i="11" s="1"/>
  <c r="AT52" i="11"/>
  <c r="AT82" i="11" s="1"/>
  <c r="AB52" i="11"/>
  <c r="AB82" i="11" s="1"/>
  <c r="J52" i="11"/>
  <c r="J82" i="11" s="1"/>
  <c r="Z52" i="11"/>
  <c r="Z82" i="11" s="1"/>
  <c r="H52" i="11"/>
  <c r="H82" i="11" s="1"/>
  <c r="AJ52" i="11"/>
  <c r="AJ82" i="11" s="1"/>
  <c r="AV52" i="11"/>
  <c r="AV82" i="11" s="1"/>
  <c r="R52" i="11"/>
  <c r="R82" i="11" s="1"/>
  <c r="AH52" i="11"/>
  <c r="AH82" i="11" s="1"/>
  <c r="AL52" i="11"/>
  <c r="AL82" i="11" s="1"/>
  <c r="B52" i="11"/>
  <c r="B82" i="11" s="1"/>
  <c r="V52" i="11"/>
  <c r="V82" i="11" s="1"/>
  <c r="F52" i="11"/>
  <c r="F82" i="11" s="1"/>
  <c r="P52" i="3" a="1"/>
  <c r="P52" i="3" s="1"/>
  <c r="P82" i="3" s="1"/>
  <c r="L52" i="3" a="1"/>
  <c r="L52" i="3" s="1"/>
  <c r="L82" i="3" s="1"/>
  <c r="AL52" i="3" a="1"/>
  <c r="AL52" i="3" s="1"/>
  <c r="AL82" i="3" s="1"/>
  <c r="AJ52" i="3" a="1"/>
  <c r="AJ52" i="3" s="1"/>
  <c r="AJ82" i="3" s="1"/>
  <c r="N52" i="3" a="1"/>
  <c r="N52" i="3" s="1"/>
  <c r="N82" i="3" s="1"/>
  <c r="AH52" i="3" a="1"/>
  <c r="AH52" i="3" s="1"/>
  <c r="AH82" i="3" s="1"/>
  <c r="J52" i="3" a="1"/>
  <c r="J52" i="3" s="1"/>
  <c r="J82" i="3" s="1"/>
  <c r="AF52" i="3" a="1"/>
  <c r="AF52" i="3" s="1"/>
  <c r="AF82" i="3" s="1"/>
  <c r="H52" i="3" a="1"/>
  <c r="H52" i="3" s="1"/>
  <c r="H82" i="3" s="1"/>
  <c r="AD52" i="3" a="1"/>
  <c r="AD52" i="3" s="1"/>
  <c r="AD82" i="3" s="1"/>
  <c r="F52" i="3" a="1"/>
  <c r="F52" i="3" s="1"/>
  <c r="F82" i="3" s="1"/>
  <c r="AB52" i="3" a="1"/>
  <c r="AB52" i="3" s="1"/>
  <c r="AB82" i="3" s="1"/>
  <c r="D52" i="3" a="1"/>
  <c r="D52" i="3" s="1"/>
  <c r="D82" i="3" s="1"/>
  <c r="AV52" i="3" a="1"/>
  <c r="AV52" i="3" s="1"/>
  <c r="AV82" i="3" s="1"/>
  <c r="Z52" i="3" a="1"/>
  <c r="Z52" i="3" s="1"/>
  <c r="Z82" i="3" s="1"/>
  <c r="B52" i="3" a="1"/>
  <c r="B52" i="3" s="1"/>
  <c r="B82" i="3" s="1"/>
  <c r="AT52" i="3" a="1"/>
  <c r="AT52" i="3" s="1"/>
  <c r="AT82" i="3" s="1"/>
  <c r="X52" i="3" a="1"/>
  <c r="X52" i="3" s="1"/>
  <c r="X82" i="3" s="1"/>
  <c r="AR52" i="3" a="1"/>
  <c r="AR52" i="3" s="1"/>
  <c r="AR82" i="3" s="1"/>
  <c r="AP52" i="3" a="1"/>
  <c r="AP52" i="3" s="1"/>
  <c r="AP82" i="3" s="1"/>
  <c r="T52" i="3" a="1"/>
  <c r="T52" i="3" s="1"/>
  <c r="T82" i="3" s="1"/>
  <c r="V52" i="3" a="1"/>
  <c r="V52" i="3" s="1"/>
  <c r="V82" i="3" s="1"/>
  <c r="R52" i="3" a="1"/>
  <c r="R52" i="3" s="1"/>
  <c r="R82" i="3" s="1"/>
  <c r="AN52" i="3" a="1"/>
  <c r="AN52" i="3" s="1"/>
  <c r="AN82" i="3" s="1"/>
  <c r="C29" i="1"/>
  <c r="D29" i="1"/>
  <c r="AV72" i="3"/>
  <c r="AT72" i="3"/>
  <c r="AR72" i="3"/>
  <c r="AP72" i="3"/>
  <c r="AN72" i="3"/>
  <c r="AL72" i="3"/>
  <c r="AJ72" i="3"/>
  <c r="AH72" i="3"/>
  <c r="AF72" i="3"/>
  <c r="AD72" i="3"/>
  <c r="AB72" i="3"/>
  <c r="Z72" i="3"/>
  <c r="X72" i="3"/>
  <c r="V72" i="3"/>
  <c r="T72" i="3"/>
  <c r="R72" i="3"/>
  <c r="P72" i="3"/>
  <c r="N72" i="3"/>
  <c r="L72" i="3"/>
  <c r="J72" i="3"/>
  <c r="H72" i="3"/>
  <c r="F72" i="3"/>
  <c r="D72" i="3"/>
  <c r="B72" i="3"/>
  <c r="AV71" i="3"/>
  <c r="AT71" i="3"/>
  <c r="AR71" i="3"/>
  <c r="AP71" i="3"/>
  <c r="AN71" i="3"/>
  <c r="AL71" i="3"/>
  <c r="AJ71" i="3"/>
  <c r="AH71" i="3"/>
  <c r="AF71" i="3"/>
  <c r="AD71" i="3"/>
  <c r="AB71" i="3"/>
  <c r="Z71" i="3"/>
  <c r="X71" i="3"/>
  <c r="V71" i="3"/>
  <c r="T71" i="3"/>
  <c r="R71" i="3"/>
  <c r="P71" i="3"/>
  <c r="N71" i="3"/>
  <c r="L71" i="3"/>
  <c r="J71" i="3"/>
  <c r="H71" i="3"/>
  <c r="F71" i="3"/>
  <c r="D71" i="3"/>
  <c r="B71" i="3"/>
  <c r="AV70" i="3"/>
  <c r="AT70" i="3"/>
  <c r="AR70" i="3"/>
  <c r="AP70" i="3"/>
  <c r="AN70" i="3"/>
  <c r="AL70" i="3"/>
  <c r="AJ70" i="3"/>
  <c r="AH70" i="3"/>
  <c r="AF70" i="3"/>
  <c r="AD70" i="3"/>
  <c r="AB70" i="3"/>
  <c r="Z70" i="3"/>
  <c r="X70" i="3"/>
  <c r="V70" i="3"/>
  <c r="T70" i="3"/>
  <c r="R70" i="3"/>
  <c r="P70" i="3"/>
  <c r="N70" i="3"/>
  <c r="L70" i="3"/>
  <c r="J70" i="3"/>
  <c r="H70" i="3"/>
  <c r="F70" i="3"/>
  <c r="D70" i="3"/>
  <c r="B70" i="3"/>
  <c r="AV67" i="3" a="1"/>
  <c r="AV67" i="3" s="1"/>
  <c r="AT67" i="3" a="1"/>
  <c r="AT67" i="3" s="1"/>
  <c r="AR67" i="3" a="1"/>
  <c r="AR67" i="3" s="1"/>
  <c r="AP67" i="3" a="1"/>
  <c r="AP67" i="3" s="1"/>
  <c r="AN67" i="3" a="1"/>
  <c r="AN67" i="3" s="1"/>
  <c r="AL67" i="3" a="1"/>
  <c r="AL67" i="3" s="1"/>
  <c r="AJ67" i="3" a="1"/>
  <c r="AJ67" i="3" s="1"/>
  <c r="AH67" i="3" a="1"/>
  <c r="AH67" i="3" s="1"/>
  <c r="AF67" i="3" a="1"/>
  <c r="AF67" i="3" s="1"/>
  <c r="AD67" i="3"/>
  <c r="AD67" i="3" a="1"/>
  <c r="AB67" i="3" a="1"/>
  <c r="AB67" i="3" s="1"/>
  <c r="Z67" i="3" a="1"/>
  <c r="Z67" i="3" s="1"/>
  <c r="X67" i="3" a="1"/>
  <c r="X67" i="3" s="1"/>
  <c r="V67" i="3" a="1"/>
  <c r="V67" i="3" s="1"/>
  <c r="T67" i="3" a="1"/>
  <c r="T67" i="3" s="1"/>
  <c r="R67" i="3" a="1"/>
  <c r="R67" i="3" s="1"/>
  <c r="P67" i="3" a="1"/>
  <c r="P67" i="3" s="1"/>
  <c r="N67" i="3"/>
  <c r="N67" i="3" a="1"/>
  <c r="L67" i="3" a="1"/>
  <c r="L67" i="3" s="1"/>
  <c r="J67" i="3" a="1"/>
  <c r="J67" i="3" s="1"/>
  <c r="H67" i="3" a="1"/>
  <c r="H67" i="3" s="1"/>
  <c r="F67" i="3" a="1"/>
  <c r="F67" i="3" s="1"/>
  <c r="D67" i="3" a="1"/>
  <c r="D67" i="3" s="1"/>
  <c r="B67" i="3" a="1"/>
  <c r="B67" i="3" s="1"/>
  <c r="AV66" i="3" a="1"/>
  <c r="AV66" i="3" s="1"/>
  <c r="AT66" i="3" a="1"/>
  <c r="AT66" i="3" s="1"/>
  <c r="AR66" i="3" a="1"/>
  <c r="AR66" i="3" s="1"/>
  <c r="AP66" i="3" a="1"/>
  <c r="AP66" i="3" s="1"/>
  <c r="AN66" i="3" a="1"/>
  <c r="AN66" i="3" s="1"/>
  <c r="AL66" i="3" a="1"/>
  <c r="AL66" i="3" s="1"/>
  <c r="AJ66" i="3" a="1"/>
  <c r="AJ66" i="3" s="1"/>
  <c r="AH66" i="3" a="1"/>
  <c r="AH66" i="3" s="1"/>
  <c r="AF66" i="3" a="1"/>
  <c r="AF66" i="3" s="1"/>
  <c r="AD66" i="3" a="1"/>
  <c r="AD66" i="3" s="1"/>
  <c r="AB66" i="3" a="1"/>
  <c r="AB66" i="3" s="1"/>
  <c r="Z66" i="3" a="1"/>
  <c r="Z66" i="3" s="1"/>
  <c r="X66" i="3" a="1"/>
  <c r="X66" i="3" s="1"/>
  <c r="V66" i="3" a="1"/>
  <c r="V66" i="3" s="1"/>
  <c r="T66" i="3" a="1"/>
  <c r="T66" i="3" s="1"/>
  <c r="R66" i="3" a="1"/>
  <c r="R66" i="3" s="1"/>
  <c r="P66" i="3" a="1"/>
  <c r="P66" i="3" s="1"/>
  <c r="N66" i="3" a="1"/>
  <c r="N66" i="3" s="1"/>
  <c r="L66" i="3" a="1"/>
  <c r="L66" i="3" s="1"/>
  <c r="J66" i="3" a="1"/>
  <c r="J66" i="3" s="1"/>
  <c r="H66" i="3" a="1"/>
  <c r="H66" i="3" s="1"/>
  <c r="F66" i="3" a="1"/>
  <c r="F66" i="3" s="1"/>
  <c r="D66" i="3" a="1"/>
  <c r="D66" i="3" s="1"/>
  <c r="B66" i="3" a="1"/>
  <c r="B66" i="3" s="1"/>
  <c r="X68" i="3" l="1"/>
  <c r="Z68" i="3"/>
  <c r="V68" i="3"/>
  <c r="AF68" i="3"/>
  <c r="AT68" i="3"/>
  <c r="B68" i="3"/>
  <c r="AH68" i="3"/>
  <c r="AJ68" i="3"/>
  <c r="AP68" i="3"/>
  <c r="AV68" i="3"/>
  <c r="R68" i="3"/>
  <c r="N68" i="3"/>
  <c r="L68" i="3"/>
  <c r="AD68" i="3"/>
  <c r="T68" i="3"/>
  <c r="P68" i="3"/>
  <c r="F68" i="3"/>
  <c r="AL68" i="3"/>
  <c r="H68" i="3"/>
  <c r="D68" i="3"/>
  <c r="J68" i="3"/>
  <c r="AR68" i="3"/>
  <c r="AB68" i="3"/>
  <c r="AN68" i="3"/>
  <c r="AV80" i="3" l="1"/>
  <c r="AT80" i="3"/>
  <c r="AR80" i="3"/>
  <c r="AP80" i="3"/>
  <c r="AN80" i="3"/>
  <c r="AL80" i="3"/>
  <c r="AJ80" i="3"/>
  <c r="AH80" i="3"/>
  <c r="AF80" i="3"/>
  <c r="AD80" i="3"/>
  <c r="AB80" i="3"/>
  <c r="Z80" i="3"/>
  <c r="X80" i="3"/>
  <c r="V80" i="3"/>
  <c r="T80" i="3"/>
  <c r="R80" i="3"/>
  <c r="P80" i="3"/>
  <c r="N80" i="3"/>
  <c r="L80" i="3"/>
  <c r="J80" i="3"/>
  <c r="H80" i="3"/>
  <c r="F80" i="3"/>
  <c r="D80" i="3"/>
  <c r="B80" i="3"/>
  <c r="AV48" i="3" l="1"/>
  <c r="AT48" i="3"/>
  <c r="AR48" i="3"/>
  <c r="AP48" i="3"/>
  <c r="AN48" i="3"/>
  <c r="AL48" i="3"/>
  <c r="AJ48" i="3"/>
  <c r="AH48" i="3"/>
  <c r="AF48" i="3"/>
  <c r="AD48" i="3"/>
  <c r="AB48" i="3"/>
  <c r="Z48" i="3"/>
  <c r="X48" i="3"/>
  <c r="V48" i="3"/>
  <c r="T48" i="3"/>
  <c r="R48" i="3"/>
  <c r="P48" i="3"/>
  <c r="N48" i="3"/>
  <c r="L48" i="3"/>
  <c r="J48" i="3"/>
  <c r="H48" i="3"/>
  <c r="F48" i="3"/>
  <c r="D48" i="3"/>
  <c r="B48" i="3"/>
  <c r="F39" i="1" l="1" a="1"/>
  <c r="D52" i="2" l="1"/>
  <c r="C43" i="2" l="1"/>
  <c r="H29" i="1" l="1" a="1"/>
  <c r="H28" i="1" a="1"/>
  <c r="H27" i="1" a="1"/>
  <c r="H27" i="1" l="1"/>
  <c r="F39" i="1" l="1"/>
  <c r="H29" i="1"/>
  <c r="H28" i="1"/>
  <c r="H25" i="1" a="1"/>
  <c r="C52" i="2"/>
  <c r="AP60" i="3" l="1"/>
  <c r="B60" i="3"/>
  <c r="J56" i="3"/>
  <c r="AD60" i="3"/>
  <c r="AH56" i="3"/>
  <c r="AN60" i="3"/>
  <c r="AV56" i="3"/>
  <c r="H56" i="3"/>
  <c r="AJ60" i="3"/>
  <c r="D56" i="3"/>
  <c r="AL56" i="3"/>
  <c r="AL60" i="3"/>
  <c r="AT56" i="3"/>
  <c r="F56" i="3"/>
  <c r="Z60" i="3"/>
  <c r="AR56" i="3"/>
  <c r="AP56" i="3"/>
  <c r="AF60" i="3"/>
  <c r="AB60" i="3"/>
  <c r="AJ56" i="3"/>
  <c r="X60" i="3"/>
  <c r="AF56" i="3"/>
  <c r="V60" i="3"/>
  <c r="T60" i="3"/>
  <c r="AB56" i="3"/>
  <c r="F60" i="3"/>
  <c r="N56" i="3"/>
  <c r="R60" i="3"/>
  <c r="Z56" i="3"/>
  <c r="P60" i="3"/>
  <c r="X56" i="3"/>
  <c r="N60" i="3"/>
  <c r="V56" i="3"/>
  <c r="AR60" i="3"/>
  <c r="AH60" i="3"/>
  <c r="B56" i="3"/>
  <c r="AN56" i="3"/>
  <c r="L60" i="3"/>
  <c r="T56" i="3"/>
  <c r="J60" i="3"/>
  <c r="R56" i="3"/>
  <c r="AT60" i="3"/>
  <c r="L56" i="3"/>
  <c r="AV60" i="3"/>
  <c r="H60" i="3"/>
  <c r="P56" i="3"/>
  <c r="D60" i="3"/>
  <c r="AD56" i="3"/>
  <c r="H26" i="1"/>
  <c r="I25" i="1"/>
  <c r="H25" i="1"/>
  <c r="I26" i="1"/>
  <c r="G39" i="1"/>
  <c r="I29" i="1"/>
  <c r="I28" i="1"/>
  <c r="I27" i="1"/>
  <c r="D120" i="1"/>
  <c r="C118" i="1" l="1" a="1"/>
  <c r="C118" i="1" s="1"/>
  <c r="C45" i="2" a="1"/>
  <c r="D45" i="2" s="1"/>
  <c r="C34" i="2" a="1"/>
  <c r="C34" i="2" s="1"/>
  <c r="D118" i="1" l="1"/>
  <c r="C45" i="2"/>
  <c r="D34" i="2"/>
  <c r="W56" i="2" l="1"/>
  <c r="C37" i="2" a="1"/>
  <c r="C37" i="2" s="1"/>
  <c r="D37" i="2" l="1"/>
  <c r="C80" i="1" a="1"/>
  <c r="C80" i="1" s="1"/>
  <c r="C115" i="1" a="1"/>
  <c r="D115" i="1" s="1"/>
  <c r="C46" i="1" a="1"/>
  <c r="C46" i="1" s="1"/>
  <c r="D80" i="1" l="1"/>
  <c r="C115" i="1"/>
  <c r="D46" i="1"/>
  <c r="C31" i="2" l="1"/>
  <c r="D31" i="2" l="1"/>
  <c r="C23" i="2" a="1"/>
  <c r="C38" i="1" l="1" a="1"/>
  <c r="C38" i="1" s="1"/>
  <c r="C30" i="1" a="1"/>
  <c r="C30" i="1" s="1"/>
  <c r="H30" i="1" a="1"/>
  <c r="H30" i="1" s="1"/>
  <c r="C100" i="1" a="1"/>
  <c r="D100" i="1" s="1"/>
  <c r="D38" i="1" l="1"/>
  <c r="D30" i="1"/>
  <c r="C44" i="1" s="1" a="1"/>
  <c r="I30" i="1"/>
  <c r="K30" i="1" s="1" a="1"/>
  <c r="C100" i="1"/>
  <c r="K30" i="1" l="1"/>
  <c r="L30" i="1"/>
  <c r="D44" i="1"/>
  <c r="C44" i="1"/>
  <c r="L9" i="1" a="1"/>
  <c r="C22" i="2" a="1"/>
  <c r="C22" i="2" s="1"/>
  <c r="L9" i="1" l="1"/>
  <c r="M9" i="1"/>
  <c r="D22" i="2"/>
  <c r="C30" i="2" s="1" a="1"/>
  <c r="D30" i="2" l="1"/>
  <c r="C30" i="2"/>
  <c r="C39" i="2" l="1" a="1"/>
  <c r="C21" i="2" a="1"/>
  <c r="C116" i="1" a="1"/>
  <c r="C116" i="1" s="1"/>
  <c r="C114" i="1" a="1"/>
  <c r="D114" i="1" s="1"/>
  <c r="D116" i="1" l="1"/>
  <c r="C114" i="1"/>
  <c r="Q17" i="23" l="1"/>
  <c r="Q4" i="46" s="1"/>
  <c r="P17" i="23"/>
  <c r="P4" i="46" s="1"/>
  <c r="O17" i="23"/>
  <c r="O4" i="46" s="1"/>
  <c r="N17" i="23"/>
  <c r="N4" i="46" s="1"/>
  <c r="M17" i="23"/>
  <c r="M4" i="46" s="1"/>
  <c r="L17" i="23"/>
  <c r="L4" i="46" s="1"/>
  <c r="K17" i="23"/>
  <c r="K4" i="46" s="1"/>
  <c r="J17" i="23"/>
  <c r="J4" i="46" s="1"/>
  <c r="I17" i="23"/>
  <c r="I4" i="46" s="1"/>
  <c r="H17" i="23"/>
  <c r="H4" i="46" s="1"/>
  <c r="G17" i="23"/>
  <c r="G4" i="46" s="1"/>
  <c r="F17" i="23"/>
  <c r="F4" i="46" s="1"/>
  <c r="E17" i="23"/>
  <c r="E4" i="46" s="1"/>
  <c r="D17" i="23"/>
  <c r="D4" i="46" s="1"/>
  <c r="C17" i="23"/>
  <c r="C4" i="46" s="1"/>
  <c r="B17" i="23"/>
  <c r="B4" i="46" s="1"/>
  <c r="T19" i="23"/>
  <c r="T6" i="46" s="1"/>
  <c r="S19" i="23"/>
  <c r="S6" i="46" s="1"/>
  <c r="R19" i="23"/>
  <c r="R6" i="46" s="1"/>
  <c r="Q19" i="23"/>
  <c r="Q6" i="46" s="1"/>
  <c r="P19" i="23"/>
  <c r="P6" i="46" s="1"/>
  <c r="O19" i="23"/>
  <c r="O6" i="46" s="1"/>
  <c r="N19" i="23"/>
  <c r="N6" i="46" s="1"/>
  <c r="M19" i="23"/>
  <c r="M6" i="46" s="1"/>
  <c r="L19" i="23"/>
  <c r="L6" i="46" s="1"/>
  <c r="K19" i="23"/>
  <c r="K6" i="46" s="1"/>
  <c r="J19" i="23"/>
  <c r="J6" i="46" s="1"/>
  <c r="I19" i="23"/>
  <c r="I6" i="46" s="1"/>
  <c r="H19" i="23"/>
  <c r="H6" i="46" s="1"/>
  <c r="G19" i="23"/>
  <c r="G6" i="46" s="1"/>
  <c r="F19" i="23"/>
  <c r="F6" i="46" s="1"/>
  <c r="E19" i="23"/>
  <c r="E6" i="46" s="1"/>
  <c r="D19" i="23"/>
  <c r="D6" i="46" s="1"/>
  <c r="C19" i="23"/>
  <c r="C6" i="46" s="1"/>
  <c r="B19" i="23"/>
  <c r="B6" i="46" s="1"/>
  <c r="Y16" i="23"/>
  <c r="Y3" i="46" s="1"/>
  <c r="X16" i="23"/>
  <c r="X3" i="46" s="1"/>
  <c r="W16" i="23"/>
  <c r="W3" i="46" s="1"/>
  <c r="V16" i="23"/>
  <c r="V3" i="46" s="1"/>
  <c r="U16" i="23"/>
  <c r="U3" i="46" s="1"/>
  <c r="T16" i="23"/>
  <c r="T3" i="46" s="1"/>
  <c r="S16" i="23"/>
  <c r="S3" i="46" s="1"/>
  <c r="R16" i="23"/>
  <c r="R3" i="46" s="1"/>
  <c r="Q16" i="23"/>
  <c r="Q3" i="46" s="1"/>
  <c r="P16" i="23"/>
  <c r="P3" i="46" s="1"/>
  <c r="O16" i="23"/>
  <c r="O3" i="46" s="1"/>
  <c r="N16" i="23"/>
  <c r="N3" i="46" s="1"/>
  <c r="M16" i="23"/>
  <c r="M3" i="46" s="1"/>
  <c r="L16" i="23"/>
  <c r="L3" i="46" s="1"/>
  <c r="K16" i="23"/>
  <c r="K3" i="46" s="1"/>
  <c r="J16" i="23"/>
  <c r="J3" i="46" s="1"/>
  <c r="I16" i="23"/>
  <c r="I3" i="46" s="1"/>
  <c r="H16" i="23"/>
  <c r="H3" i="46" s="1"/>
  <c r="G16" i="23"/>
  <c r="G3" i="46" s="1"/>
  <c r="F16" i="23"/>
  <c r="F3" i="46" s="1"/>
  <c r="E16" i="23"/>
  <c r="E3" i="46" s="1"/>
  <c r="D16" i="23"/>
  <c r="D3" i="46" s="1"/>
  <c r="C16" i="23"/>
  <c r="C3" i="46" s="1"/>
  <c r="B16" i="23"/>
  <c r="B3" i="46" s="1"/>
  <c r="Y14" i="23"/>
  <c r="Y2" i="46" s="1"/>
  <c r="X14" i="23"/>
  <c r="X2" i="46" s="1"/>
  <c r="W14" i="23"/>
  <c r="W2" i="46" s="1"/>
  <c r="V14" i="23"/>
  <c r="V2" i="46" s="1"/>
  <c r="U14" i="23"/>
  <c r="U2" i="46" s="1"/>
  <c r="T14" i="23"/>
  <c r="T2" i="46" s="1"/>
  <c r="S14" i="23"/>
  <c r="S2" i="46" s="1"/>
  <c r="R14" i="23"/>
  <c r="R2" i="46" s="1"/>
  <c r="Q14" i="23"/>
  <c r="Q2" i="46" s="1"/>
  <c r="P14" i="23"/>
  <c r="P2" i="46" s="1"/>
  <c r="O14" i="23"/>
  <c r="O2" i="46" s="1"/>
  <c r="N14" i="23"/>
  <c r="N2" i="46" s="1"/>
  <c r="M14" i="23"/>
  <c r="M2" i="46" s="1"/>
  <c r="L14" i="23"/>
  <c r="L2" i="46" s="1"/>
  <c r="K14" i="23"/>
  <c r="K2" i="46" s="1"/>
  <c r="J14" i="23"/>
  <c r="J2" i="46" s="1"/>
  <c r="I14" i="23"/>
  <c r="I2" i="46" s="1"/>
  <c r="H14" i="23"/>
  <c r="H2" i="46" s="1"/>
  <c r="G14" i="23"/>
  <c r="G2" i="46" s="1"/>
  <c r="F14" i="23"/>
  <c r="F2" i="46" s="1"/>
  <c r="E14" i="23"/>
  <c r="E2" i="46" s="1"/>
  <c r="D14" i="23"/>
  <c r="D2" i="46" s="1"/>
  <c r="C14" i="23"/>
  <c r="C2" i="46" s="1"/>
  <c r="B14" i="23"/>
  <c r="B2" i="46" s="1"/>
  <c r="C45" i="1" l="1" a="1"/>
  <c r="C45" i="1" s="1"/>
  <c r="D45" i="1" l="1"/>
  <c r="L5" i="1" s="1" a="1"/>
  <c r="U56" i="2" l="1"/>
  <c r="Y56" i="2"/>
  <c r="C122" i="1" a="1"/>
  <c r="L5" i="1"/>
  <c r="M5" i="1"/>
  <c r="C122" i="1" l="1"/>
  <c r="D122" i="1"/>
  <c r="C90" i="1" a="1"/>
  <c r="D90" i="1" s="1"/>
  <c r="C85" i="1" a="1"/>
  <c r="D85" i="1" s="1"/>
  <c r="C90" i="1" l="1"/>
  <c r="C85" i="1"/>
  <c r="C32" i="1" l="1" a="1"/>
  <c r="C32" i="1" l="1"/>
  <c r="D32" i="1"/>
  <c r="C47" i="1" l="1" a="1"/>
  <c r="D47" i="1" s="1"/>
  <c r="C47" i="1" l="1"/>
  <c r="C48" i="1" a="1"/>
  <c r="D48" i="1" s="1"/>
  <c r="C55" i="1" a="1"/>
  <c r="C55" i="1" s="1"/>
  <c r="C48" i="1" l="1"/>
  <c r="C57" i="1"/>
  <c r="C121" i="1" s="1"/>
  <c r="C95" i="1" l="1" a="1"/>
  <c r="C95" i="1" s="1"/>
  <c r="D95" i="1" l="1"/>
  <c r="L8" i="1" l="1" a="1"/>
  <c r="C117" i="1" a="1"/>
  <c r="I57" i="1" a="1"/>
  <c r="I57" i="1" s="1"/>
  <c r="L57" i="1" s="1"/>
  <c r="C83" i="1" a="1"/>
  <c r="C82" i="1" a="1"/>
  <c r="M8" i="1" l="1"/>
  <c r="L8" i="1"/>
  <c r="C117" i="1"/>
  <c r="D117" i="1"/>
  <c r="C83" i="1"/>
  <c r="D83" i="1"/>
  <c r="D82" i="1"/>
  <c r="C82" i="1"/>
  <c r="N33" i="1" s="1" a="1"/>
  <c r="N33" i="1" l="1"/>
  <c r="O33" i="1"/>
  <c r="N32" i="1" a="1"/>
  <c r="H34" i="1" a="1"/>
  <c r="I34" i="1" s="1"/>
  <c r="O32" i="1" l="1"/>
  <c r="N32" i="1"/>
  <c r="H34" i="1"/>
  <c r="K34" i="1" s="1" a="1"/>
  <c r="F82" i="1" a="1"/>
  <c r="F82" i="1" s="1"/>
  <c r="L34" i="1" l="1"/>
  <c r="K34" i="1"/>
  <c r="G82" i="1"/>
  <c r="F83" i="1" s="1" a="1"/>
  <c r="F83" i="1" l="1"/>
  <c r="G83" i="1"/>
  <c r="I4" i="1" l="1"/>
  <c r="C37" i="1" l="1" a="1"/>
  <c r="D37" i="1" s="1"/>
  <c r="D14" i="1"/>
  <c r="I4" i="2"/>
  <c r="D14" i="2" s="1"/>
  <c r="C37" i="1" l="1"/>
  <c r="C70" i="1" s="1" a="1"/>
  <c r="C70" i="1" l="1"/>
  <c r="D70" i="1"/>
  <c r="C71" i="1"/>
  <c r="D71" i="1"/>
  <c r="C123" i="1" a="1"/>
  <c r="C51" i="1" a="1"/>
  <c r="H72" i="1" a="1"/>
  <c r="C72" i="1" a="1"/>
  <c r="H73" i="1" a="1"/>
  <c r="C73" i="1" a="1"/>
  <c r="O12" i="1" a="1"/>
  <c r="C25" i="1" l="1" a="1"/>
  <c r="C123" i="1"/>
  <c r="D123" i="1"/>
  <c r="C51" i="1"/>
  <c r="D51" i="1"/>
  <c r="C73" i="1"/>
  <c r="D73" i="1"/>
  <c r="I73" i="1"/>
  <c r="H73" i="1"/>
  <c r="K73" i="1" s="1" a="1"/>
  <c r="P12" i="1"/>
  <c r="O12" i="1"/>
  <c r="D72" i="1"/>
  <c r="C72" i="1"/>
  <c r="H72" i="1"/>
  <c r="I72" i="1"/>
  <c r="L73" i="1" l="1"/>
  <c r="K73" i="1"/>
  <c r="D26" i="1"/>
  <c r="C25" i="1"/>
  <c r="C26" i="1"/>
  <c r="D25" i="1"/>
  <c r="L7" i="1" a="1"/>
  <c r="C50" i="1" a="1"/>
  <c r="H45" i="1" a="1"/>
  <c r="H46" i="1" a="1"/>
  <c r="C51" i="2" a="1"/>
  <c r="K72" i="1" a="1"/>
  <c r="M7" i="1" l="1"/>
  <c r="L7" i="1"/>
  <c r="C51" i="2"/>
  <c r="D51" i="2"/>
  <c r="I46" i="1"/>
  <c r="H46" i="1"/>
  <c r="K72" i="1"/>
  <c r="L72" i="1"/>
  <c r="I45" i="1"/>
  <c r="H45" i="1"/>
  <c r="D50" i="1"/>
  <c r="C50" i="1"/>
  <c r="AB58" i="3" l="1" a="1"/>
  <c r="AB58" i="3" s="1"/>
  <c r="AF58" i="3" a="1"/>
  <c r="AF58" i="3" s="1"/>
  <c r="L58" i="3" a="1"/>
  <c r="L58" i="3" s="1"/>
  <c r="AD58" i="3" a="1"/>
  <c r="AD58" i="3" s="1"/>
  <c r="J58" i="3" a="1"/>
  <c r="J58" i="3" s="1"/>
  <c r="AT58" i="3" a="1"/>
  <c r="AT58" i="3" s="1"/>
  <c r="Z58" i="3" a="1"/>
  <c r="Z58" i="3" s="1"/>
  <c r="F58" i="3" a="1"/>
  <c r="F58" i="3" s="1"/>
  <c r="AR58" i="3" a="1"/>
  <c r="AR58" i="3" s="1"/>
  <c r="X58" i="3" a="1"/>
  <c r="X58" i="3" s="1"/>
  <c r="D58" i="3" a="1"/>
  <c r="D58" i="3" s="1"/>
  <c r="AP58" i="3" a="1"/>
  <c r="AP58" i="3" s="1"/>
  <c r="V58" i="3" a="1"/>
  <c r="V58" i="3" s="1"/>
  <c r="B58" i="3" a="1"/>
  <c r="B58" i="3" s="1"/>
  <c r="AN58" i="3" a="1"/>
  <c r="AN58" i="3" s="1"/>
  <c r="T58" i="3" a="1"/>
  <c r="T58" i="3" s="1"/>
  <c r="H58" i="3" a="1"/>
  <c r="H58" i="3" s="1"/>
  <c r="AH58" i="3" a="1"/>
  <c r="AH58" i="3" s="1"/>
  <c r="AL58" i="3" a="1"/>
  <c r="AL58" i="3" s="1"/>
  <c r="R58" i="3" a="1"/>
  <c r="R58" i="3" s="1"/>
  <c r="AV58" i="3" a="1"/>
  <c r="AV58" i="3" s="1"/>
  <c r="AJ58" i="3" a="1"/>
  <c r="AJ58" i="3" s="1"/>
  <c r="P58" i="3" a="1"/>
  <c r="P58" i="3" s="1"/>
  <c r="N58" i="3" a="1"/>
  <c r="N58" i="3" s="1"/>
  <c r="L6" i="1" a="1"/>
  <c r="L6" i="1" s="1"/>
  <c r="K45" i="1" a="1"/>
  <c r="L45" i="1" s="1"/>
  <c r="K46" i="1" a="1"/>
  <c r="L46" i="1" s="1"/>
  <c r="H32" i="1" a="1"/>
  <c r="C50" i="2" a="1"/>
  <c r="M6" i="1" l="1"/>
  <c r="K45" i="1"/>
  <c r="K46" i="1"/>
  <c r="I32" i="1"/>
  <c r="H32" i="1"/>
  <c r="K32" i="1" s="1" a="1"/>
  <c r="D50" i="2"/>
  <c r="C50" i="2"/>
  <c r="AL57" i="3" l="1" a="1"/>
  <c r="AL57" i="3" s="1"/>
  <c r="AN57" i="3" a="1"/>
  <c r="AN57" i="3" s="1"/>
  <c r="T57" i="3" a="1"/>
  <c r="T57" i="3" s="1"/>
  <c r="R57" i="3" a="1"/>
  <c r="R57" i="3" s="1"/>
  <c r="AJ57" i="3" a="1"/>
  <c r="AJ57" i="3" s="1"/>
  <c r="AH57" i="3" a="1"/>
  <c r="AH57" i="3" s="1"/>
  <c r="N57" i="3" a="1"/>
  <c r="N57" i="3" s="1"/>
  <c r="AF57" i="3" a="1"/>
  <c r="AF57" i="3" s="1"/>
  <c r="L57" i="3" a="1"/>
  <c r="L57" i="3" s="1"/>
  <c r="AD57" i="3" a="1"/>
  <c r="AD57" i="3" s="1"/>
  <c r="J57" i="3" a="1"/>
  <c r="J57" i="3" s="1"/>
  <c r="AP57" i="3" a="1"/>
  <c r="AP57" i="3" s="1"/>
  <c r="AV57" i="3" a="1"/>
  <c r="AV57" i="3" s="1"/>
  <c r="AB57" i="3" a="1"/>
  <c r="AB57" i="3" s="1"/>
  <c r="H57" i="3" a="1"/>
  <c r="H57" i="3" s="1"/>
  <c r="V57" i="3" a="1"/>
  <c r="V57" i="3" s="1"/>
  <c r="AT57" i="3" a="1"/>
  <c r="AT57" i="3" s="1"/>
  <c r="Z57" i="3" a="1"/>
  <c r="Z57" i="3" s="1"/>
  <c r="F57" i="3" a="1"/>
  <c r="F57" i="3" s="1"/>
  <c r="B57" i="3" a="1"/>
  <c r="B57" i="3" s="1"/>
  <c r="P57" i="3" a="1"/>
  <c r="P57" i="3" s="1"/>
  <c r="AR57" i="3" a="1"/>
  <c r="AR57" i="3" s="1"/>
  <c r="X57" i="3" a="1"/>
  <c r="X57" i="3" s="1"/>
  <c r="D57" i="3" a="1"/>
  <c r="D57" i="3" s="1"/>
  <c r="K32" i="1"/>
  <c r="L32" i="1"/>
  <c r="Q3" i="1" a="1"/>
  <c r="Q4" i="1" s="1"/>
  <c r="C32" i="2" a="1"/>
  <c r="Q3" i="1" l="1"/>
  <c r="K25" i="1" l="1" a="1"/>
  <c r="C93" i="1" l="1" a="1"/>
  <c r="C88" i="1" l="1" a="1"/>
  <c r="D88" i="1" s="1"/>
  <c r="C87" i="1" a="1"/>
  <c r="C87" i="1" s="1"/>
  <c r="C92" i="1" a="1"/>
  <c r="D92" i="1" s="1"/>
  <c r="L3" i="1" a="1"/>
  <c r="L4" i="1" s="1"/>
  <c r="C93" i="1"/>
  <c r="D93" i="1"/>
  <c r="C92" i="1" l="1"/>
  <c r="M3" i="1"/>
  <c r="L3" i="1"/>
  <c r="D87" i="1"/>
  <c r="M4" i="1"/>
  <c r="H70" i="1" a="1"/>
  <c r="I70" i="1" s="1"/>
  <c r="C88" i="1"/>
  <c r="H71" i="1" l="1" a="1"/>
  <c r="I71" i="1" s="1"/>
  <c r="H70" i="1"/>
  <c r="H21" i="1" a="1"/>
  <c r="H48" i="1" a="1"/>
  <c r="F92" i="1" a="1"/>
  <c r="F87" i="1" a="1"/>
  <c r="H47" i="1" a="1"/>
  <c r="H35" i="1" a="1"/>
  <c r="H71" i="1" l="1"/>
  <c r="H47" i="1"/>
  <c r="I47" i="1"/>
  <c r="G92" i="1"/>
  <c r="F92" i="1"/>
  <c r="I48" i="1"/>
  <c r="H48" i="1"/>
  <c r="H21" i="1"/>
  <c r="I21" i="1"/>
  <c r="I35" i="1"/>
  <c r="H35" i="1"/>
  <c r="K35" i="1" s="1" a="1"/>
  <c r="G87" i="1"/>
  <c r="F87" i="1"/>
  <c r="K70" i="1" l="1" a="1"/>
  <c r="L35" i="1"/>
  <c r="K35" i="1"/>
  <c r="K21" i="1" a="1"/>
  <c r="L21" i="1" s="1"/>
  <c r="K48" i="1" a="1"/>
  <c r="L48" i="1" s="1"/>
  <c r="F88" i="1" a="1"/>
  <c r="F88" i="1" s="1"/>
  <c r="F93" i="1" a="1"/>
  <c r="F93" i="1" s="1"/>
  <c r="K47" i="1" a="1"/>
  <c r="L47" i="1" s="1"/>
  <c r="L70" i="1" l="1"/>
  <c r="K70" i="1"/>
  <c r="L71" i="1"/>
  <c r="K71" i="1"/>
  <c r="K21" i="1"/>
  <c r="K47" i="1"/>
  <c r="G93" i="1"/>
  <c r="K48" i="1"/>
  <c r="G88" i="1"/>
  <c r="K26" i="1" l="1"/>
  <c r="K25" i="1" l="1"/>
  <c r="L25" i="1"/>
  <c r="C39" i="1" a="1"/>
  <c r="H39" i="1" a="1"/>
  <c r="L26" i="1"/>
  <c r="I39" i="1" l="1"/>
  <c r="H39" i="1"/>
  <c r="D39" i="1"/>
  <c r="C39" i="1"/>
  <c r="K39" i="1" l="1" a="1"/>
  <c r="L10" i="1" a="1"/>
  <c r="M10" i="1" s="1"/>
  <c r="M12" i="1" s="1"/>
  <c r="H55" i="1" a="1"/>
  <c r="H55" i="1" s="1"/>
  <c r="C40" i="1" a="1"/>
  <c r="C119" i="1" a="1"/>
  <c r="H23" i="1" a="1"/>
  <c r="K27" i="1" a="1"/>
  <c r="L27" i="1" s="1"/>
  <c r="N3" i="1" a="1"/>
  <c r="K27" i="1"/>
  <c r="L39" i="1" l="1"/>
  <c r="K39" i="1"/>
  <c r="L10" i="1"/>
  <c r="L12" i="1" s="1"/>
  <c r="I23" i="1"/>
  <c r="H23" i="1"/>
  <c r="K23" i="1" s="1" a="1"/>
  <c r="C119" i="1"/>
  <c r="D119" i="1"/>
  <c r="C40" i="1"/>
  <c r="D40" i="1"/>
  <c r="K29" i="1" a="1"/>
  <c r="C107" i="1"/>
  <c r="N4" i="1"/>
  <c r="N3" i="1"/>
  <c r="K23" i="1" l="1"/>
  <c r="L23" i="1"/>
  <c r="C77" i="1" a="1"/>
  <c r="C78" i="1" a="1"/>
  <c r="C104" i="1"/>
  <c r="C105" i="1"/>
  <c r="H57" i="1" a="1"/>
  <c r="H57" i="1" s="1"/>
  <c r="K57" i="1" s="1"/>
  <c r="K29" i="1"/>
  <c r="L29" i="1"/>
  <c r="K28" i="1" a="1"/>
  <c r="C58" i="1" a="1"/>
  <c r="C58" i="1" s="1"/>
  <c r="C62" i="1" a="1"/>
  <c r="C62" i="1" s="1"/>
  <c r="H42" i="1" s="1" a="1"/>
  <c r="H42" i="1" s="1"/>
  <c r="P3" i="1" a="1"/>
  <c r="P3" i="1" s="1"/>
  <c r="C97" i="1" a="1"/>
  <c r="C98" i="1" a="1"/>
  <c r="C64" i="1" a="1"/>
  <c r="C64" i="1" s="1"/>
  <c r="C63" i="1" a="1"/>
  <c r="C63" i="1" s="1"/>
  <c r="C63" i="2" s="1"/>
  <c r="O3" i="1" a="1"/>
  <c r="O4" i="1" s="1"/>
  <c r="H43" i="1" l="1" a="1"/>
  <c r="H43" i="1" s="1"/>
  <c r="K43" i="1" s="1" a="1"/>
  <c r="I41" i="1"/>
  <c r="H41" i="1" a="1"/>
  <c r="H41" i="1" s="1"/>
  <c r="F104" i="1"/>
  <c r="D78" i="1"/>
  <c r="C78" i="1"/>
  <c r="D77" i="1"/>
  <c r="C77" i="1"/>
  <c r="P4" i="1"/>
  <c r="C62" i="2"/>
  <c r="K55" i="1" a="1"/>
  <c r="K55" i="1" s="1"/>
  <c r="K28" i="1"/>
  <c r="L28" i="1"/>
  <c r="K42" i="1" a="1"/>
  <c r="L42" i="1" s="1"/>
  <c r="O3" i="1"/>
  <c r="R3" i="1" s="1"/>
  <c r="L14" i="1" s="1"/>
  <c r="R4" i="1"/>
  <c r="K43" i="1" l="1"/>
  <c r="L43" i="1"/>
  <c r="F77" i="1" a="1"/>
  <c r="H40" i="1" a="1"/>
  <c r="H38" i="1" a="1"/>
  <c r="C66" i="2"/>
  <c r="M14" i="1"/>
  <c r="K42" i="1"/>
  <c r="F105" i="1" a="1"/>
  <c r="F105" i="1" s="1"/>
  <c r="K41" i="1" a="1"/>
  <c r="K41" i="1" s="1"/>
  <c r="C98" i="1"/>
  <c r="C97" i="1"/>
  <c r="D97" i="1"/>
  <c r="D98" i="1"/>
  <c r="C65" i="1" l="1" a="1"/>
  <c r="C65" i="1" s="1"/>
  <c r="C67" i="2"/>
  <c r="H38" i="1"/>
  <c r="I38" i="1"/>
  <c r="H40" i="1"/>
  <c r="I40" i="1"/>
  <c r="F77" i="1"/>
  <c r="G77" i="1"/>
  <c r="H44" i="1" a="1"/>
  <c r="H44" i="1" s="1"/>
  <c r="L41" i="1"/>
  <c r="N21" i="1" a="1"/>
  <c r="N21" i="1" s="1"/>
  <c r="H24" i="1" a="1"/>
  <c r="H24" i="1" s="1"/>
  <c r="F97" i="1" a="1"/>
  <c r="F97" i="1" s="1"/>
  <c r="H37" i="1" a="1"/>
  <c r="I37" i="1" s="1"/>
  <c r="AV53" i="38" l="1"/>
  <c r="AV83" i="38" s="1"/>
  <c r="AH53" i="38"/>
  <c r="AH83" i="38" s="1"/>
  <c r="AF53" i="38"/>
  <c r="AF83" i="38" s="1"/>
  <c r="R53" i="38"/>
  <c r="R83" i="38" s="1"/>
  <c r="P53" i="38"/>
  <c r="P83" i="38" s="1"/>
  <c r="AJ53" i="38"/>
  <c r="AJ83" i="38" s="1"/>
  <c r="L53" i="38"/>
  <c r="L83" i="38" s="1"/>
  <c r="AB53" i="38"/>
  <c r="AB83" i="38" s="1"/>
  <c r="N53" i="38"/>
  <c r="N83" i="38" s="1"/>
  <c r="AP53" i="38"/>
  <c r="AP83" i="38" s="1"/>
  <c r="J53" i="38"/>
  <c r="J83" i="38" s="1"/>
  <c r="AN53" i="38"/>
  <c r="AN83" i="38" s="1"/>
  <c r="X53" i="38"/>
  <c r="X83" i="38" s="1"/>
  <c r="AL53" i="38"/>
  <c r="AL83" i="38" s="1"/>
  <c r="AT53" i="38"/>
  <c r="AT83" i="38" s="1"/>
  <c r="H53" i="38"/>
  <c r="H83" i="38" s="1"/>
  <c r="V53" i="38"/>
  <c r="V83" i="38" s="1"/>
  <c r="B53" i="38"/>
  <c r="B83" i="38" s="1"/>
  <c r="AD53" i="38"/>
  <c r="AD83" i="38" s="1"/>
  <c r="D53" i="38"/>
  <c r="D83" i="38" s="1"/>
  <c r="F53" i="38"/>
  <c r="F83" i="38" s="1"/>
  <c r="T53" i="38"/>
  <c r="T83" i="38" s="1"/>
  <c r="AR53" i="38"/>
  <c r="AR83" i="38" s="1"/>
  <c r="Z53" i="38"/>
  <c r="Z83" i="38" s="1"/>
  <c r="R53" i="21"/>
  <c r="R83" i="21" s="1"/>
  <c r="P53" i="21"/>
  <c r="P83" i="21" s="1"/>
  <c r="AJ53" i="21"/>
  <c r="AJ83" i="21" s="1"/>
  <c r="AD53" i="21"/>
  <c r="AD83" i="21" s="1"/>
  <c r="AV53" i="21"/>
  <c r="AV83" i="21" s="1"/>
  <c r="AF53" i="21"/>
  <c r="AF83" i="21" s="1"/>
  <c r="AT53" i="21"/>
  <c r="AT83" i="21" s="1"/>
  <c r="T53" i="21"/>
  <c r="T83" i="21" s="1"/>
  <c r="V53" i="21"/>
  <c r="V83" i="21" s="1"/>
  <c r="B53" i="21"/>
  <c r="B83" i="21" s="1"/>
  <c r="L53" i="21"/>
  <c r="L83" i="21" s="1"/>
  <c r="AL53" i="21"/>
  <c r="AL83" i="21" s="1"/>
  <c r="X53" i="21"/>
  <c r="X83" i="21" s="1"/>
  <c r="F53" i="21"/>
  <c r="F83" i="21" s="1"/>
  <c r="H53" i="21"/>
  <c r="H83" i="21" s="1"/>
  <c r="J53" i="21"/>
  <c r="J83" i="21" s="1"/>
  <c r="N53" i="21"/>
  <c r="N83" i="21" s="1"/>
  <c r="AR53" i="21"/>
  <c r="AR83" i="21" s="1"/>
  <c r="AN53" i="21"/>
  <c r="AN83" i="21" s="1"/>
  <c r="AH53" i="21"/>
  <c r="AH83" i="21" s="1"/>
  <c r="AB53" i="21"/>
  <c r="AB83" i="21" s="1"/>
  <c r="AP53" i="21"/>
  <c r="AP83" i="21" s="1"/>
  <c r="Z53" i="21"/>
  <c r="Z83" i="21" s="1"/>
  <c r="D53" i="21"/>
  <c r="D83" i="21" s="1"/>
  <c r="AP53" i="24"/>
  <c r="AP83" i="24" s="1"/>
  <c r="P53" i="24"/>
  <c r="P83" i="24" s="1"/>
  <c r="AJ53" i="24"/>
  <c r="AJ83" i="24" s="1"/>
  <c r="J53" i="24"/>
  <c r="J83" i="24" s="1"/>
  <c r="AF53" i="24"/>
  <c r="AF83" i="24" s="1"/>
  <c r="D53" i="24"/>
  <c r="D83" i="24" s="1"/>
  <c r="Z53" i="24"/>
  <c r="Z83" i="24" s="1"/>
  <c r="T53" i="24"/>
  <c r="T83" i="24" s="1"/>
  <c r="AV53" i="24"/>
  <c r="AV83" i="24" s="1"/>
  <c r="R53" i="24"/>
  <c r="R83" i="24" s="1"/>
  <c r="X53" i="24"/>
  <c r="X83" i="24" s="1"/>
  <c r="AB53" i="24"/>
  <c r="AB83" i="24" s="1"/>
  <c r="B53" i="24"/>
  <c r="B83" i="24" s="1"/>
  <c r="AH53" i="24"/>
  <c r="AH83" i="24" s="1"/>
  <c r="AN53" i="24"/>
  <c r="AN83" i="24" s="1"/>
  <c r="V53" i="24"/>
  <c r="V83" i="24" s="1"/>
  <c r="N53" i="24"/>
  <c r="N83" i="24" s="1"/>
  <c r="L53" i="24"/>
  <c r="L83" i="24" s="1"/>
  <c r="H53" i="24"/>
  <c r="H83" i="24" s="1"/>
  <c r="AR53" i="24"/>
  <c r="AR83" i="24" s="1"/>
  <c r="AT53" i="24"/>
  <c r="AT83" i="24" s="1"/>
  <c r="AL53" i="24"/>
  <c r="AL83" i="24" s="1"/>
  <c r="AD53" i="24"/>
  <c r="AD83" i="24" s="1"/>
  <c r="F53" i="24"/>
  <c r="F83" i="24" s="1"/>
  <c r="AV53" i="18"/>
  <c r="AV83" i="18" s="1"/>
  <c r="P53" i="18"/>
  <c r="P83" i="18" s="1"/>
  <c r="AF53" i="18"/>
  <c r="AF83" i="18" s="1"/>
  <c r="F53" i="18"/>
  <c r="F83" i="18" s="1"/>
  <c r="T53" i="18"/>
  <c r="T83" i="18" s="1"/>
  <c r="N53" i="18"/>
  <c r="N83" i="18" s="1"/>
  <c r="AR53" i="18"/>
  <c r="AR83" i="18" s="1"/>
  <c r="H53" i="18"/>
  <c r="H83" i="18" s="1"/>
  <c r="AJ53" i="18"/>
  <c r="AJ83" i="18" s="1"/>
  <c r="D53" i="18"/>
  <c r="D83" i="18" s="1"/>
  <c r="J53" i="18"/>
  <c r="J83" i="18" s="1"/>
  <c r="AL53" i="18"/>
  <c r="AL83" i="18" s="1"/>
  <c r="AB53" i="18"/>
  <c r="AB83" i="18" s="1"/>
  <c r="L53" i="18"/>
  <c r="L83" i="18" s="1"/>
  <c r="AD53" i="18"/>
  <c r="AD83" i="18" s="1"/>
  <c r="AH53" i="18"/>
  <c r="AH83" i="18" s="1"/>
  <c r="X53" i="18"/>
  <c r="X83" i="18" s="1"/>
  <c r="B53" i="18"/>
  <c r="B83" i="18" s="1"/>
  <c r="V53" i="18"/>
  <c r="V83" i="18" s="1"/>
  <c r="Z53" i="18"/>
  <c r="Z83" i="18" s="1"/>
  <c r="R53" i="18"/>
  <c r="R83" i="18" s="1"/>
  <c r="AN53" i="18"/>
  <c r="AN83" i="18" s="1"/>
  <c r="AP53" i="18"/>
  <c r="AP83" i="18" s="1"/>
  <c r="AT53" i="18"/>
  <c r="AT83" i="18" s="1"/>
  <c r="D53" i="22"/>
  <c r="D83" i="22" s="1"/>
  <c r="AJ53" i="22"/>
  <c r="AJ83" i="22" s="1"/>
  <c r="Z53" i="22"/>
  <c r="Z83" i="22" s="1"/>
  <c r="J53" i="22"/>
  <c r="J83" i="22" s="1"/>
  <c r="AV53" i="22"/>
  <c r="AV83" i="22" s="1"/>
  <c r="T53" i="22"/>
  <c r="T83" i="22" s="1"/>
  <c r="AP53" i="22"/>
  <c r="AP83" i="22" s="1"/>
  <c r="P53" i="22"/>
  <c r="P83" i="22" s="1"/>
  <c r="AF53" i="22"/>
  <c r="AF83" i="22" s="1"/>
  <c r="AH53" i="22"/>
  <c r="AH83" i="22" s="1"/>
  <c r="N53" i="22"/>
  <c r="N83" i="22" s="1"/>
  <c r="AN53" i="22"/>
  <c r="AN83" i="22" s="1"/>
  <c r="H53" i="22"/>
  <c r="H83" i="22" s="1"/>
  <c r="L53" i="22"/>
  <c r="L83" i="22" s="1"/>
  <c r="AR53" i="22"/>
  <c r="AR83" i="22" s="1"/>
  <c r="X53" i="22"/>
  <c r="X83" i="22" s="1"/>
  <c r="V53" i="22"/>
  <c r="V83" i="22" s="1"/>
  <c r="AT53" i="22"/>
  <c r="AT83" i="22" s="1"/>
  <c r="B53" i="22"/>
  <c r="B83" i="22" s="1"/>
  <c r="AD53" i="22"/>
  <c r="AD83" i="22" s="1"/>
  <c r="F53" i="22"/>
  <c r="F83" i="22" s="1"/>
  <c r="AL53" i="22"/>
  <c r="AL83" i="22" s="1"/>
  <c r="R53" i="22"/>
  <c r="R83" i="22" s="1"/>
  <c r="AB53" i="22"/>
  <c r="AB83" i="22" s="1"/>
  <c r="AP53" i="12"/>
  <c r="AP83" i="12" s="1"/>
  <c r="P53" i="12"/>
  <c r="P83" i="12" s="1"/>
  <c r="J53" i="12"/>
  <c r="J83" i="12" s="1"/>
  <c r="AF53" i="12"/>
  <c r="AF83" i="12" s="1"/>
  <c r="Z53" i="12"/>
  <c r="Z83" i="12" s="1"/>
  <c r="AV53" i="12"/>
  <c r="AV83" i="12" s="1"/>
  <c r="AJ53" i="12"/>
  <c r="AJ83" i="12" s="1"/>
  <c r="L53" i="12"/>
  <c r="L83" i="12" s="1"/>
  <c r="H53" i="12"/>
  <c r="H83" i="12" s="1"/>
  <c r="T53" i="12"/>
  <c r="T83" i="12" s="1"/>
  <c r="AR53" i="12"/>
  <c r="AR83" i="12" s="1"/>
  <c r="AN53" i="12"/>
  <c r="AN83" i="12" s="1"/>
  <c r="AD53" i="12"/>
  <c r="AD83" i="12" s="1"/>
  <c r="B53" i="12"/>
  <c r="B83" i="12" s="1"/>
  <c r="X53" i="12"/>
  <c r="X83" i="12" s="1"/>
  <c r="N53" i="12"/>
  <c r="N83" i="12" s="1"/>
  <c r="AL53" i="12"/>
  <c r="AL83" i="12" s="1"/>
  <c r="AB53" i="12"/>
  <c r="AB83" i="12" s="1"/>
  <c r="F53" i="12"/>
  <c r="F83" i="12" s="1"/>
  <c r="AH53" i="12"/>
  <c r="AH83" i="12" s="1"/>
  <c r="R53" i="12"/>
  <c r="R83" i="12" s="1"/>
  <c r="AT53" i="12"/>
  <c r="AT83" i="12" s="1"/>
  <c r="V53" i="12"/>
  <c r="V83" i="12" s="1"/>
  <c r="D53" i="12"/>
  <c r="D83" i="12" s="1"/>
  <c r="AT53" i="11"/>
  <c r="AT83" i="11" s="1"/>
  <c r="AV53" i="11"/>
  <c r="AV83" i="11" s="1"/>
  <c r="AD53" i="11"/>
  <c r="AD83" i="11" s="1"/>
  <c r="L53" i="11"/>
  <c r="L83" i="11" s="1"/>
  <c r="AB53" i="11"/>
  <c r="AB83" i="11" s="1"/>
  <c r="J53" i="11"/>
  <c r="J83" i="11" s="1"/>
  <c r="AR53" i="11"/>
  <c r="AR83" i="11" s="1"/>
  <c r="Z53" i="11"/>
  <c r="Z83" i="11" s="1"/>
  <c r="H53" i="11"/>
  <c r="H83" i="11" s="1"/>
  <c r="AP53" i="11"/>
  <c r="AP83" i="11" s="1"/>
  <c r="X53" i="11"/>
  <c r="X83" i="11" s="1"/>
  <c r="D53" i="11"/>
  <c r="D83" i="11" s="1"/>
  <c r="AN53" i="11"/>
  <c r="AN83" i="11" s="1"/>
  <c r="AJ53" i="11"/>
  <c r="AJ83" i="11" s="1"/>
  <c r="P53" i="11"/>
  <c r="P83" i="11" s="1"/>
  <c r="AF53" i="11"/>
  <c r="AF83" i="11" s="1"/>
  <c r="N53" i="11"/>
  <c r="N83" i="11" s="1"/>
  <c r="T53" i="11"/>
  <c r="T83" i="11" s="1"/>
  <c r="B53" i="11"/>
  <c r="B83" i="11" s="1"/>
  <c r="R53" i="11"/>
  <c r="R83" i="11" s="1"/>
  <c r="AL53" i="11"/>
  <c r="AL83" i="11" s="1"/>
  <c r="V53" i="11"/>
  <c r="V83" i="11" s="1"/>
  <c r="F53" i="11"/>
  <c r="F83" i="11" s="1"/>
  <c r="AH53" i="11"/>
  <c r="AH83" i="11" s="1"/>
  <c r="K38" i="1" a="1"/>
  <c r="AJ53" i="3" a="1"/>
  <c r="AB53" i="3" a="1"/>
  <c r="Z53" i="3" a="1"/>
  <c r="V53" i="3" a="1"/>
  <c r="T53" i="3" a="1"/>
  <c r="T53" i="3" s="1"/>
  <c r="T83" i="3" s="1"/>
  <c r="R53" i="3" a="1"/>
  <c r="R53" i="3" s="1"/>
  <c r="R83" i="3" s="1"/>
  <c r="P53" i="3" a="1"/>
  <c r="P53" i="3" s="1"/>
  <c r="P83" i="3" s="1"/>
  <c r="N53" i="3" a="1"/>
  <c r="N53" i="3" s="1"/>
  <c r="N83" i="3" s="1"/>
  <c r="AH53" i="3" a="1"/>
  <c r="AH53" i="3" s="1"/>
  <c r="AH83" i="3" s="1"/>
  <c r="AF53" i="3" a="1"/>
  <c r="AF53" i="3" s="1"/>
  <c r="AF83" i="3" s="1"/>
  <c r="AD53" i="3" a="1"/>
  <c r="AD53" i="3" s="1"/>
  <c r="AD83" i="3" s="1"/>
  <c r="X53" i="3" a="1"/>
  <c r="X53" i="3" s="1"/>
  <c r="X83" i="3" s="1"/>
  <c r="J53" i="3" a="1"/>
  <c r="J53" i="3" s="1"/>
  <c r="J83" i="3" s="1"/>
  <c r="AV53" i="3" a="1"/>
  <c r="AV53" i="3" s="1"/>
  <c r="AV83" i="3" s="1"/>
  <c r="H53" i="3" a="1"/>
  <c r="H53" i="3" s="1"/>
  <c r="H83" i="3" s="1"/>
  <c r="AT53" i="3" a="1"/>
  <c r="AT53" i="3" s="1"/>
  <c r="AT83" i="3" s="1"/>
  <c r="F53" i="3" a="1"/>
  <c r="F53" i="3" s="1"/>
  <c r="F83" i="3" s="1"/>
  <c r="AR53" i="3" a="1"/>
  <c r="AR53" i="3" s="1"/>
  <c r="AR83" i="3" s="1"/>
  <c r="D53" i="3" a="1"/>
  <c r="D53" i="3" s="1"/>
  <c r="D83" i="3" s="1"/>
  <c r="AP53" i="3" a="1"/>
  <c r="AP53" i="3" s="1"/>
  <c r="AP83" i="3" s="1"/>
  <c r="B53" i="3" a="1"/>
  <c r="B53" i="3" s="1"/>
  <c r="B83" i="3" s="1"/>
  <c r="AN53" i="3" a="1"/>
  <c r="AN53" i="3" s="1"/>
  <c r="AN83" i="3" s="1"/>
  <c r="AL53" i="3" a="1"/>
  <c r="L53" i="3" a="1"/>
  <c r="K65" i="1"/>
  <c r="Z53" i="3"/>
  <c r="Z83" i="3" s="1"/>
  <c r="AB53" i="3"/>
  <c r="AB83" i="3" s="1"/>
  <c r="V53" i="3"/>
  <c r="V83" i="3" s="1"/>
  <c r="L53" i="3"/>
  <c r="L83" i="3" s="1"/>
  <c r="AL53" i="3"/>
  <c r="AL83" i="3" s="1"/>
  <c r="AJ53" i="3"/>
  <c r="AJ83" i="3" s="1"/>
  <c r="C65" i="2"/>
  <c r="K59" i="2" s="1" a="1"/>
  <c r="F78" i="1" a="1"/>
  <c r="G78" i="1" s="1"/>
  <c r="O21" i="1"/>
  <c r="I44" i="1"/>
  <c r="K44" i="1" s="1" a="1"/>
  <c r="K44" i="1" s="1"/>
  <c r="G97" i="1"/>
  <c r="F98" i="1" s="1" a="1"/>
  <c r="F98" i="1" s="1"/>
  <c r="H37" i="1"/>
  <c r="K37" i="1" s="1" a="1"/>
  <c r="I24" i="1"/>
  <c r="L37" i="1" l="1"/>
  <c r="K37" i="1"/>
  <c r="L38" i="1"/>
  <c r="K38" i="1"/>
  <c r="F78" i="1"/>
  <c r="G98" i="1"/>
  <c r="L44" i="1"/>
  <c r="K24" i="1" a="1"/>
  <c r="K24" i="1" s="1"/>
  <c r="K40" i="1" a="1"/>
  <c r="L40" i="1" s="1"/>
  <c r="K40" i="1" l="1"/>
  <c r="L24" i="1"/>
  <c r="D39" i="2" l="1"/>
  <c r="K41" i="2" s="1"/>
  <c r="D32" i="2"/>
  <c r="C57" i="2"/>
  <c r="D21" i="2"/>
  <c r="D23" i="2"/>
  <c r="C21" i="2"/>
  <c r="C23" i="2"/>
  <c r="C39" i="2"/>
  <c r="C29" i="2" l="1" a="1"/>
  <c r="C27" i="2" a="1"/>
  <c r="D27" i="2" s="1"/>
  <c r="C28" i="2" a="1"/>
  <c r="C28" i="2" s="1"/>
  <c r="L10" i="2" a="1"/>
  <c r="M10" i="2" s="1"/>
  <c r="O12" i="2" a="1"/>
  <c r="P12" i="2" s="1"/>
  <c r="L7" i="2" a="1"/>
  <c r="L7" i="2" s="1"/>
  <c r="C55" i="2" a="1"/>
  <c r="C55" i="2" s="1"/>
  <c r="C24" i="2" a="1"/>
  <c r="D24" i="2" s="1"/>
  <c r="D29" i="2"/>
  <c r="C25" i="2" a="1"/>
  <c r="C27" i="2"/>
  <c r="C29" i="2"/>
  <c r="K55" i="2" s="1"/>
  <c r="C32" i="2"/>
  <c r="W59" i="2" l="1"/>
  <c r="D28" i="2"/>
  <c r="AK58" i="2" a="1"/>
  <c r="AK58" i="2" s="1"/>
  <c r="O12" i="2"/>
  <c r="L10" i="2"/>
  <c r="M7" i="2"/>
  <c r="C24" i="2"/>
  <c r="C40" i="2" s="1" a="1"/>
  <c r="D40" i="2" s="1"/>
  <c r="H23" i="2" a="1"/>
  <c r="C26" i="2"/>
  <c r="D26" i="2"/>
  <c r="D25" i="2"/>
  <c r="C25" i="2"/>
  <c r="C42" i="2" a="1"/>
  <c r="C42" i="2" s="1"/>
  <c r="AE58" i="2" a="1"/>
  <c r="AE58" i="2" s="1"/>
  <c r="Y58" i="2" a="1"/>
  <c r="Y58" i="2" s="1"/>
  <c r="AC58" i="2" a="1"/>
  <c r="AC58" i="2" s="1"/>
  <c r="AA56" i="2" a="1"/>
  <c r="AA56" i="2" s="1"/>
  <c r="AI55" i="2" a="1"/>
  <c r="AI55" i="2" s="1"/>
  <c r="Q34" i="2" a="1"/>
  <c r="R34" i="2" s="1"/>
  <c r="P3" i="2" a="1"/>
  <c r="C38" i="2" l="1" a="1"/>
  <c r="D38" i="2" s="1"/>
  <c r="T21" i="2" a="1"/>
  <c r="U21" i="2" s="1"/>
  <c r="C44" i="2" a="1"/>
  <c r="H23" i="2"/>
  <c r="I23" i="2"/>
  <c r="Q34" i="2"/>
  <c r="C40" i="2"/>
  <c r="O3" i="2" a="1"/>
  <c r="O3" i="2" s="1"/>
  <c r="P3" i="2"/>
  <c r="P4" i="2"/>
  <c r="C38" i="2" l="1"/>
  <c r="L9" i="2" s="1" a="1"/>
  <c r="M9" i="2" s="1"/>
  <c r="C44" i="2"/>
  <c r="D44" i="2"/>
  <c r="H37" i="2" a="1"/>
  <c r="T21" i="2"/>
  <c r="Q38" i="2" a="1"/>
  <c r="R38" i="2" s="1"/>
  <c r="Q23" i="2" a="1"/>
  <c r="O4" i="2"/>
  <c r="C35" i="2" a="1"/>
  <c r="L9" i="2" l="1"/>
  <c r="H37" i="2"/>
  <c r="I37" i="2"/>
  <c r="K23" i="2" a="1"/>
  <c r="Q3" i="2" a="1"/>
  <c r="C59" i="2" a="1"/>
  <c r="C59" i="2" s="1"/>
  <c r="Q38" i="2"/>
  <c r="C58" i="2" a="1"/>
  <c r="R23" i="2"/>
  <c r="Q23" i="2"/>
  <c r="W57" i="2" l="1"/>
  <c r="K37" i="2" a="1"/>
  <c r="C64" i="2" a="1"/>
  <c r="AG57" i="2"/>
  <c r="C58" i="2"/>
  <c r="D41" i="2" s="1"/>
  <c r="C64" i="2"/>
  <c r="Y57" i="2"/>
  <c r="AK57" i="2"/>
  <c r="Q4" i="2"/>
  <c r="Q3" i="2"/>
  <c r="L23" i="2"/>
  <c r="K23" i="2"/>
  <c r="AA57" i="2"/>
  <c r="U57" i="2"/>
  <c r="AC57" i="2"/>
  <c r="AE57" i="2"/>
  <c r="L37" i="2" l="1"/>
  <c r="K37" i="2"/>
  <c r="C41" i="2"/>
  <c r="N3" i="2" s="1" a="1"/>
  <c r="N4" i="2" s="1"/>
  <c r="C60" i="2" l="1" a="1"/>
  <c r="C60" i="2" s="1"/>
  <c r="K56" i="2" s="1"/>
  <c r="Q58" i="2" a="1"/>
  <c r="Q58" i="2" s="1"/>
  <c r="Q57" i="2" a="1"/>
  <c r="Q57" i="2" s="1"/>
  <c r="C56" i="2"/>
  <c r="N3" i="2"/>
  <c r="AI56" i="2" l="1" a="1"/>
  <c r="AI56" i="2" s="1"/>
  <c r="AG56" i="2" a="1"/>
  <c r="AG56" i="2" s="1"/>
  <c r="AK56" i="2" a="1"/>
  <c r="AK56" i="2" s="1"/>
  <c r="AE56" i="2" a="1"/>
  <c r="AE56" i="2" s="1"/>
  <c r="AC56" i="2" a="1"/>
  <c r="AC56" i="2" s="1"/>
  <c r="C35" i="2"/>
  <c r="D35" i="2"/>
  <c r="C70" i="2" l="1" a="1"/>
  <c r="C70" i="2" s="1"/>
  <c r="N21" i="2" a="1"/>
  <c r="O35" i="2" s="1"/>
  <c r="C48" i="2" a="1"/>
  <c r="D48" i="2" s="1"/>
  <c r="H21" i="2" a="1"/>
  <c r="H21" i="2" s="1"/>
  <c r="N35" i="2" l="1"/>
  <c r="I21" i="2"/>
  <c r="D70" i="2"/>
  <c r="C48" i="2"/>
  <c r="O33" i="2"/>
  <c r="O29" i="2"/>
  <c r="O25" i="2"/>
  <c r="O24" i="2"/>
  <c r="N29" i="2"/>
  <c r="O32" i="2"/>
  <c r="O31" i="2"/>
  <c r="O30" i="2"/>
  <c r="N31" i="2"/>
  <c r="N28" i="2"/>
  <c r="N25" i="2"/>
  <c r="N30" i="2"/>
  <c r="N24" i="2"/>
  <c r="N27" i="2"/>
  <c r="N32" i="2"/>
  <c r="N22" i="2"/>
  <c r="N23" i="2"/>
  <c r="O27" i="2"/>
  <c r="O26" i="2"/>
  <c r="O22" i="2"/>
  <c r="O28" i="2"/>
  <c r="O21" i="2"/>
  <c r="N21" i="2"/>
  <c r="N26" i="2"/>
  <c r="O23" i="2"/>
  <c r="N33" i="2"/>
  <c r="O34" i="2"/>
  <c r="N34" i="2"/>
  <c r="Q21" i="2" l="1" a="1"/>
  <c r="Q21" i="2" s="1"/>
  <c r="Q37" i="2" a="1"/>
  <c r="C71" i="2" a="1"/>
  <c r="C47" i="2" a="1"/>
  <c r="K21" i="2" a="1"/>
  <c r="K21" i="2" s="1"/>
  <c r="R21" i="2" l="1"/>
  <c r="L21" i="2"/>
  <c r="C47" i="2"/>
  <c r="K58" i="2" s="1"/>
  <c r="D47" i="2"/>
  <c r="L58" i="2" s="1"/>
  <c r="C71" i="2"/>
  <c r="D71" i="2"/>
  <c r="Q37" i="2"/>
  <c r="R37" i="2"/>
  <c r="X58" i="2" l="1"/>
  <c r="W58" i="2"/>
  <c r="AG58" i="2" a="1"/>
  <c r="AG58" i="2" s="1"/>
  <c r="AL58" i="2"/>
  <c r="AI58" i="2" a="1"/>
  <c r="AJ58" i="2" s="1"/>
  <c r="AA58" i="2" a="1"/>
  <c r="AA58" i="2" s="1"/>
  <c r="U58" i="2" a="1"/>
  <c r="V58" i="2" s="1"/>
  <c r="AF58" i="2"/>
  <c r="AD58" i="2"/>
  <c r="Z58" i="2"/>
  <c r="Q32" i="2" a="1"/>
  <c r="R32" i="2" s="1"/>
  <c r="Q45" i="2" a="1"/>
  <c r="R45" i="2" s="1"/>
  <c r="C46" i="2" a="1"/>
  <c r="Q48" i="2" a="1"/>
  <c r="Q35" i="2" a="1"/>
  <c r="H39" i="2" a="1"/>
  <c r="L3" i="2" a="1"/>
  <c r="AH58" i="2" l="1"/>
  <c r="AI58" i="2"/>
  <c r="U58" i="2"/>
  <c r="AB58" i="2"/>
  <c r="Q32" i="2"/>
  <c r="Q45" i="2"/>
  <c r="C46" i="2"/>
  <c r="D46" i="2"/>
  <c r="I39" i="2"/>
  <c r="H39" i="2"/>
  <c r="K39" i="2" s="1" a="1"/>
  <c r="Q48" i="2"/>
  <c r="R48" i="2"/>
  <c r="L3" i="2"/>
  <c r="M3" i="2"/>
  <c r="L4" i="2"/>
  <c r="M4" i="2"/>
  <c r="Q35" i="2"/>
  <c r="R35" i="2"/>
  <c r="K57" i="2" l="1"/>
  <c r="K59" i="2"/>
  <c r="W55" i="2"/>
  <c r="R3" i="2" a="1"/>
  <c r="R3" i="2" s="1"/>
  <c r="K39" i="2"/>
  <c r="L39" i="2"/>
  <c r="Y59" i="2" a="1"/>
  <c r="Y59" i="2"/>
  <c r="AG55" i="2" a="1"/>
  <c r="AG55" i="2" s="1"/>
  <c r="AG59" i="2" a="1"/>
  <c r="AG59" i="2" s="1"/>
  <c r="R4" i="2" a="1"/>
  <c r="R4" i="2" s="1"/>
  <c r="AK55" i="2"/>
  <c r="AI57" i="2" a="1"/>
  <c r="AI57" i="2" s="1"/>
  <c r="AE55" i="2"/>
  <c r="AC55" i="2"/>
  <c r="U55" i="2"/>
  <c r="AA55" i="2"/>
  <c r="Y55" i="2"/>
  <c r="Q33" i="2" a="1"/>
  <c r="Q33" i="2" s="1"/>
  <c r="Q46" i="2" a="1"/>
  <c r="R46" i="2" s="1"/>
  <c r="L5" i="2" a="1"/>
  <c r="L6" i="2" a="1"/>
  <c r="C72" i="2" a="1"/>
  <c r="N37" i="2" a="1"/>
  <c r="Q47" i="2" a="1"/>
  <c r="C73" i="2" a="1"/>
  <c r="K34" i="2" a="1"/>
  <c r="L17" i="2" l="1"/>
  <c r="AK59" i="2" a="1"/>
  <c r="AK59" i="2" s="1"/>
  <c r="AE59" i="2" a="1"/>
  <c r="AE59" i="2" s="1"/>
  <c r="U59" i="2" a="1"/>
  <c r="U59" i="2" s="1"/>
  <c r="AA59" i="2" a="1"/>
  <c r="AA59" i="2" s="1"/>
  <c r="AC59" i="2" a="1"/>
  <c r="AC59" i="2" s="1"/>
  <c r="AI59" i="2" a="1"/>
  <c r="AI59" i="2" s="1"/>
  <c r="R33" i="2"/>
  <c r="Q46" i="2"/>
  <c r="N55" i="2" a="1"/>
  <c r="D72" i="2"/>
  <c r="C72" i="2"/>
  <c r="N39" i="2"/>
  <c r="O41" i="2"/>
  <c r="N40" i="2"/>
  <c r="N41" i="2"/>
  <c r="O42" i="2"/>
  <c r="N38" i="2"/>
  <c r="O38" i="2"/>
  <c r="O37" i="2"/>
  <c r="O39" i="2"/>
  <c r="O44" i="2"/>
  <c r="O43" i="2"/>
  <c r="O40" i="2"/>
  <c r="N43" i="2"/>
  <c r="N44" i="2"/>
  <c r="N37" i="2"/>
  <c r="N42" i="2"/>
  <c r="N48" i="2"/>
  <c r="O48" i="2"/>
  <c r="N47" i="2"/>
  <c r="O47" i="2"/>
  <c r="O45" i="2"/>
  <c r="N46" i="2"/>
  <c r="N45" i="2"/>
  <c r="O46" i="2"/>
  <c r="L6" i="2"/>
  <c r="M6" i="2"/>
  <c r="K34" i="2"/>
  <c r="L34" i="2"/>
  <c r="R47" i="2"/>
  <c r="Q47" i="2"/>
  <c r="L5" i="2"/>
  <c r="M5" i="2"/>
  <c r="D73" i="2"/>
  <c r="C73" i="2"/>
  <c r="R57" i="2" a="1"/>
  <c r="R57" i="2" s="1"/>
  <c r="L8" i="2" l="1" a="1"/>
  <c r="M8" i="2" s="1"/>
  <c r="M12" i="2" s="1"/>
  <c r="N70" i="2" a="1"/>
  <c r="O72" i="2" s="1"/>
  <c r="N57" i="2"/>
  <c r="N59" i="2"/>
  <c r="N58" i="2"/>
  <c r="N56" i="2"/>
  <c r="N55" i="2"/>
  <c r="M14" i="2" l="1" a="1"/>
  <c r="M14" i="2" s="1"/>
  <c r="L8" i="2"/>
  <c r="L12" i="2" s="1"/>
  <c r="L14" i="2" s="1" a="1"/>
  <c r="L14" i="2" s="1"/>
  <c r="N70" i="2"/>
  <c r="O70" i="2"/>
  <c r="N71" i="2"/>
  <c r="O71" i="2"/>
  <c r="O73" i="2"/>
  <c r="N73" i="2"/>
  <c r="N7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Frédéric Ghersi</author>
    <author>tc={C96615DD-9C03-4E40-B6D8-F4143B40B058}</author>
    <author>tc={D3DFF277-FA45-464F-847A-E2B29A5F813E}</author>
  </authors>
  <commentList>
    <comment ref="E57" authorId="0" shapeId="0" xr:uid="{00000000-0006-0000-0000-000001000000}">
      <text>
        <r>
          <rPr>
            <b/>
            <sz val="9"/>
            <color indexed="81"/>
            <rFont val="Tahoma"/>
            <family val="2"/>
          </rPr>
          <t>Frédéric Ghersi:</t>
        </r>
        <r>
          <rPr>
            <sz val="9"/>
            <color indexed="81"/>
            <rFont val="Tahoma"/>
            <family val="2"/>
          </rPr>
          <t xml:space="preserve">
PIB UE en dollars x PIB France en euros / PIB France en dollars, 2019. Extrait le 16 février 2024.</t>
        </r>
      </text>
    </comment>
    <comment ref="C66" authorId="0" shapeId="0" xr:uid="{00000000-0006-0000-0000-000002000000}">
      <text>
        <r>
          <rPr>
            <b/>
            <sz val="9"/>
            <color indexed="81"/>
            <rFont val="Tahoma"/>
            <family val="2"/>
          </rPr>
          <t>Frédéric Ghersi:</t>
        </r>
        <r>
          <rPr>
            <sz val="9"/>
            <color indexed="81"/>
            <rFont val="Tahoma"/>
            <family val="2"/>
          </rPr>
          <t xml:space="preserve">
Le taux est déterminé par solveur. Il est élevé parce que les dépenses publiques dépassent largement T, donc le déficit d'épargne publique est élevé. Une part des épargnes élevées sL et sK couvre en fait les impôts directs. Ou encore : les taux s'appliquent au revenu brut.</t>
        </r>
      </text>
    </comment>
    <comment ref="C97" authorId="1" shapeId="0" xr:uid="{00000000-0006-0000-0000-000003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Calibrage des coefficients de la CET</t>
      </text>
    </comment>
    <comment ref="B99" authorId="2" shapeId="0" xr:uid="{00000000-0006-0000-0000-000004000000}">
      <text>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Elasticité CET</t>
      </text>
    </comment>
    <comment ref="C106" authorId="0" shapeId="0" xr:uid="{00000000-0006-0000-0000-000005000000}">
      <text>
        <r>
          <rPr>
            <b/>
            <sz val="9"/>
            <color indexed="81"/>
            <rFont val="Tahoma"/>
            <family val="2"/>
          </rPr>
          <t>Frédéric Ghersi:</t>
        </r>
        <r>
          <rPr>
            <sz val="9"/>
            <color indexed="81"/>
            <rFont val="Tahoma"/>
            <family val="2"/>
          </rPr>
          <t xml:space="preserve">
Inspired by the long-term estimate for UK from Lecca, P., McGregor, P. G., Swales, J. K., &amp; Turner, K. (2014). The added value from a general equilibrium analysis of increased efficiency in household energy use. Ecological economics, 100, 51-62.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Frédéric Ghersi</author>
  </authors>
  <commentList>
    <comment ref="C46" authorId="0" shapeId="0" xr:uid="{00000000-0006-0000-0100-000001000000}">
      <text>
        <r>
          <rPr>
            <b/>
            <sz val="9"/>
            <color indexed="81"/>
            <rFont val="Tahoma"/>
            <family val="2"/>
          </rPr>
          <t>Frédéric Ghersi:</t>
        </r>
        <r>
          <rPr>
            <sz val="9"/>
            <color indexed="81"/>
            <rFont val="Tahoma"/>
            <family val="2"/>
          </rPr>
          <t xml:space="preserve">
This flows from KL being a CES of K and L.</t>
        </r>
      </text>
    </comment>
    <comment ref="Y54" authorId="0" shapeId="0" xr:uid="{00000000-0006-0000-0100-000002000000}">
      <text>
        <r>
          <rPr>
            <b/>
            <sz val="9"/>
            <color indexed="81"/>
            <rFont val="Tahoma"/>
            <family val="2"/>
          </rPr>
          <t>Frédéric Ghersi:</t>
        </r>
        <r>
          <rPr>
            <sz val="9"/>
            <color indexed="81"/>
            <rFont val="Tahoma"/>
            <family val="2"/>
          </rPr>
          <t xml:space="preserve">
La constance de l'effort d'épargne ne change rien par rapport à Johansen (seule différence) puisque elle est mécaniquement induite par les constances de sI et sB dans Johansen. Donc Kaldor va chercher la rémunération des facteurs qui correspond strictement à celle de Johansen.</t>
        </r>
      </text>
    </comment>
    <comment ref="AA54" authorId="0" shapeId="0" xr:uid="{00000000-0006-0000-0100-000003000000}">
      <text>
        <r>
          <rPr>
            <b/>
            <sz val="9"/>
            <color indexed="81"/>
            <rFont val="Tahoma"/>
            <family val="2"/>
          </rPr>
          <t>Frédéric Ghersi:</t>
        </r>
        <r>
          <rPr>
            <sz val="9"/>
            <color indexed="81"/>
            <rFont val="Tahoma"/>
            <family val="2"/>
          </rPr>
          <t xml:space="preserve">
Par rapport au néoclassique, on substitue la contrainte de l'effort d'investissement à celle de la dotation en travail. Comme le prix des immobilisations progresse moins vite que celui du PIB (car le PIB comporte les consommations d'énergie), le volume d'investissement progresse plus vite que le PIB et produit un effet relance par la demande.</t>
        </r>
      </text>
    </comment>
    <comment ref="AK54" authorId="0" shapeId="0" xr:uid="{00000000-0006-0000-0100-000004000000}">
      <text>
        <r>
          <rPr>
            <b/>
            <sz val="9"/>
            <color indexed="81"/>
            <rFont val="Tahoma"/>
            <family val="2"/>
          </rPr>
          <t>Frédéric Ghersi:</t>
        </r>
        <r>
          <rPr>
            <sz val="9"/>
            <color indexed="81"/>
            <rFont val="Tahoma"/>
            <family val="2"/>
          </rPr>
          <t xml:space="preserve">
Option viciée ! Solutions multiples.</t>
        </r>
      </text>
    </comment>
    <comment ref="U58" authorId="0" shapeId="0" xr:uid="{00000000-0006-0000-0100-000005000000}">
      <text>
        <r>
          <rPr>
            <b/>
            <sz val="9"/>
            <color indexed="81"/>
            <rFont val="Tahoma"/>
            <family val="2"/>
          </rPr>
          <t>Frédéric Ghersi:</t>
        </r>
        <r>
          <rPr>
            <sz val="9"/>
            <color indexed="81"/>
            <rFont val="Tahoma"/>
            <family val="2"/>
          </rPr>
          <t xml:space="preserve">
This is optimal L input into KL CES considering pK and pL.</t>
        </r>
      </text>
    </comment>
    <comment ref="Z58" authorId="0" shapeId="0" xr:uid="{00000000-0006-0000-0100-000006000000}">
      <text>
        <r>
          <rPr>
            <b/>
            <sz val="9"/>
            <color indexed="81"/>
            <rFont val="Tahoma"/>
            <family val="2"/>
          </rPr>
          <t>Frédéric Ghersi:</t>
        </r>
        <r>
          <rPr>
            <sz val="9"/>
            <color indexed="81"/>
            <rFont val="Tahoma"/>
            <family val="2"/>
          </rPr>
          <t xml:space="preserve">
This is forcing the L intensity of KL to evolve in parallel in both sectors.</t>
        </r>
      </text>
    </comment>
  </commentList>
</comments>
</file>

<file path=xl/sharedStrings.xml><?xml version="1.0" encoding="utf-8"?>
<sst xmlns="http://schemas.openxmlformats.org/spreadsheetml/2006/main" count="1031" uniqueCount="187">
  <si>
    <t>X</t>
  </si>
  <si>
    <t>L net</t>
  </si>
  <si>
    <t>K</t>
  </si>
  <si>
    <t>M</t>
  </si>
  <si>
    <t>VAT</t>
  </si>
  <si>
    <t>EXCISE</t>
  </si>
  <si>
    <t>C</t>
  </si>
  <si>
    <t>G</t>
  </si>
  <si>
    <t>I</t>
  </si>
  <si>
    <t>L taxes</t>
  </si>
  <si>
    <t>Ouput taxes</t>
  </si>
  <si>
    <t>Distributed output</t>
  </si>
  <si>
    <t>pY</t>
  </si>
  <si>
    <t>pIC</t>
  </si>
  <si>
    <t>pC</t>
  </si>
  <si>
    <t>pG</t>
  </si>
  <si>
    <t>pX</t>
  </si>
  <si>
    <t>w</t>
  </si>
  <si>
    <t>pK</t>
  </si>
  <si>
    <t>Y</t>
  </si>
  <si>
    <t>tauY</t>
  </si>
  <si>
    <t>alpha</t>
  </si>
  <si>
    <t>lambda</t>
  </si>
  <si>
    <t>kappa</t>
  </si>
  <si>
    <t>COMPOSITE</t>
  </si>
  <si>
    <t>ENERGY</t>
  </si>
  <si>
    <t>tauL</t>
  </si>
  <si>
    <t>Labour</t>
  </si>
  <si>
    <t>Consumption</t>
  </si>
  <si>
    <t>pI</t>
  </si>
  <si>
    <t>Uses-Resources</t>
  </si>
  <si>
    <t>aKL</t>
  </si>
  <si>
    <t>bKL</t>
  </si>
  <si>
    <t>sigmaKL</t>
  </si>
  <si>
    <t>rhoKL</t>
  </si>
  <si>
    <t>KL</t>
  </si>
  <si>
    <t>pL</t>
  </si>
  <si>
    <t>aY</t>
  </si>
  <si>
    <t>bY</t>
  </si>
  <si>
    <t>sigmaY</t>
  </si>
  <si>
    <t>rhoY</t>
  </si>
  <si>
    <t>(pEY)</t>
  </si>
  <si>
    <t>Consistency check</t>
  </si>
  <si>
    <t>aU</t>
  </si>
  <si>
    <t>bU</t>
  </si>
  <si>
    <t>sigmaU</t>
  </si>
  <si>
    <t>rhoU</t>
  </si>
  <si>
    <t>U</t>
  </si>
  <si>
    <t>T</t>
  </si>
  <si>
    <t>aKLE</t>
  </si>
  <si>
    <t>bKLE</t>
  </si>
  <si>
    <t>sigmaKLE</t>
  </si>
  <si>
    <t>rhoKLE</t>
  </si>
  <si>
    <t>KLE</t>
  </si>
  <si>
    <t>Revenue</t>
  </si>
  <si>
    <t>(R, not allowed per XL naming conventions)</t>
  </si>
  <si>
    <t>(r, not allowed per XL naming conventions)</t>
  </si>
  <si>
    <t>(C, not allowed per XL naming conventions)</t>
  </si>
  <si>
    <t>(L, not allowed per XL naming conventions)</t>
  </si>
  <si>
    <t>Error</t>
  </si>
  <si>
    <t>Equation</t>
  </si>
  <si>
    <t>pKL</t>
  </si>
  <si>
    <t>pKLE</t>
  </si>
  <si>
    <t>(pMY)</t>
  </si>
  <si>
    <t>GDP</t>
  </si>
  <si>
    <t>Max error</t>
  </si>
  <si>
    <t>sigmaX</t>
  </si>
  <si>
    <t>Target</t>
  </si>
  <si>
    <t>Calibration</t>
  </si>
  <si>
    <t>ERROR1</t>
  </si>
  <si>
    <t>ERROR2</t>
  </si>
  <si>
    <t>ERROR3</t>
  </si>
  <si>
    <t>ERROR4</t>
  </si>
  <si>
    <t>ERROR5</t>
  </si>
  <si>
    <t>ERROR6</t>
  </si>
  <si>
    <t>B</t>
  </si>
  <si>
    <t>D</t>
  </si>
  <si>
    <t>pD</t>
  </si>
  <si>
    <t>IPC</t>
  </si>
  <si>
    <t>Variable</t>
  </si>
  <si>
    <t>Domestic saving rate</t>
  </si>
  <si>
    <t>Public spending effort</t>
  </si>
  <si>
    <t>Investment effort</t>
  </si>
  <si>
    <t>Saving rate on K income</t>
  </si>
  <si>
    <t>sK</t>
  </si>
  <si>
    <t>sL</t>
  </si>
  <si>
    <t>Model</t>
  </si>
  <si>
    <t>En rouge variable du solveur</t>
  </si>
  <si>
    <t>ERROR7</t>
  </si>
  <si>
    <t>Neoclassical</t>
  </si>
  <si>
    <t>Johansen</t>
  </si>
  <si>
    <t>Calibration!sL</t>
  </si>
  <si>
    <t>sD</t>
  </si>
  <si>
    <t>Solver variables</t>
  </si>
  <si>
    <t>Unemployment</t>
  </si>
  <si>
    <t>Profit share</t>
  </si>
  <si>
    <t>Saving rate on L income</t>
  </si>
  <si>
    <t>sigmaw</t>
  </si>
  <si>
    <t>omegaG</t>
  </si>
  <si>
    <t>omegaI</t>
  </si>
  <si>
    <t>Aggregate domestic saving rate</t>
  </si>
  <si>
    <t>Saving rate on capital income</t>
  </si>
  <si>
    <t>Saving rate on labour income</t>
  </si>
  <si>
    <t>pW</t>
  </si>
  <si>
    <t>aX</t>
  </si>
  <si>
    <t>bX</t>
  </si>
  <si>
    <t>rhoX</t>
  </si>
  <si>
    <t>ERROR10</t>
  </si>
  <si>
    <t>ERROR11</t>
  </si>
  <si>
    <t>Armington aggregate of D and M</t>
  </si>
  <si>
    <t>sG</t>
  </si>
  <si>
    <t>Output directed to Domestic markets</t>
  </si>
  <si>
    <t>Total output</t>
  </si>
  <si>
    <t>Imports</t>
  </si>
  <si>
    <t>S</t>
  </si>
  <si>
    <t>pS</t>
  </si>
  <si>
    <t>aS</t>
  </si>
  <si>
    <t>bS</t>
  </si>
  <si>
    <t>sigmaS</t>
  </si>
  <si>
    <t>rhoS</t>
  </si>
  <si>
    <t>(Relative to pKL)</t>
  </si>
  <si>
    <t>ERROR12</t>
  </si>
  <si>
    <t>Only for neoclassical production</t>
  </si>
  <si>
    <t>ERROR8&amp;9</t>
  </si>
  <si>
    <t>Capital market</t>
  </si>
  <si>
    <t>Labour market</t>
  </si>
  <si>
    <t>Trade balance</t>
  </si>
  <si>
    <t>Factor payments</t>
  </si>
  <si>
    <t>Savings/investment</t>
  </si>
  <si>
    <t>Domestic s</t>
  </si>
  <si>
    <t>Keynes-Marshall</t>
  </si>
  <si>
    <t>Keynes-Kaldor</t>
  </si>
  <si>
    <t>Fossil energy control</t>
  </si>
  <si>
    <t>Keynes-I</t>
  </si>
  <si>
    <t>T&amp;S</t>
  </si>
  <si>
    <t>tauTVA2</t>
  </si>
  <si>
    <t>tauTS</t>
  </si>
  <si>
    <t>Saving rate on budget surplus</t>
  </si>
  <si>
    <t>sK-sL</t>
  </si>
  <si>
    <t>tauTSE</t>
  </si>
  <si>
    <t>Absorption</t>
  </si>
  <si>
    <t>Neo-K2</t>
  </si>
  <si>
    <t>Neo-K1</t>
  </si>
  <si>
    <t>Real investment</t>
  </si>
  <si>
    <t>Real wage</t>
  </si>
  <si>
    <t>CPI</t>
  </si>
  <si>
    <t>Keynesian</t>
  </si>
  <si>
    <t>Kaldorian</t>
  </si>
  <si>
    <t>tauTS2</t>
  </si>
  <si>
    <t>Investment volume</t>
  </si>
  <si>
    <t>Public S</t>
  </si>
  <si>
    <t>Labour S</t>
  </si>
  <si>
    <t>Capital S</t>
  </si>
  <si>
    <t>T in GDP</t>
  </si>
  <si>
    <t>Sales tax in GDP</t>
  </si>
  <si>
    <t>L tax in GDP</t>
  </si>
  <si>
    <t>Y tax in GDP</t>
  </si>
  <si>
    <t>E sales tax in GDP</t>
  </si>
  <si>
    <t>Q sales tax in GDP</t>
  </si>
  <si>
    <t>w/pK</t>
  </si>
  <si>
    <t>GDP price index</t>
  </si>
  <si>
    <t>Real GDP</t>
  </si>
  <si>
    <t>Non-E output</t>
  </si>
  <si>
    <t>E output</t>
  </si>
  <si>
    <t>E imports</t>
  </si>
  <si>
    <t>REER</t>
  </si>
  <si>
    <t>C price index</t>
  </si>
  <si>
    <t>M price index</t>
  </si>
  <si>
    <t>C in GDP</t>
  </si>
  <si>
    <t>G in GDP</t>
  </si>
  <si>
    <t>I in GDP</t>
  </si>
  <si>
    <t>X in GDP</t>
  </si>
  <si>
    <t>M in GDP</t>
  </si>
  <si>
    <t>wL in GDP</t>
  </si>
  <si>
    <t>rK in GDP</t>
  </si>
  <si>
    <t>S_G in GDP</t>
  </si>
  <si>
    <t>S_L in GDP</t>
  </si>
  <si>
    <t>S_K in GDP</t>
  </si>
  <si>
    <t>Output taxes</t>
  </si>
  <si>
    <t>WorldBank WDI</t>
  </si>
  <si>
    <t>Copier-Coller du tableau UE 2022 - Fichier matrix_eu-ic-io_prod-by-prod_24ed_2022</t>
  </si>
  <si>
    <t>Energy control</t>
  </si>
  <si>
    <t>Welfare</t>
  </si>
  <si>
    <t>Energy tax rate</t>
  </si>
  <si>
    <t>VA-share of K</t>
  </si>
  <si>
    <t>From Results sheet</t>
  </si>
  <si>
    <t>Closure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</si>
</sst>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_-;\-* #,##0.00\ _€_-;_-* &quot;-&quot;??\ _€_-;_-@_-"/>
    <numFmt numFmtId="165" formatCode="#,##0;\-#,##0;\-"/>
    <numFmt numFmtId="166" formatCode="0E+00"/>
    <numFmt numFmtId="167" formatCode="\+0.0%;\-0.0%;\i\d."/>
    <numFmt numFmtId="168" formatCode="#,##0.000"/>
    <numFmt numFmtId="169" formatCode="0.0000"/>
    <numFmt numFmtId="170" formatCode="0.000%"/>
    <numFmt numFmtId="171" formatCode="0.0%"/>
    <numFmt numFmtId="172" formatCode="0.000"/>
  </numFmts>
  <fonts count="13" x14ac:knownFonts="1">
    <font>
      <sz val="8"/>
      <color theme="1"/>
      <name val="Arial"/>
      <family val="2"/>
    </font>
    <font>
      <sz val="8"/>
      <name val="Arial"/>
      <family val="2"/>
    </font>
    <font>
      <sz val="8"/>
      <color theme="1"/>
      <name val="Arial"/>
      <family val="2"/>
    </font>
    <font>
      <sz val="8"/>
      <color theme="0"/>
      <name val="Arial"/>
      <family val="2"/>
    </font>
    <font>
      <sz val="8"/>
      <name val="Arial"/>
      <family val="2"/>
    </font>
    <font>
      <b/>
      <sz val="8"/>
      <name val="Arial"/>
      <family val="2"/>
    </font>
    <font>
      <sz val="8"/>
      <color indexed="9"/>
      <name val="Arial"/>
      <family val="2"/>
    </font>
    <font>
      <sz val="8"/>
      <color rgb="FFFF0000"/>
      <name val="Arial"/>
      <family val="2"/>
    </font>
    <font>
      <b/>
      <sz val="8"/>
      <color theme="1"/>
      <name val="Arial"/>
      <family val="2"/>
    </font>
    <font>
      <sz val="10"/>
      <name val="Arial"/>
      <family val="2"/>
    </font>
    <font>
      <sz val="8"/>
      <color rgb="FF000000"/>
      <name val="Arial"/>
      <family val="2"/>
    </font>
    <font>
      <sz val="9"/>
      <color indexed="81"/>
      <name val="Tahoma"/>
      <family val="2"/>
    </font>
    <font>
      <b/>
      <sz val="9"/>
      <color indexed="81"/>
      <name val="Tahoma"/>
      <family val="2"/>
    </font>
  </fonts>
  <fills count="7">
    <fill>
      <patternFill patternType="none"/>
    </fill>
    <fill>
      <patternFill patternType="gray125"/>
    </fill>
    <fill>
      <patternFill patternType="solid">
        <fgColor rgb="FF666699"/>
        <bgColor indexed="64"/>
      </patternFill>
    </fill>
    <fill>
      <patternFill patternType="solid">
        <fgColor indexed="22"/>
        <bgColor indexed="64"/>
      </patternFill>
    </fill>
    <fill>
      <patternFill patternType="solid">
        <fgColor theme="1"/>
        <bgColor indexed="64"/>
      </patternFill>
    </fill>
    <fill>
      <patternFill patternType="solid">
        <fgColor rgb="FF438787"/>
        <bgColor indexed="64"/>
      </patternFill>
    </fill>
    <fill>
      <patternFill patternType="solid">
        <fgColor theme="5" tint="-0.249977111117893"/>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s>
  <cellStyleXfs count="5">
    <xf numFmtId="0" fontId="0" fillId="0" borderId="0"/>
    <xf numFmtId="164" fontId="2" fillId="0" borderId="0" applyFont="0" applyFill="0" applyBorder="0" applyAlignment="0" applyProtection="0"/>
    <xf numFmtId="9" fontId="2" fillId="0" borderId="0" applyFont="0" applyFill="0" applyBorder="0" applyAlignment="0" applyProtection="0"/>
    <xf numFmtId="165" fontId="4" fillId="0" borderId="0" applyFill="0" applyBorder="0" applyProtection="0">
      <alignment vertical="center"/>
    </xf>
    <xf numFmtId="0" fontId="9" fillId="0" borderId="0"/>
  </cellStyleXfs>
  <cellXfs count="205">
    <xf numFmtId="0" fontId="0" fillId="0" borderId="0" xfId="0"/>
    <xf numFmtId="0" fontId="4" fillId="0" borderId="0" xfId="0" applyFont="1"/>
    <xf numFmtId="0" fontId="4" fillId="0" borderId="1" xfId="0" applyFont="1" applyBorder="1"/>
    <xf numFmtId="0" fontId="4" fillId="0" borderId="2" xfId="0" applyFont="1" applyBorder="1"/>
    <xf numFmtId="0" fontId="4" fillId="0" borderId="3" xfId="0" applyFont="1" applyBorder="1"/>
    <xf numFmtId="0" fontId="4" fillId="0" borderId="4" xfId="0" applyFont="1" applyBorder="1"/>
    <xf numFmtId="0" fontId="4" fillId="0" borderId="5" xfId="0" applyFont="1" applyBorder="1"/>
    <xf numFmtId="165" fontId="3" fillId="2" borderId="7" xfId="0" applyNumberFormat="1" applyFont="1" applyFill="1" applyBorder="1"/>
    <xf numFmtId="0" fontId="3" fillId="2" borderId="8" xfId="0" applyFont="1" applyFill="1" applyBorder="1"/>
    <xf numFmtId="3" fontId="5" fillId="0" borderId="9" xfId="0" applyNumberFormat="1" applyFont="1" applyBorder="1"/>
    <xf numFmtId="0" fontId="4" fillId="0" borderId="7" xfId="0" applyFont="1" applyBorder="1"/>
    <xf numFmtId="3" fontId="5" fillId="0" borderId="13" xfId="0" applyNumberFormat="1" applyFont="1" applyBorder="1"/>
    <xf numFmtId="0" fontId="4" fillId="0" borderId="9" xfId="0" applyFont="1" applyBorder="1"/>
    <xf numFmtId="3" fontId="4" fillId="0" borderId="0" xfId="0" applyNumberFormat="1" applyFont="1"/>
    <xf numFmtId="0" fontId="4" fillId="0" borderId="14" xfId="0" applyFont="1" applyBorder="1"/>
    <xf numFmtId="0" fontId="4" fillId="0" borderId="10" xfId="0" applyFont="1" applyBorder="1"/>
    <xf numFmtId="3" fontId="4" fillId="0" borderId="6" xfId="1" applyNumberFormat="1" applyFont="1" applyFill="1" applyBorder="1" applyAlignment="1" applyProtection="1">
      <alignment vertical="center"/>
      <protection locked="0"/>
    </xf>
    <xf numFmtId="165" fontId="5" fillId="0" borderId="3" xfId="0" applyNumberFormat="1" applyFont="1" applyBorder="1"/>
    <xf numFmtId="165" fontId="5" fillId="0" borderId="5" xfId="0" applyNumberFormat="1" applyFont="1" applyBorder="1"/>
    <xf numFmtId="3" fontId="4" fillId="0" borderId="0" xfId="0" applyNumberFormat="1" applyFont="1" applyAlignment="1">
      <alignment horizontal="right"/>
    </xf>
    <xf numFmtId="3" fontId="4" fillId="0" borderId="3" xfId="0" applyNumberFormat="1" applyFont="1" applyBorder="1"/>
    <xf numFmtId="3" fontId="4" fillId="0" borderId="5" xfId="0" applyNumberFormat="1" applyFont="1" applyBorder="1"/>
    <xf numFmtId="0" fontId="5" fillId="0" borderId="0" xfId="0" applyFont="1" applyAlignment="1">
      <alignment horizontal="right"/>
    </xf>
    <xf numFmtId="3" fontId="4" fillId="0" borderId="0" xfId="2" applyNumberFormat="1" applyFont="1" applyAlignment="1">
      <alignment horizontal="right"/>
    </xf>
    <xf numFmtId="3" fontId="4" fillId="0" borderId="0" xfId="2" applyNumberFormat="1" applyFont="1" applyFill="1" applyAlignment="1">
      <alignment horizontal="center"/>
    </xf>
    <xf numFmtId="3" fontId="4" fillId="0" borderId="0" xfId="2" applyNumberFormat="1" applyFont="1"/>
    <xf numFmtId="0" fontId="3" fillId="2" borderId="0" xfId="0" applyFont="1" applyFill="1"/>
    <xf numFmtId="3" fontId="0" fillId="0" borderId="0" xfId="0" applyNumberFormat="1"/>
    <xf numFmtId="0" fontId="3" fillId="2" borderId="7" xfId="0" applyFont="1" applyFill="1" applyBorder="1"/>
    <xf numFmtId="3" fontId="3" fillId="2" borderId="7" xfId="0" applyNumberFormat="1" applyFont="1" applyFill="1" applyBorder="1"/>
    <xf numFmtId="3" fontId="3" fillId="2" borderId="8" xfId="0" applyNumberFormat="1" applyFont="1" applyFill="1" applyBorder="1"/>
    <xf numFmtId="3" fontId="0" fillId="0" borderId="1" xfId="0" applyNumberFormat="1" applyBorder="1"/>
    <xf numFmtId="3" fontId="0" fillId="0" borderId="6" xfId="0" applyNumberFormat="1" applyBorder="1"/>
    <xf numFmtId="3" fontId="0" fillId="0" borderId="10" xfId="0" applyNumberFormat="1" applyBorder="1"/>
    <xf numFmtId="3" fontId="0" fillId="0" borderId="11" xfId="0" applyNumberFormat="1" applyBorder="1"/>
    <xf numFmtId="2" fontId="0" fillId="0" borderId="1" xfId="0" applyNumberFormat="1" applyBorder="1"/>
    <xf numFmtId="2" fontId="0" fillId="0" borderId="6" xfId="0" applyNumberFormat="1" applyBorder="1"/>
    <xf numFmtId="2" fontId="0" fillId="0" borderId="10" xfId="0" applyNumberFormat="1" applyBorder="1"/>
    <xf numFmtId="2" fontId="0" fillId="0" borderId="11" xfId="0" applyNumberFormat="1" applyBorder="1"/>
    <xf numFmtId="3" fontId="0" fillId="0" borderId="7" xfId="0" applyNumberFormat="1" applyBorder="1"/>
    <xf numFmtId="3" fontId="0" fillId="0" borderId="8" xfId="0" applyNumberFormat="1" applyBorder="1"/>
    <xf numFmtId="9" fontId="0" fillId="0" borderId="1" xfId="2" applyFont="1" applyBorder="1"/>
    <xf numFmtId="9" fontId="0" fillId="0" borderId="6" xfId="2" applyFont="1" applyBorder="1"/>
    <xf numFmtId="9" fontId="0" fillId="0" borderId="10" xfId="2" applyFont="1" applyBorder="1"/>
    <xf numFmtId="9" fontId="0" fillId="0" borderId="7" xfId="2" applyFont="1" applyBorder="1"/>
    <xf numFmtId="9" fontId="0" fillId="0" borderId="8" xfId="2" applyFont="1" applyBorder="1"/>
    <xf numFmtId="3" fontId="4" fillId="0" borderId="11" xfId="0" applyNumberFormat="1" applyFont="1" applyBorder="1"/>
    <xf numFmtId="3" fontId="4" fillId="0" borderId="1" xfId="0" applyNumberFormat="1" applyFont="1" applyBorder="1"/>
    <xf numFmtId="165" fontId="4" fillId="0" borderId="1" xfId="0" applyNumberFormat="1" applyFont="1" applyBorder="1"/>
    <xf numFmtId="165" fontId="4" fillId="0" borderId="6" xfId="0" applyNumberFormat="1" applyFont="1" applyBorder="1"/>
    <xf numFmtId="165" fontId="4" fillId="0" borderId="7" xfId="0" applyNumberFormat="1" applyFont="1" applyBorder="1"/>
    <xf numFmtId="165" fontId="4" fillId="0" borderId="0" xfId="0" applyNumberFormat="1" applyFont="1"/>
    <xf numFmtId="165" fontId="4" fillId="0" borderId="10" xfId="0" applyNumberFormat="1" applyFont="1" applyBorder="1"/>
    <xf numFmtId="165" fontId="4" fillId="0" borderId="11" xfId="0" applyNumberFormat="1" applyFont="1" applyBorder="1"/>
    <xf numFmtId="165" fontId="4" fillId="0" borderId="12" xfId="0" applyNumberFormat="1" applyFont="1" applyBorder="1"/>
    <xf numFmtId="165" fontId="4" fillId="0" borderId="8" xfId="0" applyNumberFormat="1" applyFont="1" applyBorder="1"/>
    <xf numFmtId="3" fontId="4" fillId="0" borderId="7" xfId="0" applyNumberFormat="1" applyFont="1" applyBorder="1"/>
    <xf numFmtId="3" fontId="4" fillId="0" borderId="8" xfId="0" applyNumberFormat="1" applyFont="1" applyBorder="1"/>
    <xf numFmtId="3" fontId="4" fillId="0" borderId="10" xfId="0" applyNumberFormat="1" applyFont="1" applyBorder="1"/>
    <xf numFmtId="0" fontId="0" fillId="0" borderId="0" xfId="0" applyAlignment="1">
      <alignment horizontal="right"/>
    </xf>
    <xf numFmtId="3" fontId="0" fillId="0" borderId="3" xfId="0" applyNumberFormat="1" applyBorder="1"/>
    <xf numFmtId="3" fontId="0" fillId="0" borderId="5" xfId="0" applyNumberFormat="1" applyBorder="1"/>
    <xf numFmtId="3" fontId="0" fillId="0" borderId="15" xfId="0" applyNumberFormat="1" applyBorder="1"/>
    <xf numFmtId="2" fontId="0" fillId="0" borderId="9" xfId="0" applyNumberFormat="1" applyBorder="1"/>
    <xf numFmtId="2" fontId="0" fillId="0" borderId="14" xfId="0" applyNumberFormat="1" applyBorder="1"/>
    <xf numFmtId="2" fontId="0" fillId="0" borderId="13" xfId="0" applyNumberFormat="1" applyBorder="1"/>
    <xf numFmtId="3" fontId="0" fillId="0" borderId="9" xfId="0" applyNumberFormat="1" applyBorder="1"/>
    <xf numFmtId="3" fontId="0" fillId="0" borderId="13" xfId="0" applyNumberFormat="1" applyBorder="1"/>
    <xf numFmtId="167" fontId="0" fillId="0" borderId="1" xfId="0" applyNumberFormat="1" applyBorder="1"/>
    <xf numFmtId="167" fontId="0" fillId="0" borderId="6" xfId="0" applyNumberFormat="1" applyBorder="1"/>
    <xf numFmtId="167" fontId="0" fillId="0" borderId="7" xfId="0" applyNumberFormat="1" applyBorder="1"/>
    <xf numFmtId="167" fontId="0" fillId="0" borderId="8" xfId="0" applyNumberFormat="1" applyBorder="1"/>
    <xf numFmtId="167" fontId="0" fillId="0" borderId="10" xfId="0" applyNumberFormat="1" applyBorder="1"/>
    <xf numFmtId="167" fontId="0" fillId="0" borderId="11" xfId="0" applyNumberFormat="1" applyBorder="1"/>
    <xf numFmtId="167" fontId="0" fillId="0" borderId="9" xfId="0" applyNumberFormat="1" applyBorder="1"/>
    <xf numFmtId="167" fontId="0" fillId="0" borderId="14" xfId="0" applyNumberFormat="1" applyBorder="1"/>
    <xf numFmtId="167" fontId="0" fillId="0" borderId="13" xfId="0" applyNumberFormat="1" applyBorder="1"/>
    <xf numFmtId="168" fontId="0" fillId="0" borderId="14" xfId="0" applyNumberFormat="1" applyBorder="1"/>
    <xf numFmtId="0" fontId="0" fillId="0" borderId="0" xfId="0" applyAlignment="1">
      <alignment horizontal="center"/>
    </xf>
    <xf numFmtId="3" fontId="7" fillId="0" borderId="7" xfId="0" applyNumberFormat="1" applyFont="1" applyBorder="1" applyAlignment="1">
      <alignment horizontal="right"/>
    </xf>
    <xf numFmtId="3" fontId="7" fillId="0" borderId="8" xfId="0" applyNumberFormat="1" applyFont="1" applyBorder="1" applyAlignment="1">
      <alignment horizontal="right"/>
    </xf>
    <xf numFmtId="3" fontId="7" fillId="0" borderId="1" xfId="0" applyNumberFormat="1" applyFont="1" applyBorder="1"/>
    <xf numFmtId="3" fontId="7" fillId="0" borderId="6" xfId="0" applyNumberFormat="1" applyFont="1" applyBorder="1"/>
    <xf numFmtId="165" fontId="7" fillId="0" borderId="14" xfId="0" applyNumberFormat="1" applyFont="1" applyBorder="1"/>
    <xf numFmtId="3" fontId="0" fillId="0" borderId="1" xfId="0" applyNumberFormat="1" applyBorder="1" applyAlignment="1">
      <alignment horizontal="right"/>
    </xf>
    <xf numFmtId="3" fontId="0" fillId="0" borderId="6" xfId="0" applyNumberFormat="1" applyBorder="1" applyAlignment="1">
      <alignment horizontal="right"/>
    </xf>
    <xf numFmtId="3" fontId="0" fillId="0" borderId="7" xfId="0" applyNumberFormat="1" applyBorder="1" applyAlignment="1">
      <alignment horizontal="right"/>
    </xf>
    <xf numFmtId="3" fontId="0" fillId="0" borderId="8" xfId="0" applyNumberFormat="1" applyBorder="1" applyAlignment="1">
      <alignment horizontal="right"/>
    </xf>
    <xf numFmtId="9" fontId="3" fillId="5" borderId="1" xfId="2" applyFont="1" applyFill="1" applyBorder="1"/>
    <xf numFmtId="9" fontId="3" fillId="5" borderId="6" xfId="2" applyFont="1" applyFill="1" applyBorder="1"/>
    <xf numFmtId="9" fontId="3" fillId="5" borderId="10" xfId="2" applyFont="1" applyFill="1" applyBorder="1"/>
    <xf numFmtId="9" fontId="3" fillId="2" borderId="15" xfId="0" applyNumberFormat="1" applyFont="1" applyFill="1" applyBorder="1"/>
    <xf numFmtId="0" fontId="8" fillId="0" borderId="0" xfId="0" applyFont="1"/>
    <xf numFmtId="3" fontId="7" fillId="0" borderId="7" xfId="0" applyNumberFormat="1" applyFont="1" applyBorder="1"/>
    <xf numFmtId="3" fontId="7" fillId="0" borderId="8" xfId="0" applyNumberFormat="1" applyFont="1" applyBorder="1"/>
    <xf numFmtId="3" fontId="3" fillId="5" borderId="7" xfId="0" applyNumberFormat="1" applyFont="1" applyFill="1" applyBorder="1"/>
    <xf numFmtId="3" fontId="3" fillId="5" borderId="8" xfId="0" applyNumberFormat="1" applyFont="1" applyFill="1" applyBorder="1"/>
    <xf numFmtId="3" fontId="1" fillId="0" borderId="0" xfId="0" applyNumberFormat="1" applyFont="1"/>
    <xf numFmtId="3" fontId="1" fillId="0" borderId="1" xfId="0" applyNumberFormat="1" applyFont="1" applyBorder="1"/>
    <xf numFmtId="3" fontId="1" fillId="0" borderId="6" xfId="1" applyNumberFormat="1" applyFont="1" applyFill="1" applyBorder="1" applyAlignment="1" applyProtection="1">
      <alignment vertical="center"/>
      <protection locked="0"/>
    </xf>
    <xf numFmtId="3" fontId="1" fillId="0" borderId="0" xfId="0" applyNumberFormat="1" applyFont="1" applyAlignment="1">
      <alignment horizontal="right"/>
    </xf>
    <xf numFmtId="3" fontId="1" fillId="0" borderId="3" xfId="0" applyNumberFormat="1" applyFont="1" applyBorder="1"/>
    <xf numFmtId="3" fontId="1" fillId="0" borderId="5" xfId="0" applyNumberFormat="1" applyFont="1" applyBorder="1"/>
    <xf numFmtId="0" fontId="1" fillId="0" borderId="0" xfId="0" applyFont="1"/>
    <xf numFmtId="165" fontId="5" fillId="0" borderId="10" xfId="0" applyNumberFormat="1" applyFont="1" applyBorder="1"/>
    <xf numFmtId="165" fontId="5" fillId="0" borderId="11" xfId="0" applyNumberFormat="1" applyFont="1" applyBorder="1"/>
    <xf numFmtId="0" fontId="7" fillId="0" borderId="0" xfId="0" applyFont="1"/>
    <xf numFmtId="0" fontId="8" fillId="0" borderId="0" xfId="0" applyFont="1" applyAlignment="1">
      <alignment horizontal="right"/>
    </xf>
    <xf numFmtId="9" fontId="4" fillId="0" borderId="0" xfId="2" applyFont="1" applyFill="1"/>
    <xf numFmtId="169" fontId="0" fillId="0" borderId="0" xfId="0" applyNumberFormat="1"/>
    <xf numFmtId="3" fontId="1" fillId="0" borderId="7" xfId="0" applyNumberFormat="1" applyFont="1" applyBorder="1"/>
    <xf numFmtId="3" fontId="0" fillId="0" borderId="14" xfId="0" applyNumberFormat="1" applyBorder="1"/>
    <xf numFmtId="3" fontId="1" fillId="0" borderId="9" xfId="0" applyNumberFormat="1" applyFont="1" applyBorder="1"/>
    <xf numFmtId="166" fontId="1" fillId="3" borderId="0" xfId="4" quotePrefix="1" applyNumberFormat="1" applyFont="1" applyFill="1"/>
    <xf numFmtId="166" fontId="1" fillId="3" borderId="15" xfId="4" quotePrefix="1" applyNumberFormat="1" applyFont="1" applyFill="1" applyBorder="1"/>
    <xf numFmtId="165" fontId="0" fillId="0" borderId="0" xfId="0" applyNumberFormat="1"/>
    <xf numFmtId="166" fontId="0" fillId="0" borderId="0" xfId="0" applyNumberFormat="1"/>
    <xf numFmtId="0" fontId="5" fillId="0" borderId="0" xfId="0" applyFont="1"/>
    <xf numFmtId="165" fontId="4" fillId="0" borderId="3" xfId="0" applyNumberFormat="1" applyFont="1" applyBorder="1"/>
    <xf numFmtId="165" fontId="4" fillId="0" borderId="5" xfId="0" applyNumberFormat="1" applyFont="1" applyBorder="1"/>
    <xf numFmtId="166" fontId="1" fillId="3" borderId="3" xfId="4" quotePrefix="1" applyNumberFormat="1" applyFont="1" applyFill="1" applyBorder="1"/>
    <xf numFmtId="166" fontId="1" fillId="3" borderId="5" xfId="4" quotePrefix="1" applyNumberFormat="1" applyFont="1" applyFill="1" applyBorder="1"/>
    <xf numFmtId="166" fontId="3" fillId="4" borderId="0" xfId="0" applyNumberFormat="1" applyFont="1" applyFill="1"/>
    <xf numFmtId="0" fontId="3" fillId="2" borderId="14" xfId="0" applyFont="1" applyFill="1" applyBorder="1"/>
    <xf numFmtId="165" fontId="0" fillId="0" borderId="14" xfId="0" applyNumberFormat="1" applyBorder="1"/>
    <xf numFmtId="167" fontId="0" fillId="0" borderId="0" xfId="0" applyNumberFormat="1"/>
    <xf numFmtId="2" fontId="0" fillId="0" borderId="0" xfId="0" applyNumberFormat="1"/>
    <xf numFmtId="0" fontId="8" fillId="0" borderId="0" xfId="0" applyFont="1" applyAlignment="1">
      <alignment horizontal="center"/>
    </xf>
    <xf numFmtId="9" fontId="3" fillId="0" borderId="0" xfId="2" applyFont="1" applyFill="1" applyBorder="1"/>
    <xf numFmtId="168" fontId="0" fillId="0" borderId="0" xfId="0" applyNumberFormat="1"/>
    <xf numFmtId="9" fontId="3" fillId="0" borderId="0" xfId="0" applyNumberFormat="1" applyFont="1"/>
    <xf numFmtId="165" fontId="3" fillId="2" borderId="0" xfId="0" applyNumberFormat="1" applyFont="1" applyFill="1"/>
    <xf numFmtId="0" fontId="4" fillId="0" borderId="6" xfId="0" applyFont="1" applyBorder="1"/>
    <xf numFmtId="165" fontId="3" fillId="2" borderId="1" xfId="0" applyNumberFormat="1" applyFont="1" applyFill="1" applyBorder="1"/>
    <xf numFmtId="165" fontId="3" fillId="2" borderId="2" xfId="0" applyNumberFormat="1" applyFont="1" applyFill="1" applyBorder="1"/>
    <xf numFmtId="165" fontId="3" fillId="2" borderId="9" xfId="0" applyNumberFormat="1" applyFont="1" applyFill="1" applyBorder="1"/>
    <xf numFmtId="165" fontId="3" fillId="2" borderId="10" xfId="0" applyNumberFormat="1" applyFont="1" applyFill="1" applyBorder="1"/>
    <xf numFmtId="165" fontId="3" fillId="2" borderId="12" xfId="0" applyNumberFormat="1" applyFont="1" applyFill="1" applyBorder="1"/>
    <xf numFmtId="165" fontId="3" fillId="2" borderId="13" xfId="0" applyNumberFormat="1" applyFont="1" applyFill="1" applyBorder="1"/>
    <xf numFmtId="165" fontId="3" fillId="2" borderId="6" xfId="0" applyNumberFormat="1" applyFont="1" applyFill="1" applyBorder="1"/>
    <xf numFmtId="165" fontId="3" fillId="2" borderId="8" xfId="0" applyNumberFormat="1" applyFont="1" applyFill="1" applyBorder="1"/>
    <xf numFmtId="165" fontId="3" fillId="2" borderId="11" xfId="0" applyNumberFormat="1" applyFont="1" applyFill="1" applyBorder="1"/>
    <xf numFmtId="165" fontId="3" fillId="2" borderId="3" xfId="0" applyNumberFormat="1" applyFont="1" applyFill="1" applyBorder="1"/>
    <xf numFmtId="165" fontId="3" fillId="2" borderId="5" xfId="0" applyNumberFormat="1" applyFont="1" applyFill="1" applyBorder="1"/>
    <xf numFmtId="3" fontId="7" fillId="0" borderId="10" xfId="2" applyNumberFormat="1" applyFont="1" applyFill="1" applyBorder="1"/>
    <xf numFmtId="3" fontId="7" fillId="0" borderId="11" xfId="2" applyNumberFormat="1" applyFont="1" applyFill="1" applyBorder="1"/>
    <xf numFmtId="3" fontId="7" fillId="0" borderId="7" xfId="2" applyNumberFormat="1" applyFont="1" applyFill="1" applyBorder="1"/>
    <xf numFmtId="3" fontId="7" fillId="0" borderId="8" xfId="2" applyNumberFormat="1" applyFont="1" applyFill="1" applyBorder="1"/>
    <xf numFmtId="165" fontId="7" fillId="0" borderId="10" xfId="0" applyNumberFormat="1" applyFont="1" applyBorder="1"/>
    <xf numFmtId="165" fontId="7" fillId="0" borderId="7" xfId="0" applyNumberFormat="1" applyFont="1" applyBorder="1"/>
    <xf numFmtId="0" fontId="0" fillId="0" borderId="8" xfId="0" applyBorder="1"/>
    <xf numFmtId="165" fontId="7" fillId="0" borderId="11" xfId="0" applyNumberFormat="1" applyFont="1" applyBorder="1"/>
    <xf numFmtId="9" fontId="0" fillId="0" borderId="0" xfId="2" applyFont="1" applyBorder="1"/>
    <xf numFmtId="171" fontId="0" fillId="0" borderId="9" xfId="2" applyNumberFormat="1" applyFont="1" applyBorder="1"/>
    <xf numFmtId="171" fontId="1" fillId="0" borderId="14" xfId="2" applyNumberFormat="1" applyFont="1" applyFill="1" applyBorder="1"/>
    <xf numFmtId="171" fontId="3" fillId="2" borderId="15" xfId="2" applyNumberFormat="1" applyFont="1" applyFill="1" applyBorder="1"/>
    <xf numFmtId="11" fontId="0" fillId="0" borderId="0" xfId="0" applyNumberFormat="1"/>
    <xf numFmtId="165" fontId="7" fillId="0" borderId="8" xfId="0" applyNumberFormat="1" applyFont="1" applyBorder="1"/>
    <xf numFmtId="3" fontId="1" fillId="0" borderId="10" xfId="0" applyNumberFormat="1" applyFont="1" applyBorder="1"/>
    <xf numFmtId="3" fontId="1" fillId="0" borderId="11" xfId="0" applyNumberFormat="1" applyFont="1" applyBorder="1"/>
    <xf numFmtId="3" fontId="3" fillId="2" borderId="10" xfId="0" applyNumberFormat="1" applyFont="1" applyFill="1" applyBorder="1"/>
    <xf numFmtId="3" fontId="3" fillId="2" borderId="11" xfId="0" applyNumberFormat="1" applyFont="1" applyFill="1" applyBorder="1"/>
    <xf numFmtId="3" fontId="3" fillId="2" borderId="1" xfId="0" applyNumberFormat="1" applyFont="1" applyFill="1" applyBorder="1"/>
    <xf numFmtId="3" fontId="3" fillId="2" borderId="6" xfId="0" applyNumberFormat="1" applyFont="1" applyFill="1" applyBorder="1"/>
    <xf numFmtId="3" fontId="1" fillId="0" borderId="8" xfId="0" applyNumberFormat="1" applyFont="1" applyBorder="1"/>
    <xf numFmtId="3" fontId="1" fillId="0" borderId="11" xfId="2" applyNumberFormat="1" applyFont="1" applyFill="1" applyBorder="1"/>
    <xf numFmtId="171" fontId="3" fillId="6" borderId="0" xfId="0" applyNumberFormat="1" applyFont="1" applyFill="1"/>
    <xf numFmtId="171" fontId="0" fillId="0" borderId="0" xfId="2" applyNumberFormat="1" applyFont="1" applyBorder="1"/>
    <xf numFmtId="3" fontId="3" fillId="2" borderId="10" xfId="2" applyNumberFormat="1" applyFont="1" applyFill="1" applyBorder="1"/>
    <xf numFmtId="3" fontId="3" fillId="2" borderId="11" xfId="2" applyNumberFormat="1" applyFont="1" applyFill="1" applyBorder="1"/>
    <xf numFmtId="172" fontId="3" fillId="2" borderId="7" xfId="0" applyNumberFormat="1" applyFont="1" applyFill="1" applyBorder="1"/>
    <xf numFmtId="172" fontId="3" fillId="2" borderId="8" xfId="0" applyNumberFormat="1" applyFont="1" applyFill="1" applyBorder="1"/>
    <xf numFmtId="171" fontId="0" fillId="0" borderId="13" xfId="2" applyNumberFormat="1" applyFont="1" applyBorder="1"/>
    <xf numFmtId="172" fontId="0" fillId="0" borderId="1" xfId="0" applyNumberFormat="1" applyBorder="1"/>
    <xf numFmtId="172" fontId="0" fillId="0" borderId="6" xfId="0" applyNumberFormat="1" applyBorder="1"/>
    <xf numFmtId="172" fontId="0" fillId="0" borderId="7" xfId="0" applyNumberFormat="1" applyBorder="1"/>
    <xf numFmtId="172" fontId="0" fillId="0" borderId="8" xfId="0" applyNumberFormat="1" applyBorder="1"/>
    <xf numFmtId="172" fontId="3" fillId="2" borderId="3" xfId="1" applyNumberFormat="1" applyFont="1" applyFill="1" applyBorder="1"/>
    <xf numFmtId="172" fontId="3" fillId="2" borderId="5" xfId="1" applyNumberFormat="1" applyFont="1" applyFill="1" applyBorder="1"/>
    <xf numFmtId="172" fontId="0" fillId="0" borderId="10" xfId="0" applyNumberFormat="1" applyBorder="1"/>
    <xf numFmtId="172" fontId="0" fillId="0" borderId="11" xfId="0" applyNumberFormat="1" applyBorder="1"/>
    <xf numFmtId="172" fontId="0" fillId="0" borderId="0" xfId="0" applyNumberFormat="1"/>
    <xf numFmtId="171" fontId="3" fillId="5" borderId="14" xfId="2" applyNumberFormat="1" applyFont="1" applyFill="1" applyBorder="1"/>
    <xf numFmtId="171" fontId="0" fillId="0" borderId="0" xfId="2" applyNumberFormat="1" applyFont="1"/>
    <xf numFmtId="0" fontId="5" fillId="0" borderId="0" xfId="0" applyFont="1" applyAlignment="1">
      <alignment horizontal="center"/>
    </xf>
    <xf numFmtId="0" fontId="1" fillId="0" borderId="1" xfId="0" applyFont="1" applyBorder="1"/>
    <xf numFmtId="9" fontId="7" fillId="0" borderId="8" xfId="2" applyFont="1" applyFill="1" applyBorder="1"/>
    <xf numFmtId="9" fontId="7" fillId="0" borderId="11" xfId="2" applyFont="1" applyFill="1" applyBorder="1"/>
    <xf numFmtId="10" fontId="7" fillId="0" borderId="15" xfId="0" applyNumberFormat="1" applyFont="1" applyBorder="1"/>
    <xf numFmtId="10" fontId="0" fillId="0" borderId="0" xfId="0" applyNumberFormat="1" applyAlignment="1">
      <alignment horizontal="center"/>
    </xf>
    <xf numFmtId="0" fontId="0" fillId="0" borderId="0" xfId="0" applyAlignment="1">
      <alignment horizontal="left"/>
    </xf>
    <xf numFmtId="172" fontId="0" fillId="0" borderId="13" xfId="0" applyNumberFormat="1" applyBorder="1"/>
    <xf numFmtId="168" fontId="0" fillId="0" borderId="13" xfId="0" applyNumberFormat="1" applyBorder="1"/>
    <xf numFmtId="10" fontId="3" fillId="5" borderId="7" xfId="2" applyNumberFormat="1" applyFont="1" applyFill="1" applyBorder="1"/>
    <xf numFmtId="10" fontId="3" fillId="5" borderId="8" xfId="2" applyNumberFormat="1" applyFont="1" applyFill="1" applyBorder="1"/>
    <xf numFmtId="171" fontId="0" fillId="0" borderId="0" xfId="0" applyNumberFormat="1"/>
    <xf numFmtId="0" fontId="1" fillId="0" borderId="14" xfId="0" applyFont="1" applyBorder="1"/>
    <xf numFmtId="2" fontId="3" fillId="2" borderId="14" xfId="0" applyNumberFormat="1" applyFont="1" applyFill="1" applyBorder="1"/>
    <xf numFmtId="171" fontId="3" fillId="5" borderId="15" xfId="2" applyNumberFormat="1" applyFont="1" applyFill="1" applyBorder="1"/>
    <xf numFmtId="9" fontId="0" fillId="0" borderId="11" xfId="2" applyFont="1" applyBorder="1"/>
    <xf numFmtId="166" fontId="6" fillId="3" borderId="0" xfId="0" applyNumberFormat="1" applyFont="1" applyFill="1" applyAlignment="1">
      <alignment horizontal="center"/>
    </xf>
    <xf numFmtId="166" fontId="3" fillId="3" borderId="0" xfId="4" quotePrefix="1" applyNumberFormat="1" applyFont="1" applyFill="1"/>
    <xf numFmtId="9" fontId="3" fillId="2" borderId="0" xfId="0" applyNumberFormat="1" applyFont="1" applyFill="1"/>
    <xf numFmtId="170" fontId="0" fillId="0" borderId="0" xfId="0" applyNumberFormat="1"/>
    <xf numFmtId="9" fontId="0" fillId="0" borderId="0" xfId="0" applyNumberFormat="1"/>
  </cellXfs>
  <cellStyles count="5">
    <cellStyle name="Milliers" xfId="1" builtinId="3"/>
    <cellStyle name="Motif" xfId="3" xr:uid="{00000000-0005-0000-0000-000001000000}"/>
    <cellStyle name="Motif 2" xfId="4" xr:uid="{00000000-0005-0000-0000-000002000000}"/>
    <cellStyle name="Normal" xfId="0" builtinId="0"/>
    <cellStyle name="Pourcentage" xfId="2" builtinId="5"/>
  </cellStyles>
  <dxfs count="159">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5" tint="0.59996337778862885"/>
        </patternFill>
      </fill>
    </dxf>
    <dxf>
      <font>
        <color rgb="FF9C0006"/>
      </font>
      <fill>
        <patternFill>
          <bgColor rgb="FFFFC7CE"/>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
      <fill>
        <patternFill>
          <bgColor indexed="51"/>
        </patternFill>
      </fill>
    </dxf>
  </dxfs>
  <tableStyles count="1" defaultTableStyle="TableStyleMedium9" defaultPivotStyle="PivotStyleLight16">
    <tableStyle name="Invisible" pivot="0" table="0" count="0" xr9:uid="{3462DDAC-82E6-4CE7-B570-CB78552E5574}"/>
  </tableStyles>
  <colors>
    <mruColors>
      <color rgb="FF438787"/>
      <color rgb="FF666699"/>
      <color rgb="FF4189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hartsheet" Target="chartsheets/sheet1.xml"/><Relationship Id="rId18" Type="http://schemas.openxmlformats.org/officeDocument/2006/relationships/chartsheet" Target="chartsheets/sheet6.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1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hartsheet" Target="chartsheets/sheet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chartsheet" Target="chartsheets/sheet4.xml"/><Relationship Id="rId20" Type="http://schemas.openxmlformats.org/officeDocument/2006/relationships/worksheet" Target="worksheets/sheet1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hartsheet" Target="chartsheets/sheet3.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hartsheet" Target="chartsheets/sheet2.xml"/><Relationship Id="rId22" Type="http://schemas.openxmlformats.org/officeDocument/2006/relationships/externalLink" Target="externalLinks/externalLink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c:f>
              <c:strCache>
                <c:ptCount val="1"/>
                <c:pt idx="0">
                  <c:v>Neoclassical</c:v>
                </c:pt>
              </c:strCache>
            </c:strRef>
          </c:tx>
          <c:spPr>
            <a:ln w="25400" cap="rnd">
              <a:solidFill>
                <a:schemeClr val="accent1"/>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Indicators'!$B$3:$Y$3</c:f>
              <c:numCache>
                <c:formatCode>#,##0.000</c:formatCode>
                <c:ptCount val="24"/>
                <c:pt idx="0">
                  <c:v>1</c:v>
                </c:pt>
                <c:pt idx="1">
                  <c:v>0.99313853018652332</c:v>
                </c:pt>
                <c:pt idx="2">
                  <c:v>0.98575786979873314</c:v>
                </c:pt>
                <c:pt idx="3">
                  <c:v>0.97778783561644322</c:v>
                </c:pt>
                <c:pt idx="4">
                  <c:v>0.96914497682383649</c:v>
                </c:pt>
                <c:pt idx="5">
                  <c:v>0.95972815759580854</c:v>
                </c:pt>
                <c:pt idx="6">
                  <c:v>0.94941422606492154</c:v>
                </c:pt>
                <c:pt idx="7">
                  <c:v>0.93804869803672342</c:v>
                </c:pt>
                <c:pt idx="8">
                  <c:v>0.9254341338198826</c:v>
                </c:pt>
                <c:pt idx="9">
                  <c:v>0.91131072167908667</c:v>
                </c:pt>
                <c:pt idx="10">
                  <c:v>0.89532467005587324</c:v>
                </c:pt>
                <c:pt idx="11">
                  <c:v>0.87697517212698528</c:v>
                </c:pt>
                <c:pt idx="12">
                  <c:v>0.85552070278418013</c:v>
                </c:pt>
                <c:pt idx="13">
                  <c:v>0.82980851615798479</c:v>
                </c:pt>
                <c:pt idx="14">
                  <c:v>0.79795546033901577</c:v>
                </c:pt>
                <c:pt idx="15">
                  <c:v>0.75675932979072147</c:v>
                </c:pt>
                <c:pt idx="16">
                  <c:v>0.70070727364030716</c:v>
                </c:pt>
                <c:pt idx="17">
                  <c:v>0.62050055201033094</c:v>
                </c:pt>
                <c:pt idx="18">
                  <c:v>0.49977649675663294</c:v>
                </c:pt>
                <c:pt idx="19">
                  <c:v>0.3026678316036453</c:v>
                </c:pt>
                <c:pt idx="20">
                  <c:v>0.24778921142187993</c:v>
                </c:pt>
                <c:pt idx="21">
                  <c:v>0.18591697098712431</c:v>
                </c:pt>
                <c:pt idx="22">
                  <c:v>0.11716524964155564</c:v>
                </c:pt>
                <c:pt idx="23">
                  <c:v>4.587931959618697E-2</c:v>
                </c:pt>
              </c:numCache>
            </c:numRef>
          </c:yVal>
          <c:smooth val="1"/>
          <c:extLst>
            <c:ext xmlns:c16="http://schemas.microsoft.com/office/drawing/2014/chart" uri="{C3380CC4-5D6E-409C-BE32-E72D297353CC}">
              <c16:uniqueId val="{00000000-C093-4C38-8D34-BC5EA4637B9C}"/>
            </c:ext>
          </c:extLst>
        </c:ser>
        <c:ser>
          <c:idx val="5"/>
          <c:order val="1"/>
          <c:tx>
            <c:strRef>
              <c:f>'Diagnosis Indicators'!$A$4</c:f>
              <c:strCache>
                <c:ptCount val="1"/>
                <c:pt idx="0">
                  <c:v>Kaldorian</c:v>
                </c:pt>
              </c:strCache>
            </c:strRef>
          </c:tx>
          <c:spPr>
            <a:ln w="25400" cap="rnd">
              <a:solidFill>
                <a:schemeClr val="accent2"/>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Indicators'!$B$4:$Y$4</c:f>
              <c:numCache>
                <c:formatCode>#,##0.000</c:formatCode>
                <c:ptCount val="24"/>
                <c:pt idx="0">
                  <c:v>1</c:v>
                </c:pt>
                <c:pt idx="1">
                  <c:v>0.99789786016645821</c:v>
                </c:pt>
                <c:pt idx="2">
                  <c:v>0.9953769177821955</c:v>
                </c:pt>
                <c:pt idx="3">
                  <c:v>0.99237895791188491</c:v>
                </c:pt>
                <c:pt idx="4">
                  <c:v>0.98883419742752088</c:v>
                </c:pt>
                <c:pt idx="5">
                  <c:v>0.98465751663706269</c:v>
                </c:pt>
                <c:pt idx="6">
                  <c:v>0.97974469825087795</c:v>
                </c:pt>
                <c:pt idx="7">
                  <c:v>0.97396496058175763</c:v>
                </c:pt>
                <c:pt idx="8">
                  <c:v>0.96715145437430905</c:v>
                </c:pt>
                <c:pt idx="9">
                  <c:v>0.95908618772845944</c:v>
                </c:pt>
                <c:pt idx="10">
                  <c:v>0.94947559160784256</c:v>
                </c:pt>
                <c:pt idx="11">
                  <c:v>0.93791044861281991</c:v>
                </c:pt>
                <c:pt idx="12">
                  <c:v>0.92379564354091315</c:v>
                </c:pt>
                <c:pt idx="13">
                  <c:v>0.90622182216915015</c:v>
                </c:pt>
                <c:pt idx="14">
                  <c:v>0.88371907166387198</c:v>
                </c:pt>
                <c:pt idx="15">
                  <c:v>0.85377130813274238</c:v>
                </c:pt>
                <c:pt idx="16">
                  <c:v>0.81185692142249399</c:v>
                </c:pt>
                <c:pt idx="17">
                  <c:v>0.74950728467448013</c:v>
                </c:pt>
                <c:pt idx="18">
                  <c:v>0.64920914441408595</c:v>
                </c:pt>
                <c:pt idx="19">
                  <c:v>0</c:v>
                </c:pt>
                <c:pt idx="20">
                  <c:v>0</c:v>
                </c:pt>
                <c:pt idx="21">
                  <c:v>0</c:v>
                </c:pt>
                <c:pt idx="22">
                  <c:v>0</c:v>
                </c:pt>
                <c:pt idx="23">
                  <c:v>0</c:v>
                </c:pt>
              </c:numCache>
            </c:numRef>
          </c:yVal>
          <c:smooth val="1"/>
          <c:extLst xmlns:c15="http://schemas.microsoft.com/office/drawing/2012/chart">
            <c:ext xmlns:c16="http://schemas.microsoft.com/office/drawing/2014/chart" uri="{C3380CC4-5D6E-409C-BE32-E72D297353CC}">
              <c16:uniqueId val="{00000005-C093-4C38-8D34-BC5EA4637B9C}"/>
            </c:ext>
          </c:extLst>
        </c:ser>
        <c:ser>
          <c:idx val="1"/>
          <c:order val="2"/>
          <c:tx>
            <c:strRef>
              <c:f>'Diagnosis Indicators'!$A$5</c:f>
              <c:strCache>
                <c:ptCount val="1"/>
                <c:pt idx="0">
                  <c:v>Johansen</c:v>
                </c:pt>
              </c:strCache>
            </c:strRef>
          </c:tx>
          <c:spPr>
            <a:ln w="25400" cap="rnd">
              <a:solidFill>
                <a:schemeClr val="accent3"/>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Indicators'!$B$5:$Y$5</c:f>
              <c:numCache>
                <c:formatCode>#,##0.000</c:formatCode>
                <c:ptCount val="24"/>
                <c:pt idx="0">
                  <c:v>1</c:v>
                </c:pt>
                <c:pt idx="1">
                  <c:v>0.99791875169437938</c:v>
                </c:pt>
                <c:pt idx="2">
                  <c:v>0.9954184942629225</c:v>
                </c:pt>
                <c:pt idx="3">
                  <c:v>0.99244122160564707</c:v>
                </c:pt>
                <c:pt idx="4">
                  <c:v>0.98891734595324843</c:v>
                </c:pt>
                <c:pt idx="5">
                  <c:v>0.98476202195981488</c:v>
                </c:pt>
                <c:pt idx="6">
                  <c:v>0.97987117640739563</c:v>
                </c:pt>
                <c:pt idx="7">
                  <c:v>0.97411416950903518</c:v>
                </c:pt>
                <c:pt idx="8">
                  <c:v>0.96732394190828463</c:v>
                </c:pt>
                <c:pt idx="9">
                  <c:v>0.95928197894094536</c:v>
                </c:pt>
                <c:pt idx="10">
                  <c:v>0.94969357303173152</c:v>
                </c:pt>
                <c:pt idx="11">
                  <c:v>0.93814739900828448</c:v>
                </c:pt>
                <c:pt idx="12">
                  <c:v>0.92404480180828841</c:v>
                </c:pt>
                <c:pt idx="13">
                  <c:v>0.90647070404248087</c:v>
                </c:pt>
                <c:pt idx="14">
                  <c:v>0.88394717379243593</c:v>
                </c:pt>
                <c:pt idx="15">
                  <c:v>0.85394993294998855</c:v>
                </c:pt>
                <c:pt idx="16">
                  <c:v>0.81196093194935004</c:v>
                </c:pt>
                <c:pt idx="17">
                  <c:v>0.74954284552923645</c:v>
                </c:pt>
                <c:pt idx="18">
                  <c:v>0.64921417122243641</c:v>
                </c:pt>
                <c:pt idx="19">
                  <c:v>0.46463443725027942</c:v>
                </c:pt>
                <c:pt idx="20">
                  <c:v>0.40723730350908688</c:v>
                </c:pt>
                <c:pt idx="21">
                  <c:v>0.33790314114581682</c:v>
                </c:pt>
                <c:pt idx="22">
                  <c:v>0.25223363655971076</c:v>
                </c:pt>
                <c:pt idx="23">
                  <c:v>0.14331440924314767</c:v>
                </c:pt>
              </c:numCache>
            </c:numRef>
          </c:yVal>
          <c:smooth val="1"/>
          <c:extLst>
            <c:ext xmlns:c16="http://schemas.microsoft.com/office/drawing/2014/chart" uri="{C3380CC4-5D6E-409C-BE32-E72D297353CC}">
              <c16:uniqueId val="{00000001-C093-4C38-8D34-BC5EA4637B9C}"/>
            </c:ext>
          </c:extLst>
        </c:ser>
        <c:ser>
          <c:idx val="4"/>
          <c:order val="3"/>
          <c:tx>
            <c:strRef>
              <c:f>'Diagnosis Indicators'!$A$6</c:f>
              <c:strCache>
                <c:ptCount val="1"/>
                <c:pt idx="0">
                  <c:v>Keynes-Marshall</c:v>
                </c:pt>
              </c:strCache>
            </c:strRef>
          </c:tx>
          <c:spPr>
            <a:ln w="25400" cap="rnd">
              <a:solidFill>
                <a:schemeClr val="accent4"/>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Indicators'!$B$6:$Y$6</c:f>
              <c:numCache>
                <c:formatCode>#,##0.000</c:formatCode>
                <c:ptCount val="24"/>
                <c:pt idx="0">
                  <c:v>1</c:v>
                </c:pt>
                <c:pt idx="1">
                  <c:v>1.0107467148825926</c:v>
                </c:pt>
                <c:pt idx="2">
                  <c:v>1.0212562395014684</c:v>
                </c:pt>
                <c:pt idx="3">
                  <c:v>1.0314870113356558</c:v>
                </c:pt>
                <c:pt idx="4">
                  <c:v>1.0413890434890538</c:v>
                </c:pt>
                <c:pt idx="5">
                  <c:v>1.05090361517612</c:v>
                </c:pt>
                <c:pt idx="6">
                  <c:v>1.0599633670499549</c:v>
                </c:pt>
                <c:pt idx="7">
                  <c:v>1.0684930691722792</c:v>
                </c:pt>
                <c:pt idx="8">
                  <c:v>1.0764115903428197</c:v>
                </c:pt>
                <c:pt idx="9">
                  <c:v>1.0836360064931678</c:v>
                </c:pt>
                <c:pt idx="10">
                  <c:v>1.0900887971420172</c:v>
                </c:pt>
                <c:pt idx="11">
                  <c:v>1.0957075870962401</c:v>
                </c:pt>
                <c:pt idx="12">
                  <c:v>1.1004445518045494</c:v>
                </c:pt>
                <c:pt idx="13">
                  <c:v>1.1041845679532283</c:v>
                </c:pt>
                <c:pt idx="14">
                  <c:v>1.1062940036107707</c:v>
                </c:pt>
                <c:pt idx="15">
                  <c:v>0</c:v>
                </c:pt>
                <c:pt idx="16">
                  <c:v>0</c:v>
                </c:pt>
                <c:pt idx="17">
                  <c:v>0</c:v>
                </c:pt>
                <c:pt idx="18">
                  <c:v>0</c:v>
                </c:pt>
              </c:numCache>
            </c:numRef>
          </c:yVal>
          <c:smooth val="1"/>
          <c:extLst>
            <c:ext xmlns:c16="http://schemas.microsoft.com/office/drawing/2014/chart" uri="{C3380CC4-5D6E-409C-BE32-E72D297353CC}">
              <c16:uniqueId val="{00000004-C093-4C38-8D34-BC5EA4637B9C}"/>
            </c:ext>
          </c:extLst>
        </c:ser>
        <c:ser>
          <c:idx val="2"/>
          <c:order val="4"/>
          <c:tx>
            <c:strRef>
              <c:f>'Diagnosis Indicators'!$A$7</c:f>
              <c:strCache>
                <c:ptCount val="1"/>
                <c:pt idx="0">
                  <c:v>Keynesian</c:v>
                </c:pt>
              </c:strCache>
            </c:strRef>
          </c:tx>
          <c:spPr>
            <a:ln w="25400" cap="rnd">
              <a:solidFill>
                <a:schemeClr val="accent5"/>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Indicators'!$B$7:$Y$7</c:f>
              <c:numCache>
                <c:formatCode>#,##0.000</c:formatCode>
                <c:ptCount val="24"/>
                <c:pt idx="0">
                  <c:v>1</c:v>
                </c:pt>
                <c:pt idx="1">
                  <c:v>0.97822030048550723</c:v>
                </c:pt>
                <c:pt idx="2">
                  <c:v>0.9541557482871974</c:v>
                </c:pt>
                <c:pt idx="3">
                  <c:v>0.92758169713563066</c:v>
                </c:pt>
                <c:pt idx="4">
                  <c:v>0.89826490799738856</c:v>
                </c:pt>
                <c:pt idx="5">
                  <c:v>0.86597442352103915</c:v>
                </c:pt>
                <c:pt idx="6">
                  <c:v>0.83049645485730972</c:v>
                </c:pt>
                <c:pt idx="7">
                  <c:v>0.79166104553266547</c:v>
                </c:pt>
                <c:pt idx="8">
                  <c:v>0.74938453861859256</c:v>
                </c:pt>
                <c:pt idx="9">
                  <c:v>0.70374513574431197</c:v>
                </c:pt>
                <c:pt idx="10">
                  <c:v>0.65514606436598044</c:v>
                </c:pt>
                <c:pt idx="11">
                  <c:v>0.60477486065177044</c:v>
                </c:pt>
                <c:pt idx="12">
                  <c:v>0</c:v>
                </c:pt>
                <c:pt idx="13">
                  <c:v>0</c:v>
                </c:pt>
              </c:numCache>
            </c:numRef>
          </c:yVal>
          <c:smooth val="1"/>
          <c:extLst>
            <c:ext xmlns:c16="http://schemas.microsoft.com/office/drawing/2014/chart" uri="{C3380CC4-5D6E-409C-BE32-E72D297353CC}">
              <c16:uniqueId val="{00000000-C850-4F38-B604-CD5347F209EA}"/>
            </c:ext>
          </c:extLst>
        </c:ser>
        <c:ser>
          <c:idx val="3"/>
          <c:order val="5"/>
          <c:tx>
            <c:strRef>
              <c:f>'Diagnosis Indicators'!$A$8</c:f>
              <c:strCache>
                <c:ptCount val="1"/>
                <c:pt idx="0">
                  <c:v>Keynes-Kaldor</c:v>
                </c:pt>
              </c:strCache>
            </c:strRef>
          </c:tx>
          <c:spPr>
            <a:ln w="25400" cap="rnd">
              <a:solidFill>
                <a:schemeClr val="accent6"/>
              </a:solidFill>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Indicators'!$B$8:$Y$8</c:f>
              <c:numCache>
                <c:formatCode>#,##0.000</c:formatCode>
                <c:ptCount val="24"/>
                <c:pt idx="0">
                  <c:v>1</c:v>
                </c:pt>
                <c:pt idx="1">
                  <c:v>1.0025088611072455</c:v>
                </c:pt>
                <c:pt idx="2">
                  <c:v>1.004110451508355</c:v>
                </c:pt>
                <c:pt idx="3">
                  <c:v>1.0047189336821041</c:v>
                </c:pt>
                <c:pt idx="4">
                  <c:v>1.0042251599705101</c:v>
                </c:pt>
                <c:pt idx="5">
                  <c:v>1.0024898992112201</c:v>
                </c:pt>
                <c:pt idx="6">
                  <c:v>0.99933784041725926</c:v>
                </c:pt>
                <c:pt idx="7">
                  <c:v>0.9945437250254523</c:v>
                </c:pt>
                <c:pt idx="8">
                  <c:v>0.98781626134993616</c:v>
                </c:pt>
                <c:pt idx="9">
                  <c:v>0.97877201861086116</c:v>
                </c:pt>
                <c:pt idx="10">
                  <c:v>0.96689494809534471</c:v>
                </c:pt>
                <c:pt idx="11">
                  <c:v>0.95147069835909892</c:v>
                </c:pt>
                <c:pt idx="12">
                  <c:v>0.93147572332006257</c:v>
                </c:pt>
                <c:pt idx="13">
                  <c:v>0.90538027798341147</c:v>
                </c:pt>
                <c:pt idx="14">
                  <c:v>0.87078489759575328</c:v>
                </c:pt>
                <c:pt idx="15">
                  <c:v>0.82372839524943431</c:v>
                </c:pt>
                <c:pt idx="16">
                  <c:v>0.75738585636590738</c:v>
                </c:pt>
                <c:pt idx="17">
                  <c:v>0.65985373623897603</c:v>
                </c:pt>
                <c:pt idx="18">
                  <c:v>0.51150776970273504</c:v>
                </c:pt>
              </c:numCache>
            </c:numRef>
          </c:yVal>
          <c:smooth val="1"/>
          <c:extLst>
            <c:ext xmlns:c16="http://schemas.microsoft.com/office/drawing/2014/chart" uri="{C3380CC4-5D6E-409C-BE32-E72D297353CC}">
              <c16:uniqueId val="{00000003-C093-4C38-8D34-BC5EA4637B9C}"/>
            </c:ext>
          </c:extLst>
        </c:ser>
        <c:ser>
          <c:idx val="7"/>
          <c:order val="6"/>
          <c:tx>
            <c:strRef>
              <c:f>'Diagnosis Indicators'!$A$9</c:f>
              <c:strCache>
                <c:ptCount val="1"/>
                <c:pt idx="0">
                  <c:v>Neo-K1</c:v>
                </c:pt>
              </c:strCache>
            </c:strRef>
          </c:tx>
          <c:spPr>
            <a:ln w="25400" cap="rnd">
              <a:solidFill>
                <a:schemeClr val="accent5"/>
              </a:solidFill>
              <a:prstDash val="dash"/>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Indicators'!$B$9:$Y$9</c:f>
              <c:numCache>
                <c:formatCode>#,##0.000</c:formatCode>
                <c:ptCount val="24"/>
                <c:pt idx="0">
                  <c:v>1</c:v>
                </c:pt>
                <c:pt idx="1">
                  <c:v>0.98947101121958003</c:v>
                </c:pt>
                <c:pt idx="2">
                  <c:v>0.97799316255035018</c:v>
                </c:pt>
                <c:pt idx="3">
                  <c:v>0.96541683917958876</c:v>
                </c:pt>
                <c:pt idx="4">
                  <c:v>0.95155969576256516</c:v>
                </c:pt>
                <c:pt idx="5">
                  <c:v>0.93619711060618527</c:v>
                </c:pt>
                <c:pt idx="6">
                  <c:v>0.91904909224284015</c:v>
                </c:pt>
                <c:pt idx="7">
                  <c:v>0.89976313486209825</c:v>
                </c:pt>
                <c:pt idx="8">
                  <c:v>0.8778905032424511</c:v>
                </c:pt>
                <c:pt idx="9">
                  <c:v>0.85285412158534091</c:v>
                </c:pt>
                <c:pt idx="10">
                  <c:v>0.82390648439722247</c:v>
                </c:pt>
                <c:pt idx="11">
                  <c:v>0.79007637784874662</c:v>
                </c:pt>
                <c:pt idx="12">
                  <c:v>0.75010795382056072</c:v>
                </c:pt>
                <c:pt idx="13">
                  <c:v>0.70240697534698793</c:v>
                </c:pt>
                <c:pt idx="14">
                  <c:v>0.64502954887370767</c:v>
                </c:pt>
                <c:pt idx="15">
                  <c:v>0.57577783016593354</c:v>
                </c:pt>
                <c:pt idx="16">
                  <c:v>0.49247561561040504</c:v>
                </c:pt>
                <c:pt idx="17">
                  <c:v>0.39342695166741865</c:v>
                </c:pt>
                <c:pt idx="18">
                  <c:v>0.27789079032847447</c:v>
                </c:pt>
                <c:pt idx="19">
                  <c:v>0.14628791543882241</c:v>
                </c:pt>
                <c:pt idx="20">
                  <c:v>0.11814884373653785</c:v>
                </c:pt>
                <c:pt idx="21">
                  <c:v>8.9435204793017337E-2</c:v>
                </c:pt>
                <c:pt idx="22">
                  <c:v>6.0162080443734743E-2</c:v>
                </c:pt>
                <c:pt idx="23">
                  <c:v>3.0345040070762268E-2</c:v>
                </c:pt>
              </c:numCache>
            </c:numRef>
          </c:yVal>
          <c:smooth val="1"/>
          <c:extLst>
            <c:ext xmlns:c16="http://schemas.microsoft.com/office/drawing/2014/chart" uri="{C3380CC4-5D6E-409C-BE32-E72D297353CC}">
              <c16:uniqueId val="{00000002-C850-4F38-B604-CD5347F209EA}"/>
            </c:ext>
          </c:extLst>
        </c:ser>
        <c:ser>
          <c:idx val="6"/>
          <c:order val="7"/>
          <c:tx>
            <c:strRef>
              <c:f>'Diagnosis Indicators'!$A$10</c:f>
              <c:strCache>
                <c:ptCount val="1"/>
                <c:pt idx="0">
                  <c:v>Neo-K2</c:v>
                </c:pt>
              </c:strCache>
            </c:strRef>
          </c:tx>
          <c:spPr>
            <a:ln w="25400" cap="rnd">
              <a:solidFill>
                <a:schemeClr val="accent5"/>
              </a:solidFill>
              <a:prstDash val="lgDashDotDot"/>
              <a:round/>
            </a:ln>
            <a:effectLst/>
          </c:spPr>
          <c:marker>
            <c:symbol val="none"/>
          </c:marker>
          <c:xVal>
            <c:numRef>
              <c:f>'Diagnosis Indicators'!$B$2:$Y$2</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Indicators'!$B$10:$Y$10</c:f>
              <c:numCache>
                <c:formatCode>#,##0.000</c:formatCode>
                <c:ptCount val="24"/>
                <c:pt idx="0">
                  <c:v>1</c:v>
                </c:pt>
                <c:pt idx="1">
                  <c:v>0.98832029808171684</c:v>
                </c:pt>
                <c:pt idx="2">
                  <c:v>0.97548502887114275</c:v>
                </c:pt>
                <c:pt idx="3">
                  <c:v>0.96129056733561735</c:v>
                </c:pt>
                <c:pt idx="4">
                  <c:v>0.94548600928686866</c:v>
                </c:pt>
                <c:pt idx="5">
                  <c:v>0.92776020911596147</c:v>
                </c:pt>
                <c:pt idx="6">
                  <c:v>0.90772492437162022</c:v>
                </c:pt>
                <c:pt idx="7">
                  <c:v>0.88489683376294892</c:v>
                </c:pt>
                <c:pt idx="8">
                  <c:v>0.85867717135546451</c:v>
                </c:pt>
                <c:pt idx="9">
                  <c:v>0.82833653367129378</c:v>
                </c:pt>
                <c:pt idx="10">
                  <c:v>0.79301410076928014</c:v>
                </c:pt>
                <c:pt idx="11">
                  <c:v>0.75175631858072334</c:v>
                </c:pt>
                <c:pt idx="12">
                  <c:v>0.70362742042761672</c:v>
                </c:pt>
                <c:pt idx="13">
                  <c:v>0.64794318347737589</c:v>
                </c:pt>
                <c:pt idx="14">
                  <c:v>0.58467572591309758</c:v>
                </c:pt>
                <c:pt idx="15">
                  <c:v>0.51503727639463259</c:v>
                </c:pt>
                <c:pt idx="16">
                  <c:v>0.44195758366189286</c:v>
                </c:pt>
                <c:pt idx="17">
                  <c:v>0.36907271897858795</c:v>
                </c:pt>
                <c:pt idx="18">
                  <c:v>0.29523332431932636</c:v>
                </c:pt>
                <c:pt idx="19">
                  <c:v>0.20386767442293616</c:v>
                </c:pt>
                <c:pt idx="20">
                  <c:v>0.17995391063525931</c:v>
                </c:pt>
                <c:pt idx="21">
                  <c:v>0.1524940511452213</c:v>
                </c:pt>
                <c:pt idx="22">
                  <c:v>0.11975401432011709</c:v>
                </c:pt>
                <c:pt idx="23">
                  <c:v>7.7692453171667383E-2</c:v>
                </c:pt>
              </c:numCache>
            </c:numRef>
          </c:yVal>
          <c:smooth val="1"/>
          <c:extLst>
            <c:ext xmlns:c16="http://schemas.microsoft.com/office/drawing/2014/chart" uri="{C3380CC4-5D6E-409C-BE32-E72D297353CC}">
              <c16:uniqueId val="{00000001-C850-4F38-B604-CD5347F209E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3"/>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Welfare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8.6117760673193489E-2"/>
          <c:w val="0.91954496211515768"/>
          <c:h val="0.83371195406251841"/>
        </c:manualLayout>
      </c:layout>
      <c:scatterChart>
        <c:scatterStyle val="smoothMarker"/>
        <c:varyColors val="0"/>
        <c:ser>
          <c:idx val="0"/>
          <c:order val="0"/>
          <c:tx>
            <c:strRef>
              <c:f>'Diagnosis Indicators'!$A$14</c:f>
              <c:strCache>
                <c:ptCount val="1"/>
                <c:pt idx="0">
                  <c:v>Neoclassical</c:v>
                </c:pt>
              </c:strCache>
            </c:strRef>
          </c:tx>
          <c:spPr>
            <a:ln w="25400" cap="rnd">
              <a:solidFill>
                <a:schemeClr val="accent1"/>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Indicators'!$B$14:$Y$14</c:f>
              <c:numCache>
                <c:formatCode>#,##0.000</c:formatCode>
                <c:ptCount val="24"/>
                <c:pt idx="0">
                  <c:v>5.7716594496607888E-3</c:v>
                </c:pt>
                <c:pt idx="1">
                  <c:v>5.1988874691792378E-2</c:v>
                </c:pt>
                <c:pt idx="2">
                  <c:v>0.10299914014492036</c:v>
                </c:pt>
                <c:pt idx="3">
                  <c:v>0.1595925379634073</c:v>
                </c:pt>
                <c:pt idx="4">
                  <c:v>0.2227531646261402</c:v>
                </c:pt>
                <c:pt idx="5">
                  <c:v>0.29372581693113198</c:v>
                </c:pt>
                <c:pt idx="6">
                  <c:v>0.37412996207797278</c:v>
                </c:pt>
                <c:pt idx="7">
                  <c:v>0.46611819886864547</c:v>
                </c:pt>
                <c:pt idx="8">
                  <c:v>0.57264818058012501</c:v>
                </c:pt>
                <c:pt idx="9">
                  <c:v>0.69793636863972619</c:v>
                </c:pt>
                <c:pt idx="10">
                  <c:v>0.8482529855234503</c:v>
                </c:pt>
                <c:pt idx="11">
                  <c:v>1.0334056791920525</c:v>
                </c:pt>
                <c:pt idx="12">
                  <c:v>1.2696597447529216</c:v>
                </c:pt>
                <c:pt idx="13">
                  <c:v>1.5859208417998159</c:v>
                </c:pt>
                <c:pt idx="14">
                  <c:v>2.0378443199475926</c:v>
                </c:pt>
                <c:pt idx="15">
                  <c:v>2.742723938137809</c:v>
                </c:pt>
                <c:pt idx="16">
                  <c:v>3.9724722705946687</c:v>
                </c:pt>
                <c:pt idx="17">
                  <c:v>6.4283267005771236</c:v>
                </c:pt>
                <c:pt idx="18">
                  <c:v>12.30469596273759</c:v>
                </c:pt>
                <c:pt idx="19">
                  <c:v>32.494567606229353</c:v>
                </c:pt>
                <c:pt idx="20">
                  <c:v>42.685459953486379</c:v>
                </c:pt>
                <c:pt idx="21">
                  <c:v>58.925584296767298</c:v>
                </c:pt>
                <c:pt idx="22">
                  <c:v>87.68295809393058</c:v>
                </c:pt>
                <c:pt idx="23">
                  <c:v>148.29311262085386</c:v>
                </c:pt>
              </c:numCache>
            </c:numRef>
          </c:yVal>
          <c:smooth val="1"/>
          <c:extLst>
            <c:ext xmlns:c16="http://schemas.microsoft.com/office/drawing/2014/chart" uri="{C3380CC4-5D6E-409C-BE32-E72D297353CC}">
              <c16:uniqueId val="{00000000-862B-46F0-B0F7-97FD23ADB2E5}"/>
            </c:ext>
          </c:extLst>
        </c:ser>
        <c:ser>
          <c:idx val="5"/>
          <c:order val="1"/>
          <c:tx>
            <c:strRef>
              <c:f>'Diagnosis Indicators'!$A$15</c:f>
              <c:strCache>
                <c:ptCount val="1"/>
                <c:pt idx="0">
                  <c:v>Kaldorian</c:v>
                </c:pt>
              </c:strCache>
            </c:strRef>
          </c:tx>
          <c:spPr>
            <a:ln w="25400" cap="rnd">
              <a:solidFill>
                <a:schemeClr val="accent2"/>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Indicators'!$B$15:$Y$15</c:f>
              <c:numCache>
                <c:formatCode>#,##0.000</c:formatCode>
                <c:ptCount val="24"/>
                <c:pt idx="0">
                  <c:v>5.7716594496607888E-3</c:v>
                </c:pt>
                <c:pt idx="1">
                  <c:v>5.533144761672236E-2</c:v>
                </c:pt>
                <c:pt idx="2">
                  <c:v>0.11000373572638772</c:v>
                </c:pt>
                <c:pt idx="3">
                  <c:v>0.17063138141135584</c:v>
                </c:pt>
                <c:pt idx="4">
                  <c:v>0.23826507870596722</c:v>
                </c:pt>
                <c:pt idx="5">
                  <c:v>0.31423216926757364</c:v>
                </c:pt>
                <c:pt idx="6">
                  <c:v>0.40026026658351638</c:v>
                </c:pt>
                <c:pt idx="7">
                  <c:v>0.49864959921024532</c:v>
                </c:pt>
                <c:pt idx="8">
                  <c:v>0.61256978996400946</c:v>
                </c:pt>
                <c:pt idx="9">
                  <c:v>0.74655913810925589</c:v>
                </c:pt>
                <c:pt idx="10">
                  <c:v>0.90740972998436953</c:v>
                </c:pt>
                <c:pt idx="11">
                  <c:v>1.105833113273669</c:v>
                </c:pt>
                <c:pt idx="12">
                  <c:v>1.3597788848184509</c:v>
                </c:pt>
                <c:pt idx="13">
                  <c:v>1.7015340605575562</c:v>
                </c:pt>
                <c:pt idx="14">
                  <c:v>2.1941433292834507</c:v>
                </c:pt>
                <c:pt idx="15">
                  <c:v>2.9724417853267013</c:v>
                </c:pt>
                <c:pt idx="16">
                  <c:v>4.3528660876856611</c:v>
                </c:pt>
                <c:pt idx="17">
                  <c:v>7.1569693782349395</c:v>
                </c:pt>
                <c:pt idx="18">
                  <c:v>13.970118200724537</c:v>
                </c:pt>
              </c:numCache>
            </c:numRef>
          </c:yVal>
          <c:smooth val="1"/>
          <c:extLst xmlns:c15="http://schemas.microsoft.com/office/drawing/2012/chart">
            <c:ext xmlns:c16="http://schemas.microsoft.com/office/drawing/2014/chart" uri="{C3380CC4-5D6E-409C-BE32-E72D297353CC}">
              <c16:uniqueId val="{00000001-862B-46F0-B0F7-97FD23ADB2E5}"/>
            </c:ext>
          </c:extLst>
        </c:ser>
        <c:ser>
          <c:idx val="1"/>
          <c:order val="2"/>
          <c:tx>
            <c:strRef>
              <c:f>'Diagnosis Indicators'!$A$16</c:f>
              <c:strCache>
                <c:ptCount val="1"/>
                <c:pt idx="0">
                  <c:v>Johansen</c:v>
                </c:pt>
              </c:strCache>
            </c:strRef>
          </c:tx>
          <c:spPr>
            <a:ln w="25400" cap="rnd">
              <a:solidFill>
                <a:schemeClr val="accent3"/>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Indicators'!$B$16:$Y$16</c:f>
              <c:numCache>
                <c:formatCode>#,##0.000</c:formatCode>
                <c:ptCount val="24"/>
                <c:pt idx="0">
                  <c:v>5.7716594496607888E-3</c:v>
                </c:pt>
                <c:pt idx="1">
                  <c:v>5.3758747243408449E-2</c:v>
                </c:pt>
                <c:pt idx="2">
                  <c:v>0.10675926922623748</c:v>
                </c:pt>
                <c:pt idx="3">
                  <c:v>0.16560350234647006</c:v>
                </c:pt>
                <c:pt idx="4">
                  <c:v>0.23132727775937659</c:v>
                </c:pt>
                <c:pt idx="5">
                  <c:v>0.3052452195239112</c:v>
                </c:pt>
                <c:pt idx="6">
                  <c:v>0.38907246135784335</c:v>
                </c:pt>
                <c:pt idx="7">
                  <c:v>0.48510178334811738</c:v>
                </c:pt>
                <c:pt idx="8">
                  <c:v>0.59650184928176475</c:v>
                </c:pt>
                <c:pt idx="9">
                  <c:v>0.72782586665063032</c:v>
                </c:pt>
                <c:pt idx="10">
                  <c:v>0.88590636436014902</c:v>
                </c:pt>
                <c:pt idx="11">
                  <c:v>1.0815433444357012</c:v>
                </c:pt>
                <c:pt idx="12">
                  <c:v>1.3328660402250474</c:v>
                </c:pt>
                <c:pt idx="13">
                  <c:v>1.6725227201803503</c:v>
                </c:pt>
                <c:pt idx="14">
                  <c:v>2.1642798767482949</c:v>
                </c:pt>
                <c:pt idx="15">
                  <c:v>2.9442865119199668</c:v>
                </c:pt>
                <c:pt idx="16">
                  <c:v>4.3305788267649961</c:v>
                </c:pt>
                <c:pt idx="17">
                  <c:v>7.1441521389414833</c:v>
                </c:pt>
                <c:pt idx="18">
                  <c:v>13.965664321552758</c:v>
                </c:pt>
                <c:pt idx="19">
                  <c:v>37.630476620474006</c:v>
                </c:pt>
                <c:pt idx="20">
                  <c:v>49.516828687887546</c:v>
                </c:pt>
                <c:pt idx="21">
                  <c:v>68.23373848483881</c:v>
                </c:pt>
                <c:pt idx="22">
                  <c:v>100.50669523022714</c:v>
                </c:pt>
                <c:pt idx="23">
                  <c:v>164.44118545266949</c:v>
                </c:pt>
              </c:numCache>
            </c:numRef>
          </c:yVal>
          <c:smooth val="1"/>
          <c:extLst>
            <c:ext xmlns:c16="http://schemas.microsoft.com/office/drawing/2014/chart" uri="{C3380CC4-5D6E-409C-BE32-E72D297353CC}">
              <c16:uniqueId val="{00000002-862B-46F0-B0F7-97FD23ADB2E5}"/>
            </c:ext>
          </c:extLst>
        </c:ser>
        <c:ser>
          <c:idx val="4"/>
          <c:order val="3"/>
          <c:tx>
            <c:strRef>
              <c:f>'Diagnosis Indicators'!$A$17</c:f>
              <c:strCache>
                <c:ptCount val="1"/>
                <c:pt idx="0">
                  <c:v>Keynes-Marshall</c:v>
                </c:pt>
              </c:strCache>
            </c:strRef>
          </c:tx>
          <c:spPr>
            <a:ln w="25400" cap="rnd">
              <a:solidFill>
                <a:schemeClr val="accent4"/>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Indicators'!$B$17:$Y$17</c:f>
              <c:numCache>
                <c:formatCode>#,##0.000</c:formatCode>
                <c:ptCount val="24"/>
                <c:pt idx="0">
                  <c:v>5.7716594496607888E-3</c:v>
                </c:pt>
                <c:pt idx="1">
                  <c:v>5.8540872659968421E-2</c:v>
                </c:pt>
                <c:pt idx="2">
                  <c:v>0.11766242044559665</c:v>
                </c:pt>
                <c:pt idx="3">
                  <c:v>0.1842316525079836</c:v>
                </c:pt>
                <c:pt idx="4">
                  <c:v>0.25966734890203164</c:v>
                </c:pt>
                <c:pt idx="5">
                  <c:v>0.34586238425236343</c:v>
                </c:pt>
                <c:pt idx="6">
                  <c:v>0.44542560865935688</c:v>
                </c:pt>
                <c:pt idx="7">
                  <c:v>0.5620818711477894</c:v>
                </c:pt>
                <c:pt idx="8">
                  <c:v>0.70136316229141848</c:v>
                </c:pt>
                <c:pt idx="9">
                  <c:v>0.87186103033363516</c:v>
                </c:pt>
                <c:pt idx="10">
                  <c:v>1.0876255630839435</c:v>
                </c:pt>
                <c:pt idx="11">
                  <c:v>1.3730648230203999</c:v>
                </c:pt>
                <c:pt idx="12">
                  <c:v>1.773596908107858</c:v>
                </c:pt>
                <c:pt idx="13">
                  <c:v>2.3800957261565654</c:v>
                </c:pt>
                <c:pt idx="14">
                  <c:v>3.3859107106055477</c:v>
                </c:pt>
                <c:pt idx="15">
                  <c:v>0</c:v>
                </c:pt>
              </c:numCache>
            </c:numRef>
          </c:yVal>
          <c:smooth val="1"/>
          <c:extLst>
            <c:ext xmlns:c16="http://schemas.microsoft.com/office/drawing/2014/chart" uri="{C3380CC4-5D6E-409C-BE32-E72D297353CC}">
              <c16:uniqueId val="{00000003-862B-46F0-B0F7-97FD23ADB2E5}"/>
            </c:ext>
          </c:extLst>
        </c:ser>
        <c:ser>
          <c:idx val="2"/>
          <c:order val="4"/>
          <c:tx>
            <c:strRef>
              <c:f>'Diagnosis Indicators'!$A$18</c:f>
              <c:strCache>
                <c:ptCount val="1"/>
                <c:pt idx="0">
                  <c:v>Keynesian</c:v>
                </c:pt>
              </c:strCache>
            </c:strRef>
          </c:tx>
          <c:spPr>
            <a:ln w="25400" cap="rnd">
              <a:solidFill>
                <a:schemeClr val="accent5"/>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Indicators'!$B$18:$Y$18</c:f>
              <c:numCache>
                <c:formatCode>#,##0.000</c:formatCode>
                <c:ptCount val="24"/>
                <c:pt idx="0">
                  <c:v>5.7716594496607888E-3</c:v>
                </c:pt>
                <c:pt idx="1">
                  <c:v>3.4630189951654476E-2</c:v>
                </c:pt>
                <c:pt idx="2">
                  <c:v>6.4667668125236402E-2</c:v>
                </c:pt>
                <c:pt idx="3">
                  <c:v>9.5799188565970389E-2</c:v>
                </c:pt>
                <c:pt idx="4">
                  <c:v>0.12788976301752511</c:v>
                </c:pt>
                <c:pt idx="5">
                  <c:v>0.16074225760756358</c:v>
                </c:pt>
                <c:pt idx="6">
                  <c:v>0.19408179373269793</c:v>
                </c:pt>
                <c:pt idx="7">
                  <c:v>0.22753948961788656</c:v>
                </c:pt>
                <c:pt idx="8">
                  <c:v>0.26063027496692032</c:v>
                </c:pt>
                <c:pt idx="9">
                  <c:v>0.29271419952939504</c:v>
                </c:pt>
                <c:pt idx="10">
                  <c:v>0.32290255334542295</c:v>
                </c:pt>
                <c:pt idx="11">
                  <c:v>0.34973463206622379</c:v>
                </c:pt>
                <c:pt idx="12">
                  <c:v>0</c:v>
                </c:pt>
                <c:pt idx="13">
                  <c:v>0</c:v>
                </c:pt>
              </c:numCache>
            </c:numRef>
          </c:yVal>
          <c:smooth val="1"/>
          <c:extLst>
            <c:ext xmlns:c16="http://schemas.microsoft.com/office/drawing/2014/chart" uri="{C3380CC4-5D6E-409C-BE32-E72D297353CC}">
              <c16:uniqueId val="{00000004-862B-46F0-B0F7-97FD23ADB2E5}"/>
            </c:ext>
          </c:extLst>
        </c:ser>
        <c:ser>
          <c:idx val="3"/>
          <c:order val="5"/>
          <c:tx>
            <c:strRef>
              <c:f>'Diagnosis Indicators'!$A$19</c:f>
              <c:strCache>
                <c:ptCount val="1"/>
                <c:pt idx="0">
                  <c:v>Keynes-Kaldor</c:v>
                </c:pt>
              </c:strCache>
            </c:strRef>
          </c:tx>
          <c:spPr>
            <a:ln w="25400" cap="rnd">
              <a:solidFill>
                <a:schemeClr val="accent6"/>
              </a:solidFill>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Indicators'!$B$19:$Y$19</c:f>
              <c:numCache>
                <c:formatCode>#,##0.000</c:formatCode>
                <c:ptCount val="24"/>
                <c:pt idx="0">
                  <c:v>5.7716594496607888E-3</c:v>
                </c:pt>
                <c:pt idx="1">
                  <c:v>5.9206043101945431E-2</c:v>
                </c:pt>
                <c:pt idx="2">
                  <c:v>0.11785983951050434</c:v>
                </c:pt>
                <c:pt idx="3">
                  <c:v>0.18255209349067184</c:v>
                </c:pt>
                <c:pt idx="4">
                  <c:v>0.25429138958453151</c:v>
                </c:pt>
                <c:pt idx="5">
                  <c:v>0.33433920065221795</c:v>
                </c:pt>
                <c:pt idx="6">
                  <c:v>0.42432759063533293</c:v>
                </c:pt>
                <c:pt idx="7">
                  <c:v>0.52640292765818009</c:v>
                </c:pt>
                <c:pt idx="8">
                  <c:v>0.64348610141450735</c:v>
                </c:pt>
                <c:pt idx="9">
                  <c:v>0.77968572588962604</c:v>
                </c:pt>
                <c:pt idx="10">
                  <c:v>0.94100271794272472</c:v>
                </c:pt>
                <c:pt idx="11">
                  <c:v>1.1365749805031986</c:v>
                </c:pt>
                <c:pt idx="12">
                  <c:v>1.3809699791230148</c:v>
                </c:pt>
                <c:pt idx="13">
                  <c:v>1.6985710183342884</c:v>
                </c:pt>
                <c:pt idx="14">
                  <c:v>2.1322163136068646</c:v>
                </c:pt>
                <c:pt idx="15">
                  <c:v>2.7599866791200158</c:v>
                </c:pt>
                <c:pt idx="16">
                  <c:v>3.7238758709983708</c:v>
                </c:pt>
                <c:pt idx="17">
                  <c:v>5.2559053522660442</c:v>
                </c:pt>
                <c:pt idx="18">
                  <c:v>7.5875433004420101</c:v>
                </c:pt>
              </c:numCache>
            </c:numRef>
          </c:yVal>
          <c:smooth val="1"/>
          <c:extLst>
            <c:ext xmlns:c16="http://schemas.microsoft.com/office/drawing/2014/chart" uri="{C3380CC4-5D6E-409C-BE32-E72D297353CC}">
              <c16:uniqueId val="{00000005-862B-46F0-B0F7-97FD23ADB2E5}"/>
            </c:ext>
          </c:extLst>
        </c:ser>
        <c:ser>
          <c:idx val="7"/>
          <c:order val="6"/>
          <c:tx>
            <c:strRef>
              <c:f>'Diagnosis Indicators'!$A$20</c:f>
              <c:strCache>
                <c:ptCount val="1"/>
                <c:pt idx="0">
                  <c:v>Neo-K2</c:v>
                </c:pt>
              </c:strCache>
            </c:strRef>
          </c:tx>
          <c:spPr>
            <a:ln w="25400" cap="rnd">
              <a:solidFill>
                <a:schemeClr val="accent5"/>
              </a:solidFill>
              <a:prstDash val="dash"/>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Indicators'!$B$20:$Y$20</c:f>
              <c:numCache>
                <c:formatCode>#,##0.000</c:formatCode>
                <c:ptCount val="24"/>
                <c:pt idx="0">
                  <c:v>5.7716594496607888E-3</c:v>
                </c:pt>
                <c:pt idx="1">
                  <c:v>4.5518481263062793E-2</c:v>
                </c:pt>
                <c:pt idx="2">
                  <c:v>8.8562863514592333E-2</c:v>
                </c:pt>
                <c:pt idx="3">
                  <c:v>0.13526398872811385</c:v>
                </c:pt>
                <c:pt idx="4">
                  <c:v>0.18601627035336959</c:v>
                </c:pt>
                <c:pt idx="5">
                  <c:v>0.24124728954057867</c:v>
                </c:pt>
                <c:pt idx="6">
                  <c:v>0.30141062494707521</c:v>
                </c:pt>
                <c:pt idx="7">
                  <c:v>0.36697403507820481</c:v>
                </c:pt>
                <c:pt idx="8">
                  <c:v>0.43839724569730387</c:v>
                </c:pt>
                <c:pt idx="9">
                  <c:v>0.51610735644833494</c:v>
                </c:pt>
                <c:pt idx="10">
                  <c:v>0.60047821555057568</c:v>
                </c:pt>
                <c:pt idx="11">
                  <c:v>0.69188355998456963</c:v>
                </c:pt>
                <c:pt idx="12">
                  <c:v>0.79097882084432924</c:v>
                </c:pt>
                <c:pt idx="13">
                  <c:v>0.89968543496905795</c:v>
                </c:pt>
                <c:pt idx="14">
                  <c:v>1.0241820373121895</c:v>
                </c:pt>
                <c:pt idx="15">
                  <c:v>1.1839033267423165</c:v>
                </c:pt>
                <c:pt idx="16">
                  <c:v>1.4404694183402753</c:v>
                </c:pt>
                <c:pt idx="17">
                  <c:v>2.0080031520006099</c:v>
                </c:pt>
                <c:pt idx="18">
                  <c:v>3.822087954220005</c:v>
                </c:pt>
                <c:pt idx="19">
                  <c:v>12.838574374526187</c:v>
                </c:pt>
                <c:pt idx="20">
                  <c:v>18.379990226301899</c:v>
                </c:pt>
                <c:pt idx="21">
                  <c:v>28.482957892618224</c:v>
                </c:pt>
                <c:pt idx="22">
                  <c:v>50.757850970794856</c:v>
                </c:pt>
                <c:pt idx="23">
                  <c:v>125.26284170710795</c:v>
                </c:pt>
              </c:numCache>
            </c:numRef>
          </c:yVal>
          <c:smooth val="1"/>
          <c:extLst>
            <c:ext xmlns:c16="http://schemas.microsoft.com/office/drawing/2014/chart" uri="{C3380CC4-5D6E-409C-BE32-E72D297353CC}">
              <c16:uniqueId val="{00000006-862B-46F0-B0F7-97FD23ADB2E5}"/>
            </c:ext>
          </c:extLst>
        </c:ser>
        <c:ser>
          <c:idx val="6"/>
          <c:order val="7"/>
          <c:tx>
            <c:strRef>
              <c:f>'Diagnosis Indicators'!$A$21</c:f>
              <c:strCache>
                <c:ptCount val="1"/>
                <c:pt idx="0">
                  <c:v>Neo-K1</c:v>
                </c:pt>
              </c:strCache>
            </c:strRef>
          </c:tx>
          <c:spPr>
            <a:ln w="25400" cap="rnd">
              <a:solidFill>
                <a:schemeClr val="accent5"/>
              </a:solidFill>
              <a:prstDash val="lgDashDotDot"/>
              <a:round/>
            </a:ln>
            <a:effectLst/>
          </c:spPr>
          <c:marker>
            <c:symbol val="none"/>
          </c:marker>
          <c:xVal>
            <c:numRef>
              <c:f>'Diagnosis Indicators'!$B$13:$Y$13</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Indicators'!$B$21:$Y$21</c:f>
              <c:numCache>
                <c:formatCode>#,##0.000</c:formatCode>
                <c:ptCount val="24"/>
                <c:pt idx="0">
                  <c:v>5.7716594496607888E-3</c:v>
                </c:pt>
                <c:pt idx="1">
                  <c:v>4.7192252775927965E-2</c:v>
                </c:pt>
                <c:pt idx="2">
                  <c:v>9.2409102746193253E-2</c:v>
                </c:pt>
                <c:pt idx="3">
                  <c:v>0.14193019819823718</c:v>
                </c:pt>
                <c:pt idx="4">
                  <c:v>0.1963540514065705</c:v>
                </c:pt>
                <c:pt idx="5">
                  <c:v>0.2563915901416729</c:v>
                </c:pt>
                <c:pt idx="6">
                  <c:v>0.3228942042964611</c:v>
                </c:pt>
                <c:pt idx="7">
                  <c:v>0.39688949721281652</c:v>
                </c:pt>
                <c:pt idx="8">
                  <c:v>0.47962603296767758</c:v>
                </c:pt>
                <c:pt idx="9">
                  <c:v>0.57262917734484242</c:v>
                </c:pt>
                <c:pt idx="10">
                  <c:v>0.67776124666400739</c:v>
                </c:pt>
                <c:pt idx="11">
                  <c:v>0.79727603601088703</c:v>
                </c:pt>
                <c:pt idx="12">
                  <c:v>0.93383363695356425</c:v>
                </c:pt>
                <c:pt idx="13">
                  <c:v>1.0904085821804719</c:v>
                </c:pt>
                <c:pt idx="14">
                  <c:v>1.2699759029781874</c:v>
                </c:pt>
                <c:pt idx="15">
                  <c:v>1.4748427422845414</c:v>
                </c:pt>
                <c:pt idx="16">
                  <c:v>1.7056096592247467</c:v>
                </c:pt>
                <c:pt idx="17">
                  <c:v>1.9601099223099308</c:v>
                </c:pt>
                <c:pt idx="18">
                  <c:v>2.2330645809713805</c:v>
                </c:pt>
                <c:pt idx="19">
                  <c:v>2.5170070487101355</c:v>
                </c:pt>
                <c:pt idx="20">
                  <c:v>2.5744091437968617</c:v>
                </c:pt>
                <c:pt idx="21">
                  <c:v>2.6318731531601074</c:v>
                </c:pt>
                <c:pt idx="22">
                  <c:v>2.6893425490522742</c:v>
                </c:pt>
                <c:pt idx="23">
                  <c:v>2.7467636625383673</c:v>
                </c:pt>
              </c:numCache>
            </c:numRef>
          </c:yVal>
          <c:smooth val="1"/>
          <c:extLst>
            <c:ext xmlns:c16="http://schemas.microsoft.com/office/drawing/2014/chart" uri="{C3380CC4-5D6E-409C-BE32-E72D297353CC}">
              <c16:uniqueId val="{00000007-862B-46F0-B0F7-97FD23ADB2E5}"/>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Tax rate (log</a:t>
                </a:r>
                <a:r>
                  <a:rPr lang="en-US" sz="1600" baseline="0"/>
                  <a:t> scale)</a:t>
                </a:r>
                <a:endParaRPr lang="en-US" sz="1600"/>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 ##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0.11181009916630628"/>
          <c:y val="0.10650585159629646"/>
          <c:w val="0.20794849357122944"/>
          <c:h val="0.45976832234980269"/>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Indicators'!$A$25</c:f>
              <c:strCache>
                <c:ptCount val="1"/>
                <c:pt idx="0">
                  <c:v>Neoclassical</c:v>
                </c:pt>
              </c:strCache>
            </c:strRef>
          </c:tx>
          <c:spPr>
            <a:ln w="25400" cap="rnd">
              <a:solidFill>
                <a:schemeClr val="accent1"/>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Indicators'!$B$25:$Y$25</c:f>
              <c:numCache>
                <c:formatCode>#,##0.000</c:formatCode>
                <c:ptCount val="24"/>
                <c:pt idx="0">
                  <c:v>1</c:v>
                </c:pt>
                <c:pt idx="1">
                  <c:v>1.0014239745058358</c:v>
                </c:pt>
                <c:pt idx="2">
                  <c:v>1.0027367251029209</c:v>
                </c:pt>
                <c:pt idx="3">
                  <c:v>1.0039189107804523</c:v>
                </c:pt>
                <c:pt idx="4">
                  <c:v>1.0049465326878824</c:v>
                </c:pt>
                <c:pt idx="5">
                  <c:v>1.0057894125788278</c:v>
                </c:pt>
                <c:pt idx="6">
                  <c:v>1.0064097167306987</c:v>
                </c:pt>
                <c:pt idx="7">
                  <c:v>1.0067590656426639</c:v>
                </c:pt>
                <c:pt idx="8">
                  <c:v>1.0067752193454773</c:v>
                </c:pt>
                <c:pt idx="9">
                  <c:v>1.0063768866648772</c:v>
                </c:pt>
                <c:pt idx="10">
                  <c:v>1.0054559207336069</c:v>
                </c:pt>
                <c:pt idx="11">
                  <c:v>1.0038650164538871</c:v>
                </c:pt>
                <c:pt idx="12">
                  <c:v>1.0013965167362129</c:v>
                </c:pt>
                <c:pt idx="13">
                  <c:v>0.99774271907934253</c:v>
                </c:pt>
                <c:pt idx="14">
                  <c:v>0.99241080107872115</c:v>
                </c:pt>
                <c:pt idx="15">
                  <c:v>0.98451149974033814</c:v>
                </c:pt>
                <c:pt idx="16">
                  <c:v>0.97215254382688876</c:v>
                </c:pt>
                <c:pt idx="17">
                  <c:v>0.95056093527913843</c:v>
                </c:pt>
                <c:pt idx="18">
                  <c:v>0.90586393896726458</c:v>
                </c:pt>
                <c:pt idx="19">
                  <c:v>0.7847523814799412</c:v>
                </c:pt>
                <c:pt idx="20">
                  <c:v>0.73438854001382226</c:v>
                </c:pt>
                <c:pt idx="21">
                  <c:v>0.66311649430421893</c:v>
                </c:pt>
                <c:pt idx="22">
                  <c:v>0.55518101346125703</c:v>
                </c:pt>
                <c:pt idx="23">
                  <c:v>0.37323457784413827</c:v>
                </c:pt>
              </c:numCache>
            </c:numRef>
          </c:yVal>
          <c:smooth val="1"/>
          <c:extLst>
            <c:ext xmlns:c16="http://schemas.microsoft.com/office/drawing/2014/chart" uri="{C3380CC4-5D6E-409C-BE32-E72D297353CC}">
              <c16:uniqueId val="{00000000-196C-4AC4-9503-D101CEE25CB6}"/>
            </c:ext>
          </c:extLst>
        </c:ser>
        <c:ser>
          <c:idx val="1"/>
          <c:order val="1"/>
          <c:tx>
            <c:strRef>
              <c:f>'Diagnosis Indicators'!$A$26</c:f>
              <c:strCache>
                <c:ptCount val="1"/>
                <c:pt idx="0">
                  <c:v>Kaldorian</c:v>
                </c:pt>
              </c:strCache>
            </c:strRef>
          </c:tx>
          <c:spPr>
            <a:ln w="25400" cap="rnd">
              <a:solidFill>
                <a:schemeClr val="accent2"/>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Indicators'!$B$26:$Y$26</c:f>
              <c:numCache>
                <c:formatCode>#,##0.000</c:formatCode>
                <c:ptCount val="24"/>
                <c:pt idx="0">
                  <c:v>1</c:v>
                </c:pt>
                <c:pt idx="1">
                  <c:v>1.0014995248451064</c:v>
                </c:pt>
                <c:pt idx="2">
                  <c:v>1.0028929334899317</c:v>
                </c:pt>
                <c:pt idx="3">
                  <c:v>1.0041617353523866</c:v>
                </c:pt>
                <c:pt idx="4">
                  <c:v>1.0052828629952058</c:v>
                </c:pt>
                <c:pt idx="5">
                  <c:v>1.006227321788896</c:v>
                </c:pt>
                <c:pt idx="6">
                  <c:v>1.0069586403826609</c:v>
                </c:pt>
                <c:pt idx="7">
                  <c:v>1.007430173132527</c:v>
                </c:pt>
                <c:pt idx="8">
                  <c:v>1.0075818732682744</c:v>
                </c:pt>
                <c:pt idx="9">
                  <c:v>1.0073355881331352</c:v>
                </c:pt>
                <c:pt idx="10">
                  <c:v>1.0065877899909179</c:v>
                </c:pt>
                <c:pt idx="11">
                  <c:v>1.0051986373960893</c:v>
                </c:pt>
                <c:pt idx="12">
                  <c:v>1.0029733751947965</c:v>
                </c:pt>
                <c:pt idx="13">
                  <c:v>0.99962782510288417</c:v>
                </c:pt>
                <c:pt idx="14">
                  <c:v>0.9947135258337837</c:v>
                </c:pt>
                <c:pt idx="15">
                  <c:v>0.9874240517974141</c:v>
                </c:pt>
                <c:pt idx="16">
                  <c:v>0.9760043570838689</c:v>
                </c:pt>
                <c:pt idx="17">
                  <c:v>0.95584905863292191</c:v>
                </c:pt>
                <c:pt idx="18">
                  <c:v>0.91319691447774287</c:v>
                </c:pt>
              </c:numCache>
            </c:numRef>
          </c:yVal>
          <c:smooth val="1"/>
          <c:extLst>
            <c:ext xmlns:c16="http://schemas.microsoft.com/office/drawing/2014/chart" uri="{C3380CC4-5D6E-409C-BE32-E72D297353CC}">
              <c16:uniqueId val="{00000002-196C-4AC4-9503-D101CEE25CB6}"/>
            </c:ext>
          </c:extLst>
        </c:ser>
        <c:ser>
          <c:idx val="5"/>
          <c:order val="2"/>
          <c:tx>
            <c:strRef>
              <c:f>'Diagnosis Indicators'!$A$27</c:f>
              <c:strCache>
                <c:ptCount val="1"/>
                <c:pt idx="0">
                  <c:v>Johansen</c:v>
                </c:pt>
              </c:strCache>
            </c:strRef>
          </c:tx>
          <c:spPr>
            <a:ln w="25400" cap="rnd">
              <a:solidFill>
                <a:schemeClr val="accent3"/>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Indicators'!$B$27:$Y$27</c:f>
              <c:numCache>
                <c:formatCode>#,##0.000</c:formatCode>
                <c:ptCount val="24"/>
                <c:pt idx="0">
                  <c:v>1</c:v>
                </c:pt>
                <c:pt idx="1">
                  <c:v>1.0014838632480656</c:v>
                </c:pt>
                <c:pt idx="2">
                  <c:v>1.0028616102774259</c:v>
                </c:pt>
                <c:pt idx="3">
                  <c:v>1.0041145202883957</c:v>
                </c:pt>
                <c:pt idx="4">
                  <c:v>1.0052193152394437</c:v>
                </c:pt>
                <c:pt idx="5">
                  <c:v>1.0061467286109069</c:v>
                </c:pt>
                <c:pt idx="6">
                  <c:v>1.0068600249219501</c:v>
                </c:pt>
                <c:pt idx="7">
                  <c:v>1.0073124306225483</c:v>
                </c:pt>
                <c:pt idx="8">
                  <c:v>1.0074438709211557</c:v>
                </c:pt>
                <c:pt idx="9">
                  <c:v>1.0071764686370779</c:v>
                </c:pt>
                <c:pt idx="10">
                  <c:v>1.0064075202330256</c:v>
                </c:pt>
                <c:pt idx="11">
                  <c:v>1.0049988603620481</c:v>
                </c:pt>
                <c:pt idx="12">
                  <c:v>1.0027588310778464</c:v>
                </c:pt>
                <c:pt idx="13">
                  <c:v>0.99940845853461091</c:v>
                </c:pt>
                <c:pt idx="14">
                  <c:v>0.99450733027408678</c:v>
                </c:pt>
                <c:pt idx="15">
                  <c:v>0.98725797576764918</c:v>
                </c:pt>
                <c:pt idx="16">
                  <c:v>0.97590460185667383</c:v>
                </c:pt>
                <c:pt idx="17">
                  <c:v>0.95581372359253614</c:v>
                </c:pt>
                <c:pt idx="18">
                  <c:v>0.9131917438637549</c:v>
                </c:pt>
                <c:pt idx="19">
                  <c:v>0.79410141906230247</c:v>
                </c:pt>
                <c:pt idx="20">
                  <c:v>0.74366431598896721</c:v>
                </c:pt>
                <c:pt idx="21">
                  <c:v>0.67170820336848203</c:v>
                </c:pt>
                <c:pt idx="22">
                  <c:v>0.56191602809765606</c:v>
                </c:pt>
                <c:pt idx="23">
                  <c:v>0.37616460163397308</c:v>
                </c:pt>
              </c:numCache>
            </c:numRef>
          </c:yVal>
          <c:smooth val="1"/>
          <c:extLst xmlns:c15="http://schemas.microsoft.com/office/drawing/2012/chart">
            <c:ext xmlns:c16="http://schemas.microsoft.com/office/drawing/2014/chart" uri="{C3380CC4-5D6E-409C-BE32-E72D297353CC}">
              <c16:uniqueId val="{00000001-196C-4AC4-9503-D101CEE25CB6}"/>
            </c:ext>
          </c:extLst>
        </c:ser>
        <c:ser>
          <c:idx val="4"/>
          <c:order val="3"/>
          <c:tx>
            <c:strRef>
              <c:f>'Diagnosis Indicators'!$A$28</c:f>
              <c:strCache>
                <c:ptCount val="1"/>
                <c:pt idx="0">
                  <c:v>Keynes-Marshall</c:v>
                </c:pt>
              </c:strCache>
            </c:strRef>
          </c:tx>
          <c:spPr>
            <a:ln w="25400" cap="rnd">
              <a:solidFill>
                <a:schemeClr val="accent4"/>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Indicators'!$B$28:$Y$28</c:f>
              <c:numCache>
                <c:formatCode>#,##0.000</c:formatCode>
                <c:ptCount val="24"/>
                <c:pt idx="0">
                  <c:v>1</c:v>
                </c:pt>
                <c:pt idx="1">
                  <c:v>1.0151236795663272</c:v>
                </c:pt>
                <c:pt idx="2">
                  <c:v>1.0305448653282783</c:v>
                </c:pt>
                <c:pt idx="3">
                  <c:v>1.0462906575146329</c:v>
                </c:pt>
                <c:pt idx="4">
                  <c:v>1.0623945607835636</c:v>
                </c:pt>
                <c:pt idx="5">
                  <c:v>1.0789022878371384</c:v>
                </c:pt>
                <c:pt idx="6">
                  <c:v>1.0958812709160231</c:v>
                </c:pt>
                <c:pt idx="7">
                  <c:v>1.1134365793966108</c:v>
                </c:pt>
                <c:pt idx="8">
                  <c:v>1.1317377828503703</c:v>
                </c:pt>
                <c:pt idx="9">
                  <c:v>1.1510657148845069</c:v>
                </c:pt>
                <c:pt idx="10">
                  <c:v>1.1718957324852737</c:v>
                </c:pt>
                <c:pt idx="11">
                  <c:v>1.195048212797359</c:v>
                </c:pt>
                <c:pt idx="12">
                  <c:v>1.2219558805715021</c:v>
                </c:pt>
                <c:pt idx="13">
                  <c:v>1.2550806355456787</c:v>
                </c:pt>
                <c:pt idx="14">
                  <c:v>1.2982616819980521</c:v>
                </c:pt>
                <c:pt idx="15">
                  <c:v>0</c:v>
                </c:pt>
              </c:numCache>
            </c:numRef>
          </c:yVal>
          <c:smooth val="1"/>
          <c:extLst>
            <c:ext xmlns:c16="http://schemas.microsoft.com/office/drawing/2014/chart" uri="{C3380CC4-5D6E-409C-BE32-E72D297353CC}">
              <c16:uniqueId val="{00000003-196C-4AC4-9503-D101CEE25CB6}"/>
            </c:ext>
          </c:extLst>
        </c:ser>
        <c:ser>
          <c:idx val="2"/>
          <c:order val="4"/>
          <c:tx>
            <c:strRef>
              <c:f>'Diagnosis Indicators'!$A$29</c:f>
              <c:strCache>
                <c:ptCount val="1"/>
                <c:pt idx="0">
                  <c:v>Keynesian</c:v>
                </c:pt>
              </c:strCache>
            </c:strRef>
          </c:tx>
          <c:spPr>
            <a:ln w="25400" cap="rnd">
              <a:solidFill>
                <a:schemeClr val="accent5"/>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Indicators'!$B$29:$Y$29</c:f>
              <c:numCache>
                <c:formatCode>#,##0.000</c:formatCode>
                <c:ptCount val="24"/>
                <c:pt idx="0">
                  <c:v>1</c:v>
                </c:pt>
                <c:pt idx="1">
                  <c:v>0.98029615907915024</c:v>
                </c:pt>
                <c:pt idx="2">
                  <c:v>0.9582565951198555</c:v>
                </c:pt>
                <c:pt idx="3">
                  <c:v>0.93362751731750038</c:v>
                </c:pt>
                <c:pt idx="4">
                  <c:v>0.90614209247437993</c:v>
                </c:pt>
                <c:pt idx="5">
                  <c:v>0.87553187608181293</c:v>
                </c:pt>
                <c:pt idx="6">
                  <c:v>0.84154283211082004</c:v>
                </c:pt>
                <c:pt idx="7">
                  <c:v>0.80396448347610538</c:v>
                </c:pt>
                <c:pt idx="8">
                  <c:v>0.76267677220922858</c:v>
                </c:pt>
                <c:pt idx="9">
                  <c:v>0.71773348802433701</c:v>
                </c:pt>
                <c:pt idx="10">
                  <c:v>0.6695414937000389</c:v>
                </c:pt>
                <c:pt idx="11">
                  <c:v>0.6193620748161317</c:v>
                </c:pt>
                <c:pt idx="12">
                  <c:v>0</c:v>
                </c:pt>
                <c:pt idx="13">
                  <c:v>0</c:v>
                </c:pt>
              </c:numCache>
            </c:numRef>
          </c:yVal>
          <c:smooth val="1"/>
          <c:extLst>
            <c:ext xmlns:c16="http://schemas.microsoft.com/office/drawing/2014/chart" uri="{C3380CC4-5D6E-409C-BE32-E72D297353CC}">
              <c16:uniqueId val="{00000004-196C-4AC4-9503-D101CEE25CB6}"/>
            </c:ext>
          </c:extLst>
        </c:ser>
        <c:ser>
          <c:idx val="3"/>
          <c:order val="5"/>
          <c:tx>
            <c:strRef>
              <c:f>'Diagnosis Indicators'!$A$30</c:f>
              <c:strCache>
                <c:ptCount val="1"/>
                <c:pt idx="0">
                  <c:v>Keynes-Kaldor</c:v>
                </c:pt>
              </c:strCache>
            </c:strRef>
          </c:tx>
          <c:spPr>
            <a:ln w="25400" cap="rnd">
              <a:solidFill>
                <a:schemeClr val="accent6"/>
              </a:solidFill>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Indicators'!$B$30:$Y$30</c:f>
              <c:numCache>
                <c:formatCode>#,##0.000</c:formatCode>
                <c:ptCount val="24"/>
                <c:pt idx="0">
                  <c:v>1</c:v>
                </c:pt>
                <c:pt idx="1">
                  <c:v>1.0064522781814911</c:v>
                </c:pt>
                <c:pt idx="2">
                  <c:v>1.0123402982207186</c:v>
                </c:pt>
                <c:pt idx="3">
                  <c:v>1.0176117367703355</c:v>
                </c:pt>
                <c:pt idx="4">
                  <c:v>1.0221956318827432</c:v>
                </c:pt>
                <c:pt idx="5">
                  <c:v>1.0259968290414079</c:v>
                </c:pt>
                <c:pt idx="6">
                  <c:v>1.0288904336502238</c:v>
                </c:pt>
                <c:pt idx="7">
                  <c:v>1.0307107697527618</c:v>
                </c:pt>
                <c:pt idx="8">
                  <c:v>1.0312375423989737</c:v>
                </c:pt>
                <c:pt idx="9">
                  <c:v>1.0301736945561426</c:v>
                </c:pt>
                <c:pt idx="10">
                  <c:v>1.0271104435113612</c:v>
                </c:pt>
                <c:pt idx="11">
                  <c:v>1.0214687293407665</c:v>
                </c:pt>
                <c:pt idx="12">
                  <c:v>1.0123955184360369</c:v>
                </c:pt>
                <c:pt idx="13">
                  <c:v>0.99856593111530556</c:v>
                </c:pt>
                <c:pt idx="14">
                  <c:v>0.97777739012949683</c:v>
                </c:pt>
                <c:pt idx="15">
                  <c:v>0.94605383636252161</c:v>
                </c:pt>
                <c:pt idx="16">
                  <c:v>0.89558735078044993</c:v>
                </c:pt>
                <c:pt idx="17">
                  <c:v>0.81019992053224499</c:v>
                </c:pt>
                <c:pt idx="18">
                  <c:v>0.65732459972932633</c:v>
                </c:pt>
              </c:numCache>
            </c:numRef>
          </c:yVal>
          <c:smooth val="1"/>
          <c:extLst>
            <c:ext xmlns:c16="http://schemas.microsoft.com/office/drawing/2014/chart" uri="{C3380CC4-5D6E-409C-BE32-E72D297353CC}">
              <c16:uniqueId val="{00000005-196C-4AC4-9503-D101CEE25CB6}"/>
            </c:ext>
          </c:extLst>
        </c:ser>
        <c:ser>
          <c:idx val="7"/>
          <c:order val="6"/>
          <c:tx>
            <c:strRef>
              <c:f>'Diagnosis Indicators'!$A$31</c:f>
              <c:strCache>
                <c:ptCount val="1"/>
                <c:pt idx="0">
                  <c:v>Neo-K1</c:v>
                </c:pt>
              </c:strCache>
            </c:strRef>
          </c:tx>
          <c:spPr>
            <a:ln w="25400" cap="rnd">
              <a:solidFill>
                <a:schemeClr val="accent5"/>
              </a:solidFill>
              <a:prstDash val="dash"/>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Indicators'!$B$31:$Y$31</c:f>
              <c:numCache>
                <c:formatCode>#,##0.000</c:formatCode>
                <c:ptCount val="24"/>
                <c:pt idx="0">
                  <c:v>1</c:v>
                </c:pt>
                <c:pt idx="1">
                  <c:v>0.99652449511046215</c:v>
                </c:pt>
                <c:pt idx="2">
                  <c:v>0.99234524529667378</c:v>
                </c:pt>
                <c:pt idx="3">
                  <c:v>0.98732077340378055</c:v>
                </c:pt>
                <c:pt idx="4">
                  <c:v>0.98127269186648491</c:v>
                </c:pt>
                <c:pt idx="5">
                  <c:v>0.97397352060512499</c:v>
                </c:pt>
                <c:pt idx="6">
                  <c:v>0.96512978120025872</c:v>
                </c:pt>
                <c:pt idx="7">
                  <c:v>0.95435913957074014</c:v>
                </c:pt>
                <c:pt idx="8">
                  <c:v>0.94115793123172986</c:v>
                </c:pt>
                <c:pt idx="9">
                  <c:v>0.92485525201748298</c:v>
                </c:pt>
                <c:pt idx="10">
                  <c:v>0.90454999346906995</c:v>
                </c:pt>
                <c:pt idx="11">
                  <c:v>0.8790250279426306</c:v>
                </c:pt>
                <c:pt idx="12">
                  <c:v>0.84663779287800156</c:v>
                </c:pt>
                <c:pt idx="13">
                  <c:v>0.80519815939347184</c:v>
                </c:pt>
                <c:pt idx="14">
                  <c:v>0.75187298788424861</c:v>
                </c:pt>
                <c:pt idx="15">
                  <c:v>0.68320677833848109</c:v>
                </c:pt>
                <c:pt idx="16">
                  <c:v>0.59539149586245299</c:v>
                </c:pt>
                <c:pt idx="17">
                  <c:v>0.48486923161637019</c:v>
                </c:pt>
                <c:pt idx="18">
                  <c:v>0.34912359562888901</c:v>
                </c:pt>
                <c:pt idx="19">
                  <c:v>0.18725539366662389</c:v>
                </c:pt>
                <c:pt idx="20">
                  <c:v>0.15178736519060346</c:v>
                </c:pt>
                <c:pt idx="21">
                  <c:v>0.11531277049671525</c:v>
                </c:pt>
                <c:pt idx="22">
                  <c:v>7.7845945564014932E-2</c:v>
                </c:pt>
                <c:pt idx="23">
                  <c:v>3.9402678307509174E-2</c:v>
                </c:pt>
              </c:numCache>
            </c:numRef>
          </c:yVal>
          <c:smooth val="1"/>
          <c:extLst>
            <c:ext xmlns:c16="http://schemas.microsoft.com/office/drawing/2014/chart" uri="{C3380CC4-5D6E-409C-BE32-E72D297353CC}">
              <c16:uniqueId val="{00000006-196C-4AC4-9503-D101CEE25CB6}"/>
            </c:ext>
          </c:extLst>
        </c:ser>
        <c:ser>
          <c:idx val="6"/>
          <c:order val="7"/>
          <c:tx>
            <c:strRef>
              <c:f>'Diagnosis Indicators'!$A$32</c:f>
              <c:strCache>
                <c:ptCount val="1"/>
                <c:pt idx="0">
                  <c:v>Neo-K2</c:v>
                </c:pt>
              </c:strCache>
            </c:strRef>
          </c:tx>
          <c:spPr>
            <a:ln w="25400" cap="rnd">
              <a:solidFill>
                <a:schemeClr val="accent5"/>
              </a:solidFill>
              <a:prstDash val="lgDashDotDot"/>
              <a:round/>
            </a:ln>
            <a:effectLst/>
          </c:spPr>
          <c:marker>
            <c:symbol val="none"/>
          </c:marker>
          <c:xVal>
            <c:numRef>
              <c:f>'Diagnosis Indicators'!$B$24:$Y$24</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Indicators'!$B$32:$Y$32</c:f>
              <c:numCache>
                <c:formatCode>#,##0.000</c:formatCode>
                <c:ptCount val="24"/>
                <c:pt idx="0">
                  <c:v>1</c:v>
                </c:pt>
                <c:pt idx="1">
                  <c:v>0.99479878807283906</c:v>
                </c:pt>
                <c:pt idx="2">
                  <c:v>0.98861180959604011</c:v>
                </c:pt>
                <c:pt idx="3">
                  <c:v>0.98122453417046052</c:v>
                </c:pt>
                <c:pt idx="4">
                  <c:v>0.9723644431725359</c:v>
                </c:pt>
                <c:pt idx="5">
                  <c:v>0.96168330779009426</c:v>
                </c:pt>
                <c:pt idx="6">
                  <c:v>0.94873350311160765</c:v>
                </c:pt>
                <c:pt idx="7">
                  <c:v>0.93294124910014353</c:v>
                </c:pt>
                <c:pt idx="8">
                  <c:v>0.9135744904541403</c:v>
                </c:pt>
                <c:pt idx="9">
                  <c:v>0.8897135622796557</c:v>
                </c:pt>
                <c:pt idx="10">
                  <c:v>0.86023552627680455</c:v>
                </c:pt>
                <c:pt idx="11">
                  <c:v>0.82384434402750695</c:v>
                </c:pt>
                <c:pt idx="12">
                  <c:v>0.77918907515295877</c:v>
                </c:pt>
                <c:pt idx="13">
                  <c:v>0.72514307776558129</c:v>
                </c:pt>
                <c:pt idx="14">
                  <c:v>0.66131933522884523</c:v>
                </c:pt>
                <c:pt idx="15">
                  <c:v>0.588850551955312</c:v>
                </c:pt>
                <c:pt idx="16">
                  <c:v>0.51111708398379818</c:v>
                </c:pt>
                <c:pt idx="17">
                  <c:v>0.43260635573838385</c:v>
                </c:pt>
                <c:pt idx="18">
                  <c:v>0.34988072567107042</c:v>
                </c:pt>
                <c:pt idx="19">
                  <c:v>0.20712941757144701</c:v>
                </c:pt>
                <c:pt idx="20">
                  <c:v>0.14257659406513709</c:v>
                </c:pt>
              </c:numCache>
            </c:numRef>
          </c:yVal>
          <c:smooth val="1"/>
          <c:extLst>
            <c:ext xmlns:c16="http://schemas.microsoft.com/office/drawing/2014/chart" uri="{C3380CC4-5D6E-409C-BE32-E72D297353CC}">
              <c16:uniqueId val="{00000007-196C-4AC4-9503-D101CEE25CB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GDP</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7.9830335227042054E-2"/>
          <c:w val="0.91954496211515768"/>
          <c:h val="0.83999937950866999"/>
        </c:manualLayout>
      </c:layout>
      <c:scatterChart>
        <c:scatterStyle val="smoothMarker"/>
        <c:varyColors val="0"/>
        <c:ser>
          <c:idx val="0"/>
          <c:order val="0"/>
          <c:tx>
            <c:strRef>
              <c:f>'Diagnosis Indicators'!$A$47</c:f>
              <c:strCache>
                <c:ptCount val="1"/>
                <c:pt idx="0">
                  <c:v>Neoclassical</c:v>
                </c:pt>
              </c:strCache>
            </c:strRef>
          </c:tx>
          <c:spPr>
            <a:ln w="25400" cap="rnd">
              <a:solidFill>
                <a:schemeClr val="accent1"/>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Indicators'!$B$47:$Y$47</c:f>
              <c:numCache>
                <c:formatCode>#,##0.000</c:formatCode>
                <c:ptCount val="24"/>
                <c:pt idx="0">
                  <c:v>1</c:v>
                </c:pt>
                <c:pt idx="1">
                  <c:v>1.0120450570014201</c:v>
                </c:pt>
                <c:pt idx="2">
                  <c:v>1.0242933283879763</c:v>
                </c:pt>
                <c:pt idx="3">
                  <c:v>1.0367686195234209</c:v>
                </c:pt>
                <c:pt idx="4">
                  <c:v>1.0494977180519411</c:v>
                </c:pt>
                <c:pt idx="5">
                  <c:v>1.0625114819212749</c:v>
                </c:pt>
                <c:pt idx="6">
                  <c:v>1.0758464327481831</c:v>
                </c:pt>
                <c:pt idx="7">
                  <c:v>1.089548108606488</c:v>
                </c:pt>
                <c:pt idx="8">
                  <c:v>1.1036765686100409</c:v>
                </c:pt>
                <c:pt idx="9">
                  <c:v>1.1183169203036709</c:v>
                </c:pt>
                <c:pt idx="10">
                  <c:v>1.1335985805140094</c:v>
                </c:pt>
                <c:pt idx="11">
                  <c:v>1.1497316927844277</c:v>
                </c:pt>
                <c:pt idx="12">
                  <c:v>1.1670766936902421</c:v>
                </c:pt>
                <c:pt idx="13">
                  <c:v>1.1862781262488138</c:v>
                </c:pt>
                <c:pt idx="14">
                  <c:v>1.2085139099866364</c:v>
                </c:pt>
                <c:pt idx="15">
                  <c:v>1.2358965356018128</c:v>
                </c:pt>
                <c:pt idx="16">
                  <c:v>1.2717729912503311</c:v>
                </c:pt>
                <c:pt idx="17">
                  <c:v>1.3195367349857252</c:v>
                </c:pt>
                <c:pt idx="18">
                  <c:v>1.3765896316543584</c:v>
                </c:pt>
                <c:pt idx="19">
                  <c:v>1.4004553039735332</c:v>
                </c:pt>
                <c:pt idx="20">
                  <c:v>1.3799179084160393</c:v>
                </c:pt>
                <c:pt idx="21">
                  <c:v>1.329854979721357</c:v>
                </c:pt>
                <c:pt idx="22">
                  <c:v>1.2149251969492247</c:v>
                </c:pt>
                <c:pt idx="23">
                  <c:v>0.92949842421964546</c:v>
                </c:pt>
              </c:numCache>
            </c:numRef>
          </c:yVal>
          <c:smooth val="1"/>
          <c:extLst>
            <c:ext xmlns:c16="http://schemas.microsoft.com/office/drawing/2014/chart" uri="{C3380CC4-5D6E-409C-BE32-E72D297353CC}">
              <c16:uniqueId val="{00000000-8D08-41CF-8E99-FEE4B9BDB7C8}"/>
            </c:ext>
          </c:extLst>
        </c:ser>
        <c:ser>
          <c:idx val="1"/>
          <c:order val="1"/>
          <c:tx>
            <c:strRef>
              <c:f>'Diagnosis Indicators'!$A$48</c:f>
              <c:strCache>
                <c:ptCount val="1"/>
                <c:pt idx="0">
                  <c:v>Kaldorian</c:v>
                </c:pt>
              </c:strCache>
            </c:strRef>
          </c:tx>
          <c:spPr>
            <a:ln w="25400" cap="rnd">
              <a:solidFill>
                <a:schemeClr val="accent2"/>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Indicators'!$B$48:$Y$48</c:f>
              <c:numCache>
                <c:formatCode>#,##0.000</c:formatCode>
                <c:ptCount val="24"/>
                <c:pt idx="0">
                  <c:v>1</c:v>
                </c:pt>
                <c:pt idx="1">
                  <c:v>1.0015987529963284</c:v>
                </c:pt>
                <c:pt idx="2">
                  <c:v>1.0030931923547821</c:v>
                </c:pt>
                <c:pt idx="3">
                  <c:v>1.0044653140927382</c:v>
                </c:pt>
                <c:pt idx="4">
                  <c:v>1.0056926936319148</c:v>
                </c:pt>
                <c:pt idx="5">
                  <c:v>1.0067471589027888</c:v>
                </c:pt>
                <c:pt idx="6">
                  <c:v>1.0075932324465855</c:v>
                </c:pt>
                <c:pt idx="7">
                  <c:v>1.0081854167518129</c:v>
                </c:pt>
                <c:pt idx="8">
                  <c:v>1.0084648755182102</c:v>
                </c:pt>
                <c:pt idx="9">
                  <c:v>1.0083545227087265</c:v>
                </c:pt>
                <c:pt idx="10">
                  <c:v>1.0077513223375216</c:v>
                </c:pt>
                <c:pt idx="11">
                  <c:v>1.006514474682995</c:v>
                </c:pt>
                <c:pt idx="12">
                  <c:v>1.0044450966588465</c:v>
                </c:pt>
                <c:pt idx="13">
                  <c:v>1.0012484049211894</c:v>
                </c:pt>
                <c:pt idx="14">
                  <c:v>0.99645292993763712</c:v>
                </c:pt>
                <c:pt idx="15">
                  <c:v>0.98920859030153641</c:v>
                </c:pt>
                <c:pt idx="16">
                  <c:v>0.97769554756145172</c:v>
                </c:pt>
                <c:pt idx="17">
                  <c:v>0.95726242958841801</c:v>
                </c:pt>
                <c:pt idx="18">
                  <c:v>0.91419985881384769</c:v>
                </c:pt>
              </c:numCache>
            </c:numRef>
          </c:yVal>
          <c:smooth val="1"/>
          <c:extLst>
            <c:ext xmlns:c16="http://schemas.microsoft.com/office/drawing/2014/chart" uri="{C3380CC4-5D6E-409C-BE32-E72D297353CC}">
              <c16:uniqueId val="{00000001-8D08-41CF-8E99-FEE4B9BDB7C8}"/>
            </c:ext>
          </c:extLst>
        </c:ser>
        <c:ser>
          <c:idx val="5"/>
          <c:order val="2"/>
          <c:tx>
            <c:strRef>
              <c:f>'Diagnosis Indicators'!$A$49</c:f>
              <c:strCache>
                <c:ptCount val="1"/>
                <c:pt idx="0">
                  <c:v>Johansen</c:v>
                </c:pt>
              </c:strCache>
            </c:strRef>
          </c:tx>
          <c:spPr>
            <a:ln w="25400" cap="rnd">
              <a:solidFill>
                <a:schemeClr val="accent3"/>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Indicators'!$B$49:$Y$49</c:f>
              <c:numCache>
                <c:formatCode>#,##0.000</c:formatCode>
                <c:ptCount val="24"/>
                <c:pt idx="0">
                  <c:v>1</c:v>
                </c:pt>
                <c:pt idx="1">
                  <c:v>1.0015893435149064</c:v>
                </c:pt>
                <c:pt idx="2">
                  <c:v>1.0030740617213547</c:v>
                </c:pt>
                <c:pt idx="3">
                  <c:v>1.0044359606667466</c:v>
                </c:pt>
                <c:pt idx="4">
                  <c:v>1.0056524472076032</c:v>
                </c:pt>
                <c:pt idx="5">
                  <c:v>1.0066951122770167</c:v>
                </c:pt>
                <c:pt idx="6">
                  <c:v>1.0075282357341759</c:v>
                </c:pt>
                <c:pt idx="7">
                  <c:v>1.0081061841823138</c:v>
                </c:pt>
                <c:pt idx="8">
                  <c:v>1.0083700392281163</c:v>
                </c:pt>
                <c:pt idx="9">
                  <c:v>1.008242860693199</c:v>
                </c:pt>
                <c:pt idx="10">
                  <c:v>1.0076221936790786</c:v>
                </c:pt>
                <c:pt idx="11">
                  <c:v>1.0063685017434756</c:v>
                </c:pt>
                <c:pt idx="12">
                  <c:v>1.0042853366296907</c:v>
                </c:pt>
                <c:pt idx="13">
                  <c:v>1.001082113099754</c:v>
                </c:pt>
                <c:pt idx="14">
                  <c:v>0.9962940375022703</c:v>
                </c:pt>
                <c:pt idx="15">
                  <c:v>0.9890787480417681</c:v>
                </c:pt>
                <c:pt idx="16">
                  <c:v>0.97761668256693246</c:v>
                </c:pt>
                <c:pt idx="17">
                  <c:v>0.95723437558463753</c:v>
                </c:pt>
                <c:pt idx="18">
                  <c:v>0.91419581494295665</c:v>
                </c:pt>
                <c:pt idx="19">
                  <c:v>0.79470172706038811</c:v>
                </c:pt>
                <c:pt idx="20">
                  <c:v>0.74419616769414532</c:v>
                </c:pt>
                <c:pt idx="21">
                  <c:v>0.67217437674884106</c:v>
                </c:pt>
                <c:pt idx="22">
                  <c:v>0.56231110638879922</c:v>
                </c:pt>
                <c:pt idx="23">
                  <c:v>0.37645185392608271</c:v>
                </c:pt>
              </c:numCache>
            </c:numRef>
          </c:yVal>
          <c:smooth val="1"/>
          <c:extLst xmlns:c15="http://schemas.microsoft.com/office/drawing/2012/chart">
            <c:ext xmlns:c16="http://schemas.microsoft.com/office/drawing/2014/chart" uri="{C3380CC4-5D6E-409C-BE32-E72D297353CC}">
              <c16:uniqueId val="{00000002-8D08-41CF-8E99-FEE4B9BDB7C8}"/>
            </c:ext>
          </c:extLst>
        </c:ser>
        <c:ser>
          <c:idx val="4"/>
          <c:order val="3"/>
          <c:tx>
            <c:strRef>
              <c:f>'Diagnosis Indicators'!$A$50</c:f>
              <c:strCache>
                <c:ptCount val="1"/>
                <c:pt idx="0">
                  <c:v>Keynes-Marshall</c:v>
                </c:pt>
              </c:strCache>
            </c:strRef>
          </c:tx>
          <c:spPr>
            <a:ln w="25400" cap="rnd">
              <a:solidFill>
                <a:schemeClr val="accent4"/>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Indicators'!$B$50:$Y$50</c:f>
              <c:numCache>
                <c:formatCode>#,##0.000</c:formatCode>
                <c:ptCount val="24"/>
                <c:pt idx="0">
                  <c:v>1</c:v>
                </c:pt>
                <c:pt idx="1">
                  <c:v>1.0152895310053869</c:v>
                </c:pt>
                <c:pt idx="2">
                  <c:v>1.0308785442657482</c:v>
                </c:pt>
                <c:pt idx="3">
                  <c:v>1.0467957102427361</c:v>
                </c:pt>
                <c:pt idx="4">
                  <c:v>1.063076347384518</c:v>
                </c:pt>
                <c:pt idx="5">
                  <c:v>1.0797681319129617</c:v>
                </c:pt>
                <c:pt idx="6">
                  <c:v>1.0969404321858822</c:v>
                </c:pt>
                <c:pt idx="7">
                  <c:v>1.1146999353889298</c:v>
                </c:pt>
                <c:pt idx="8">
                  <c:v>1.1332170046866634</c:v>
                </c:pt>
                <c:pt idx="9">
                  <c:v>1.1527715488829144</c:v>
                </c:pt>
                <c:pt idx="10">
                  <c:v>1.1738346638190014</c:v>
                </c:pt>
                <c:pt idx="11">
                  <c:v>1.1972161704844912</c:v>
                </c:pt>
                <c:pt idx="12">
                  <c:v>1.2243267260423498</c:v>
                </c:pt>
                <c:pt idx="13">
                  <c:v>1.2575869681631262</c:v>
                </c:pt>
                <c:pt idx="14">
                  <c:v>1.3007719996744949</c:v>
                </c:pt>
                <c:pt idx="15">
                  <c:v>0</c:v>
                </c:pt>
              </c:numCache>
            </c:numRef>
          </c:yVal>
          <c:smooth val="1"/>
          <c:extLst>
            <c:ext xmlns:c16="http://schemas.microsoft.com/office/drawing/2014/chart" uri="{C3380CC4-5D6E-409C-BE32-E72D297353CC}">
              <c16:uniqueId val="{00000003-8D08-41CF-8E99-FEE4B9BDB7C8}"/>
            </c:ext>
          </c:extLst>
        </c:ser>
        <c:ser>
          <c:idx val="2"/>
          <c:order val="4"/>
          <c:tx>
            <c:strRef>
              <c:f>'Diagnosis Indicators'!$A$51</c:f>
              <c:strCache>
                <c:ptCount val="1"/>
                <c:pt idx="0">
                  <c:v>Keynesian</c:v>
                </c:pt>
              </c:strCache>
            </c:strRef>
          </c:tx>
          <c:spPr>
            <a:ln w="25400" cap="rnd">
              <a:solidFill>
                <a:schemeClr val="accent5"/>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Indicators'!$B$51:$Y$51</c:f>
              <c:numCache>
                <c:formatCode>#,##0.000</c:formatCode>
                <c:ptCount val="24"/>
                <c:pt idx="0">
                  <c:v>1</c:v>
                </c:pt>
                <c:pt idx="1">
                  <c:v>0.98035564049885271</c:v>
                </c:pt>
                <c:pt idx="2">
                  <c:v>0.95836999962087743</c:v>
                </c:pt>
                <c:pt idx="3">
                  <c:v>0.93378889133809395</c:v>
                </c:pt>
                <c:pt idx="4">
                  <c:v>0.90634509494989135</c:v>
                </c:pt>
                <c:pt idx="5">
                  <c:v>0.87576982632408951</c:v>
                </c:pt>
                <c:pt idx="6">
                  <c:v>0.84180883623268521</c:v>
                </c:pt>
                <c:pt idx="7">
                  <c:v>0.80425168365741784</c:v>
                </c:pt>
                <c:pt idx="8">
                  <c:v>0.76297882888874957</c:v>
                </c:pt>
                <c:pt idx="9">
                  <c:v>0.71804552765382756</c:v>
                </c:pt>
                <c:pt idx="10">
                  <c:v>0.66986217160397199</c:v>
                </c:pt>
                <c:pt idx="11">
                  <c:v>0.61969913347254202</c:v>
                </c:pt>
                <c:pt idx="12">
                  <c:v>0</c:v>
                </c:pt>
                <c:pt idx="13">
                  <c:v>0</c:v>
                </c:pt>
              </c:numCache>
            </c:numRef>
          </c:yVal>
          <c:smooth val="1"/>
          <c:extLst>
            <c:ext xmlns:c16="http://schemas.microsoft.com/office/drawing/2014/chart" uri="{C3380CC4-5D6E-409C-BE32-E72D297353CC}">
              <c16:uniqueId val="{00000004-8D08-41CF-8E99-FEE4B9BDB7C8}"/>
            </c:ext>
          </c:extLst>
        </c:ser>
        <c:ser>
          <c:idx val="3"/>
          <c:order val="5"/>
          <c:tx>
            <c:strRef>
              <c:f>'Diagnosis Indicators'!$A$52</c:f>
              <c:strCache>
                <c:ptCount val="1"/>
                <c:pt idx="0">
                  <c:v>Keynes-Kaldor</c:v>
                </c:pt>
              </c:strCache>
            </c:strRef>
          </c:tx>
          <c:spPr>
            <a:ln w="25400" cap="rnd">
              <a:solidFill>
                <a:schemeClr val="accent6"/>
              </a:solidFill>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Indicators'!$B$52:$Y$52</c:f>
              <c:numCache>
                <c:formatCode>#,##0.000</c:formatCode>
                <c:ptCount val="24"/>
                <c:pt idx="0">
                  <c:v>1</c:v>
                </c:pt>
                <c:pt idx="1">
                  <c:v>1.0065646822432621</c:v>
                </c:pt>
                <c:pt idx="2">
                  <c:v>1.012565658375649</c:v>
                </c:pt>
                <c:pt idx="3">
                  <c:v>1.0179511559046848</c:v>
                </c:pt>
                <c:pt idx="4">
                  <c:v>1.0226508740376563</c:v>
                </c:pt>
                <c:pt idx="5">
                  <c:v>1.0265704282660122</c:v>
                </c:pt>
                <c:pt idx="6">
                  <c:v>1.029585717017955</c:v>
                </c:pt>
                <c:pt idx="7">
                  <c:v>1.0315318363189785</c:v>
                </c:pt>
                <c:pt idx="8">
                  <c:v>1.032189055800582</c:v>
                </c:pt>
                <c:pt idx="9">
                  <c:v>1.0312603847621618</c:v>
                </c:pt>
                <c:pt idx="10">
                  <c:v>1.0283360975182974</c:v>
                </c:pt>
                <c:pt idx="11">
                  <c:v>1.0228342978598026</c:v>
                </c:pt>
                <c:pt idx="12">
                  <c:v>1.0138957253079395</c:v>
                </c:pt>
                <c:pt idx="13">
                  <c:v>1.0001834548916977</c:v>
                </c:pt>
                <c:pt idx="14">
                  <c:v>0.97947352875498506</c:v>
                </c:pt>
                <c:pt idx="15">
                  <c:v>0.94775586208297136</c:v>
                </c:pt>
                <c:pt idx="16">
                  <c:v>0.8971790751914569</c:v>
                </c:pt>
                <c:pt idx="17">
                  <c:v>0.81153469766056485</c:v>
                </c:pt>
                <c:pt idx="18">
                  <c:v>0.65827317446939093</c:v>
                </c:pt>
              </c:numCache>
            </c:numRef>
          </c:yVal>
          <c:smooth val="1"/>
          <c:extLst>
            <c:ext xmlns:c16="http://schemas.microsoft.com/office/drawing/2014/chart" uri="{C3380CC4-5D6E-409C-BE32-E72D297353CC}">
              <c16:uniqueId val="{00000005-8D08-41CF-8E99-FEE4B9BDB7C8}"/>
            </c:ext>
          </c:extLst>
        </c:ser>
        <c:ser>
          <c:idx val="7"/>
          <c:order val="6"/>
          <c:tx>
            <c:strRef>
              <c:f>'Diagnosis Indicators'!$A$53</c:f>
              <c:strCache>
                <c:ptCount val="1"/>
                <c:pt idx="0">
                  <c:v>Neo-K1</c:v>
                </c:pt>
              </c:strCache>
            </c:strRef>
          </c:tx>
          <c:spPr>
            <a:ln w="25400" cap="rnd">
              <a:solidFill>
                <a:schemeClr val="accent5"/>
              </a:solidFill>
              <a:prstDash val="dash"/>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Indicators'!$B$53:$Y$53</c:f>
              <c:numCache>
                <c:formatCode>#,##0.000</c:formatCode>
                <c:ptCount val="24"/>
                <c:pt idx="0">
                  <c:v>1</c:v>
                </c:pt>
                <c:pt idx="1">
                  <c:v>1.005203380927745</c:v>
                </c:pt>
                <c:pt idx="2">
                  <c:v>1.0098531892976734</c:v>
                </c:pt>
                <c:pt idx="3">
                  <c:v>1.0138086907315014</c:v>
                </c:pt>
                <c:pt idx="4">
                  <c:v>1.0168874432398982</c:v>
                </c:pt>
                <c:pt idx="5">
                  <c:v>1.0188504635202795</c:v>
                </c:pt>
                <c:pt idx="6">
                  <c:v>1.0193815768249663</c:v>
                </c:pt>
                <c:pt idx="7">
                  <c:v>1.0180589730764051</c:v>
                </c:pt>
                <c:pt idx="8">
                  <c:v>1.0143141728687182</c:v>
                </c:pt>
                <c:pt idx="9">
                  <c:v>1.0073727316036112</c:v>
                </c:pt>
                <c:pt idx="10">
                  <c:v>0.99617088431888412</c:v>
                </c:pt>
                <c:pt idx="11">
                  <c:v>0.97923763334123648</c:v>
                </c:pt>
                <c:pt idx="12">
                  <c:v>0.95453680522225748</c:v>
                </c:pt>
                <c:pt idx="13">
                  <c:v>0.91927476995138813</c:v>
                </c:pt>
                <c:pt idx="14">
                  <c:v>0.86971517461843428</c:v>
                </c:pt>
                <c:pt idx="15">
                  <c:v>0.80111225866473113</c:v>
                </c:pt>
                <c:pt idx="16">
                  <c:v>0.7079555158225459</c:v>
                </c:pt>
                <c:pt idx="17">
                  <c:v>0.58469730201958392</c:v>
                </c:pt>
                <c:pt idx="18">
                  <c:v>0.42685849284932975</c:v>
                </c:pt>
                <c:pt idx="19">
                  <c:v>0.23199930018765014</c:v>
                </c:pt>
                <c:pt idx="20">
                  <c:v>0.18853706676139212</c:v>
                </c:pt>
                <c:pt idx="21">
                  <c:v>0.14359258711303985</c:v>
                </c:pt>
                <c:pt idx="22">
                  <c:v>9.7178062586336628E-2</c:v>
                </c:pt>
                <c:pt idx="23">
                  <c:v>4.9308212167846366E-2</c:v>
                </c:pt>
              </c:numCache>
            </c:numRef>
          </c:yVal>
          <c:smooth val="1"/>
          <c:extLst>
            <c:ext xmlns:c16="http://schemas.microsoft.com/office/drawing/2014/chart" uri="{C3380CC4-5D6E-409C-BE32-E72D297353CC}">
              <c16:uniqueId val="{00000006-8D08-41CF-8E99-FEE4B9BDB7C8}"/>
            </c:ext>
          </c:extLst>
        </c:ser>
        <c:ser>
          <c:idx val="6"/>
          <c:order val="7"/>
          <c:tx>
            <c:strRef>
              <c:f>'Diagnosis Indicators'!$A$54</c:f>
              <c:strCache>
                <c:ptCount val="1"/>
                <c:pt idx="0">
                  <c:v>Neo-K2</c:v>
                </c:pt>
              </c:strCache>
            </c:strRef>
          </c:tx>
          <c:spPr>
            <a:ln w="25400" cap="rnd">
              <a:solidFill>
                <a:schemeClr val="accent5"/>
              </a:solidFill>
              <a:prstDash val="lgDashDotDot"/>
              <a:round/>
            </a:ln>
            <a:effectLst/>
          </c:spPr>
          <c:marker>
            <c:symbol val="none"/>
          </c:marker>
          <c:xVal>
            <c:numRef>
              <c:f>'Diagnosis Indicators'!$B$46:$Y$46</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Indicators'!$B$54:$Y$54</c:f>
              <c:numCache>
                <c:formatCode>#,##0.000</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numCache>
            </c:numRef>
          </c:yVal>
          <c:smooth val="1"/>
          <c:extLst>
            <c:ext xmlns:c16="http://schemas.microsoft.com/office/drawing/2014/chart" uri="{C3380CC4-5D6E-409C-BE32-E72D297353CC}">
              <c16:uniqueId val="{00000007-8D08-41CF-8E99-FEE4B9BDB7C8}"/>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4"/>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Real investment</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125514157327E-2"/>
          <c:y val="0.43135615717816678"/>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5.0489076522019991E-2"/>
          <c:w val="0.91954496211515768"/>
          <c:h val="0.86934076835108043"/>
        </c:manualLayout>
      </c:layout>
      <c:scatterChart>
        <c:scatterStyle val="smoothMarker"/>
        <c:varyColors val="0"/>
        <c:ser>
          <c:idx val="0"/>
          <c:order val="0"/>
          <c:tx>
            <c:strRef>
              <c:f>'Diagnosis Indicators'!$A$36</c:f>
              <c:strCache>
                <c:ptCount val="1"/>
                <c:pt idx="0">
                  <c:v>Neoclassical</c:v>
                </c:pt>
              </c:strCache>
            </c:strRef>
          </c:tx>
          <c:spPr>
            <a:ln w="25400" cap="rnd">
              <a:solidFill>
                <a:schemeClr val="accent1"/>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Indicators'!$B$36:$Y$36</c:f>
              <c:numCache>
                <c:formatCode>0.0%</c:formatCode>
                <c:ptCount val="24"/>
                <c:pt idx="0">
                  <c:v>0.56058995943839207</c:v>
                </c:pt>
                <c:pt idx="1">
                  <c:v>0.56570379235070256</c:v>
                </c:pt>
                <c:pt idx="2">
                  <c:v>0.56421563462636737</c:v>
                </c:pt>
                <c:pt idx="3">
                  <c:v>0.56273527716069349</c:v>
                </c:pt>
                <c:pt idx="4">
                  <c:v>0.56126174264406803</c:v>
                </c:pt>
                <c:pt idx="5">
                  <c:v>0.55979400299961135</c:v>
                </c:pt>
                <c:pt idx="6">
                  <c:v>0.55833099572231815</c:v>
                </c:pt>
                <c:pt idx="7">
                  <c:v>0.55687204483768449</c:v>
                </c:pt>
                <c:pt idx="8">
                  <c:v>0.55541723733512438</c:v>
                </c:pt>
                <c:pt idx="9">
                  <c:v>0.55396823613048662</c:v>
                </c:pt>
                <c:pt idx="10">
                  <c:v>0.55252959377610777</c:v>
                </c:pt>
                <c:pt idx="11">
                  <c:v>0.55111085793482995</c:v>
                </c:pt>
                <c:pt idx="12">
                  <c:v>0.54973004078899557</c:v>
                </c:pt>
                <c:pt idx="13">
                  <c:v>0.54841897876619317</c:v>
                </c:pt>
                <c:pt idx="14">
                  <c:v>0.54723078906580169</c:v>
                </c:pt>
                <c:pt idx="15">
                  <c:v>0.54624558245424759</c:v>
                </c:pt>
                <c:pt idx="16">
                  <c:v>0.54555694625800577</c:v>
                </c:pt>
                <c:pt idx="17">
                  <c:v>0.54520555067699517</c:v>
                </c:pt>
                <c:pt idx="18">
                  <c:v>0.54509957425460076</c:v>
                </c:pt>
                <c:pt idx="19">
                  <c:v>0.54508575044696728</c:v>
                </c:pt>
                <c:pt idx="20">
                  <c:v>0.54508550668093825</c:v>
                </c:pt>
                <c:pt idx="21">
                  <c:v>0.54508541755276174</c:v>
                </c:pt>
                <c:pt idx="22">
                  <c:v>0.54508539179644144</c:v>
                </c:pt>
                <c:pt idx="23">
                  <c:v>0.54508538665545792</c:v>
                </c:pt>
              </c:numCache>
            </c:numRef>
          </c:yVal>
          <c:smooth val="1"/>
          <c:extLst>
            <c:ext xmlns:c16="http://schemas.microsoft.com/office/drawing/2014/chart" uri="{C3380CC4-5D6E-409C-BE32-E72D297353CC}">
              <c16:uniqueId val="{00000000-943F-4D85-AE78-CE160C49E3D6}"/>
            </c:ext>
          </c:extLst>
        </c:ser>
        <c:ser>
          <c:idx val="1"/>
          <c:order val="1"/>
          <c:tx>
            <c:strRef>
              <c:f>'Diagnosis Indicators'!$A$37</c:f>
              <c:strCache>
                <c:ptCount val="1"/>
                <c:pt idx="0">
                  <c:v>Kaldorian</c:v>
                </c:pt>
              </c:strCache>
            </c:strRef>
          </c:tx>
          <c:spPr>
            <a:ln w="25400" cap="rnd">
              <a:solidFill>
                <a:schemeClr val="accent2"/>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Indicators'!$B$37:$Y$37</c:f>
              <c:numCache>
                <c:formatCode>0.0%</c:formatCode>
                <c:ptCount val="24"/>
                <c:pt idx="0">
                  <c:v>0.56058995943839207</c:v>
                </c:pt>
                <c:pt idx="1">
                  <c:v>0.56155700129179109</c:v>
                </c:pt>
                <c:pt idx="2">
                  <c:v>0.55565480237055309</c:v>
                </c:pt>
                <c:pt idx="3">
                  <c:v>0.54945494551644936</c:v>
                </c:pt>
                <c:pt idx="4">
                  <c:v>0.54291028613142134</c:v>
                </c:pt>
                <c:pt idx="5">
                  <c:v>0.53596302222274472</c:v>
                </c:pt>
                <c:pt idx="6">
                  <c:v>0.52854033039493376</c:v>
                </c:pt>
                <c:pt idx="7">
                  <c:v>0.52054808325404545</c:v>
                </c:pt>
                <c:pt idx="8">
                  <c:v>0.51186010483249622</c:v>
                </c:pt>
                <c:pt idx="9">
                  <c:v>0.50230013013748798</c:v>
                </c:pt>
                <c:pt idx="10">
                  <c:v>0.49160937292702128</c:v>
                </c:pt>
                <c:pt idx="11">
                  <c:v>0.47938653477218884</c:v>
                </c:pt>
                <c:pt idx="12">
                  <c:v>0.46497045418360428</c:v>
                </c:pt>
                <c:pt idx="13">
                  <c:v>0.44719864678018695</c:v>
                </c:pt>
                <c:pt idx="14">
                  <c:v>0.4238839460500014</c:v>
                </c:pt>
                <c:pt idx="15">
                  <c:v>0.39063358981842355</c:v>
                </c:pt>
                <c:pt idx="16">
                  <c:v>0.33811268905851255</c:v>
                </c:pt>
                <c:pt idx="17">
                  <c:v>0.24484798848155476</c:v>
                </c:pt>
                <c:pt idx="18">
                  <c:v>4.6140422985590693E-2</c:v>
                </c:pt>
              </c:numCache>
            </c:numRef>
          </c:yVal>
          <c:smooth val="1"/>
          <c:extLst>
            <c:ext xmlns:c16="http://schemas.microsoft.com/office/drawing/2014/chart" uri="{C3380CC4-5D6E-409C-BE32-E72D297353CC}">
              <c16:uniqueId val="{00000001-943F-4D85-AE78-CE160C49E3D6}"/>
            </c:ext>
          </c:extLst>
        </c:ser>
        <c:ser>
          <c:idx val="5"/>
          <c:order val="2"/>
          <c:tx>
            <c:strRef>
              <c:f>'Diagnosis Indicators'!$A$38</c:f>
              <c:strCache>
                <c:ptCount val="1"/>
                <c:pt idx="0">
                  <c:v>Johansen</c:v>
                </c:pt>
              </c:strCache>
            </c:strRef>
          </c:tx>
          <c:spPr>
            <a:ln w="25400" cap="rnd">
              <a:solidFill>
                <a:schemeClr val="accent3"/>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Indicators'!$B$38:$Y$38</c:f>
              <c:numCache>
                <c:formatCode>0.0%</c:formatCode>
                <c:ptCount val="24"/>
                <c:pt idx="0">
                  <c:v>0.56058995943839207</c:v>
                </c:pt>
                <c:pt idx="1">
                  <c:v>0.56568931983455917</c:v>
                </c:pt>
                <c:pt idx="2">
                  <c:v>0.5641869465407795</c:v>
                </c:pt>
                <c:pt idx="3">
                  <c:v>0.56269244333317026</c:v>
                </c:pt>
                <c:pt idx="4">
                  <c:v>0.56120463448517588</c:v>
                </c:pt>
                <c:pt idx="5">
                  <c:v>0.55972228555646064</c:v>
                </c:pt>
                <c:pt idx="6">
                  <c:v>0.55824418674791065</c:v>
                </c:pt>
                <c:pt idx="7">
                  <c:v>0.55676954954205038</c:v>
                </c:pt>
                <c:pt idx="8">
                  <c:v>0.55529855951695573</c:v>
                </c:pt>
                <c:pt idx="9">
                  <c:v>0.5538332055480979</c:v>
                </c:pt>
                <c:pt idx="10">
                  <c:v>0.55237881048718473</c:v>
                </c:pt>
                <c:pt idx="11">
                  <c:v>0.55094637487171982</c:v>
                </c:pt>
                <c:pt idx="12">
                  <c:v>0.54955639134283485</c:v>
                </c:pt>
                <c:pt idx="13">
                  <c:v>0.54824467598831916</c:v>
                </c:pt>
                <c:pt idx="14">
                  <c:v>0.54706999385174226</c:v>
                </c:pt>
                <c:pt idx="15">
                  <c:v>0.54611813517543473</c:v>
                </c:pt>
                <c:pt idx="16">
                  <c:v>0.54548076931972789</c:v>
                </c:pt>
                <c:pt idx="17">
                  <c:v>0.54517800347176848</c:v>
                </c:pt>
                <c:pt idx="18">
                  <c:v>0.5450952471279541</c:v>
                </c:pt>
                <c:pt idx="19">
                  <c:v>0.54508561369842345</c:v>
                </c:pt>
                <c:pt idx="20">
                  <c:v>0.54508546055699947</c:v>
                </c:pt>
                <c:pt idx="21">
                  <c:v>0.54508540558574847</c:v>
                </c:pt>
                <c:pt idx="22">
                  <c:v>0.54508538977550069</c:v>
                </c:pt>
                <c:pt idx="23">
                  <c:v>0.54508538653505278</c:v>
                </c:pt>
              </c:numCache>
            </c:numRef>
          </c:yVal>
          <c:smooth val="1"/>
          <c:extLst xmlns:c15="http://schemas.microsoft.com/office/drawing/2012/chart">
            <c:ext xmlns:c16="http://schemas.microsoft.com/office/drawing/2014/chart" uri="{C3380CC4-5D6E-409C-BE32-E72D297353CC}">
              <c16:uniqueId val="{00000002-943F-4D85-AE78-CE160C49E3D6}"/>
            </c:ext>
          </c:extLst>
        </c:ser>
        <c:ser>
          <c:idx val="4"/>
          <c:order val="3"/>
          <c:tx>
            <c:strRef>
              <c:f>'Diagnosis Indicators'!$A$39</c:f>
              <c:strCache>
                <c:ptCount val="1"/>
                <c:pt idx="0">
                  <c:v>Keynes-Marshall</c:v>
                </c:pt>
              </c:strCache>
            </c:strRef>
          </c:tx>
          <c:spPr>
            <a:ln w="25400" cap="rnd">
              <a:solidFill>
                <a:schemeClr val="accent4"/>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Indicators'!$B$39:$Y$39</c:f>
              <c:numCache>
                <c:formatCode>0.0%</c:formatCode>
                <c:ptCount val="24"/>
                <c:pt idx="0">
                  <c:v>0.56058995943839207</c:v>
                </c:pt>
                <c:pt idx="1">
                  <c:v>0.5799703189885772</c:v>
                </c:pt>
                <c:pt idx="2">
                  <c:v>0.59329101788701699</c:v>
                </c:pt>
                <c:pt idx="3">
                  <c:v>0.60722964928597323</c:v>
                </c:pt>
                <c:pt idx="4">
                  <c:v>0.62187064368716516</c:v>
                </c:pt>
                <c:pt idx="5">
                  <c:v>0.63732550395562126</c:v>
                </c:pt>
                <c:pt idx="6">
                  <c:v>0.6537476931780567</c:v>
                </c:pt>
                <c:pt idx="7">
                  <c:v>0.67135687362125818</c:v>
                </c:pt>
                <c:pt idx="8">
                  <c:v>0.69047886229745681</c:v>
                </c:pt>
                <c:pt idx="9">
                  <c:v>0.71161423268146307</c:v>
                </c:pt>
                <c:pt idx="10">
                  <c:v>0.73556015382622841</c:v>
                </c:pt>
                <c:pt idx="11">
                  <c:v>0.76363335513209352</c:v>
                </c:pt>
                <c:pt idx="12">
                  <c:v>0.79808330537605188</c:v>
                </c:pt>
                <c:pt idx="13">
                  <c:v>0.84282032382363792</c:v>
                </c:pt>
                <c:pt idx="14">
                  <c:v>0.90445022638657924</c:v>
                </c:pt>
                <c:pt idx="15">
                  <c:v>0</c:v>
                </c:pt>
              </c:numCache>
            </c:numRef>
          </c:yVal>
          <c:smooth val="1"/>
          <c:extLst>
            <c:ext xmlns:c16="http://schemas.microsoft.com/office/drawing/2014/chart" uri="{C3380CC4-5D6E-409C-BE32-E72D297353CC}">
              <c16:uniqueId val="{00000003-943F-4D85-AE78-CE160C49E3D6}"/>
            </c:ext>
          </c:extLst>
        </c:ser>
        <c:ser>
          <c:idx val="2"/>
          <c:order val="4"/>
          <c:tx>
            <c:strRef>
              <c:f>'Diagnosis Indicators'!$A$40</c:f>
              <c:strCache>
                <c:ptCount val="1"/>
                <c:pt idx="0">
                  <c:v>Keynesian</c:v>
                </c:pt>
              </c:strCache>
            </c:strRef>
          </c:tx>
          <c:spPr>
            <a:ln w="25400" cap="rnd">
              <a:solidFill>
                <a:schemeClr val="accent5"/>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Indicators'!$B$40:$Y$40</c:f>
              <c:numCache>
                <c:formatCode>0.0%</c:formatCode>
                <c:ptCount val="24"/>
                <c:pt idx="0">
                  <c:v>0.56058995943839207</c:v>
                </c:pt>
                <c:pt idx="1">
                  <c:v>0.57432378574222376</c:v>
                </c:pt>
                <c:pt idx="2">
                  <c:v>0.58145504302211415</c:v>
                </c:pt>
                <c:pt idx="3">
                  <c:v>0.58856654989053936</c:v>
                </c:pt>
                <c:pt idx="4">
                  <c:v>0.59562307084409583</c:v>
                </c:pt>
                <c:pt idx="5">
                  <c:v>0.60258202037385333</c:v>
                </c:pt>
                <c:pt idx="6">
                  <c:v>0.60939068812389108</c:v>
                </c:pt>
                <c:pt idx="7">
                  <c:v>0.61598576559399887</c:v>
                </c:pt>
                <c:pt idx="8">
                  <c:v>0.62229062891691977</c:v>
                </c:pt>
                <c:pt idx="9">
                  <c:v>0.62820822907087093</c:v>
                </c:pt>
                <c:pt idx="10">
                  <c:v>0.63360504072005075</c:v>
                </c:pt>
                <c:pt idx="11">
                  <c:v>0.63825259958638347</c:v>
                </c:pt>
                <c:pt idx="12">
                  <c:v>0</c:v>
                </c:pt>
                <c:pt idx="13">
                  <c:v>0</c:v>
                </c:pt>
              </c:numCache>
            </c:numRef>
          </c:yVal>
          <c:smooth val="1"/>
          <c:extLst>
            <c:ext xmlns:c16="http://schemas.microsoft.com/office/drawing/2014/chart" uri="{C3380CC4-5D6E-409C-BE32-E72D297353CC}">
              <c16:uniqueId val="{00000004-943F-4D85-AE78-CE160C49E3D6}"/>
            </c:ext>
          </c:extLst>
        </c:ser>
        <c:ser>
          <c:idx val="3"/>
          <c:order val="5"/>
          <c:tx>
            <c:strRef>
              <c:f>'Diagnosis Indicators'!$A$41</c:f>
              <c:strCache>
                <c:ptCount val="1"/>
                <c:pt idx="0">
                  <c:v>Keynes-Kaldor</c:v>
                </c:pt>
              </c:strCache>
            </c:strRef>
          </c:tx>
          <c:spPr>
            <a:ln w="25400" cap="rnd">
              <a:solidFill>
                <a:schemeClr val="accent6"/>
              </a:solidFill>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Indicators'!$B$41:$Y$41</c:f>
              <c:numCache>
                <c:formatCode>0.0%</c:formatCode>
                <c:ptCount val="24"/>
                <c:pt idx="0">
                  <c:v>0.56058995943839207</c:v>
                </c:pt>
                <c:pt idx="1">
                  <c:v>0.56113037950882716</c:v>
                </c:pt>
                <c:pt idx="2">
                  <c:v>0.55483624677550858</c:v>
                </c:pt>
                <c:pt idx="3">
                  <c:v>0.5482802556327131</c:v>
                </c:pt>
                <c:pt idx="4">
                  <c:v>0.54141785739970671</c:v>
                </c:pt>
                <c:pt idx="5">
                  <c:v>0.53419552015736482</c:v>
                </c:pt>
                <c:pt idx="6">
                  <c:v>0.52654680987212044</c:v>
                </c:pt>
                <c:pt idx="7">
                  <c:v>0.51838693903670241</c:v>
                </c:pt>
                <c:pt idx="8">
                  <c:v>0.50960354145016662</c:v>
                </c:pt>
                <c:pt idx="9">
                  <c:v>0.50004186387135141</c:v>
                </c:pt>
                <c:pt idx="10">
                  <c:v>0.48947930241146898</c:v>
                </c:pt>
                <c:pt idx="11">
                  <c:v>0.47758148666485362</c:v>
                </c:pt>
                <c:pt idx="12">
                  <c:v>0.4638234609845106</c:v>
                </c:pt>
                <c:pt idx="13">
                  <c:v>0.44734582765584624</c:v>
                </c:pt>
                <c:pt idx="14">
                  <c:v>0.42669301376369123</c:v>
                </c:pt>
                <c:pt idx="15">
                  <c:v>0.3993683435433612</c:v>
                </c:pt>
                <c:pt idx="16">
                  <c:v>0.36125707339770913</c:v>
                </c:pt>
                <c:pt idx="17">
                  <c:v>0.30661038447708294</c:v>
                </c:pt>
                <c:pt idx="18">
                  <c:v>0.2314938982022699</c:v>
                </c:pt>
              </c:numCache>
            </c:numRef>
          </c:yVal>
          <c:smooth val="1"/>
          <c:extLst>
            <c:ext xmlns:c16="http://schemas.microsoft.com/office/drawing/2014/chart" uri="{C3380CC4-5D6E-409C-BE32-E72D297353CC}">
              <c16:uniqueId val="{00000005-943F-4D85-AE78-CE160C49E3D6}"/>
            </c:ext>
          </c:extLst>
        </c:ser>
        <c:ser>
          <c:idx val="7"/>
          <c:order val="6"/>
          <c:tx>
            <c:strRef>
              <c:f>'Diagnosis Indicators'!$A$42</c:f>
              <c:strCache>
                <c:ptCount val="1"/>
                <c:pt idx="0">
                  <c:v>Neo-K1</c:v>
                </c:pt>
              </c:strCache>
            </c:strRef>
          </c:tx>
          <c:spPr>
            <a:ln w="25400" cap="rnd">
              <a:solidFill>
                <a:schemeClr val="accent5"/>
              </a:solidFill>
              <a:prstDash val="dash"/>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Indicators'!$B$42:$Y$42</c:f>
              <c:numCache>
                <c:formatCode>0.0%</c:formatCode>
                <c:ptCount val="24"/>
                <c:pt idx="0">
                  <c:v>0.56058995943839207</c:v>
                </c:pt>
                <c:pt idx="1">
                  <c:v>0.56686656405971203</c:v>
                </c:pt>
                <c:pt idx="2">
                  <c:v>0.56654868165789085</c:v>
                </c:pt>
                <c:pt idx="3">
                  <c:v>0.56624521484259815</c:v>
                </c:pt>
                <c:pt idx="4">
                  <c:v>0.56595356110942263</c:v>
                </c:pt>
                <c:pt idx="5">
                  <c:v>0.56566987908051147</c:v>
                </c:pt>
                <c:pt idx="6">
                  <c:v>0.56538869465737296</c:v>
                </c:pt>
                <c:pt idx="7">
                  <c:v>0.56510235025600597</c:v>
                </c:pt>
                <c:pt idx="8">
                  <c:v>0.56480031717567092</c:v>
                </c:pt>
                <c:pt idx="9">
                  <c:v>0.56446831482415682</c:v>
                </c:pt>
                <c:pt idx="10">
                  <c:v>0.56408730706311472</c:v>
                </c:pt>
                <c:pt idx="11">
                  <c:v>0.56363241790901508</c:v>
                </c:pt>
                <c:pt idx="12">
                  <c:v>0.56307220950309622</c:v>
                </c:pt>
                <c:pt idx="13">
                  <c:v>0.56236902346913598</c:v>
                </c:pt>
                <c:pt idx="14">
                  <c:v>0.5614818248999498</c:v>
                </c:pt>
                <c:pt idx="15">
                  <c:v>0.56037326393331355</c:v>
                </c:pt>
                <c:pt idx="16">
                  <c:v>0.55902148254573514</c:v>
                </c:pt>
                <c:pt idx="17">
                  <c:v>0.55743313464501887</c:v>
                </c:pt>
                <c:pt idx="18">
                  <c:v>0.55564919414896186</c:v>
                </c:pt>
                <c:pt idx="19">
                  <c:v>0.55373670363579686</c:v>
                </c:pt>
                <c:pt idx="20">
                  <c:v>0.55334542254160934</c:v>
                </c:pt>
                <c:pt idx="21">
                  <c:v>0.55295258318515672</c:v>
                </c:pt>
                <c:pt idx="22">
                  <c:v>0.55255873682963541</c:v>
                </c:pt>
                <c:pt idx="23">
                  <c:v>0.55216440820284396</c:v>
                </c:pt>
              </c:numCache>
            </c:numRef>
          </c:yVal>
          <c:smooth val="1"/>
          <c:extLst>
            <c:ext xmlns:c16="http://schemas.microsoft.com/office/drawing/2014/chart" uri="{C3380CC4-5D6E-409C-BE32-E72D297353CC}">
              <c16:uniqueId val="{00000006-943F-4D85-AE78-CE160C49E3D6}"/>
            </c:ext>
          </c:extLst>
        </c:ser>
        <c:ser>
          <c:idx val="6"/>
          <c:order val="7"/>
          <c:tx>
            <c:strRef>
              <c:f>'Diagnosis Indicators'!$A$43</c:f>
              <c:strCache>
                <c:ptCount val="1"/>
                <c:pt idx="0">
                  <c:v>Neo-K2</c:v>
                </c:pt>
              </c:strCache>
            </c:strRef>
          </c:tx>
          <c:spPr>
            <a:ln w="25400" cap="rnd">
              <a:solidFill>
                <a:schemeClr val="accent5"/>
              </a:solidFill>
              <a:prstDash val="lgDashDotDot"/>
              <a:round/>
            </a:ln>
            <a:effectLst/>
          </c:spPr>
          <c:marker>
            <c:symbol val="none"/>
          </c:marker>
          <c:xVal>
            <c:numRef>
              <c:f>'Diagnosis Indicators'!$B$35:$Y$35</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Indicators'!$B$43:$Y$43</c:f>
              <c:numCache>
                <c:formatCode>0.0%</c:formatCode>
                <c:ptCount val="24"/>
                <c:pt idx="0">
                  <c:v>0.56058995943839207</c:v>
                </c:pt>
                <c:pt idx="1">
                  <c:v>0.56757261837179762</c:v>
                </c:pt>
                <c:pt idx="2">
                  <c:v>0.56801451793620417</c:v>
                </c:pt>
                <c:pt idx="3">
                  <c:v>0.56853403925139623</c:v>
                </c:pt>
                <c:pt idx="4">
                  <c:v>0.56913976333803395</c:v>
                </c:pt>
                <c:pt idx="5">
                  <c:v>0.56984101791122899</c:v>
                </c:pt>
                <c:pt idx="6">
                  <c:v>0.57064777607693096</c:v>
                </c:pt>
                <c:pt idx="7">
                  <c:v>0.57157029337557852</c:v>
                </c:pt>
                <c:pt idx="8">
                  <c:v>0.57261845320991289</c:v>
                </c:pt>
                <c:pt idx="9">
                  <c:v>0.57380054314912943</c:v>
                </c:pt>
                <c:pt idx="10">
                  <c:v>0.57512111993655501</c:v>
                </c:pt>
                <c:pt idx="11">
                  <c:v>0.57657734824088014</c:v>
                </c:pt>
                <c:pt idx="12">
                  <c:v>0.57815277233014184</c:v>
                </c:pt>
                <c:pt idx="13">
                  <c:v>0.57980577800986843</c:v>
                </c:pt>
                <c:pt idx="14">
                  <c:v>0.5814454156177471</c:v>
                </c:pt>
                <c:pt idx="15">
                  <c:v>0.58287472837794463</c:v>
                </c:pt>
                <c:pt idx="16">
                  <c:v>0.58365718789364851</c:v>
                </c:pt>
                <c:pt idx="17">
                  <c:v>0.58280455995241387</c:v>
                </c:pt>
                <c:pt idx="18">
                  <c:v>0.57777647055454273</c:v>
                </c:pt>
                <c:pt idx="19">
                  <c:v>0.55974881452124325</c:v>
                </c:pt>
                <c:pt idx="20">
                  <c:v>0.55180429177239543</c:v>
                </c:pt>
                <c:pt idx="21">
                  <c:v>0.54014705134451191</c:v>
                </c:pt>
                <c:pt idx="22">
                  <c:v>0.5211532208272287</c:v>
                </c:pt>
                <c:pt idx="23">
                  <c:v>0.48263908978231296</c:v>
                </c:pt>
              </c:numCache>
            </c:numRef>
          </c:yVal>
          <c:smooth val="1"/>
          <c:extLst>
            <c:ext xmlns:c16="http://schemas.microsoft.com/office/drawing/2014/chart" uri="{C3380CC4-5D6E-409C-BE32-E72D297353CC}">
              <c16:uniqueId val="{00000007-943F-4D85-AE78-CE160C49E3D6}"/>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K share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majorUnit val="0.15000000000000002"/>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1670199786774999E-2"/>
          <c:y val="9.0309377637294436E-2"/>
          <c:w val="0.91954496211515768"/>
          <c:h val="0.82952033709841755"/>
        </c:manualLayout>
      </c:layout>
      <c:scatterChart>
        <c:scatterStyle val="smoothMarker"/>
        <c:varyColors val="0"/>
        <c:ser>
          <c:idx val="0"/>
          <c:order val="0"/>
          <c:tx>
            <c:strRef>
              <c:f>'Diagnosis Indicators'!$A$58</c:f>
              <c:strCache>
                <c:ptCount val="1"/>
                <c:pt idx="0">
                  <c:v>Neoclassical</c:v>
                </c:pt>
              </c:strCache>
            </c:strRef>
          </c:tx>
          <c:spPr>
            <a:ln w="25400" cap="rnd">
              <a:solidFill>
                <a:schemeClr val="accent1"/>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Indicators'!$B$58:$Y$58</c:f>
              <c:numCache>
                <c:formatCode>#,##0.000</c:formatCode>
                <c:ptCount val="24"/>
                <c:pt idx="0">
                  <c:v>6.0999999999999999E-2</c:v>
                </c:pt>
                <c:pt idx="1">
                  <c:v>6.0999999999999374E-2</c:v>
                </c:pt>
                <c:pt idx="2">
                  <c:v>6.0999999999999791E-2</c:v>
                </c:pt>
                <c:pt idx="3">
                  <c:v>6.0999999999999791E-2</c:v>
                </c:pt>
                <c:pt idx="4">
                  <c:v>6.0999999999999582E-2</c:v>
                </c:pt>
                <c:pt idx="5">
                  <c:v>6.0999999999999791E-2</c:v>
                </c:pt>
                <c:pt idx="6">
                  <c:v>6.0999999999999582E-2</c:v>
                </c:pt>
                <c:pt idx="7">
                  <c:v>6.1000000000000311E-2</c:v>
                </c:pt>
                <c:pt idx="8">
                  <c:v>6.1000000000000207E-2</c:v>
                </c:pt>
                <c:pt idx="9">
                  <c:v>6.0999999999999582E-2</c:v>
                </c:pt>
                <c:pt idx="10">
                  <c:v>6.1000000000000207E-2</c:v>
                </c:pt>
                <c:pt idx="11">
                  <c:v>6.0999999999999999E-2</c:v>
                </c:pt>
                <c:pt idx="12">
                  <c:v>6.0999999999999582E-2</c:v>
                </c:pt>
                <c:pt idx="13">
                  <c:v>6.0999999999999791E-2</c:v>
                </c:pt>
                <c:pt idx="14">
                  <c:v>6.1000000000000519E-2</c:v>
                </c:pt>
                <c:pt idx="15">
                  <c:v>6.1000000000000519E-2</c:v>
                </c:pt>
                <c:pt idx="16">
                  <c:v>6.0999999999999791E-2</c:v>
                </c:pt>
                <c:pt idx="17">
                  <c:v>6.0999999999999791E-2</c:v>
                </c:pt>
                <c:pt idx="18">
                  <c:v>6.1000000000000207E-2</c:v>
                </c:pt>
                <c:pt idx="19">
                  <c:v>6.0999999999999582E-2</c:v>
                </c:pt>
                <c:pt idx="20">
                  <c:v>6.0999999999999791E-2</c:v>
                </c:pt>
                <c:pt idx="21">
                  <c:v>6.0999999999999791E-2</c:v>
                </c:pt>
                <c:pt idx="22">
                  <c:v>6.1000000000000519E-2</c:v>
                </c:pt>
                <c:pt idx="23">
                  <c:v>6.099999999999875E-2</c:v>
                </c:pt>
              </c:numCache>
            </c:numRef>
          </c:yVal>
          <c:smooth val="1"/>
          <c:extLst>
            <c:ext xmlns:c16="http://schemas.microsoft.com/office/drawing/2014/chart" uri="{C3380CC4-5D6E-409C-BE32-E72D297353CC}">
              <c16:uniqueId val="{00000000-55AD-4D4F-A0AB-9AA22C292A0A}"/>
            </c:ext>
          </c:extLst>
        </c:ser>
        <c:ser>
          <c:idx val="1"/>
          <c:order val="1"/>
          <c:tx>
            <c:strRef>
              <c:f>'Diagnosis Indicators'!$A$59</c:f>
              <c:strCache>
                <c:ptCount val="1"/>
                <c:pt idx="0">
                  <c:v>Kaldorian</c:v>
                </c:pt>
              </c:strCache>
            </c:strRef>
          </c:tx>
          <c:spPr>
            <a:ln w="25400" cap="rnd">
              <a:solidFill>
                <a:schemeClr val="accent2"/>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Indicators'!$B$59:$Y$59</c:f>
              <c:numCache>
                <c:formatCode>#,##0.000</c:formatCode>
                <c:ptCount val="24"/>
                <c:pt idx="0">
                  <c:v>6.0999999999999999E-2</c:v>
                </c:pt>
                <c:pt idx="1">
                  <c:v>6.0999999999999582E-2</c:v>
                </c:pt>
                <c:pt idx="2">
                  <c:v>6.0999999999998958E-2</c:v>
                </c:pt>
                <c:pt idx="3">
                  <c:v>6.0999999999999166E-2</c:v>
                </c:pt>
                <c:pt idx="4">
                  <c:v>6.0999999999998333E-2</c:v>
                </c:pt>
                <c:pt idx="5">
                  <c:v>6.1000000000000519E-2</c:v>
                </c:pt>
                <c:pt idx="6">
                  <c:v>6.0999999999999999E-2</c:v>
                </c:pt>
                <c:pt idx="7">
                  <c:v>6.0999999999999166E-2</c:v>
                </c:pt>
                <c:pt idx="8">
                  <c:v>6.1000000000000207E-2</c:v>
                </c:pt>
                <c:pt idx="9">
                  <c:v>6.1000000000000207E-2</c:v>
                </c:pt>
                <c:pt idx="10">
                  <c:v>6.0999999999999791E-2</c:v>
                </c:pt>
                <c:pt idx="11">
                  <c:v>6.0999999999999582E-2</c:v>
                </c:pt>
                <c:pt idx="12">
                  <c:v>6.0999999999999582E-2</c:v>
                </c:pt>
                <c:pt idx="13">
                  <c:v>6.0999999999999791E-2</c:v>
                </c:pt>
                <c:pt idx="14">
                  <c:v>6.0999999999999166E-2</c:v>
                </c:pt>
                <c:pt idx="15">
                  <c:v>6.0999999999998958E-2</c:v>
                </c:pt>
                <c:pt idx="16">
                  <c:v>6.0999999999999999E-2</c:v>
                </c:pt>
                <c:pt idx="17">
                  <c:v>6.1000000000000311E-2</c:v>
                </c:pt>
                <c:pt idx="18">
                  <c:v>6.0999999999999999E-2</c:v>
                </c:pt>
              </c:numCache>
            </c:numRef>
          </c:yVal>
          <c:smooth val="1"/>
          <c:extLst>
            <c:ext xmlns:c16="http://schemas.microsoft.com/office/drawing/2014/chart" uri="{C3380CC4-5D6E-409C-BE32-E72D297353CC}">
              <c16:uniqueId val="{00000001-55AD-4D4F-A0AB-9AA22C292A0A}"/>
            </c:ext>
          </c:extLst>
        </c:ser>
        <c:ser>
          <c:idx val="5"/>
          <c:order val="2"/>
          <c:tx>
            <c:strRef>
              <c:f>'Diagnosis Indicators'!$A$60</c:f>
              <c:strCache>
                <c:ptCount val="1"/>
                <c:pt idx="0">
                  <c:v>Johansen</c:v>
                </c:pt>
              </c:strCache>
            </c:strRef>
          </c:tx>
          <c:spPr>
            <a:ln w="25400" cap="rnd">
              <a:solidFill>
                <a:schemeClr val="accent3"/>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Indicators'!$B$60:$Y$60</c:f>
              <c:numCache>
                <c:formatCode>#,##0.000</c:formatCode>
                <c:ptCount val="24"/>
                <c:pt idx="0">
                  <c:v>6.0999999999999999E-2</c:v>
                </c:pt>
                <c:pt idx="1">
                  <c:v>6.099999999999875E-2</c:v>
                </c:pt>
                <c:pt idx="2">
                  <c:v>6.1000000000000519E-2</c:v>
                </c:pt>
                <c:pt idx="3">
                  <c:v>6.099999999999875E-2</c:v>
                </c:pt>
                <c:pt idx="4">
                  <c:v>6.0999999999999999E-2</c:v>
                </c:pt>
                <c:pt idx="5">
                  <c:v>6.0999999999999791E-2</c:v>
                </c:pt>
                <c:pt idx="6">
                  <c:v>6.0999999999999374E-2</c:v>
                </c:pt>
                <c:pt idx="7">
                  <c:v>6.1000000000000519E-2</c:v>
                </c:pt>
                <c:pt idx="8">
                  <c:v>6.1000000000000311E-2</c:v>
                </c:pt>
                <c:pt idx="9">
                  <c:v>6.0999999999999999E-2</c:v>
                </c:pt>
                <c:pt idx="10">
                  <c:v>6.0999999999999582E-2</c:v>
                </c:pt>
                <c:pt idx="11">
                  <c:v>6.0999999999999166E-2</c:v>
                </c:pt>
                <c:pt idx="12">
                  <c:v>6.1000000000000207E-2</c:v>
                </c:pt>
                <c:pt idx="13">
                  <c:v>6.0999999999999582E-2</c:v>
                </c:pt>
                <c:pt idx="14">
                  <c:v>6.0999999999999582E-2</c:v>
                </c:pt>
                <c:pt idx="15">
                  <c:v>6.1000000000000207E-2</c:v>
                </c:pt>
                <c:pt idx="16">
                  <c:v>6.099999999999875E-2</c:v>
                </c:pt>
                <c:pt idx="17">
                  <c:v>6.0999999999998958E-2</c:v>
                </c:pt>
                <c:pt idx="18">
                  <c:v>6.0999999999999999E-2</c:v>
                </c:pt>
                <c:pt idx="19">
                  <c:v>6.1000000000000207E-2</c:v>
                </c:pt>
                <c:pt idx="20">
                  <c:v>6.0999999999999999E-2</c:v>
                </c:pt>
                <c:pt idx="21">
                  <c:v>6.099999999999875E-2</c:v>
                </c:pt>
                <c:pt idx="22">
                  <c:v>6.1000000000000623E-2</c:v>
                </c:pt>
                <c:pt idx="23">
                  <c:v>6.1000000000000623E-2</c:v>
                </c:pt>
              </c:numCache>
            </c:numRef>
          </c:yVal>
          <c:smooth val="1"/>
          <c:extLst xmlns:c15="http://schemas.microsoft.com/office/drawing/2012/chart">
            <c:ext xmlns:c16="http://schemas.microsoft.com/office/drawing/2014/chart" uri="{C3380CC4-5D6E-409C-BE32-E72D297353CC}">
              <c16:uniqueId val="{00000002-55AD-4D4F-A0AB-9AA22C292A0A}"/>
            </c:ext>
          </c:extLst>
        </c:ser>
        <c:ser>
          <c:idx val="4"/>
          <c:order val="3"/>
          <c:tx>
            <c:strRef>
              <c:f>'Diagnosis Indicators'!$A$61</c:f>
              <c:strCache>
                <c:ptCount val="1"/>
                <c:pt idx="0">
                  <c:v>Keynes-Marshall</c:v>
                </c:pt>
              </c:strCache>
            </c:strRef>
          </c:tx>
          <c:spPr>
            <a:ln w="25400" cap="rnd">
              <a:solidFill>
                <a:schemeClr val="accent4"/>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Indicators'!$B$61:$Y$61</c:f>
              <c:numCache>
                <c:formatCode>#,##0.000</c:formatCode>
                <c:ptCount val="24"/>
                <c:pt idx="0">
                  <c:v>6.0999999999999999E-2</c:v>
                </c:pt>
                <c:pt idx="1">
                  <c:v>3.6803469445988418E-2</c:v>
                </c:pt>
                <c:pt idx="2">
                  <c:v>1.0880553129099295E-2</c:v>
                </c:pt>
                <c:pt idx="3">
                  <c:v>-1.707305125094187E-2</c:v>
                </c:pt>
                <c:pt idx="4">
                  <c:v>-4.7448644019940436E-2</c:v>
                </c:pt>
                <c:pt idx="5">
                  <c:v>-8.0767168952252527E-2</c:v>
                </c:pt>
                <c:pt idx="6">
                  <c:v>-0.11774946547200468</c:v>
                </c:pt>
                <c:pt idx="7">
                  <c:v>-0.15943845202394566</c:v>
                </c:pt>
                <c:pt idx="8">
                  <c:v>-0.20742225497889549</c:v>
                </c:pt>
                <c:pt idx="9">
                  <c:v>-0.26426935012653102</c:v>
                </c:pt>
                <c:pt idx="10">
                  <c:v>-0.33444828446592173</c:v>
                </c:pt>
                <c:pt idx="11">
                  <c:v>-0.42648909958311143</c:v>
                </c:pt>
                <c:pt idx="12">
                  <c:v>-0.55886118690448638</c:v>
                </c:pt>
                <c:pt idx="13">
                  <c:v>-0.78001846412595488</c:v>
                </c:pt>
                <c:pt idx="14">
                  <c:v>-1.2741670499217372</c:v>
                </c:pt>
                <c:pt idx="15">
                  <c:v>1</c:v>
                </c:pt>
              </c:numCache>
            </c:numRef>
          </c:yVal>
          <c:smooth val="1"/>
          <c:extLst>
            <c:ext xmlns:c16="http://schemas.microsoft.com/office/drawing/2014/chart" uri="{C3380CC4-5D6E-409C-BE32-E72D297353CC}">
              <c16:uniqueId val="{00000003-55AD-4D4F-A0AB-9AA22C292A0A}"/>
            </c:ext>
          </c:extLst>
        </c:ser>
        <c:ser>
          <c:idx val="2"/>
          <c:order val="4"/>
          <c:tx>
            <c:strRef>
              <c:f>'Diagnosis Indicators'!$A$62</c:f>
              <c:strCache>
                <c:ptCount val="1"/>
                <c:pt idx="0">
                  <c:v>Keynesian</c:v>
                </c:pt>
              </c:strCache>
            </c:strRef>
          </c:tx>
          <c:spPr>
            <a:ln w="25400" cap="rnd">
              <a:solidFill>
                <a:schemeClr val="accent5"/>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Indicators'!$B$62:$Y$62</c:f>
              <c:numCache>
                <c:formatCode>#,##0.000</c:formatCode>
                <c:ptCount val="24"/>
                <c:pt idx="0">
                  <c:v>6.0999999999999999E-2</c:v>
                </c:pt>
                <c:pt idx="1">
                  <c:v>9.6569518637566507E-2</c:v>
                </c:pt>
                <c:pt idx="2">
                  <c:v>0.13355834335290084</c:v>
                </c:pt>
                <c:pt idx="3">
                  <c:v>0.17200467206238246</c:v>
                </c:pt>
                <c:pt idx="4">
                  <c:v>0.21193310626634021</c:v>
                </c:pt>
                <c:pt idx="5">
                  <c:v>0.25334726164810484</c:v>
                </c:pt>
                <c:pt idx="6">
                  <c:v>0.2962195953830139</c:v>
                </c:pt>
                <c:pt idx="7">
                  <c:v>0.34047575978985001</c:v>
                </c:pt>
                <c:pt idx="8">
                  <c:v>0.38596804377011174</c:v>
                </c:pt>
                <c:pt idx="9">
                  <c:v>0.43242320201140394</c:v>
                </c:pt>
                <c:pt idx="10">
                  <c:v>0.47931631656750556</c:v>
                </c:pt>
                <c:pt idx="11">
                  <c:v>0.52547692258487921</c:v>
                </c:pt>
                <c:pt idx="12">
                  <c:v>1</c:v>
                </c:pt>
                <c:pt idx="13">
                  <c:v>1</c:v>
                </c:pt>
              </c:numCache>
            </c:numRef>
          </c:yVal>
          <c:smooth val="1"/>
          <c:extLst>
            <c:ext xmlns:c16="http://schemas.microsoft.com/office/drawing/2014/chart" uri="{C3380CC4-5D6E-409C-BE32-E72D297353CC}">
              <c16:uniqueId val="{00000004-55AD-4D4F-A0AB-9AA22C292A0A}"/>
            </c:ext>
          </c:extLst>
        </c:ser>
        <c:ser>
          <c:idx val="3"/>
          <c:order val="5"/>
          <c:tx>
            <c:strRef>
              <c:f>'Diagnosis Indicators'!$A$63</c:f>
              <c:strCache>
                <c:ptCount val="1"/>
                <c:pt idx="0">
                  <c:v>Keynes-Kaldor</c:v>
                </c:pt>
              </c:strCache>
            </c:strRef>
          </c:tx>
          <c:spPr>
            <a:ln w="25400" cap="rnd">
              <a:solidFill>
                <a:schemeClr val="accent6"/>
              </a:solidFill>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Indicators'!$B$63:$Y$63</c:f>
              <c:numCache>
                <c:formatCode>#,##0.000</c:formatCode>
                <c:ptCount val="24"/>
                <c:pt idx="0">
                  <c:v>6.0999999999999999E-2</c:v>
                </c:pt>
                <c:pt idx="1">
                  <c:v>5.2363021015637876E-2</c:v>
                </c:pt>
                <c:pt idx="2">
                  <c:v>4.443055406885367E-2</c:v>
                </c:pt>
                <c:pt idx="3">
                  <c:v>3.7284617675603947E-2</c:v>
                </c:pt>
                <c:pt idx="4">
                  <c:v>3.1033308193838902E-2</c:v>
                </c:pt>
                <c:pt idx="5">
                  <c:v>2.5817972595820755E-2</c:v>
                </c:pt>
                <c:pt idx="6">
                  <c:v>2.1822013076985572E-2</c:v>
                </c:pt>
                <c:pt idx="7">
                  <c:v>1.9284521604101344E-2</c:v>
                </c:pt>
                <c:pt idx="8">
                  <c:v>1.8518956694748213E-2</c:v>
                </c:pt>
                <c:pt idx="9">
                  <c:v>1.9941600280854926E-2</c:v>
                </c:pt>
                <c:pt idx="10">
                  <c:v>2.4115089943394584E-2</c:v>
                </c:pt>
                <c:pt idx="11">
                  <c:v>3.1820197419204416E-2</c:v>
                </c:pt>
                <c:pt idx="12">
                  <c:v>4.4179027284398167E-2</c:v>
                </c:pt>
                <c:pt idx="13">
                  <c:v>6.2880734567303281E-2</c:v>
                </c:pt>
                <c:pt idx="14">
                  <c:v>9.0617704794833942E-2</c:v>
                </c:pt>
                <c:pt idx="15">
                  <c:v>0.13195760152118352</c:v>
                </c:pt>
                <c:pt idx="16">
                  <c:v>0.19503049360778399</c:v>
                </c:pt>
                <c:pt idx="17">
                  <c:v>0.29419854728713102</c:v>
                </c:pt>
                <c:pt idx="18">
                  <c:v>0.45197521843730948</c:v>
                </c:pt>
              </c:numCache>
            </c:numRef>
          </c:yVal>
          <c:smooth val="1"/>
          <c:extLst>
            <c:ext xmlns:c16="http://schemas.microsoft.com/office/drawing/2014/chart" uri="{C3380CC4-5D6E-409C-BE32-E72D297353CC}">
              <c16:uniqueId val="{00000005-55AD-4D4F-A0AB-9AA22C292A0A}"/>
            </c:ext>
          </c:extLst>
        </c:ser>
        <c:ser>
          <c:idx val="7"/>
          <c:order val="6"/>
          <c:tx>
            <c:strRef>
              <c:f>'Diagnosis Indicators'!$A$64</c:f>
              <c:strCache>
                <c:ptCount val="1"/>
                <c:pt idx="0">
                  <c:v>Neo-K1</c:v>
                </c:pt>
              </c:strCache>
            </c:strRef>
          </c:tx>
          <c:spPr>
            <a:ln w="25400" cap="rnd">
              <a:solidFill>
                <a:schemeClr val="accent5"/>
              </a:solidFill>
              <a:prstDash val="dash"/>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Indicators'!$B$64:$Y$64</c:f>
              <c:numCache>
                <c:formatCode>#,##0.000</c:formatCode>
                <c:ptCount val="24"/>
                <c:pt idx="0">
                  <c:v>6.0999999999999999E-2</c:v>
                </c:pt>
                <c:pt idx="1">
                  <c:v>6.4691365207796628E-2</c:v>
                </c:pt>
                <c:pt idx="2">
                  <c:v>6.895027890672259E-2</c:v>
                </c:pt>
                <c:pt idx="3">
                  <c:v>7.3898670785567722E-2</c:v>
                </c:pt>
                <c:pt idx="4">
                  <c:v>7.969205861931565E-2</c:v>
                </c:pt>
                <c:pt idx="5">
                  <c:v>8.6531192333861778E-2</c:v>
                </c:pt>
                <c:pt idx="6">
                  <c:v>9.4678297602603684E-2</c:v>
                </c:pt>
                <c:pt idx="7">
                  <c:v>0.10447938588566766</c:v>
                </c:pt>
                <c:pt idx="8">
                  <c:v>0.11639610952879931</c:v>
                </c:pt>
                <c:pt idx="9">
                  <c:v>0.13105127925023813</c:v>
                </c:pt>
                <c:pt idx="10">
                  <c:v>0.14929166633936308</c:v>
                </c:pt>
                <c:pt idx="11">
                  <c:v>0.17227446615923925</c:v>
                </c:pt>
                <c:pt idx="12">
                  <c:v>0.20157840184205197</c:v>
                </c:pt>
                <c:pt idx="13">
                  <c:v>0.23932956466555305</c:v>
                </c:pt>
                <c:pt idx="14">
                  <c:v>0.28830318606529748</c:v>
                </c:pt>
                <c:pt idx="15">
                  <c:v>0.35191235557462164</c:v>
                </c:pt>
                <c:pt idx="16">
                  <c:v>0.43394949056687687</c:v>
                </c:pt>
                <c:pt idx="17">
                  <c:v>0.53799368353865407</c:v>
                </c:pt>
                <c:pt idx="18">
                  <c:v>0.66662280987347922</c:v>
                </c:pt>
                <c:pt idx="19">
                  <c:v>0.82083160695871693</c:v>
                </c:pt>
                <c:pt idx="20">
                  <c:v>0.85471259726739923</c:v>
                </c:pt>
                <c:pt idx="21">
                  <c:v>0.88958400816761807</c:v>
                </c:pt>
                <c:pt idx="22">
                  <c:v>0.92543247141284546</c:v>
                </c:pt>
                <c:pt idx="23">
                  <c:v>0.96224316128349585</c:v>
                </c:pt>
              </c:numCache>
            </c:numRef>
          </c:yVal>
          <c:smooth val="1"/>
          <c:extLst>
            <c:ext xmlns:c16="http://schemas.microsoft.com/office/drawing/2014/chart" uri="{C3380CC4-5D6E-409C-BE32-E72D297353CC}">
              <c16:uniqueId val="{00000006-55AD-4D4F-A0AB-9AA22C292A0A}"/>
            </c:ext>
          </c:extLst>
        </c:ser>
        <c:ser>
          <c:idx val="6"/>
          <c:order val="7"/>
          <c:tx>
            <c:strRef>
              <c:f>'Diagnosis Indicators'!$A$65</c:f>
              <c:strCache>
                <c:ptCount val="1"/>
                <c:pt idx="0">
                  <c:v>Neo-K2</c:v>
                </c:pt>
              </c:strCache>
            </c:strRef>
          </c:tx>
          <c:spPr>
            <a:ln w="25400" cap="rnd">
              <a:solidFill>
                <a:schemeClr val="accent5"/>
              </a:solidFill>
              <a:prstDash val="lgDashDotDot"/>
              <a:round/>
            </a:ln>
            <a:effectLst/>
          </c:spPr>
          <c:marker>
            <c:symbol val="none"/>
          </c:marker>
          <c:xVal>
            <c:numRef>
              <c:f>'Diagnosis Indicators'!$B$57:$Y$57</c:f>
              <c:numCache>
                <c:formatCode>0%</c:formatCode>
                <c:ptCount val="24"/>
                <c:pt idx="0">
                  <c:v>0</c:v>
                </c:pt>
                <c:pt idx="1">
                  <c:v>0.05</c:v>
                </c:pt>
                <c:pt idx="2">
                  <c:v>0.1</c:v>
                </c:pt>
                <c:pt idx="3">
                  <c:v>0.15000000000000002</c:v>
                </c:pt>
                <c:pt idx="4">
                  <c:v>0.2</c:v>
                </c:pt>
                <c:pt idx="5">
                  <c:v>0.25</c:v>
                </c:pt>
                <c:pt idx="6">
                  <c:v>0.3</c:v>
                </c:pt>
                <c:pt idx="7">
                  <c:v>0.35</c:v>
                </c:pt>
                <c:pt idx="8">
                  <c:v>0.39999999999999997</c:v>
                </c:pt>
                <c:pt idx="9">
                  <c:v>0.44999999999999996</c:v>
                </c:pt>
                <c:pt idx="10">
                  <c:v>0.49999999999999994</c:v>
                </c:pt>
                <c:pt idx="11">
                  <c:v>0.54999999999999993</c:v>
                </c:pt>
                <c:pt idx="12">
                  <c:v>0.6</c:v>
                </c:pt>
                <c:pt idx="13">
                  <c:v>0.65</c:v>
                </c:pt>
                <c:pt idx="14">
                  <c:v>0.70000000000000007</c:v>
                </c:pt>
                <c:pt idx="15">
                  <c:v>0.75000000000000011</c:v>
                </c:pt>
                <c:pt idx="16">
                  <c:v>0.80000000000000016</c:v>
                </c:pt>
                <c:pt idx="17">
                  <c:v>0.8500000000000002</c:v>
                </c:pt>
                <c:pt idx="18">
                  <c:v>0.90000000000000024</c:v>
                </c:pt>
                <c:pt idx="19">
                  <c:v>0.95000000000000029</c:v>
                </c:pt>
                <c:pt idx="20">
                  <c:v>0.9600000000000003</c:v>
                </c:pt>
                <c:pt idx="21">
                  <c:v>0.97000000000000031</c:v>
                </c:pt>
                <c:pt idx="22">
                  <c:v>0.98000000000000032</c:v>
                </c:pt>
                <c:pt idx="23">
                  <c:v>0.99000000000000032</c:v>
                </c:pt>
              </c:numCache>
            </c:numRef>
          </c:xVal>
          <c:yVal>
            <c:numRef>
              <c:f>'Diagnosis Indicators'!$B$65:$Y$65</c:f>
              <c:numCache>
                <c:formatCode>#,##0.000</c:formatCode>
                <c:ptCount val="24"/>
                <c:pt idx="0">
                  <c:v>6.0999999999999999E-2</c:v>
                </c:pt>
                <c:pt idx="1">
                  <c:v>6.5765194734295943E-2</c:v>
                </c:pt>
                <c:pt idx="2">
                  <c:v>7.1330962237345918E-2</c:v>
                </c:pt>
                <c:pt idx="3">
                  <c:v>7.788660514961504E-2</c:v>
                </c:pt>
                <c:pt idx="4">
                  <c:v>8.5675975895819059E-2</c:v>
                </c:pt>
                <c:pt idx="5">
                  <c:v>9.501525048959561E-2</c:v>
                </c:pt>
                <c:pt idx="6">
                  <c:v>0.10631697096591666</c:v>
                </c:pt>
                <c:pt idx="7">
                  <c:v>0.12011819371454455</c:v>
                </c:pt>
                <c:pt idx="8">
                  <c:v>0.13711511450263145</c:v>
                </c:pt>
                <c:pt idx="9">
                  <c:v>0.15819718538094713</c:v>
                </c:pt>
                <c:pt idx="10">
                  <c:v>0.18447012997912809</c:v>
                </c:pt>
                <c:pt idx="11">
                  <c:v>0.21723725860056606</c:v>
                </c:pt>
                <c:pt idx="12">
                  <c:v>0.25789595982104996</c:v>
                </c:pt>
                <c:pt idx="13">
                  <c:v>0.30767568596641004</c:v>
                </c:pt>
                <c:pt idx="14">
                  <c:v>0.36714003122064126</c:v>
                </c:pt>
                <c:pt idx="15">
                  <c:v>0.43542322226702351</c:v>
                </c:pt>
                <c:pt idx="16">
                  <c:v>0.50950472362457033</c:v>
                </c:pt>
                <c:pt idx="17">
                  <c:v>0.58514428829926102</c:v>
                </c:pt>
                <c:pt idx="18">
                  <c:v>0.66327192687599212</c:v>
                </c:pt>
                <c:pt idx="19">
                  <c:v>0.76414490092440612</c:v>
                </c:pt>
                <c:pt idx="20">
                  <c:v>0.79165530295828002</c:v>
                </c:pt>
                <c:pt idx="21">
                  <c:v>0.82379621549921755</c:v>
                </c:pt>
                <c:pt idx="22">
                  <c:v>0.86275326070340275</c:v>
                </c:pt>
                <c:pt idx="23">
                  <c:v>0.91326957890450644</c:v>
                </c:pt>
              </c:numCache>
            </c:numRef>
          </c:yVal>
          <c:smooth val="1"/>
          <c:extLst>
            <c:ext xmlns:c16="http://schemas.microsoft.com/office/drawing/2014/chart" uri="{C3380CC4-5D6E-409C-BE32-E72D297353CC}">
              <c16:uniqueId val="{00000007-55AD-4D4F-A0AB-9AA22C292A0A}"/>
            </c:ext>
          </c:extLst>
        </c:ser>
        <c:dLbls>
          <c:showLegendKey val="0"/>
          <c:showVal val="0"/>
          <c:showCatName val="0"/>
          <c:showSerName val="0"/>
          <c:showPercent val="0"/>
          <c:showBubbleSize val="0"/>
        </c:dLbls>
        <c:axId val="844946399"/>
        <c:axId val="844953055"/>
        <c:extLst/>
      </c:scatterChart>
      <c:valAx>
        <c:axId val="844946399"/>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fr-FR" sz="1600"/>
                  <a:t>Energy demand control</a:t>
                </a:r>
              </a:p>
            </c:rich>
          </c:tx>
          <c:layout>
            <c:manualLayout>
              <c:xMode val="edge"/>
              <c:yMode val="edge"/>
              <c:x val="0.39606624636955212"/>
              <c:y val="0.95278143489940281"/>
            </c:manualLayout>
          </c:layout>
          <c:overlay val="0"/>
          <c:spPr>
            <a:solidFill>
              <a:schemeClr val="bg1">
                <a:alpha val="70000"/>
              </a:schemeClr>
            </a:solid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53055"/>
        <c:crosses val="autoZero"/>
        <c:crossBetween val="midCat"/>
      </c:valAx>
      <c:valAx>
        <c:axId val="844953055"/>
        <c:scaling>
          <c:orientation val="minMax"/>
          <c:max val="1"/>
          <c:min val="-2"/>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Unemployment rate</a:t>
                </a:r>
              </a:p>
            </c:rich>
          </c:tx>
          <c:layout>
            <c:manualLayout>
              <c:xMode val="edge"/>
              <c:yMode val="edge"/>
              <c:x val="9.5680516491133769E-3"/>
              <c:y val="8.3596354547425828E-3"/>
            </c:manualLayout>
          </c:layout>
          <c:overlay val="0"/>
          <c:spPr>
            <a:solidFill>
              <a:schemeClr val="bg1">
                <a:alpha val="70000"/>
              </a:schemeClr>
            </a:solidFill>
            <a:ln>
              <a:noFill/>
            </a:ln>
            <a:effectLst/>
          </c:spPr>
          <c:txPr>
            <a:bodyPr rot="0" spcFirstLastPara="1" vertOverflow="ellipsis"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title>
        <c:numFmt formatCode="#\ ##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crossAx val="844946399"/>
        <c:crosses val="autoZero"/>
        <c:crossBetween val="midCat"/>
      </c:valAx>
      <c:spPr>
        <a:noFill/>
        <a:ln>
          <a:noFill/>
        </a:ln>
        <a:effectLst/>
      </c:spPr>
    </c:plotArea>
    <c:legend>
      <c:legendPos val="b"/>
      <c:layout>
        <c:manualLayout>
          <c:xMode val="edge"/>
          <c:yMode val="edge"/>
          <c:x val="6.8060099839134802E-2"/>
          <c:y val="0.46698491050897784"/>
          <c:w val="0.20171591717341417"/>
          <c:h val="0.4509536258641909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fr-FR"/>
        </a:p>
      </c:txPr>
    </c:legend>
    <c:plotVisOnly val="0"/>
    <c:dispBlanksAs val="gap"/>
    <c:showDLblsOverMax val="0"/>
  </c:chart>
  <c:spPr>
    <a:noFill/>
    <a:ln w="9525" cap="flat" cmpd="sng" algn="ctr">
      <a:noFill/>
      <a:round/>
    </a:ln>
    <a:effectLst/>
  </c:spPr>
  <c:txPr>
    <a:bodyPr/>
    <a:lstStyle/>
    <a:p>
      <a:pPr>
        <a:defRPr/>
      </a:pPr>
      <a:endParaRPr lang="fr-FR"/>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5.xml"/></Relationships>
</file>

<file path=xl/chartsheets/_rels/sheet5.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6.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C00-000000000000}">
  <sheetPr codeName="Graphique1">
    <tabColor theme="1" tint="0.14999847407452621"/>
  </sheetPr>
  <sheetViews>
    <sheetView tabSelected="1" zoomScale="70" workbookViewId="0"/>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D00-000000000000}">
  <sheetPr codeName="Graphique2">
    <tabColor theme="1" tint="0.14999847407452621"/>
  </sheetPr>
  <sheetViews>
    <sheetView zoomScale="70"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E00-000000000000}">
  <sheetPr codeName="Graphique3">
    <tabColor theme="1" tint="0.14999847407452621"/>
  </sheetPr>
  <sheetViews>
    <sheetView zoomScale="70"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F00-000000000000}">
  <sheetPr codeName="Graphique5">
    <tabColor theme="1" tint="0.14999847407452621"/>
  </sheetPr>
  <sheetViews>
    <sheetView zoomScale="70" workbookViewId="0"/>
  </sheetViews>
  <pageMargins left="0.7" right="0.7" top="0.75" bottom="0.75" header="0.3" footer="0.3"/>
  <drawing r:id="rId1"/>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000-000000000000}">
  <sheetPr codeName="Graphique4">
    <tabColor theme="1" tint="0.14999847407452621"/>
  </sheetPr>
  <sheetViews>
    <sheetView zoomScale="70" workbookViewId="0"/>
  </sheetViews>
  <pageMargins left="0.7" right="0.7" top="0.75" bottom="0.75" header="0.3" footer="0.3"/>
  <drawing r:id="rId1"/>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1100-000000000000}">
  <sheetPr codeName="Graphique6">
    <tabColor theme="1" tint="0.14999847407452621"/>
  </sheetPr>
  <sheetViews>
    <sheetView zoomScale="7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393700</xdr:colOff>
          <xdr:row>50</xdr:row>
          <xdr:rowOff>88900</xdr:rowOff>
        </xdr:from>
        <xdr:to>
          <xdr:col>8</xdr:col>
          <xdr:colOff>628650</xdr:colOff>
          <xdr:row>53</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368300</xdr:colOff>
          <xdr:row>58</xdr:row>
          <xdr:rowOff>101600</xdr:rowOff>
        </xdr:from>
        <xdr:to>
          <xdr:col>12</xdr:col>
          <xdr:colOff>584200</xdr:colOff>
          <xdr:row>61</xdr:row>
          <xdr:rowOff>95250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Initial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355600</xdr:colOff>
          <xdr:row>50</xdr:row>
          <xdr:rowOff>76200</xdr:rowOff>
        </xdr:from>
        <xdr:to>
          <xdr:col>12</xdr:col>
          <xdr:colOff>584200</xdr:colOff>
          <xdr:row>53</xdr:row>
          <xdr:rowOff>88900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Profile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393700</xdr:colOff>
          <xdr:row>54</xdr:row>
          <xdr:rowOff>57150</xdr:rowOff>
        </xdr:from>
        <xdr:to>
          <xdr:col>8</xdr:col>
          <xdr:colOff>628650</xdr:colOff>
          <xdr:row>57</xdr:row>
          <xdr:rowOff>50800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800" b="0" i="0" u="none" strike="noStrike" baseline="0">
                  <a:solidFill>
                    <a:srgbClr val="000000"/>
                  </a:solidFill>
                  <a:latin typeface="Arial"/>
                  <a:cs typeface="Arial"/>
                </a:rPr>
                <a:t>Save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9143" cy="6059714"/>
    <xdr:graphicFrame macro="">
      <xdr:nvGraphicFramePr>
        <xdr:cNvPr id="2" name="Graphique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louis\OneDrive\Documents\Travail\Papers\KLEM\KLEM%20-%20Closure%2010avr24%20sG=1-Elast.xlsm" TargetMode="External"/><Relationship Id="rId1" Type="http://schemas.openxmlformats.org/officeDocument/2006/relationships/externalLinkPath" Target="file:///C:\Users\louis\OneDrive\Documents\Travail\Papers\KLEM\KLEM%20-%20Closure%2010avr24%20sG=1-Ela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libration"/>
      <sheetName val="Model"/>
      <sheetName val="Results"/>
      <sheetName val="GraphU"/>
      <sheetName val="NeoClassical"/>
      <sheetName val="Johansen"/>
      <sheetName val="Kaldorian"/>
      <sheetName val="Utility_export"/>
      <sheetName val="Keynes-M"/>
      <sheetName val="Keynesian"/>
      <sheetName val="Keynes-K"/>
      <sheetName val="Neo-K1"/>
      <sheetName val="Neo-K2"/>
      <sheetName val="NC heteroS"/>
      <sheetName val="Keynes-I"/>
      <sheetName val="Diagnosis Indicators"/>
      <sheetName val="Tax_export"/>
      <sheetName val="PShare_export"/>
      <sheetName val="Utility-Export"/>
      <sheetName val="GraphPi"/>
      <sheetName val="G Tax"/>
    </sheetNames>
    <sheetDataSet>
      <sheetData sheetId="0"/>
      <sheetData sheetId="1"/>
      <sheetData sheetId="2"/>
      <sheetData sheetId="3" refreshError="1"/>
      <sheetData sheetId="4"/>
      <sheetData sheetId="5"/>
      <sheetData sheetId="6"/>
      <sheetData sheetId="7"/>
      <sheetData sheetId="8"/>
      <sheetData sheetId="9"/>
      <sheetData sheetId="10"/>
      <sheetData sheetId="11"/>
      <sheetData sheetId="12"/>
      <sheetData sheetId="13"/>
      <sheetData sheetId="14"/>
      <sheetData sheetId="15">
        <row r="62">
          <cell r="B62">
            <v>0</v>
          </cell>
          <cell r="C62">
            <v>0.05</v>
          </cell>
          <cell r="D62">
            <v>0.1</v>
          </cell>
          <cell r="E62">
            <v>0.15000000000000002</v>
          </cell>
          <cell r="F62">
            <v>0.2</v>
          </cell>
          <cell r="G62">
            <v>0.25</v>
          </cell>
          <cell r="H62">
            <v>0.3</v>
          </cell>
          <cell r="I62">
            <v>0.35</v>
          </cell>
          <cell r="J62">
            <v>0.39999999999999997</v>
          </cell>
          <cell r="K62">
            <v>0.44999999999999996</v>
          </cell>
          <cell r="L62">
            <v>0.49999999999999994</v>
          </cell>
          <cell r="M62">
            <v>0.54999999999999993</v>
          </cell>
          <cell r="N62">
            <v>0.6</v>
          </cell>
          <cell r="O62">
            <v>0.65</v>
          </cell>
          <cell r="P62">
            <v>0.70000000000000007</v>
          </cell>
          <cell r="Q62">
            <v>0.75000000000000011</v>
          </cell>
          <cell r="R62">
            <v>0.80000000000000016</v>
          </cell>
          <cell r="S62">
            <v>0.8500000000000002</v>
          </cell>
          <cell r="T62">
            <v>0.90000000000000024</v>
          </cell>
          <cell r="U62">
            <v>0.95000000000000029</v>
          </cell>
          <cell r="V62">
            <v>0.9600000000000003</v>
          </cell>
          <cell r="W62">
            <v>0.97000000000000031</v>
          </cell>
          <cell r="X62">
            <v>0.98000000000000032</v>
          </cell>
          <cell r="Y62">
            <v>0.99000000000000032</v>
          </cell>
        </row>
        <row r="63">
          <cell r="A63" t="str">
            <v>Neoclassical</v>
          </cell>
        </row>
        <row r="64">
          <cell r="A64" t="str">
            <v>Kaldorian</v>
          </cell>
        </row>
        <row r="65">
          <cell r="A65" t="str">
            <v>Johansen</v>
          </cell>
        </row>
        <row r="66">
          <cell r="A66" t="str">
            <v>Keynes-Kaldor</v>
          </cell>
        </row>
        <row r="67">
          <cell r="A67" t="str">
            <v>Keynes-Marshall</v>
          </cell>
        </row>
        <row r="68">
          <cell r="A68" t="str">
            <v>Keynesian</v>
          </cell>
        </row>
        <row r="69">
          <cell r="A69" t="str">
            <v>Neo-K1</v>
          </cell>
        </row>
        <row r="70">
          <cell r="A70" t="str">
            <v>Neo-K2</v>
          </cell>
        </row>
      </sheetData>
      <sheetData sheetId="16"/>
      <sheetData sheetId="17"/>
      <sheetData sheetId="18"/>
      <sheetData sheetId="19" refreshError="1"/>
      <sheetData sheetId="20" refreshError="1"/>
    </sheetDataSet>
  </externalBook>
</externalLink>
</file>

<file path=xl/persons/person.xml><?xml version="1.0" encoding="utf-8"?>
<personList xmlns="http://schemas.microsoft.com/office/spreadsheetml/2018/threadedcomments" xmlns:x="http://schemas.openxmlformats.org/spreadsheetml/2006/main">
  <person displayName="Louis" id="{A1B515F5-52A7-492C-8EFF-2ED382D70E68}" userId="Louis" providerId="None"/>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7" dT="2019-12-03T08:18:55.42" personId="{A1B515F5-52A7-492C-8EFF-2ED382D70E68}" id="{C96615DD-9C03-4E40-B6D8-F4143B40B058}">
    <text>Calibrage des coefficients de la CET</text>
  </threadedComment>
  <threadedComment ref="B99" dT="2019-12-03T08:19:30.63" personId="{A1B515F5-52A7-492C-8EFF-2ED382D70E68}" id="{D3DFF277-FA45-464F-847A-E2B29A5F813E}">
    <text>Elasticité CET</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B1:R127"/>
  <sheetViews>
    <sheetView showGridLines="0" topLeftCell="A82" zoomScaleNormal="100" workbookViewId="0">
      <selection activeCell="C100" sqref="C100"/>
    </sheetView>
  </sheetViews>
  <sheetFormatPr baseColWidth="10" defaultColWidth="12" defaultRowHeight="10" x14ac:dyDescent="0.2"/>
  <cols>
    <col min="3" max="3" width="16.33203125" customWidth="1"/>
  </cols>
  <sheetData>
    <row r="1" spans="2:18" x14ac:dyDescent="0.2">
      <c r="B1" t="s">
        <v>180</v>
      </c>
    </row>
    <row r="2" spans="2:18" x14ac:dyDescent="0.2">
      <c r="B2" s="1"/>
      <c r="C2" s="2" t="s">
        <v>24</v>
      </c>
      <c r="D2" s="3" t="s">
        <v>25</v>
      </c>
      <c r="E2" s="2" t="s">
        <v>6</v>
      </c>
      <c r="F2" s="3" t="s">
        <v>7</v>
      </c>
      <c r="G2" s="3" t="s">
        <v>8</v>
      </c>
      <c r="H2" s="132" t="s">
        <v>0</v>
      </c>
      <c r="I2" s="1"/>
      <c r="K2" s="1"/>
      <c r="L2" s="2" t="s">
        <v>24</v>
      </c>
      <c r="M2" s="3" t="s">
        <v>25</v>
      </c>
      <c r="N2" s="4" t="s">
        <v>6</v>
      </c>
      <c r="O2" s="5" t="s">
        <v>7</v>
      </c>
      <c r="P2" s="5" t="s">
        <v>8</v>
      </c>
      <c r="Q2" s="6" t="s">
        <v>0</v>
      </c>
      <c r="R2" s="1"/>
    </row>
    <row r="3" spans="2:18" ht="10.5" x14ac:dyDescent="0.25">
      <c r="B3" s="2" t="s">
        <v>24</v>
      </c>
      <c r="C3" s="133">
        <v>13356525.920999993</v>
      </c>
      <c r="D3" s="134">
        <v>398781.47400000016</v>
      </c>
      <c r="E3" s="133">
        <v>6637565.1090000011</v>
      </c>
      <c r="F3" s="133">
        <v>3330668.2879999997</v>
      </c>
      <c r="G3" s="133">
        <v>3247244.4950000001</v>
      </c>
      <c r="H3" s="135">
        <v>3195047.6039999989</v>
      </c>
      <c r="I3" s="9">
        <f>SUM(C3:H3)</f>
        <v>30165832.890999991</v>
      </c>
      <c r="K3" s="2" t="s">
        <v>24</v>
      </c>
      <c r="L3" s="48">
        <f t="array" ref="L3:M4">pIC*alpha*Y</f>
        <v>13356525.920999993</v>
      </c>
      <c r="M3" s="49">
        <v>398781.47400000016</v>
      </c>
      <c r="N3" s="50">
        <f t="array" ref="N3:N4">TRANSPOSE(pC*Consumption)</f>
        <v>6637565.1090000011</v>
      </c>
      <c r="O3" s="51">
        <f t="array" ref="O3:O4">TRANSPOSE(pG*G)</f>
        <v>3330668.2879999997</v>
      </c>
      <c r="P3" s="51">
        <f t="array" ref="P3:P4">TRANSPOSE(pI*I)</f>
        <v>3247244.4950000001</v>
      </c>
      <c r="Q3" s="57">
        <f t="array" ref="Q3:Q4">TRANSPOSE(pX*X)</f>
        <v>3195047.6039999989</v>
      </c>
      <c r="R3" s="9">
        <f>SUM(L3:Q3)</f>
        <v>30165832.890999991</v>
      </c>
    </row>
    <row r="4" spans="2:18" ht="10.5" x14ac:dyDescent="0.25">
      <c r="B4" s="10" t="s">
        <v>25</v>
      </c>
      <c r="C4" s="136">
        <v>599670.88199999998</v>
      </c>
      <c r="D4" s="137">
        <v>434900.03099999996</v>
      </c>
      <c r="E4" s="136">
        <v>382100.58199999394</v>
      </c>
      <c r="F4" s="136">
        <v>0</v>
      </c>
      <c r="G4" s="136">
        <v>0</v>
      </c>
      <c r="H4" s="138">
        <v>91012.690000004077</v>
      </c>
      <c r="I4" s="11">
        <f>SUM(C4:H4)</f>
        <v>1507684.184999998</v>
      </c>
      <c r="K4" s="10" t="s">
        <v>25</v>
      </c>
      <c r="L4" s="52">
        <v>599670.88199999998</v>
      </c>
      <c r="M4" s="53">
        <v>434900.03099999996</v>
      </c>
      <c r="N4" s="52">
        <v>382100.58199999394</v>
      </c>
      <c r="O4" s="54">
        <v>0</v>
      </c>
      <c r="P4" s="54">
        <v>0</v>
      </c>
      <c r="Q4" s="46">
        <v>91012.690000004077</v>
      </c>
      <c r="R4" s="11">
        <f>SUM(L4:Q4)</f>
        <v>1507684.184999998</v>
      </c>
    </row>
    <row r="5" spans="2:18" x14ac:dyDescent="0.2">
      <c r="B5" s="12" t="s">
        <v>1</v>
      </c>
      <c r="C5" s="133">
        <v>5036295.3101960644</v>
      </c>
      <c r="D5" s="139">
        <v>74905.331803938272</v>
      </c>
      <c r="E5" s="97"/>
      <c r="F5" s="97"/>
      <c r="G5" s="97"/>
      <c r="H5" s="97"/>
      <c r="I5" s="1"/>
      <c r="K5" s="12" t="s">
        <v>1</v>
      </c>
      <c r="L5" s="48">
        <f t="array" ref="L5:M5">w*Labour</f>
        <v>5036295.3101960644</v>
      </c>
      <c r="M5" s="49">
        <v>74905.331803938272</v>
      </c>
      <c r="N5" s="13"/>
      <c r="O5" s="13"/>
      <c r="P5" s="13"/>
      <c r="Q5" s="13"/>
      <c r="R5" s="1"/>
    </row>
    <row r="6" spans="2:18" x14ac:dyDescent="0.2">
      <c r="B6" s="14" t="s">
        <v>9</v>
      </c>
      <c r="C6" s="7">
        <v>2301604.2068039379</v>
      </c>
      <c r="D6" s="140">
        <v>34231.993196061703</v>
      </c>
      <c r="E6" s="97"/>
      <c r="F6" s="97"/>
      <c r="G6" s="97"/>
      <c r="H6" s="97"/>
      <c r="I6" s="1"/>
      <c r="K6" s="14" t="s">
        <v>9</v>
      </c>
      <c r="L6" s="50">
        <f t="array" ref="L6:M6">w*tauL*Labour</f>
        <v>2301604.2068039374</v>
      </c>
      <c r="M6" s="55">
        <v>34231.993196061703</v>
      </c>
      <c r="N6" s="13"/>
      <c r="O6" s="13"/>
      <c r="P6" s="13"/>
      <c r="Q6" s="13"/>
      <c r="R6" s="1"/>
    </row>
    <row r="7" spans="2:18" x14ac:dyDescent="0.2">
      <c r="B7" s="196" t="s">
        <v>178</v>
      </c>
      <c r="C7" s="7">
        <v>137715.65500000006</v>
      </c>
      <c r="D7" s="140">
        <v>20719.463999999996</v>
      </c>
      <c r="E7" s="97"/>
      <c r="F7" s="98" t="s">
        <v>24</v>
      </c>
      <c r="G7" s="99" t="s">
        <v>25</v>
      </c>
      <c r="H7" s="97"/>
      <c r="I7" s="1"/>
      <c r="K7" s="14" t="s">
        <v>10</v>
      </c>
      <c r="L7" s="50">
        <f t="array" ref="L7:M7">tauY*pY/(1+tauY)*Y</f>
        <v>137715.65500000006</v>
      </c>
      <c r="M7" s="55">
        <v>20719.463999999996</v>
      </c>
      <c r="N7" s="13"/>
      <c r="O7" s="13"/>
      <c r="P7" s="108"/>
      <c r="Q7" s="13"/>
      <c r="R7" s="1"/>
    </row>
    <row r="8" spans="2:18" x14ac:dyDescent="0.2">
      <c r="B8" s="14" t="s">
        <v>2</v>
      </c>
      <c r="C8" s="136">
        <v>6425198.1590000018</v>
      </c>
      <c r="D8" s="141">
        <v>273229.1540000001</v>
      </c>
      <c r="E8" s="97"/>
      <c r="F8" s="101">
        <f>SUM(C3:G3)</f>
        <v>26970785.286999993</v>
      </c>
      <c r="G8" s="102">
        <f>SUM(C4:G4)</f>
        <v>1416671.4949999938</v>
      </c>
      <c r="H8" s="97" t="s">
        <v>140</v>
      </c>
      <c r="I8" s="1"/>
      <c r="K8" s="14" t="s">
        <v>2</v>
      </c>
      <c r="L8" s="50">
        <f t="array" ref="L8:M8">pK*K</f>
        <v>6425198.1590000018</v>
      </c>
      <c r="M8" s="55">
        <v>273229.1540000001</v>
      </c>
      <c r="N8" s="13"/>
      <c r="O8" s="13"/>
      <c r="P8" s="13"/>
      <c r="Q8" s="13"/>
      <c r="R8" s="1"/>
    </row>
    <row r="9" spans="2:18" x14ac:dyDescent="0.2">
      <c r="B9" s="2" t="s">
        <v>3</v>
      </c>
      <c r="C9" s="142">
        <v>1886393.7399999965</v>
      </c>
      <c r="D9" s="143">
        <v>262787.11299999768</v>
      </c>
      <c r="E9" s="97"/>
      <c r="F9" s="97"/>
      <c r="G9" s="97"/>
      <c r="H9" s="97"/>
      <c r="I9" s="1"/>
      <c r="K9" s="2" t="s">
        <v>3</v>
      </c>
      <c r="L9" s="118">
        <f t="array" ref="L9:M9">pW*M</f>
        <v>1886393.7399999965</v>
      </c>
      <c r="M9" s="119">
        <v>262787.11299999768</v>
      </c>
      <c r="N9" s="13"/>
      <c r="O9" s="13"/>
      <c r="P9" s="108"/>
      <c r="Q9" s="13"/>
      <c r="R9" s="1"/>
    </row>
    <row r="10" spans="2:18" x14ac:dyDescent="0.2">
      <c r="B10" s="185" t="s">
        <v>134</v>
      </c>
      <c r="C10" s="7">
        <v>422429.01700000005</v>
      </c>
      <c r="D10" s="131">
        <v>8129.6240000000016</v>
      </c>
      <c r="E10" s="97"/>
      <c r="F10" s="97"/>
      <c r="G10" s="97"/>
      <c r="H10" s="97"/>
      <c r="I10" s="1"/>
      <c r="K10" s="185" t="s">
        <v>134</v>
      </c>
      <c r="L10" s="56">
        <f t="array" ref="L10:M10">tauTS*pS*S</f>
        <v>422429.01700000011</v>
      </c>
      <c r="M10" s="57">
        <v>8129.6240000000025</v>
      </c>
      <c r="N10" s="13"/>
      <c r="O10" s="13"/>
      <c r="P10" s="13"/>
      <c r="Q10" s="13"/>
      <c r="R10" s="1"/>
    </row>
    <row r="11" spans="2:18" x14ac:dyDescent="0.2">
      <c r="B11" s="15"/>
      <c r="C11" s="7">
        <v>0</v>
      </c>
      <c r="D11" s="131">
        <v>0</v>
      </c>
      <c r="E11" s="97"/>
      <c r="F11" s="98" t="s">
        <v>24</v>
      </c>
      <c r="G11" s="99" t="s">
        <v>25</v>
      </c>
      <c r="H11" s="97"/>
      <c r="I11" s="1"/>
      <c r="K11" s="15"/>
      <c r="L11" s="58"/>
      <c r="M11" s="46"/>
      <c r="N11" s="13"/>
      <c r="O11" s="47" t="s">
        <v>24</v>
      </c>
      <c r="P11" s="16" t="s">
        <v>25</v>
      </c>
      <c r="Q11" s="13"/>
      <c r="R11" s="1"/>
    </row>
    <row r="12" spans="2:18" ht="10.5" x14ac:dyDescent="0.25">
      <c r="B12" s="1"/>
      <c r="C12" s="104">
        <f>SUM(C3:C11)</f>
        <v>30165832.890999991</v>
      </c>
      <c r="D12" s="105">
        <f>SUM(D3:D11)</f>
        <v>1507684.184999998</v>
      </c>
      <c r="E12" s="100"/>
      <c r="F12" s="101">
        <f>SUM(C3:C8)</f>
        <v>27857010.133999996</v>
      </c>
      <c r="G12" s="102">
        <f>SUM(D3:D8)</f>
        <v>1236767.4480000003</v>
      </c>
      <c r="H12" s="103" t="s">
        <v>11</v>
      </c>
      <c r="I12" s="1"/>
      <c r="K12" s="1"/>
      <c r="L12" s="17">
        <f>SUM(L3:L11)</f>
        <v>30165832.890999991</v>
      </c>
      <c r="M12" s="18">
        <f>SUM(M3:M11)</f>
        <v>1507684.184999998</v>
      </c>
      <c r="N12" s="19"/>
      <c r="O12" s="20">
        <f t="array" ref="O12:P12">pY*Y</f>
        <v>27857010.133999996</v>
      </c>
      <c r="P12" s="21">
        <v>1236767.4480000003</v>
      </c>
      <c r="Q12" s="1" t="s">
        <v>11</v>
      </c>
      <c r="R12" s="1"/>
    </row>
    <row r="13" spans="2:18" x14ac:dyDescent="0.2">
      <c r="B13" s="1"/>
      <c r="C13" s="103"/>
      <c r="D13" s="103"/>
      <c r="E13" s="97"/>
      <c r="F13" s="97"/>
      <c r="G13" s="97"/>
      <c r="H13" s="103"/>
      <c r="I13" s="1"/>
      <c r="K13" s="1"/>
      <c r="L13" s="1"/>
      <c r="M13" s="1"/>
      <c r="N13" s="13"/>
      <c r="O13" s="13"/>
      <c r="P13" s="13"/>
      <c r="Q13" s="1"/>
      <c r="R13" s="1"/>
    </row>
    <row r="14" spans="2:18" ht="10.5" x14ac:dyDescent="0.25">
      <c r="B14" s="22" t="s">
        <v>30</v>
      </c>
      <c r="C14" s="201">
        <f>I3-C12</f>
        <v>0</v>
      </c>
      <c r="D14" s="201">
        <f>I4-D12</f>
        <v>0</v>
      </c>
      <c r="E14" s="97"/>
      <c r="F14" s="97"/>
      <c r="G14" s="97"/>
      <c r="H14" s="97"/>
      <c r="I14" s="1"/>
      <c r="K14" s="22" t="s">
        <v>30</v>
      </c>
      <c r="L14" s="200">
        <f>R3-L12</f>
        <v>0</v>
      </c>
      <c r="M14" s="200">
        <f>R4-M12</f>
        <v>0</v>
      </c>
      <c r="N14" s="13"/>
      <c r="O14" s="13"/>
      <c r="P14" s="13"/>
      <c r="Q14" s="13"/>
      <c r="R14" s="1"/>
    </row>
    <row r="16" spans="2:18" x14ac:dyDescent="0.2">
      <c r="F16">
        <v>20952.175621751205</v>
      </c>
      <c r="G16">
        <v>1219.7862210892881</v>
      </c>
      <c r="L16" s="27"/>
      <c r="M16" s="27"/>
    </row>
    <row r="17" spans="2:16" x14ac:dyDescent="0.2">
      <c r="L17" s="27"/>
      <c r="M17" s="27"/>
    </row>
    <row r="20" spans="2:16" ht="10.5" x14ac:dyDescent="0.25">
      <c r="B20" s="92" t="s">
        <v>79</v>
      </c>
      <c r="H20" s="92" t="s">
        <v>60</v>
      </c>
      <c r="K20" s="92" t="s">
        <v>59</v>
      </c>
      <c r="N20" s="92" t="s">
        <v>42</v>
      </c>
    </row>
    <row r="21" spans="2:16" x14ac:dyDescent="0.2">
      <c r="B21" t="s">
        <v>12</v>
      </c>
      <c r="C21" s="162">
        <v>1000</v>
      </c>
      <c r="D21" s="163">
        <v>1000</v>
      </c>
      <c r="H21">
        <f t="array" ref="H21:I21">(aY^sigmaY*pKLE^(1-sigmaY)+bY^sigmaY*pMY^(1-sigmaY))^(1/(1-sigmaY))*(1+tauY)</f>
        <v>1000.0000000000014</v>
      </c>
      <c r="I21">
        <v>999.99999999999898</v>
      </c>
      <c r="K21" s="113">
        <f t="array" ref="K21:L21">H21:I21-pY</f>
        <v>1.3642420526593924E-12</v>
      </c>
      <c r="L21" s="113">
        <v>-1.0231815394945443E-12</v>
      </c>
      <c r="N21">
        <f t="array" ref="N21:O21">(aX^sigmaX*pD^(1-sigmaX)+bX^sigmaX*pX^(1-sigmaX))^(1/(1-sigmaX))</f>
        <v>999.99999999999977</v>
      </c>
      <c r="O21">
        <v>999.99999999999977</v>
      </c>
    </row>
    <row r="22" spans="2:16" x14ac:dyDescent="0.2">
      <c r="B22" t="s">
        <v>103</v>
      </c>
      <c r="C22" s="29">
        <v>1000</v>
      </c>
      <c r="D22" s="30">
        <v>1000</v>
      </c>
      <c r="K22" s="116"/>
      <c r="L22" s="116"/>
    </row>
    <row r="23" spans="2:16" x14ac:dyDescent="0.2">
      <c r="B23" t="s">
        <v>115</v>
      </c>
      <c r="C23" s="160">
        <v>1000</v>
      </c>
      <c r="D23" s="161">
        <v>1000</v>
      </c>
      <c r="H23" s="27">
        <f t="array" ref="H23:I23">(pY*Y+pW*M-pX*X)/S</f>
        <v>1000</v>
      </c>
      <c r="I23" s="27">
        <v>1000</v>
      </c>
      <c r="K23" s="113">
        <f t="array" ref="K23:L23">H23:I23-pS</f>
        <v>0</v>
      </c>
      <c r="L23" s="113">
        <v>0</v>
      </c>
    </row>
    <row r="24" spans="2:16" x14ac:dyDescent="0.2">
      <c r="B24" t="s">
        <v>77</v>
      </c>
      <c r="C24" s="29">
        <v>1000</v>
      </c>
      <c r="D24" s="30">
        <v>1000</v>
      </c>
      <c r="H24" s="27">
        <f t="array" ref="H24:I24">aX^(sigmaX/(sigmaX-1))*(pY^(1-sigmaX)-bX^sigmaX*pW^(1-sigmaX))^(1/(1-sigmaX))</f>
        <v>1000.0000000000003</v>
      </c>
      <c r="I24" s="27">
        <v>1000.0000000000002</v>
      </c>
      <c r="K24" s="113">
        <f t="array" ref="K24:L24">H24:I24-pD</f>
        <v>0</v>
      </c>
      <c r="L24" s="113">
        <v>0</v>
      </c>
    </row>
    <row r="25" spans="2:16" x14ac:dyDescent="0.2">
      <c r="B25" t="s">
        <v>13</v>
      </c>
      <c r="C25" s="31">
        <f t="array" ref="C25:D26">C3:D4/(alpha*Y)</f>
        <v>1015.9116825427475</v>
      </c>
      <c r="D25" s="32">
        <v>1015.9116825427475</v>
      </c>
      <c r="E25" t="s">
        <v>63</v>
      </c>
      <c r="H25" s="27">
        <f t="array" ref="H25:I26">TRANSPOSE(pS*(1+tauTS))</f>
        <v>1015.9116825427475</v>
      </c>
      <c r="I25" s="27">
        <v>1015.9116825427475</v>
      </c>
      <c r="K25" s="113">
        <f t="array" ref="K25:L26">H25:I26-C25:D26</f>
        <v>0</v>
      </c>
      <c r="L25" s="113">
        <v>0</v>
      </c>
    </row>
    <row r="26" spans="2:16" x14ac:dyDescent="0.2">
      <c r="C26" s="33">
        <v>1005.7716594496609</v>
      </c>
      <c r="D26" s="34">
        <v>1005.771659449661</v>
      </c>
      <c r="E26" t="s">
        <v>41</v>
      </c>
      <c r="H26" s="27">
        <v>1005.7716594496609</v>
      </c>
      <c r="I26" s="27">
        <v>1005.7716594496609</v>
      </c>
      <c r="K26" s="113">
        <v>0</v>
      </c>
      <c r="L26" s="113">
        <v>0</v>
      </c>
    </row>
    <row r="27" spans="2:16" x14ac:dyDescent="0.2">
      <c r="B27" t="s">
        <v>14</v>
      </c>
      <c r="C27" s="31">
        <f t="array" ref="C27:D27">TRANSPOSE(E3:E4)/Consumption</f>
        <v>1015.9116825427475</v>
      </c>
      <c r="D27" s="32">
        <v>1005.7716594496608</v>
      </c>
      <c r="H27" s="27">
        <f t="array" ref="H27:I27">pS*(1+tauTS)</f>
        <v>1015.9116825427475</v>
      </c>
      <c r="I27" s="27">
        <v>1005.7716594496609</v>
      </c>
      <c r="K27" s="113">
        <f t="array" ref="K27:L27">H27:I27-pC</f>
        <v>0</v>
      </c>
      <c r="L27" s="113">
        <v>0</v>
      </c>
    </row>
    <row r="28" spans="2:16" x14ac:dyDescent="0.2">
      <c r="B28" t="s">
        <v>15</v>
      </c>
      <c r="C28" s="39">
        <f t="array" ref="C28:D28">IF(ISNUMBER(TRANSPOSE(F3:F4)/G),TRANSPOSE(F3:F4)/G,pC)</f>
        <v>1015.9116825427474</v>
      </c>
      <c r="D28" s="40">
        <v>1005.7716594496608</v>
      </c>
      <c r="H28" s="27">
        <f t="array" ref="H28:I28">pS*(1+tauTS)</f>
        <v>1015.9116825427475</v>
      </c>
      <c r="I28" s="27">
        <v>1005.7716594496609</v>
      </c>
      <c r="K28" s="113">
        <f t="array" ref="K28:L28">H28:I28-pG</f>
        <v>0</v>
      </c>
      <c r="L28" s="113">
        <v>0</v>
      </c>
    </row>
    <row r="29" spans="2:16" x14ac:dyDescent="0.2">
      <c r="B29" t="s">
        <v>29</v>
      </c>
      <c r="C29" s="39">
        <f t="array" ref="C29:D29">IF(ISNUMBER(TRANSPOSE(G3:G4)/I),TRANSPOSE(G3:G4)/I,pC)</f>
        <v>1015.9116825427475</v>
      </c>
      <c r="D29" s="40">
        <v>1005.7716594496608</v>
      </c>
      <c r="H29" s="27">
        <f t="array" ref="H29:I29">pS*(1+tauTS)</f>
        <v>1015.9116825427475</v>
      </c>
      <c r="I29" s="27">
        <v>1005.7716594496609</v>
      </c>
      <c r="K29" s="113">
        <f t="array" ref="K29:L29">H29:I29-pI</f>
        <v>0</v>
      </c>
      <c r="L29" s="113">
        <v>0</v>
      </c>
    </row>
    <row r="30" spans="2:16" x14ac:dyDescent="0.2">
      <c r="B30" t="s">
        <v>16</v>
      </c>
      <c r="C30" s="39">
        <f t="array" ref="C30:D30">pW</f>
        <v>1000</v>
      </c>
      <c r="D30" s="40">
        <v>1000</v>
      </c>
      <c r="H30" s="27">
        <f t="array" ref="H30:I30">pW</f>
        <v>1000</v>
      </c>
      <c r="I30" s="27">
        <v>1000</v>
      </c>
      <c r="K30" s="113">
        <f t="array" ref="K30:L30">H30:I30-pX</f>
        <v>0</v>
      </c>
      <c r="L30" s="113">
        <v>0</v>
      </c>
    </row>
    <row r="31" spans="2:16" x14ac:dyDescent="0.2">
      <c r="B31" t="s">
        <v>17</v>
      </c>
      <c r="C31" s="29">
        <v>1000</v>
      </c>
      <c r="D31" s="30">
        <v>1000</v>
      </c>
      <c r="K31" s="116"/>
      <c r="L31" s="116"/>
    </row>
    <row r="32" spans="2:16" x14ac:dyDescent="0.2">
      <c r="B32" t="s">
        <v>36</v>
      </c>
      <c r="C32" s="39">
        <f t="array" ref="C32:D32">(C5:D5+C6:D6)/Labour</f>
        <v>1457.0034251455234</v>
      </c>
      <c r="D32" s="40">
        <v>1457.0034251455236</v>
      </c>
      <c r="H32" s="27">
        <f t="array" ref="H32:I32">w*(1+tauL)</f>
        <v>1457.0034251455234</v>
      </c>
      <c r="I32" s="27">
        <v>1457.0034251455236</v>
      </c>
      <c r="K32" s="113">
        <f t="array" ref="K32:L32">H32:I32-pL</f>
        <v>0</v>
      </c>
      <c r="L32" s="113">
        <v>0</v>
      </c>
      <c r="N32" s="27">
        <f t="array" ref="N32:O32">bKL*(Labour/KL)^(rhoKL-1)*pKL</f>
        <v>1457.0034251455245</v>
      </c>
      <c r="O32" s="27">
        <v>1457.0034251455252</v>
      </c>
      <c r="P32" t="s">
        <v>120</v>
      </c>
    </row>
    <row r="33" spans="2:16" x14ac:dyDescent="0.2">
      <c r="B33" t="s">
        <v>18</v>
      </c>
      <c r="C33" s="168">
        <v>1000</v>
      </c>
      <c r="D33" s="169">
        <v>1000</v>
      </c>
      <c r="E33" t="s">
        <v>56</v>
      </c>
      <c r="K33" s="116"/>
      <c r="L33" s="116"/>
      <c r="N33" s="27">
        <f t="array" ref="N33:O33">aKL*(K/KL)^(rhoKL-1)*pKL</f>
        <v>999.99999999999966</v>
      </c>
      <c r="O33" s="27">
        <v>1000.0000000000005</v>
      </c>
      <c r="P33" t="s">
        <v>120</v>
      </c>
    </row>
    <row r="34" spans="2:16" x14ac:dyDescent="0.2">
      <c r="B34" t="s">
        <v>61</v>
      </c>
      <c r="C34" s="160">
        <v>1000</v>
      </c>
      <c r="D34" s="161">
        <v>1000</v>
      </c>
      <c r="H34" s="27">
        <f t="array" ref="H34:I34">(aKL^sigmaKL*pK^(1-sigmaKL)+bKL^sigmaKL*pL^(1-sigmaKL))^(1/(1-sigmaKL))</f>
        <v>999.99999999999977</v>
      </c>
      <c r="I34" s="27">
        <v>999.99999999999977</v>
      </c>
      <c r="K34" s="113">
        <f t="array" ref="K34:L34">H34:I34-pKL</f>
        <v>0</v>
      </c>
      <c r="L34" s="113">
        <v>0</v>
      </c>
    </row>
    <row r="35" spans="2:16" x14ac:dyDescent="0.2">
      <c r="B35" t="s">
        <v>62</v>
      </c>
      <c r="C35" s="160">
        <v>1000</v>
      </c>
      <c r="D35" s="161">
        <v>1000</v>
      </c>
      <c r="H35" s="27">
        <f t="array" ref="H35:I35">(aKLE^sigmaKLE*pKL^(1-sigmaKLE)+bKLE^sigmaKLE*pEY^(1-sigmaKLE))^(1/(1-sigmaKLE))</f>
        <v>1000.0000000000002</v>
      </c>
      <c r="I35" s="27">
        <v>999.99999999999977</v>
      </c>
      <c r="K35" s="113">
        <f t="array" ref="K35:L35">H35:I35-pKLE</f>
        <v>0</v>
      </c>
      <c r="L35" s="113">
        <v>0</v>
      </c>
    </row>
    <row r="37" spans="2:16" x14ac:dyDescent="0.2">
      <c r="B37" t="s">
        <v>19</v>
      </c>
      <c r="C37" s="84">
        <f t="array" ref="C37:D37">F12:G12/pY</f>
        <v>27857.010133999996</v>
      </c>
      <c r="D37" s="85">
        <v>1236.7674480000003</v>
      </c>
      <c r="E37" t="s">
        <v>112</v>
      </c>
      <c r="H37" s="27">
        <f t="array" ref="H37:I37">(aX*D^rhoX+bX*X^rhoX)^(1/rhoX)</f>
        <v>27857.010134</v>
      </c>
      <c r="I37" s="27">
        <v>1236.7674480000023</v>
      </c>
      <c r="K37" s="113">
        <f t="array" ref="K37:L37">H37:I37-Y</f>
        <v>0</v>
      </c>
      <c r="L37" s="113">
        <v>2.0463630789890885E-12</v>
      </c>
    </row>
    <row r="38" spans="2:16" x14ac:dyDescent="0.2">
      <c r="B38" t="s">
        <v>3</v>
      </c>
      <c r="C38" s="86">
        <f t="array" ref="C38:D38">C9:D9/pW</f>
        <v>1886.3937399999966</v>
      </c>
      <c r="D38" s="87">
        <v>262.7871129999977</v>
      </c>
      <c r="E38" t="s">
        <v>113</v>
      </c>
      <c r="H38" s="27">
        <f t="array" ref="H38:I38">(bS/pW)^sigmaS*(aS^sigmaS*pD^(1-sigmaS)+bS^sigmaS*pW^(1-sigmaS))^(sigmaS/(1-sigmaS))*S</f>
        <v>1886.3937399999948</v>
      </c>
      <c r="I38" s="27">
        <v>262.78711299999759</v>
      </c>
      <c r="K38" s="113">
        <f t="array" ref="K38:L38">H38:I38-M</f>
        <v>-1.8189894035458565E-12</v>
      </c>
      <c r="L38" s="113">
        <v>0</v>
      </c>
    </row>
    <row r="39" spans="2:16" x14ac:dyDescent="0.2">
      <c r="B39" t="s">
        <v>114</v>
      </c>
      <c r="C39" s="86">
        <f t="array" ref="C39:D39">MMULT(Y,TRANSPOSE(alpha))+Consumption+G+I</f>
        <v>26548.356269999993</v>
      </c>
      <c r="D39" s="87">
        <v>1408.5418709999938</v>
      </c>
      <c r="E39" t="s">
        <v>109</v>
      </c>
      <c r="F39" s="60">
        <f t="array" ref="F39:G39">(F8:G8)/(1+tauTS)/pS</f>
        <v>26548.356269999997</v>
      </c>
      <c r="G39" s="61">
        <v>1408.5418709999938</v>
      </c>
      <c r="H39" s="27">
        <f t="array" ref="H39:I39">MMULT(Y,TRANSPOSE(alpha))+Consumption+G+I</f>
        <v>26548.356269999993</v>
      </c>
      <c r="I39" s="27">
        <v>1408.5418709999938</v>
      </c>
      <c r="K39" s="113">
        <f t="array" ref="K39:L39">H39:I39-S</f>
        <v>0</v>
      </c>
      <c r="L39" s="113">
        <v>0</v>
      </c>
      <c r="N39" s="27"/>
      <c r="O39" s="27"/>
    </row>
    <row r="40" spans="2:16" x14ac:dyDescent="0.2">
      <c r="B40" t="s">
        <v>76</v>
      </c>
      <c r="C40" s="86">
        <f t="array" ref="C40:D40">(pS*S-pW*M)/pD</f>
        <v>24661.962529999993</v>
      </c>
      <c r="D40" s="87">
        <v>1145.7547579999962</v>
      </c>
      <c r="E40" t="s">
        <v>111</v>
      </c>
      <c r="H40" s="27">
        <f t="array" ref="H40:I40">(aS/pD)^sigmaS*(aS^sigmaS*pD^(1-sigmaS)+bS^sigmaS*pW^(1-sigmaS))^(sigmaS/(1-sigmaS))*S</f>
        <v>24661.962529999983</v>
      </c>
      <c r="I40" s="27">
        <v>1145.754757999995</v>
      </c>
      <c r="K40" s="113">
        <f t="array" ref="K40:L40">H40:I40-D</f>
        <v>0</v>
      </c>
      <c r="L40" s="113">
        <v>0</v>
      </c>
    </row>
    <row r="41" spans="2:16" x14ac:dyDescent="0.2">
      <c r="B41" t="s">
        <v>28</v>
      </c>
      <c r="C41" s="39">
        <f t="array" ref="C41:D41">TRANSPOSE(E3:E4)/(1+tauTS)/pS</f>
        <v>6533.604468832069</v>
      </c>
      <c r="D41" s="40">
        <v>379.90788307663405</v>
      </c>
      <c r="E41" t="s">
        <v>57</v>
      </c>
      <c r="H41" s="27">
        <f t="array" ref="H41">(aU/pCQ)^sigmaU/(aU^sigmaU*pCQ^(1-sigmaU)+bU^sigmaU*pCE^(1-sigmaU))*Revenue</f>
        <v>6533.6044688320735</v>
      </c>
      <c r="I41" s="27">
        <f>(bU/pCE)^sigmaU/(aU^sigmaU*pCQ^(1-sigmaU)+bU^sigmaU*pCE^(1-sigmaU))*Revenue</f>
        <v>379.90788307663428</v>
      </c>
      <c r="K41" s="113">
        <f t="array" ref="K41:L41">H41:I41-Consumption</f>
        <v>0</v>
      </c>
      <c r="L41" s="113">
        <v>0</v>
      </c>
    </row>
    <row r="42" spans="2:16" x14ac:dyDescent="0.2">
      <c r="B42" t="s">
        <v>7</v>
      </c>
      <c r="C42" s="39">
        <f t="array" ref="C42:D42">TRANSPOSE(F3:F4)/(1+tauTS)/pS</f>
        <v>3278.5018080150412</v>
      </c>
      <c r="D42" s="40">
        <v>0</v>
      </c>
      <c r="H42" s="27">
        <f t="array" ref="H42">omegaG*GDP/pG</f>
        <v>3278.5018080150412</v>
      </c>
      <c r="I42" s="26">
        <v>0</v>
      </c>
      <c r="K42" s="113">
        <f t="array" ref="K42:L42">H42:I42-G</f>
        <v>0</v>
      </c>
      <c r="L42" s="113">
        <v>0</v>
      </c>
    </row>
    <row r="43" spans="2:16" x14ac:dyDescent="0.2">
      <c r="B43" t="s">
        <v>8</v>
      </c>
      <c r="C43" s="39">
        <f t="array" ref="C43:D43">TRANSPOSE(G3:G4)/(1+tauTS)/pS</f>
        <v>3196.3846373657216</v>
      </c>
      <c r="D43" s="40">
        <v>0</v>
      </c>
      <c r="H43" s="27">
        <f t="array" ref="H43">(sD*GDP-B)/pI</f>
        <v>3196.3846373657216</v>
      </c>
      <c r="I43" s="26">
        <v>0</v>
      </c>
      <c r="K43" s="113">
        <f t="array" ref="K43:L43">H43:I43-I</f>
        <v>0</v>
      </c>
      <c r="L43" s="113">
        <v>0</v>
      </c>
    </row>
    <row r="44" spans="2:16" x14ac:dyDescent="0.2">
      <c r="B44" t="s">
        <v>0</v>
      </c>
      <c r="C44" s="39">
        <f t="array" ref="C44:D44">TRANSPOSE(H3:H4)/pX</f>
        <v>3195.047603999999</v>
      </c>
      <c r="D44" s="40">
        <v>91.012690000004071</v>
      </c>
      <c r="H44" s="27">
        <f t="array" ref="H44:I44">(bX/pX)^sigmaX*(aX^sigmaX*pD^(1-sigmaX)+bX^sigmaX*pX^(1-sigmaX))^(-1/rhoX)*Y</f>
        <v>3195.0476040000012</v>
      </c>
      <c r="I44" s="27">
        <v>91.012690000004255</v>
      </c>
      <c r="K44" s="113">
        <f t="array" ref="K44:L44">H44:I44-X</f>
        <v>0</v>
      </c>
      <c r="L44" s="113">
        <v>1.8474111129762605E-13</v>
      </c>
    </row>
    <row r="45" spans="2:16" x14ac:dyDescent="0.2">
      <c r="B45" t="s">
        <v>27</v>
      </c>
      <c r="C45" s="39">
        <f t="array" ref="C45:D45">C5:D5/w</f>
        <v>5036.2953101960647</v>
      </c>
      <c r="D45" s="40">
        <v>74.905331803938267</v>
      </c>
      <c r="E45" t="s">
        <v>58</v>
      </c>
      <c r="H45" s="27">
        <f t="array" ref="H45:I45">lambda*Y</f>
        <v>5036.2953101960647</v>
      </c>
      <c r="I45" s="27">
        <v>74.905331803938267</v>
      </c>
      <c r="K45" s="113">
        <f t="array" ref="K45:L45">H45:I45-Labour</f>
        <v>0</v>
      </c>
      <c r="L45" s="113">
        <v>0</v>
      </c>
    </row>
    <row r="46" spans="2:16" x14ac:dyDescent="0.2">
      <c r="B46" t="s">
        <v>2</v>
      </c>
      <c r="C46" s="39">
        <f t="array" ref="C46:D46">C8:D8/pK</f>
        <v>6425.1981590000014</v>
      </c>
      <c r="D46" s="40">
        <v>273.22915400000011</v>
      </c>
      <c r="H46" s="27">
        <f t="array" ref="H46:I46">kappa*Y</f>
        <v>6425.1981590000014</v>
      </c>
      <c r="I46" s="27">
        <v>273.22915400000011</v>
      </c>
      <c r="K46" s="113">
        <f t="array" ref="K46:L46">H46:I46-K</f>
        <v>0</v>
      </c>
      <c r="L46" s="113">
        <v>0</v>
      </c>
    </row>
    <row r="47" spans="2:16" x14ac:dyDescent="0.2">
      <c r="B47" t="s">
        <v>35</v>
      </c>
      <c r="C47" s="110">
        <f t="array" ref="C47:D47">(pK*K+pL*Labour)/pKL</f>
        <v>13763.097676000005</v>
      </c>
      <c r="D47" s="164">
        <v>382.36647900000003</v>
      </c>
      <c r="H47" s="27">
        <f t="array" ref="H47:I47">(aKLE/pKL)^sigmaKLE*(aKLE^sigmaKLE*pKL^(1-sigmaKLE)+bKLE^sigmaKLE*pEY^(1-sigmaKLE))^(-1/rhoKLE)*KLE</f>
        <v>13763.097676000007</v>
      </c>
      <c r="I47" s="27">
        <v>382.36647900000003</v>
      </c>
      <c r="K47" s="113">
        <f t="array" ref="K47:L47">H47:I47-KL</f>
        <v>0</v>
      </c>
      <c r="L47" s="113">
        <v>0</v>
      </c>
    </row>
    <row r="48" spans="2:16" x14ac:dyDescent="0.2">
      <c r="B48" t="s">
        <v>53</v>
      </c>
      <c r="C48" s="158">
        <f t="array" ref="C48:D48">(pKL*KL+C4:D4)/pKLE</f>
        <v>14362.768558000003</v>
      </c>
      <c r="D48" s="159">
        <v>817.26651000000004</v>
      </c>
      <c r="H48" s="27">
        <f t="array" ref="H48:I48">(aY/pKLE)^sigmaY*(aY^sigmaY*pKLE^(1-sigmaY)+bY^sigmaY*pMY^(1-sigmaY))^(-1/rhoY)*Y</f>
        <v>14362.768558000025</v>
      </c>
      <c r="I48" s="27">
        <v>817.26650999999993</v>
      </c>
      <c r="K48" s="113">
        <f t="array" ref="K48:L48">H48:I48-KLE</f>
        <v>2.1827872842550278E-11</v>
      </c>
      <c r="L48" s="113">
        <v>0</v>
      </c>
    </row>
    <row r="50" spans="2:12" x14ac:dyDescent="0.2">
      <c r="B50" t="s">
        <v>26</v>
      </c>
      <c r="C50" s="41">
        <f t="array" ref="C50:D50">C6:D6/(w*lambda*Y)</f>
        <v>0.45700342514552333</v>
      </c>
      <c r="D50" s="42">
        <v>0.4570034251455235</v>
      </c>
      <c r="G50" s="27"/>
    </row>
    <row r="51" spans="2:12" x14ac:dyDescent="0.2">
      <c r="B51" t="s">
        <v>20</v>
      </c>
      <c r="C51" s="44">
        <f t="array" ref="C51:D51">C7:D7/(pY*Y-C7:D7)</f>
        <v>4.9682236719384319E-3</v>
      </c>
      <c r="D51" s="45">
        <v>1.7038360552061892E-2</v>
      </c>
    </row>
    <row r="52" spans="2:12" x14ac:dyDescent="0.2">
      <c r="B52" t="s">
        <v>136</v>
      </c>
      <c r="C52" s="43">
        <f t="array" ref="C52:D52">C10:D10/(TRANSPOSE(C3:C4+D3:D4+E3:E4+F3:F4+G3:G4)-C10:D10)</f>
        <v>1.5911682542747503E-2</v>
      </c>
      <c r="D52" s="199">
        <v>5.7716594496607888E-3</v>
      </c>
    </row>
    <row r="53" spans="2:12" x14ac:dyDescent="0.2">
      <c r="C53" s="27"/>
      <c r="D53" s="27"/>
    </row>
    <row r="54" spans="2:12" x14ac:dyDescent="0.2">
      <c r="C54" s="27"/>
      <c r="D54" s="27"/>
    </row>
    <row r="55" spans="2:12" x14ac:dyDescent="0.2">
      <c r="B55" t="s">
        <v>48</v>
      </c>
      <c r="C55" s="66">
        <f t="array" ref="C55">SUM(C6:D7,C10:D11)</f>
        <v>2924829.96</v>
      </c>
      <c r="H55" s="27">
        <f t="array" ref="H55">SUM(w*tauL*Labour+tauY/(1+tauY)*pY*Y+tauTS*pS*S)</f>
        <v>2924829.9599999995</v>
      </c>
      <c r="K55" s="113">
        <f t="array" ref="K55">H55-T</f>
        <v>0</v>
      </c>
      <c r="L55" s="116"/>
    </row>
    <row r="56" spans="2:12" x14ac:dyDescent="0.2">
      <c r="B56" t="s">
        <v>47</v>
      </c>
      <c r="C56" s="123">
        <v>1</v>
      </c>
      <c r="E56" t="s">
        <v>179</v>
      </c>
      <c r="K56" s="116"/>
      <c r="L56" s="116"/>
    </row>
    <row r="57" spans="2:12" x14ac:dyDescent="0.2">
      <c r="B57" t="s">
        <v>64</v>
      </c>
      <c r="C57" s="124">
        <f>SUM(C5:D8,C10:D11)</f>
        <v>14734457.915000005</v>
      </c>
      <c r="E57" s="62">
        <f>15693432.72*2437635/2728870.25</f>
        <v>14018570.823738214</v>
      </c>
      <c r="H57" s="115">
        <f t="array" ref="H57">SUM(pC*Consumption+pG*G+pI*I+pX*X-pW*M)</f>
        <v>14734457.915000003</v>
      </c>
      <c r="I57" s="115">
        <f t="array" ref="I57">SUM(w*Labour,pK*K,T)</f>
        <v>14734457.915000007</v>
      </c>
      <c r="K57" s="113">
        <f>H57-GDP</f>
        <v>0</v>
      </c>
      <c r="L57" s="113">
        <f>I57-GDP</f>
        <v>0</v>
      </c>
    </row>
    <row r="58" spans="2:12" x14ac:dyDescent="0.2">
      <c r="B58" t="s">
        <v>54</v>
      </c>
      <c r="C58" s="111">
        <f t="array" ref="C58">GDP-SUM(pG*G+pI*I+pX*X-pW*M)</f>
        <v>7019665.6909999968</v>
      </c>
      <c r="D58" t="s">
        <v>55</v>
      </c>
      <c r="K58" s="116"/>
      <c r="L58" s="116"/>
    </row>
    <row r="59" spans="2:12" x14ac:dyDescent="0.2">
      <c r="B59" t="s">
        <v>75</v>
      </c>
      <c r="C59" s="67">
        <f>SUM(H3:H4)-SUM(C9:D9)</f>
        <v>1136879.441000009</v>
      </c>
      <c r="K59" s="116"/>
      <c r="L59" s="116"/>
    </row>
    <row r="60" spans="2:12" x14ac:dyDescent="0.2">
      <c r="C60" s="27"/>
      <c r="D60" s="27"/>
    </row>
    <row r="61" spans="2:12" x14ac:dyDescent="0.2">
      <c r="C61" s="27"/>
      <c r="D61" s="27"/>
    </row>
    <row r="62" spans="2:12" x14ac:dyDescent="0.2">
      <c r="B62" t="s">
        <v>98</v>
      </c>
      <c r="C62" s="153">
        <f t="array" ref="C62">SUM(pG*G)/GDP</f>
        <v>0.22604620456442484</v>
      </c>
      <c r="D62" t="s">
        <v>81</v>
      </c>
    </row>
    <row r="63" spans="2:12" x14ac:dyDescent="0.2">
      <c r="B63" t="s">
        <v>99</v>
      </c>
      <c r="C63" s="172">
        <f t="array" ref="C63">SUM(pI*I)/GDP</f>
        <v>0.22038438833194082</v>
      </c>
      <c r="D63" t="s">
        <v>82</v>
      </c>
    </row>
    <row r="64" spans="2:12" x14ac:dyDescent="0.2">
      <c r="B64" t="s">
        <v>92</v>
      </c>
      <c r="C64" s="153">
        <f t="array" ref="C64">(SUM(pI*I)+B)/GDP</f>
        <v>0.29754226190682415</v>
      </c>
      <c r="D64" t="s">
        <v>80</v>
      </c>
    </row>
    <row r="65" spans="2:12" x14ac:dyDescent="0.2">
      <c r="B65" t="s">
        <v>84</v>
      </c>
      <c r="C65" s="154">
        <f t="array" ref="C65">(SUM(pI*I)+B-sL*(SUM(w*Labour))-sG*(T-SUM(pG*G)))/SUM(pK*K)</f>
        <v>0.40559806644645541</v>
      </c>
      <c r="D65" t="s">
        <v>83</v>
      </c>
      <c r="J65" s="59" t="s">
        <v>138</v>
      </c>
      <c r="K65" s="113">
        <f>sK-sL</f>
        <v>0</v>
      </c>
      <c r="L65" s="116"/>
    </row>
    <row r="66" spans="2:12" x14ac:dyDescent="0.2">
      <c r="B66" t="s">
        <v>85</v>
      </c>
      <c r="C66" s="198">
        <f>Model!K60</f>
        <v>0.40559806644645535</v>
      </c>
      <c r="D66" t="s">
        <v>96</v>
      </c>
      <c r="K66" s="116"/>
      <c r="L66" s="116"/>
    </row>
    <row r="67" spans="2:12" x14ac:dyDescent="0.2">
      <c r="B67" t="s">
        <v>110</v>
      </c>
      <c r="C67" s="155">
        <v>1</v>
      </c>
      <c r="D67" t="s">
        <v>137</v>
      </c>
      <c r="G67" s="167"/>
      <c r="K67" s="116"/>
      <c r="L67" s="116"/>
    </row>
    <row r="70" spans="2:12" x14ac:dyDescent="0.2">
      <c r="B70" t="s">
        <v>21</v>
      </c>
      <c r="C70" s="35">
        <f t="array" ref="C70:D71">(C3:D4)/Y/TRANSPOSE(pS*(1+tauTS))</f>
        <v>0.47195767671988131</v>
      </c>
      <c r="D70" s="36">
        <v>0.31738834428178964</v>
      </c>
      <c r="E70" t="s">
        <v>24</v>
      </c>
      <c r="H70" s="35">
        <f t="array" ref="H70:I70">(bY/pMY)^sigmaY*(aY^sigmaY*pKLE^(1-sigmaY)+bY^sigmaY*pMY^(1-sigmaY))^(-1/rhoY)</f>
        <v>0.47195767671988198</v>
      </c>
      <c r="I70" s="36">
        <v>0.31738834428178964</v>
      </c>
      <c r="K70" s="113">
        <f t="array" ref="K70:L71">H70:I71-C70:D71</f>
        <v>6.6613381477509392E-16</v>
      </c>
      <c r="L70" s="113">
        <v>0</v>
      </c>
    </row>
    <row r="71" spans="2:12" x14ac:dyDescent="0.2">
      <c r="C71" s="37">
        <v>2.1403217525954435E-2</v>
      </c>
      <c r="D71" s="38">
        <v>0.34962461301992526</v>
      </c>
      <c r="E71" t="s">
        <v>25</v>
      </c>
      <c r="H71" s="37">
        <f t="array" ref="H71:I71">(bKLE/pEY)^sigmaKLE*(aKLE^sigmaKLE*pKL^(1-sigmaKLE)+bKLE^sigmaKLE*pEY^(1-sigmaKLE))^(-1/rhoKLE)*KLE/Y</f>
        <v>2.1403217525954435E-2</v>
      </c>
      <c r="I71" s="38">
        <v>0.34962461301992509</v>
      </c>
      <c r="K71" s="113">
        <v>0</v>
      </c>
      <c r="L71" s="113">
        <v>0</v>
      </c>
    </row>
    <row r="72" spans="2:12" x14ac:dyDescent="0.2">
      <c r="B72" t="s">
        <v>22</v>
      </c>
      <c r="C72" s="35">
        <f t="array" ref="C72:D72">Labour/Y</f>
        <v>0.18079094942242827</v>
      </c>
      <c r="D72" s="36">
        <v>6.0565413429233668E-2</v>
      </c>
      <c r="H72" s="35">
        <f t="array" ref="H72:I72">(bKL/pL)^sigmaKL*(aKL^sigmaKL*pK^(1-sigmaKL)+bKL^sigmaKL*pL^(1-sigmaKL))^(-1/rhoKL)*KL/Y</f>
        <v>0.18079094942242829</v>
      </c>
      <c r="I72" s="36">
        <v>6.0565413429233668E-2</v>
      </c>
      <c r="K72" s="113">
        <f t="array" ref="K72:L72">H72:I72-lambda</f>
        <v>0</v>
      </c>
      <c r="L72" s="113">
        <v>0</v>
      </c>
    </row>
    <row r="73" spans="2:12" x14ac:dyDescent="0.2">
      <c r="B73" t="s">
        <v>23</v>
      </c>
      <c r="C73" s="37">
        <f t="array" ref="C73:D73">K/Y</f>
        <v>0.23064923795098627</v>
      </c>
      <c r="D73" s="38">
        <v>0.22092201281804763</v>
      </c>
      <c r="H73" s="37">
        <f t="array" ref="H73:I73">(aKL/pK)^sigmaKL*(aKL^sigmaKL*pK^(1-sigmaKL)+bKL^sigmaKL*pL^(1-sigmaKL))^(-1/rhoKL)*KL/Y</f>
        <v>0.23064923795098624</v>
      </c>
      <c r="I73" s="38">
        <v>0.22092201281804766</v>
      </c>
      <c r="K73" s="113">
        <f t="array" ref="K73:L73">H73:I73-kappa</f>
        <v>0</v>
      </c>
      <c r="L73" s="113">
        <v>0</v>
      </c>
    </row>
    <row r="75" spans="2:12" x14ac:dyDescent="0.2">
      <c r="F75" t="s">
        <v>42</v>
      </c>
    </row>
    <row r="77" spans="2:12" x14ac:dyDescent="0.2">
      <c r="B77" t="s">
        <v>116</v>
      </c>
      <c r="C77" s="173">
        <f t="array" ref="C77:D77">(S/D)^rhoS*pD*D/(pD*D+pW*M)</f>
        <v>0.96381792329050164</v>
      </c>
      <c r="D77" s="174">
        <v>0.94968696469905056</v>
      </c>
      <c r="E77" s="59" t="s">
        <v>114</v>
      </c>
      <c r="F77" s="60">
        <f t="array" ref="F77:G77">(aS*D^rhoS+bS*M^rhoS)^(1/rhoS)</f>
        <v>26548.356269999997</v>
      </c>
      <c r="G77" s="61">
        <v>1408.5418709999931</v>
      </c>
    </row>
    <row r="78" spans="2:12" x14ac:dyDescent="0.2">
      <c r="B78" t="s">
        <v>117</v>
      </c>
      <c r="C78" s="175">
        <f t="array" ref="C78:D78">(S/M)^rhoS*pW*M/(pD*D+pW*M)</f>
        <v>0.26656145772407763</v>
      </c>
      <c r="D78" s="176">
        <v>0.65721667750764312</v>
      </c>
      <c r="F78" s="120">
        <f t="array" ref="F78:G78">F77:G77-S</f>
        <v>0</v>
      </c>
      <c r="G78" s="121">
        <v>0</v>
      </c>
    </row>
    <row r="79" spans="2:12" x14ac:dyDescent="0.2">
      <c r="B79" t="s">
        <v>118</v>
      </c>
      <c r="C79" s="177">
        <v>2</v>
      </c>
      <c r="D79" s="178">
        <v>4</v>
      </c>
    </row>
    <row r="80" spans="2:12" x14ac:dyDescent="0.2">
      <c r="B80" t="s">
        <v>119</v>
      </c>
      <c r="C80" s="179">
        <f t="array" ref="C80:D80">(sigmaS-1)/sigmaS</f>
        <v>0.5</v>
      </c>
      <c r="D80" s="180">
        <v>0.75</v>
      </c>
    </row>
    <row r="81" spans="2:7" x14ac:dyDescent="0.2">
      <c r="C81" s="181"/>
      <c r="D81" s="181"/>
    </row>
    <row r="82" spans="2:7" x14ac:dyDescent="0.2">
      <c r="B82" t="s">
        <v>31</v>
      </c>
      <c r="C82" s="173">
        <f t="array" ref="C82:D82">(KL/K)^rhoKL*pK*K/(pK*K+pL*Labour)</f>
        <v>7.8928608681718054E-2</v>
      </c>
      <c r="D82" s="174">
        <v>0.10640976976244208</v>
      </c>
      <c r="E82" s="59" t="s">
        <v>35</v>
      </c>
      <c r="F82" s="60">
        <f t="array" ref="F82:G82">(aKL*K^rhoKL+bKL*Labour^rhoKL)^(1/rhoKL)</f>
        <v>13763.097676000012</v>
      </c>
      <c r="G82" s="61">
        <v>382.3664789999998</v>
      </c>
    </row>
    <row r="83" spans="2:7" x14ac:dyDescent="0.2">
      <c r="B83" t="s">
        <v>32</v>
      </c>
      <c r="C83" s="175">
        <f t="array" ref="C83:D83">(KL/Labour)^rhoKL*pL*Labour/(pK*K+pL*Labour)</f>
        <v>5.1063497539797449E-2</v>
      </c>
      <c r="D83" s="176">
        <v>2.7776661157113622E-5</v>
      </c>
      <c r="F83" s="120">
        <f t="array" ref="F83:G83">F82:G82-KL</f>
        <v>0</v>
      </c>
      <c r="G83" s="121">
        <v>0</v>
      </c>
    </row>
    <row r="84" spans="2:7" x14ac:dyDescent="0.2">
      <c r="B84" t="s">
        <v>33</v>
      </c>
      <c r="C84" s="177">
        <v>0.3</v>
      </c>
      <c r="D84" s="178">
        <v>0.15</v>
      </c>
    </row>
    <row r="85" spans="2:7" x14ac:dyDescent="0.2">
      <c r="B85" t="s">
        <v>34</v>
      </c>
      <c r="C85" s="179">
        <f t="array" ref="C85:D85">(sigmaKL-1)/sigmaKL</f>
        <v>-2.3333333333333335</v>
      </c>
      <c r="D85" s="180">
        <v>-5.666666666666667</v>
      </c>
    </row>
    <row r="86" spans="2:7" x14ac:dyDescent="0.2">
      <c r="C86" s="181"/>
      <c r="D86" s="181"/>
    </row>
    <row r="87" spans="2:7" x14ac:dyDescent="0.2">
      <c r="B87" t="s">
        <v>49</v>
      </c>
      <c r="C87" s="173">
        <f t="array" ref="C87:D87">(KLE/KL)^rhoKLE*(pK*K+pL*Labour)/(pK*K+pL*Labour+pEY*alphaEY*Y)</f>
        <v>0.91823968729733552</v>
      </c>
      <c r="D87" s="174">
        <v>4.7914221543935986E-2</v>
      </c>
      <c r="E87" s="59" t="s">
        <v>53</v>
      </c>
      <c r="F87" s="60">
        <f t="array" ref="F87:G87">(aKLE*KL^rhoKLE+bKLE*(alphaEY*Y)^rhoKLE)^(1/rhoKLE)</f>
        <v>14362.768558</v>
      </c>
      <c r="G87" s="61">
        <v>817.26650999999947</v>
      </c>
    </row>
    <row r="88" spans="2:7" x14ac:dyDescent="0.2">
      <c r="B88" t="s">
        <v>50</v>
      </c>
      <c r="C88" s="175">
        <f t="array" ref="C88:D88">(KLE/(alphaEY*Y))^rhoKLE*pEY*alphaEY*Y/(pEY*alphaEY*Y+pK*K+pL*Labour)</f>
        <v>1.7332060821993295E-3</v>
      </c>
      <c r="D88" s="176">
        <v>7.8814252643960914E-2</v>
      </c>
      <c r="F88" s="120">
        <f t="array" ref="F88:G88">F87:G87-KLE</f>
        <v>0</v>
      </c>
      <c r="G88" s="121">
        <v>0</v>
      </c>
    </row>
    <row r="89" spans="2:7" x14ac:dyDescent="0.2">
      <c r="B89" t="s">
        <v>51</v>
      </c>
      <c r="C89" s="177">
        <v>0.5</v>
      </c>
      <c r="D89" s="178">
        <v>0.25</v>
      </c>
    </row>
    <row r="90" spans="2:7" x14ac:dyDescent="0.2">
      <c r="B90" t="s">
        <v>52</v>
      </c>
      <c r="C90" s="179">
        <f t="array" ref="C90:D90">(sigmaKLE-1)/sigmaKLE</f>
        <v>-1</v>
      </c>
      <c r="D90" s="180">
        <v>-3</v>
      </c>
    </row>
    <row r="91" spans="2:7" x14ac:dyDescent="0.2">
      <c r="C91" s="181"/>
      <c r="D91" s="181"/>
    </row>
    <row r="92" spans="2:7" x14ac:dyDescent="0.2">
      <c r="B92" t="s">
        <v>37</v>
      </c>
      <c r="C92" s="173">
        <f t="array" ref="C92:D92">(Y/KLE)^rhoY*(pK*K+pL*Labour+pEY*alphaEY*Y)/(pK*K+pL*Labour+pEY*alphaEY*Y+pMY*alphaMY*Y)</f>
        <v>0.39008348025535444</v>
      </c>
      <c r="D92" s="174">
        <v>0.31136355826594386</v>
      </c>
      <c r="E92" s="59" t="s">
        <v>19</v>
      </c>
      <c r="F92" s="60">
        <f t="array" ref="F92:G92">(aY*KLE^rhoY+bY*(alphaMY*Y)^rhoY)^(1/rhoY)</f>
        <v>27857.010133999996</v>
      </c>
      <c r="G92" s="61">
        <v>1236.767447999998</v>
      </c>
    </row>
    <row r="93" spans="2:7" x14ac:dyDescent="0.2">
      <c r="B93" t="s">
        <v>38</v>
      </c>
      <c r="C93" s="175">
        <f t="array" ref="C93:D93">(Y/(alphaMY*Y))^rhoY*pMY*alphaMY*Y/(pMY*alphaMY*Y+pK*K+pL*Labour+pEY*alphaEY*Y)</f>
        <v>0.34926535250575885</v>
      </c>
      <c r="D93" s="176">
        <v>3.8919522129570013E-2</v>
      </c>
      <c r="F93" s="120">
        <f t="array" ref="F93:G93">F92:G92-Y</f>
        <v>0</v>
      </c>
      <c r="G93" s="121">
        <v>-2.2737367544323206E-12</v>
      </c>
    </row>
    <row r="94" spans="2:7" x14ac:dyDescent="0.2">
      <c r="B94" t="s">
        <v>39</v>
      </c>
      <c r="C94" s="177">
        <v>0.7</v>
      </c>
      <c r="D94" s="178">
        <v>0.35</v>
      </c>
    </row>
    <row r="95" spans="2:7" x14ac:dyDescent="0.2">
      <c r="B95" t="s">
        <v>40</v>
      </c>
      <c r="C95" s="179">
        <f t="array" ref="C95:D95">(sigmaY-1)/sigmaY</f>
        <v>-0.42857142857142866</v>
      </c>
      <c r="D95" s="180">
        <v>-1.8571428571428574</v>
      </c>
    </row>
    <row r="96" spans="2:7" x14ac:dyDescent="0.2">
      <c r="C96" s="181"/>
      <c r="D96" s="181"/>
    </row>
    <row r="97" spans="2:9" x14ac:dyDescent="0.2">
      <c r="B97" t="s">
        <v>104</v>
      </c>
      <c r="C97" s="173">
        <f t="array" ref="C97:D97">(Y/D)^rhoX*pD*D/(pD*D+pX*X)</f>
        <v>1.0309241590354328</v>
      </c>
      <c r="D97" s="174">
        <v>1.0192931230773856</v>
      </c>
      <c r="E97" s="59" t="s">
        <v>19</v>
      </c>
      <c r="F97" s="60">
        <f t="array" ref="F97:G97">(aX*D^rhoX+bX*X^rhoX)^(1/rhoX)</f>
        <v>27857.010134</v>
      </c>
      <c r="G97" s="61">
        <v>1236.7674480000023</v>
      </c>
    </row>
    <row r="98" spans="2:9" x14ac:dyDescent="0.2">
      <c r="B98" t="s">
        <v>105</v>
      </c>
      <c r="C98" s="175">
        <f t="array" ref="C98:D98">(Y/X)^rhoX*pX*X/(pD*D+pX*X)</f>
        <v>1.7183605444844745</v>
      </c>
      <c r="D98" s="176">
        <v>1.9199792000085367</v>
      </c>
      <c r="F98" s="120">
        <f t="array" ref="F98:G98">F97:G97-Y</f>
        <v>0</v>
      </c>
      <c r="G98" s="121">
        <v>2.0463630789890885E-12</v>
      </c>
    </row>
    <row r="99" spans="2:9" x14ac:dyDescent="0.2">
      <c r="B99" t="s">
        <v>66</v>
      </c>
      <c r="C99" s="170">
        <v>-4</v>
      </c>
      <c r="D99" s="171">
        <v>-4</v>
      </c>
    </row>
    <row r="100" spans="2:9" x14ac:dyDescent="0.2">
      <c r="B100" t="s">
        <v>106</v>
      </c>
      <c r="C100" s="179">
        <f t="array" ref="C100:D100">(sigmaX - 1)/sigmaX</f>
        <v>1.25</v>
      </c>
      <c r="D100" s="180">
        <v>1.25</v>
      </c>
    </row>
    <row r="102" spans="2:9" x14ac:dyDescent="0.2">
      <c r="B102" t="s">
        <v>97</v>
      </c>
      <c r="C102" s="28">
        <v>-0.1</v>
      </c>
    </row>
    <row r="104" spans="2:9" x14ac:dyDescent="0.2">
      <c r="B104" t="s">
        <v>43</v>
      </c>
      <c r="C104" s="63">
        <f>(U/CQ)^rhoU*pCQ*CQ/(pCQ*CQ+pCE*CE)</f>
        <v>330.46661434562492</v>
      </c>
      <c r="E104" s="59" t="s">
        <v>47</v>
      </c>
      <c r="F104" s="62">
        <f>(aU*CQ^rhoU+bU*CE^rhoU)^(1/rhoU)</f>
        <v>1</v>
      </c>
    </row>
    <row r="105" spans="2:9" x14ac:dyDescent="0.2">
      <c r="B105" t="s">
        <v>44</v>
      </c>
      <c r="C105" s="64">
        <f>(U/CE)^rhoU*pCE*CE/(pCQ*CQ+pCE*CE)</f>
        <v>2.8552675295613739</v>
      </c>
      <c r="F105" s="114">
        <f t="array" ref="F105">F104-U</f>
        <v>0</v>
      </c>
    </row>
    <row r="106" spans="2:9" x14ac:dyDescent="0.2">
      <c r="B106" t="s">
        <v>45</v>
      </c>
      <c r="C106" s="197">
        <v>0.6</v>
      </c>
    </row>
    <row r="107" spans="2:9" x14ac:dyDescent="0.2">
      <c r="B107" t="s">
        <v>46</v>
      </c>
      <c r="C107" s="65">
        <f>(sigmaU-1)/sigmaU</f>
        <v>-0.66666666666666674</v>
      </c>
    </row>
    <row r="111" spans="2:9" x14ac:dyDescent="0.2">
      <c r="H111" s="109"/>
      <c r="I111" s="109"/>
    </row>
    <row r="112" spans="2:9" x14ac:dyDescent="0.2">
      <c r="H112" s="109"/>
      <c r="I112" s="109"/>
    </row>
    <row r="113" spans="2:16" ht="10.5" x14ac:dyDescent="0.25">
      <c r="B113" s="92" t="s">
        <v>93</v>
      </c>
    </row>
    <row r="114" spans="2:16" x14ac:dyDescent="0.2">
      <c r="B114" t="s">
        <v>12</v>
      </c>
      <c r="C114" s="81">
        <f t="array" ref="C114:D114">pY</f>
        <v>1000</v>
      </c>
      <c r="D114" s="82">
        <v>1000</v>
      </c>
    </row>
    <row r="115" spans="2:16" x14ac:dyDescent="0.2">
      <c r="B115" t="s">
        <v>115</v>
      </c>
      <c r="C115" s="93">
        <f t="array" ref="C115:D115">pS</f>
        <v>1000</v>
      </c>
      <c r="D115" s="94">
        <v>1000</v>
      </c>
    </row>
    <row r="116" spans="2:16" x14ac:dyDescent="0.2">
      <c r="B116" t="s">
        <v>17</v>
      </c>
      <c r="C116" s="93">
        <f t="array" ref="C116:D116">w</f>
        <v>1000</v>
      </c>
      <c r="D116" s="94">
        <v>1000</v>
      </c>
    </row>
    <row r="117" spans="2:16" x14ac:dyDescent="0.2">
      <c r="B117" t="s">
        <v>18</v>
      </c>
      <c r="C117" s="146">
        <f t="array" ref="C117:D117">pK</f>
        <v>1000</v>
      </c>
      <c r="D117" s="147">
        <v>1000</v>
      </c>
    </row>
    <row r="118" spans="2:16" x14ac:dyDescent="0.2">
      <c r="B118" t="s">
        <v>61</v>
      </c>
      <c r="C118" s="146">
        <f t="array" ref="C118:D118">pKL</f>
        <v>1000</v>
      </c>
      <c r="D118" s="147">
        <v>1000</v>
      </c>
    </row>
    <row r="119" spans="2:16" x14ac:dyDescent="0.2">
      <c r="B119" t="s">
        <v>114</v>
      </c>
      <c r="C119" s="79">
        <f t="array" ref="C119:D119">S</f>
        <v>26548.356269999993</v>
      </c>
      <c r="D119" s="80">
        <v>1408.5418709999938</v>
      </c>
    </row>
    <row r="120" spans="2:16" x14ac:dyDescent="0.2">
      <c r="B120" t="s">
        <v>8</v>
      </c>
      <c r="C120" s="93">
        <f>C43</f>
        <v>3196.3846373657216</v>
      </c>
      <c r="D120" s="186">
        <f>D52</f>
        <v>5.7716594496607888E-3</v>
      </c>
      <c r="E120" t="s">
        <v>135</v>
      </c>
    </row>
    <row r="121" spans="2:16" x14ac:dyDescent="0.2">
      <c r="B121" t="s">
        <v>64</v>
      </c>
      <c r="C121" s="149">
        <f>GDP</f>
        <v>14734457.915000005</v>
      </c>
      <c r="D121" s="150">
        <v>0</v>
      </c>
    </row>
    <row r="122" spans="2:16" x14ac:dyDescent="0.2">
      <c r="B122" t="s">
        <v>27</v>
      </c>
      <c r="C122" s="149">
        <f t="array" ref="C122:D122">Labour</f>
        <v>5036.2953101960647</v>
      </c>
      <c r="D122" s="157">
        <v>74.905331803938267</v>
      </c>
    </row>
    <row r="123" spans="2:16" x14ac:dyDescent="0.2">
      <c r="B123" t="s">
        <v>19</v>
      </c>
      <c r="C123" s="148">
        <f t="array" ref="C123:D123">Y</f>
        <v>27857.010133999996</v>
      </c>
      <c r="D123" s="151">
        <v>1236.7674480000003</v>
      </c>
    </row>
    <row r="126" spans="2:16" x14ac:dyDescent="0.2">
      <c r="E126" s="27"/>
      <c r="F126" s="27"/>
      <c r="G126" s="27"/>
      <c r="H126" s="27"/>
      <c r="I126" s="27"/>
      <c r="J126" s="27"/>
      <c r="K126" s="27"/>
      <c r="L126" s="27"/>
      <c r="M126" s="27"/>
      <c r="N126" s="27"/>
      <c r="O126" s="27"/>
      <c r="P126" s="27"/>
    </row>
    <row r="127" spans="2:16" x14ac:dyDescent="0.2">
      <c r="E127" s="27"/>
      <c r="F127" s="27"/>
      <c r="G127" s="27"/>
      <c r="H127" s="27"/>
      <c r="I127" s="27"/>
      <c r="J127" s="27"/>
      <c r="K127" s="27"/>
      <c r="L127" s="27"/>
      <c r="M127" s="27"/>
      <c r="N127" s="27"/>
      <c r="O127" s="27"/>
      <c r="P127" s="27"/>
    </row>
  </sheetData>
  <conditionalFormatting sqref="C14:D14">
    <cfRule type="cellIs" dxfId="158" priority="28" stopIfTrue="1" operator="notEqual">
      <formula>0</formula>
    </cfRule>
  </conditionalFormatting>
  <conditionalFormatting sqref="K21:L21">
    <cfRule type="cellIs" dxfId="157" priority="27" stopIfTrue="1" operator="notEqual">
      <formula>0</formula>
    </cfRule>
  </conditionalFormatting>
  <conditionalFormatting sqref="K23:L23 K25:L30">
    <cfRule type="cellIs" dxfId="156" priority="26" stopIfTrue="1" operator="notEqual">
      <formula>0</formula>
    </cfRule>
  </conditionalFormatting>
  <conditionalFormatting sqref="K32:L32">
    <cfRule type="cellIs" dxfId="155" priority="25" stopIfTrue="1" operator="notEqual">
      <formula>0</formula>
    </cfRule>
  </conditionalFormatting>
  <conditionalFormatting sqref="K37:L39 K41:L43">
    <cfRule type="cellIs" dxfId="154" priority="24" stopIfTrue="1" operator="notEqual">
      <formula>0</formula>
    </cfRule>
  </conditionalFormatting>
  <conditionalFormatting sqref="K45:L48">
    <cfRule type="cellIs" dxfId="153" priority="23" stopIfTrue="1" operator="notEqual">
      <formula>0</formula>
    </cfRule>
  </conditionalFormatting>
  <conditionalFormatting sqref="K34:L35">
    <cfRule type="cellIs" dxfId="152" priority="22" stopIfTrue="1" operator="notEqual">
      <formula>0</formula>
    </cfRule>
  </conditionalFormatting>
  <conditionalFormatting sqref="K70:L73">
    <cfRule type="cellIs" dxfId="151" priority="21" stopIfTrue="1" operator="notEqual">
      <formula>0</formula>
    </cfRule>
  </conditionalFormatting>
  <conditionalFormatting sqref="K57">
    <cfRule type="cellIs" dxfId="150" priority="20" stopIfTrue="1" operator="notEqual">
      <formula>0</formula>
    </cfRule>
  </conditionalFormatting>
  <conditionalFormatting sqref="K55">
    <cfRule type="cellIs" dxfId="149" priority="19" stopIfTrue="1" operator="notEqual">
      <formula>0</formula>
    </cfRule>
  </conditionalFormatting>
  <conditionalFormatting sqref="F78:G78">
    <cfRule type="cellIs" dxfId="148" priority="18" stopIfTrue="1" operator="notEqual">
      <formula>0</formula>
    </cfRule>
  </conditionalFormatting>
  <conditionalFormatting sqref="F83:G83">
    <cfRule type="cellIs" dxfId="147" priority="17" stopIfTrue="1" operator="notEqual">
      <formula>0</formula>
    </cfRule>
  </conditionalFormatting>
  <conditionalFormatting sqref="F88:G88">
    <cfRule type="cellIs" dxfId="146" priority="16" stopIfTrue="1" operator="notEqual">
      <formula>0</formula>
    </cfRule>
  </conditionalFormatting>
  <conditionalFormatting sqref="F93:G93">
    <cfRule type="cellIs" dxfId="145" priority="15" stopIfTrue="1" operator="notEqual">
      <formula>0</formula>
    </cfRule>
  </conditionalFormatting>
  <conditionalFormatting sqref="F105">
    <cfRule type="cellIs" dxfId="144" priority="14" stopIfTrue="1" operator="notEqual">
      <formula>0</formula>
    </cfRule>
  </conditionalFormatting>
  <conditionalFormatting sqref="K44:L44">
    <cfRule type="cellIs" dxfId="143" priority="11" stopIfTrue="1" operator="notEqual">
      <formula>0</formula>
    </cfRule>
  </conditionalFormatting>
  <conditionalFormatting sqref="L57">
    <cfRule type="cellIs" dxfId="142" priority="8" stopIfTrue="1" operator="notEqual">
      <formula>0</formula>
    </cfRule>
  </conditionalFormatting>
  <conditionalFormatting sqref="K24:L24">
    <cfRule type="cellIs" dxfId="141" priority="6" stopIfTrue="1" operator="notEqual">
      <formula>0</formula>
    </cfRule>
  </conditionalFormatting>
  <conditionalFormatting sqref="K40:L40">
    <cfRule type="cellIs" dxfId="140" priority="5" stopIfTrue="1" operator="notEqual">
      <formula>0</formula>
    </cfRule>
  </conditionalFormatting>
  <conditionalFormatting sqref="F98:G98">
    <cfRule type="cellIs" dxfId="139" priority="3" stopIfTrue="1" operator="notEqual">
      <formula>0</formula>
    </cfRule>
  </conditionalFormatting>
  <conditionalFormatting sqref="K65">
    <cfRule type="cellIs" dxfId="138" priority="2" stopIfTrue="1" operator="notEqual">
      <formula>0</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B2:AL89"/>
  <sheetViews>
    <sheetView showGridLines="0" topLeftCell="C46" zoomScaleNormal="100" workbookViewId="0">
      <selection activeCell="K41" sqref="K41"/>
    </sheetView>
  </sheetViews>
  <sheetFormatPr baseColWidth="10" defaultRowHeight="10" x14ac:dyDescent="0.2"/>
  <cols>
    <col min="6" max="7" width="12" customWidth="1"/>
    <col min="11" max="11" width="12" customWidth="1"/>
    <col min="12" max="12" width="13" bestFit="1" customWidth="1"/>
    <col min="14" max="14" width="13" bestFit="1" customWidth="1"/>
    <col min="15" max="15" width="12.77734375" bestFit="1" customWidth="1"/>
  </cols>
  <sheetData>
    <row r="2" spans="2:18" ht="10.5" x14ac:dyDescent="0.25">
      <c r="B2" s="117" t="s">
        <v>68</v>
      </c>
      <c r="C2" s="2" t="s">
        <v>24</v>
      </c>
      <c r="D2" s="3" t="s">
        <v>25</v>
      </c>
      <c r="E2" s="4" t="s">
        <v>6</v>
      </c>
      <c r="F2" s="5" t="s">
        <v>7</v>
      </c>
      <c r="G2" s="5" t="s">
        <v>8</v>
      </c>
      <c r="H2" s="6" t="s">
        <v>0</v>
      </c>
      <c r="I2" s="1"/>
      <c r="K2" s="117" t="s">
        <v>86</v>
      </c>
      <c r="L2" s="2" t="s">
        <v>24</v>
      </c>
      <c r="M2" s="3" t="s">
        <v>25</v>
      </c>
      <c r="N2" s="4" t="s">
        <v>6</v>
      </c>
      <c r="O2" s="5" t="s">
        <v>7</v>
      </c>
      <c r="P2" s="5" t="s">
        <v>8</v>
      </c>
      <c r="Q2" s="6" t="s">
        <v>0</v>
      </c>
      <c r="R2" s="1"/>
    </row>
    <row r="3" spans="2:18" ht="10.5" x14ac:dyDescent="0.25">
      <c r="B3" s="2" t="s">
        <v>24</v>
      </c>
      <c r="C3" s="48">
        <f t="array" ref="C3:D11">Calibration!C3:D11</f>
        <v>13356525.920999993</v>
      </c>
      <c r="D3" s="49">
        <v>398781.47400000016</v>
      </c>
      <c r="E3" s="50">
        <f t="array" ref="E3:H4">Calibration!E3:H4</f>
        <v>6637565.1090000011</v>
      </c>
      <c r="F3" s="51">
        <v>3330668.2879999997</v>
      </c>
      <c r="G3" s="51">
        <v>3247244.4950000001</v>
      </c>
      <c r="H3" s="57">
        <v>3195047.6039999989</v>
      </c>
      <c r="I3" s="9">
        <f>SUM(C3:H3)</f>
        <v>30165832.890999991</v>
      </c>
      <c r="K3" s="2" t="s">
        <v>24</v>
      </c>
      <c r="L3" s="48">
        <f t="array" ref="L3:M4">pIC*alpha*Y</f>
        <v>13356525.921000011</v>
      </c>
      <c r="M3" s="49">
        <v>398781.47400000016</v>
      </c>
      <c r="N3" s="50">
        <f t="array" ref="N3:N4">TRANSPOSE(pC*Consumption)</f>
        <v>6637565.1090000039</v>
      </c>
      <c r="O3" s="51">
        <f t="array" ref="O3:O4">TRANSPOSE(pG*G)</f>
        <v>3330668.2879999997</v>
      </c>
      <c r="P3" s="51">
        <f t="array" ref="P3:P4">TRANSPOSE(pI*I)</f>
        <v>3247244.4950000001</v>
      </c>
      <c r="Q3" s="57">
        <f t="array" ref="Q3:Q4">TRANSPOSE(pX*X)</f>
        <v>3195047.6040000012</v>
      </c>
      <c r="R3" s="9">
        <f t="array" ref="R3">SUM(L3:Q3)</f>
        <v>30165832.891000018</v>
      </c>
    </row>
    <row r="4" spans="2:18" ht="10.5" x14ac:dyDescent="0.25">
      <c r="B4" s="10" t="s">
        <v>25</v>
      </c>
      <c r="C4" s="52">
        <v>599670.88199999998</v>
      </c>
      <c r="D4" s="53">
        <v>434900.03099999996</v>
      </c>
      <c r="E4" s="52">
        <v>382100.58199999394</v>
      </c>
      <c r="F4" s="54">
        <v>0</v>
      </c>
      <c r="G4" s="54">
        <v>0</v>
      </c>
      <c r="H4" s="46">
        <v>91012.690000004077</v>
      </c>
      <c r="I4" s="11">
        <f>SUM(C4:H4)</f>
        <v>1507684.184999998</v>
      </c>
      <c r="K4" s="10" t="s">
        <v>25</v>
      </c>
      <c r="L4" s="52">
        <v>599670.8820000008</v>
      </c>
      <c r="M4" s="53">
        <v>434900.03099999984</v>
      </c>
      <c r="N4" s="52">
        <v>382100.581999994</v>
      </c>
      <c r="O4" s="54">
        <v>0</v>
      </c>
      <c r="P4" s="54">
        <v>0</v>
      </c>
      <c r="Q4" s="46">
        <v>91012.690000004251</v>
      </c>
      <c r="R4" s="11">
        <f t="array" ref="R4">SUM(L4:Q4)</f>
        <v>1507684.1849999987</v>
      </c>
    </row>
    <row r="5" spans="2:18" x14ac:dyDescent="0.2">
      <c r="B5" s="12" t="s">
        <v>1</v>
      </c>
      <c r="C5" s="48">
        <v>5036295.3101960644</v>
      </c>
      <c r="D5" s="49">
        <v>74905.331803938272</v>
      </c>
      <c r="E5" s="13"/>
      <c r="F5" s="13"/>
      <c r="G5" s="13"/>
      <c r="H5" s="13"/>
      <c r="I5" s="1"/>
      <c r="K5" s="12" t="s">
        <v>1</v>
      </c>
      <c r="L5" s="48">
        <f t="array" ref="L5:M5">w*Labour</f>
        <v>5036295.3101960644</v>
      </c>
      <c r="M5" s="49">
        <v>74905.331803938272</v>
      </c>
      <c r="N5" s="13"/>
      <c r="O5" s="13"/>
      <c r="P5" s="13"/>
      <c r="Q5" s="13"/>
      <c r="R5" s="1"/>
    </row>
    <row r="6" spans="2:18" x14ac:dyDescent="0.2">
      <c r="B6" s="14" t="s">
        <v>9</v>
      </c>
      <c r="C6" s="50">
        <v>2301604.2068039379</v>
      </c>
      <c r="D6" s="55">
        <v>34231.993196061703</v>
      </c>
      <c r="E6" s="13"/>
      <c r="F6" s="13"/>
      <c r="G6" s="13"/>
      <c r="H6" s="13"/>
      <c r="I6" s="1"/>
      <c r="K6" s="14" t="s">
        <v>9</v>
      </c>
      <c r="L6" s="50">
        <f t="array" ref="L6:M6">w*tauL*Labour</f>
        <v>2301604.2068039374</v>
      </c>
      <c r="M6" s="55">
        <v>34231.993196061703</v>
      </c>
      <c r="N6" s="13"/>
      <c r="O6" s="13"/>
      <c r="P6" s="13"/>
      <c r="Q6" s="13"/>
      <c r="R6" s="1"/>
    </row>
    <row r="7" spans="2:18" x14ac:dyDescent="0.2">
      <c r="B7" s="14" t="s">
        <v>10</v>
      </c>
      <c r="C7" s="50">
        <v>137715.65500000006</v>
      </c>
      <c r="D7" s="55">
        <v>20719.463999999996</v>
      </c>
      <c r="E7" s="13"/>
      <c r="F7" s="13"/>
      <c r="G7" s="13"/>
      <c r="H7" s="13"/>
      <c r="I7" s="1"/>
      <c r="K7" s="14" t="s">
        <v>10</v>
      </c>
      <c r="L7" s="50">
        <f t="array" ref="L7:M7">tauY*pY/(1+tauY)*Y</f>
        <v>137715.65500000006</v>
      </c>
      <c r="M7" s="55">
        <v>20719.463999999996</v>
      </c>
      <c r="N7" s="13"/>
      <c r="O7" s="13"/>
      <c r="P7" s="13"/>
      <c r="Q7" s="13"/>
      <c r="R7" s="1"/>
    </row>
    <row r="8" spans="2:18" x14ac:dyDescent="0.2">
      <c r="B8" s="14" t="s">
        <v>2</v>
      </c>
      <c r="C8" s="50">
        <v>6425198.1590000018</v>
      </c>
      <c r="D8" s="55">
        <v>273229.1540000001</v>
      </c>
      <c r="E8" s="13"/>
      <c r="F8" s="13"/>
      <c r="G8" s="13"/>
      <c r="H8" s="13"/>
      <c r="I8" s="1"/>
      <c r="K8" s="14" t="s">
        <v>2</v>
      </c>
      <c r="L8" s="50">
        <f t="array" ref="L8:M8">pK*kappa*Y</f>
        <v>6425198.1590000419</v>
      </c>
      <c r="M8" s="55">
        <v>273229.15400000027</v>
      </c>
      <c r="N8" s="13"/>
      <c r="O8" s="13"/>
      <c r="P8" s="13"/>
      <c r="Q8" s="13"/>
      <c r="R8" s="1"/>
    </row>
    <row r="9" spans="2:18" x14ac:dyDescent="0.2">
      <c r="B9" s="2" t="s">
        <v>3</v>
      </c>
      <c r="C9" s="118">
        <v>1886393.7399999965</v>
      </c>
      <c r="D9" s="119">
        <v>262787.11299999768</v>
      </c>
      <c r="E9" s="13"/>
      <c r="F9" s="13"/>
      <c r="G9" s="13"/>
      <c r="H9" s="13"/>
      <c r="I9" s="1"/>
      <c r="K9" s="2" t="s">
        <v>3</v>
      </c>
      <c r="L9" s="118">
        <f t="array" ref="L9:M9">pW*M</f>
        <v>1886393.7399999965</v>
      </c>
      <c r="M9" s="119">
        <v>262787.11299999757</v>
      </c>
      <c r="N9" s="13"/>
      <c r="O9" s="13"/>
      <c r="P9" s="13"/>
      <c r="Q9" s="13"/>
      <c r="R9" s="1"/>
    </row>
    <row r="10" spans="2:18" x14ac:dyDescent="0.2">
      <c r="B10" s="2" t="s">
        <v>4</v>
      </c>
      <c r="C10" s="56">
        <v>422429.01700000005</v>
      </c>
      <c r="D10" s="57">
        <v>8129.6240000000016</v>
      </c>
      <c r="E10" s="13"/>
      <c r="F10" s="13"/>
      <c r="G10" s="13"/>
      <c r="H10" s="13"/>
      <c r="I10" s="1"/>
      <c r="K10" s="2" t="s">
        <v>4</v>
      </c>
      <c r="L10" s="56">
        <f t="array" ref="L10:M10">tauTS*pS*S</f>
        <v>422429.01700000011</v>
      </c>
      <c r="M10" s="57">
        <v>8129.6240000000025</v>
      </c>
      <c r="N10" s="13"/>
      <c r="O10" s="13"/>
      <c r="P10" s="13"/>
      <c r="Q10" s="13"/>
      <c r="R10" s="1"/>
    </row>
    <row r="11" spans="2:18" x14ac:dyDescent="0.2">
      <c r="B11" s="15" t="s">
        <v>5</v>
      </c>
      <c r="C11" s="58">
        <v>0</v>
      </c>
      <c r="D11" s="46">
        <v>0</v>
      </c>
      <c r="E11" s="13"/>
      <c r="F11" s="47" t="s">
        <v>24</v>
      </c>
      <c r="G11" s="16" t="s">
        <v>25</v>
      </c>
      <c r="H11" s="13"/>
      <c r="I11" s="1"/>
      <c r="K11" s="15"/>
      <c r="L11" s="58"/>
      <c r="M11" s="46"/>
      <c r="N11" s="13"/>
      <c r="O11" s="98" t="s">
        <v>24</v>
      </c>
      <c r="P11" s="16" t="s">
        <v>25</v>
      </c>
      <c r="Q11" s="13"/>
      <c r="R11" s="1"/>
    </row>
    <row r="12" spans="2:18" ht="10.5" x14ac:dyDescent="0.25">
      <c r="B12" s="1"/>
      <c r="C12" s="17">
        <f>SUM(C3:C11)</f>
        <v>30165832.890999991</v>
      </c>
      <c r="D12" s="18">
        <f>SUM(D3:D11)</f>
        <v>1507684.184999998</v>
      </c>
      <c r="E12" s="19"/>
      <c r="F12" s="20">
        <f>SUM(C3:C8)</f>
        <v>27857010.133999996</v>
      </c>
      <c r="G12" s="21">
        <f>SUM(D3:D8)</f>
        <v>1236767.4480000003</v>
      </c>
      <c r="H12" s="1" t="s">
        <v>11</v>
      </c>
      <c r="I12" s="1"/>
      <c r="K12" s="1"/>
      <c r="L12" s="17">
        <f>SUM(L3:L11)</f>
        <v>30165832.891000051</v>
      </c>
      <c r="M12" s="18">
        <f>SUM(M3:M11)</f>
        <v>1507684.184999998</v>
      </c>
      <c r="N12" s="19"/>
      <c r="O12" s="20">
        <f t="array" ref="O12:P12">pY*Y</f>
        <v>27857010.133999996</v>
      </c>
      <c r="P12" s="21">
        <v>1236767.4480000003</v>
      </c>
      <c r="Q12" s="1" t="s">
        <v>11</v>
      </c>
      <c r="R12" s="1"/>
    </row>
    <row r="13" spans="2:18" x14ac:dyDescent="0.2">
      <c r="B13" s="1"/>
      <c r="C13" s="1"/>
      <c r="D13" s="1"/>
      <c r="E13" s="13"/>
      <c r="F13" s="13"/>
      <c r="G13" s="13"/>
      <c r="H13" s="1"/>
      <c r="I13" s="1"/>
      <c r="K13" s="1"/>
      <c r="L13" s="1"/>
      <c r="M13" s="1"/>
      <c r="N13" s="13"/>
      <c r="O13" s="1"/>
      <c r="P13" s="1"/>
      <c r="Q13" s="1"/>
      <c r="R13" s="1"/>
    </row>
    <row r="14" spans="2:18" ht="10.5" x14ac:dyDescent="0.25">
      <c r="B14" s="22" t="s">
        <v>30</v>
      </c>
      <c r="C14" s="200">
        <f>I3-C12</f>
        <v>0</v>
      </c>
      <c r="D14" s="200">
        <f>I4-D12</f>
        <v>0</v>
      </c>
      <c r="E14" s="13"/>
      <c r="F14" s="13"/>
      <c r="G14" s="13"/>
      <c r="H14" s="13"/>
      <c r="I14" s="1"/>
      <c r="K14" s="22" t="s">
        <v>30</v>
      </c>
      <c r="L14" s="200">
        <f t="array" ref="L14">R3-L12</f>
        <v>-3.3527612686157227E-8</v>
      </c>
      <c r="M14" s="200">
        <f t="array" ref="M14">R4-M12</f>
        <v>0</v>
      </c>
      <c r="N14" s="13"/>
      <c r="O14" s="13"/>
      <c r="P14" s="13"/>
      <c r="Q14" s="13"/>
      <c r="R14" s="1"/>
    </row>
    <row r="15" spans="2:18" x14ac:dyDescent="0.2">
      <c r="B15" s="1"/>
      <c r="C15" s="1"/>
      <c r="D15" s="1"/>
      <c r="E15" s="13"/>
      <c r="F15" s="23"/>
      <c r="G15" s="24"/>
      <c r="H15" s="13"/>
      <c r="I15" s="1"/>
    </row>
    <row r="16" spans="2:18" x14ac:dyDescent="0.2">
      <c r="G16" s="24"/>
      <c r="H16" s="25"/>
      <c r="I16" s="1"/>
    </row>
    <row r="17" spans="2:21" x14ac:dyDescent="0.2">
      <c r="K17" s="59" t="s">
        <v>65</v>
      </c>
      <c r="L17" s="122">
        <f>MAX(ERROR1,ERROR2,ERROR3,ERROR4,ERROR5,ERROR6,ERROR7,ERROR8,ERROR9,ERROR10,ERROR11,ABS(MIN(ERROR1,ERROR2,ERROR3,ERROR4,ERROR5,ERROR6,ERROR7,ERROR8,ERROR9,ERROR10,ERROR11)))</f>
        <v>99.00000000000324</v>
      </c>
    </row>
    <row r="19" spans="2:21" ht="10.5" x14ac:dyDescent="0.25">
      <c r="B19" s="92" t="s">
        <v>79</v>
      </c>
      <c r="C19" s="106" t="s">
        <v>87</v>
      </c>
      <c r="H19" s="92" t="s">
        <v>60</v>
      </c>
      <c r="K19" s="92" t="s">
        <v>59</v>
      </c>
      <c r="Q19" s="92" t="s">
        <v>42</v>
      </c>
    </row>
    <row r="21" spans="2:21" ht="10.5" x14ac:dyDescent="0.25">
      <c r="B21" t="s">
        <v>12</v>
      </c>
      <c r="C21" s="81">
        <f t="array" ref="C21:D21">ABS(C80:D80)</f>
        <v>1000</v>
      </c>
      <c r="D21" s="82">
        <v>1000</v>
      </c>
      <c r="H21" s="60">
        <f t="array" ref="H21:I21">(aY^sigmaY*pKLE^(1-sigmaY)+bY^sigmaY*pMY^(1-sigmaY))^(1/(1-sigmaY))*(1+tauY)</f>
        <v>1000.0000000000014</v>
      </c>
      <c r="I21" s="61">
        <v>999.99999999999898</v>
      </c>
      <c r="J21" s="107" t="s">
        <v>69</v>
      </c>
      <c r="K21" s="113">
        <f t="array" ref="K21:L21">H21:I21/pY-1</f>
        <v>0</v>
      </c>
      <c r="L21" s="113">
        <v>-9.9920072216264089E-16</v>
      </c>
      <c r="N21" s="68">
        <f t="array" ref="N21:O35">PRICES/Calibration!PRICES-1</f>
        <v>0</v>
      </c>
      <c r="O21" s="69">
        <v>0</v>
      </c>
      <c r="Q21" s="113">
        <f t="array" ref="Q21:R21">(pKLE*KLE+pMY*alphaMY*Y)*(1+tauY)/Y-pY</f>
        <v>1.4779288903810084E-12</v>
      </c>
      <c r="R21" s="113">
        <v>0</v>
      </c>
      <c r="T21" s="113">
        <f t="array" ref="T21:U21">(aX^sigmaX*pD^(1-sigmaX)+bX^sigmaX*pW^(1-sigmaX))^(1/(1-sigmaX))-pY</f>
        <v>0</v>
      </c>
      <c r="U21" s="113">
        <v>0</v>
      </c>
    </row>
    <row r="22" spans="2:21" x14ac:dyDescent="0.2">
      <c r="B22" t="s">
        <v>103</v>
      </c>
      <c r="C22" s="95">
        <f t="array" ref="C22:D22">Calibration!pW</f>
        <v>1000</v>
      </c>
      <c r="D22" s="96">
        <v>1000</v>
      </c>
      <c r="N22" s="70">
        <v>0</v>
      </c>
      <c r="O22" s="71">
        <v>0</v>
      </c>
    </row>
    <row r="23" spans="2:21" ht="10.5" x14ac:dyDescent="0.25">
      <c r="B23" t="s">
        <v>115</v>
      </c>
      <c r="C23" s="93">
        <f t="array" ref="C23:D23">ABS(C81:D81)</f>
        <v>1000</v>
      </c>
      <c r="D23" s="94">
        <v>1000</v>
      </c>
      <c r="H23" s="60">
        <f t="array" ref="H23:I23">(aS^sigmaS*pD^(1-sigmaS)+bS^sigmaS*pW^(1-sigmaS))^(1/(1-sigmaS))</f>
        <v>1000</v>
      </c>
      <c r="I23" s="61">
        <v>999.99999999999977</v>
      </c>
      <c r="J23" s="107" t="s">
        <v>108</v>
      </c>
      <c r="K23" s="113">
        <f t="array" ref="K23:L23">(pY*Y+pW*M)/(pS*S+pW*X)-1</f>
        <v>0</v>
      </c>
      <c r="L23" s="113">
        <v>0</v>
      </c>
      <c r="N23" s="70">
        <v>0</v>
      </c>
      <c r="O23" s="71">
        <v>0</v>
      </c>
      <c r="Q23" s="113">
        <f t="array" ref="Q23:R23">pS*S-pD*D-pW*M</f>
        <v>-1.862645149230957E-9</v>
      </c>
      <c r="R23" s="113">
        <v>2.0954757928848267E-9</v>
      </c>
    </row>
    <row r="24" spans="2:21" x14ac:dyDescent="0.2">
      <c r="B24" t="s">
        <v>77</v>
      </c>
      <c r="C24" s="110">
        <f t="array" ref="C24:D24">aX^(sigmaX/(sigmaX-1))*(pY^(1-sigmaX)-bX^sigmaX*pW^(1-sigmaX))^(1/(1-sigmaX))</f>
        <v>1000.0000000000003</v>
      </c>
      <c r="D24" s="164">
        <v>1000.0000000000002</v>
      </c>
      <c r="N24" s="70">
        <v>0</v>
      </c>
      <c r="O24" s="71">
        <v>0</v>
      </c>
    </row>
    <row r="25" spans="2:21" x14ac:dyDescent="0.2">
      <c r="B25" t="s">
        <v>13</v>
      </c>
      <c r="C25" s="31">
        <f t="array" ref="C25:D26">TRANSPOSE(pS*(1+tauTS))</f>
        <v>1015.9116825427475</v>
      </c>
      <c r="D25" s="32">
        <v>1015.9116825427475</v>
      </c>
      <c r="E25" t="s">
        <v>63</v>
      </c>
      <c r="N25" s="70">
        <v>0</v>
      </c>
      <c r="O25" s="71">
        <v>0</v>
      </c>
    </row>
    <row r="26" spans="2:21" x14ac:dyDescent="0.2">
      <c r="C26" s="33">
        <v>1005.7716594496609</v>
      </c>
      <c r="D26" s="34">
        <v>1005.7716594496609</v>
      </c>
      <c r="E26" t="s">
        <v>41</v>
      </c>
      <c r="N26" s="70">
        <v>0</v>
      </c>
      <c r="O26" s="71">
        <v>0</v>
      </c>
    </row>
    <row r="27" spans="2:21" ht="10.5" x14ac:dyDescent="0.25">
      <c r="B27" t="s">
        <v>14</v>
      </c>
      <c r="C27" s="39">
        <f t="array" ref="C27:D27">pS*(1+tauTS)</f>
        <v>1015.9116825427475</v>
      </c>
      <c r="D27" s="40">
        <v>1005.7716594496609</v>
      </c>
      <c r="J27" s="92"/>
      <c r="N27" s="70">
        <v>0</v>
      </c>
      <c r="O27" s="71">
        <v>0</v>
      </c>
    </row>
    <row r="28" spans="2:21" ht="10.5" x14ac:dyDescent="0.25">
      <c r="B28" t="s">
        <v>15</v>
      </c>
      <c r="C28" s="39">
        <f t="array" ref="C28:D28">pS*(1+tauTS)</f>
        <v>1015.9116825427475</v>
      </c>
      <c r="D28" s="40">
        <v>1005.7716594496609</v>
      </c>
      <c r="J28" s="92"/>
      <c r="N28" s="70">
        <v>0</v>
      </c>
      <c r="O28" s="71">
        <v>0</v>
      </c>
    </row>
    <row r="29" spans="2:21" ht="10.5" x14ac:dyDescent="0.25">
      <c r="B29" t="s">
        <v>29</v>
      </c>
      <c r="C29" s="39">
        <f t="array" ref="C29:D29">pS*(1+tauTS)</f>
        <v>1015.9116825427475</v>
      </c>
      <c r="D29" s="40">
        <v>1005.7716594496609</v>
      </c>
      <c r="J29" s="92"/>
      <c r="N29" s="70">
        <v>0</v>
      </c>
      <c r="O29" s="71">
        <v>0</v>
      </c>
    </row>
    <row r="30" spans="2:21" ht="10.5" x14ac:dyDescent="0.25">
      <c r="B30" t="s">
        <v>16</v>
      </c>
      <c r="C30" s="39">
        <f t="array" ref="C30:D30">pW</f>
        <v>1000</v>
      </c>
      <c r="D30" s="40">
        <v>1000</v>
      </c>
      <c r="J30" s="92"/>
      <c r="N30" s="70">
        <v>0</v>
      </c>
      <c r="O30" s="71">
        <v>0</v>
      </c>
    </row>
    <row r="31" spans="2:21" x14ac:dyDescent="0.2">
      <c r="B31" t="s">
        <v>17</v>
      </c>
      <c r="C31" s="93">
        <f>ABS(C82)</f>
        <v>1000</v>
      </c>
      <c r="D31" s="164">
        <f>wQ</f>
        <v>1000</v>
      </c>
      <c r="N31" s="70">
        <v>0</v>
      </c>
      <c r="O31" s="71">
        <v>0</v>
      </c>
    </row>
    <row r="32" spans="2:21" x14ac:dyDescent="0.2">
      <c r="B32" t="s">
        <v>36</v>
      </c>
      <c r="C32" s="39">
        <f t="array" ref="C32:D32">w*(1+tauL)</f>
        <v>1457.0034251455234</v>
      </c>
      <c r="D32" s="40">
        <v>1457.0034251455236</v>
      </c>
      <c r="N32" s="70">
        <v>0</v>
      </c>
      <c r="O32" s="71">
        <v>0</v>
      </c>
      <c r="Q32" s="113">
        <f t="array" ref="Q32:R32">bKL*(Labour/KL)^(rhoKL-1)*pKL/pL-1</f>
        <v>5.773159728050814E-15</v>
      </c>
      <c r="R32" s="113">
        <v>0</v>
      </c>
      <c r="S32" t="s">
        <v>122</v>
      </c>
    </row>
    <row r="33" spans="2:19" x14ac:dyDescent="0.2">
      <c r="B33" t="s">
        <v>18</v>
      </c>
      <c r="C33" s="144">
        <f>ABS(C83)</f>
        <v>1000</v>
      </c>
      <c r="D33" s="165">
        <f>C33</f>
        <v>1000</v>
      </c>
      <c r="E33" t="s">
        <v>56</v>
      </c>
      <c r="N33" s="70">
        <v>0</v>
      </c>
      <c r="O33" s="71">
        <v>0</v>
      </c>
      <c r="Q33" s="113">
        <f t="array" ref="Q33:R33">aKL*(K/KL)^(rhoKL-1)*pKL/pK-1</f>
        <v>-1.5099033134902129E-14</v>
      </c>
      <c r="R33" s="113">
        <v>-4.8849813083506888E-15</v>
      </c>
      <c r="S33" t="s">
        <v>122</v>
      </c>
    </row>
    <row r="34" spans="2:19" ht="10.5" x14ac:dyDescent="0.25">
      <c r="B34" t="s">
        <v>61</v>
      </c>
      <c r="C34" s="93">
        <f t="array" ref="C34:D34">ABS(C84:D84)</f>
        <v>1000</v>
      </c>
      <c r="D34" s="94">
        <v>1000</v>
      </c>
      <c r="J34" s="107" t="s">
        <v>121</v>
      </c>
      <c r="K34" s="113">
        <f t="array" ref="K34:L34">pKL*KL/(pK*K+pL*Labour)-1</f>
        <v>-1.1102230246251565E-15</v>
      </c>
      <c r="L34" s="113">
        <v>0</v>
      </c>
      <c r="N34" s="70">
        <v>0</v>
      </c>
      <c r="O34" s="71">
        <v>0</v>
      </c>
      <c r="Q34" s="113">
        <f t="array" ref="Q34:R34">(aKL^sigmaKL*pK^(1-sigmaKL)+bKL^sigmaKL*pL^(1-sigmaKL))^((rhoKL-1)/rhoKL)-pKL</f>
        <v>0</v>
      </c>
      <c r="R34" s="113">
        <v>0</v>
      </c>
      <c r="S34" t="s">
        <v>122</v>
      </c>
    </row>
    <row r="35" spans="2:19" x14ac:dyDescent="0.2">
      <c r="B35" t="s">
        <v>62</v>
      </c>
      <c r="C35" s="33">
        <f t="array" ref="C35:D35">(aKLE^sigmaKLE*pKL^(1-sigmaKLE)+bKLE^sigmaKLE*pEY^(1-sigmaKLE))^(1/(1-sigmaKLE))</f>
        <v>1000.0000000000002</v>
      </c>
      <c r="D35" s="34">
        <v>999.99999999999977</v>
      </c>
      <c r="N35" s="72">
        <v>0</v>
      </c>
      <c r="O35" s="73">
        <v>0</v>
      </c>
      <c r="Q35" s="113">
        <f t="array" ref="Q35:R35">(pKL*KL+pEY*alphaEY*Y)/KLE-pKLE</f>
        <v>0</v>
      </c>
      <c r="R35" s="113">
        <v>0</v>
      </c>
    </row>
    <row r="37" spans="2:19" ht="10.5" x14ac:dyDescent="0.25">
      <c r="B37" t="s">
        <v>19</v>
      </c>
      <c r="C37" s="81">
        <f t="array" ref="C37:D37">ABS(C89:D89)</f>
        <v>27857.010133999996</v>
      </c>
      <c r="D37" s="82">
        <v>1236.7674480000003</v>
      </c>
      <c r="H37" s="60">
        <f t="array" ref="H37:I37">(aX*D^rhoX+bX*X^rhoX)^(1/rhoX)</f>
        <v>27857.010134</v>
      </c>
      <c r="I37" s="61">
        <v>1236.7674479999991</v>
      </c>
      <c r="J37" s="107" t="s">
        <v>107</v>
      </c>
      <c r="K37" s="113">
        <f t="array" ref="K37:L37">H37:I37/Y-1</f>
        <v>0</v>
      </c>
      <c r="L37" s="113">
        <v>-8.8817841970012523E-16</v>
      </c>
      <c r="N37" s="68">
        <f t="array" ref="N37:O48">VOLUMES/Calibration!VOLUMES-1</f>
        <v>0</v>
      </c>
      <c r="O37" s="69">
        <v>0</v>
      </c>
      <c r="Q37" s="113">
        <f t="array" ref="Q37:R37">(aY*KLE^rhoY+bY*(alphaMY*Y)^rhoY)^(1/rhoY)-Y</f>
        <v>9.822542779147625E-11</v>
      </c>
      <c r="R37" s="113">
        <v>-2.2737367544323206E-12</v>
      </c>
    </row>
    <row r="38" spans="2:19" x14ac:dyDescent="0.2">
      <c r="B38" t="s">
        <v>3</v>
      </c>
      <c r="C38" s="39">
        <f t="array" ref="C38:D38">(bS/pW)^sigmaS*(aS^sigmaS*pD^(1-sigmaS)+bS^sigmaS*pW^(1-sigmaS))^(-1/rhoS)*S</f>
        <v>1886.3937399999966</v>
      </c>
      <c r="D38" s="40">
        <v>262.78711299999759</v>
      </c>
      <c r="N38" s="70">
        <v>0</v>
      </c>
      <c r="O38" s="71">
        <v>0</v>
      </c>
      <c r="Q38" s="113">
        <f t="array" ref="Q38:R38">pD*D+pW*M-pS*S</f>
        <v>0</v>
      </c>
      <c r="R38" s="113">
        <v>-2.0954757928848267E-9</v>
      </c>
    </row>
    <row r="39" spans="2:19" ht="10.5" x14ac:dyDescent="0.25">
      <c r="B39" t="s">
        <v>114</v>
      </c>
      <c r="C39" s="79">
        <f t="array" ref="C39:D39">ABS(C85:D85)</f>
        <v>26548.356269999993</v>
      </c>
      <c r="D39" s="80">
        <v>1408.5418709999938</v>
      </c>
      <c r="E39" t="s">
        <v>109</v>
      </c>
      <c r="H39" s="60">
        <f t="array" ref="H39:I39">MMULT(Y,TRANSPOSE(alpha))+Consumption+G+I</f>
        <v>26548.356270000015</v>
      </c>
      <c r="I39" s="61">
        <v>1408.5418709999947</v>
      </c>
      <c r="J39" s="107" t="s">
        <v>72</v>
      </c>
      <c r="K39" s="113">
        <f t="array" ref="K39:L39">H39:I39/S-1</f>
        <v>0</v>
      </c>
      <c r="L39" s="113">
        <v>0</v>
      </c>
      <c r="N39" s="70">
        <v>0</v>
      </c>
      <c r="O39" s="71">
        <v>0</v>
      </c>
    </row>
    <row r="40" spans="2:19" x14ac:dyDescent="0.2">
      <c r="B40" t="s">
        <v>76</v>
      </c>
      <c r="C40" s="39">
        <f t="array" ref="C40:D40">(aS/pD)^sigmaS*(aS^sigmaS*pD^(1-sigmaS)+bS^sigmaS*pW^(1-sigmaS))^(-1/rhoS)*S</f>
        <v>24661.96252999999</v>
      </c>
      <c r="D40" s="40">
        <v>1145.7547579999939</v>
      </c>
      <c r="F40" s="156"/>
      <c r="N40" s="72">
        <v>0</v>
      </c>
      <c r="O40" s="73">
        <v>-1.9984014443252818E-15</v>
      </c>
    </row>
    <row r="41" spans="2:19" ht="10.5" x14ac:dyDescent="0.25">
      <c r="B41" t="s">
        <v>28</v>
      </c>
      <c r="C41" s="39">
        <f>(aU/pCQ)^sigmaU/(aU^sigmaU*pCQ^(1-sigmaU)+bU^sigmaU*pCE^(1-sigmaU))*Revenue</f>
        <v>6533.6044688320717</v>
      </c>
      <c r="D41" s="40">
        <f>(bU/pCE)^sigmaU/(aU^sigmaU*pCQ^(1-sigmaU)+bU^sigmaU*pCE^(1-sigmaU))*Revenue</f>
        <v>379.90788307663411</v>
      </c>
      <c r="E41" t="s">
        <v>57</v>
      </c>
      <c r="H41" s="59" t="s">
        <v>67</v>
      </c>
      <c r="I41" s="91">
        <v>0.99000000000000032</v>
      </c>
      <c r="J41" s="107" t="s">
        <v>73</v>
      </c>
      <c r="K41" s="113">
        <f>Model!SE/(1-I41)/Calibration!SE-1</f>
        <v>99.00000000000324</v>
      </c>
      <c r="N41" s="70">
        <v>0</v>
      </c>
      <c r="O41" s="71">
        <v>0</v>
      </c>
    </row>
    <row r="42" spans="2:19" x14ac:dyDescent="0.2">
      <c r="B42" t="s">
        <v>7</v>
      </c>
      <c r="C42" s="110">
        <f t="array" ref="C42">omegaG*GDP/pG</f>
        <v>3278.5018080150408</v>
      </c>
      <c r="D42" s="8">
        <v>0</v>
      </c>
      <c r="N42" s="70">
        <v>0</v>
      </c>
      <c r="O42" s="71" t="e">
        <v>#DIV/0!</v>
      </c>
    </row>
    <row r="43" spans="2:19" x14ac:dyDescent="0.2">
      <c r="B43" t="s">
        <v>8</v>
      </c>
      <c r="C43" s="93">
        <f>ABS(C86)</f>
        <v>3196.3846373657216</v>
      </c>
      <c r="D43" s="8">
        <v>0</v>
      </c>
      <c r="J43" s="59"/>
      <c r="N43" s="70">
        <v>0</v>
      </c>
      <c r="O43" s="71" t="e">
        <v>#DIV/0!</v>
      </c>
    </row>
    <row r="44" spans="2:19" x14ac:dyDescent="0.2">
      <c r="B44" t="s">
        <v>0</v>
      </c>
      <c r="C44" s="158">
        <f t="array" ref="C44:D44">(bX/pX)^sigmaX*(aX^sigmaX*pD^(1-sigmaX)+bX^sigmaX*pX^(1-sigmaX))^(-1/rhoX)*Y</f>
        <v>3195.0476040000012</v>
      </c>
      <c r="D44" s="159">
        <v>91.012690000004255</v>
      </c>
      <c r="N44" s="70">
        <v>0</v>
      </c>
      <c r="O44" s="71">
        <v>1.9984014443252818E-15</v>
      </c>
    </row>
    <row r="45" spans="2:19" x14ac:dyDescent="0.2">
      <c r="B45" t="s">
        <v>27</v>
      </c>
      <c r="C45" s="81">
        <f t="array" ref="C45:D45">ABS(C88:D88)</f>
        <v>5036.2953101960647</v>
      </c>
      <c r="D45" s="82">
        <v>74.905331803938267</v>
      </c>
      <c r="H45" s="27"/>
      <c r="N45" s="70">
        <v>0</v>
      </c>
      <c r="O45" s="71">
        <v>0</v>
      </c>
      <c r="Q45" s="113">
        <f t="array" ref="Q45:R45">(bKL/pL)^sigmaKL*(aKL^sigmaKL*pK^(1-sigmaKL)+bKL^sigmaKL*pL^(1-sigmaKL))^(-1/rhoKL)*KL/Labour-1</f>
        <v>1.7763568394002505E-15</v>
      </c>
      <c r="R45" s="113">
        <v>0</v>
      </c>
      <c r="S45" t="s">
        <v>122</v>
      </c>
    </row>
    <row r="46" spans="2:19" x14ac:dyDescent="0.2">
      <c r="B46" t="s">
        <v>2</v>
      </c>
      <c r="C46" s="33">
        <f t="array" ref="C46:D46">(KL^rhoKL/aKL-bKL*Labour^rhoKL/aKL)^(1/rhoKL)</f>
        <v>6425.1981590000414</v>
      </c>
      <c r="D46" s="34">
        <v>273.22915400000028</v>
      </c>
      <c r="N46" s="70">
        <v>6.2172489379008766E-15</v>
      </c>
      <c r="O46" s="71">
        <v>0</v>
      </c>
      <c r="Q46" s="113">
        <f t="array" ref="Q46:R46">(aKL/pK)^sigmaKL*(aKL^sigmaKL*pK^(1-sigmaKL)+bKL^sigmaKL*pL^(1-sigmaKL))^(-1/rhoKL)*KL/K-1</f>
        <v>-4.6629367034256575E-15</v>
      </c>
      <c r="R46" s="113">
        <v>0</v>
      </c>
      <c r="S46" t="s">
        <v>122</v>
      </c>
    </row>
    <row r="47" spans="2:19" x14ac:dyDescent="0.2">
      <c r="B47" t="s">
        <v>35</v>
      </c>
      <c r="C47" s="39">
        <f t="array" ref="C47:D47">(aKLE/pKL)^sigmaKLE*(aKLE^sigmaKLE*pKL^(1-sigmaKLE)+bKLE^sigmaKLE*pEY^(1-sigmaKLE))^(-1/rhoKLE)*KLE</f>
        <v>13763.097676000029</v>
      </c>
      <c r="D47" s="40">
        <v>382.36647899999997</v>
      </c>
      <c r="N47" s="70">
        <v>1.7763568394002505E-15</v>
      </c>
      <c r="O47" s="71">
        <v>0</v>
      </c>
      <c r="Q47" s="113">
        <f t="array" ref="Q47:R47">(aKL*K^rhoKL+bKL*Labour^rhoKL)^(1/rhoKL)-KL</f>
        <v>3.2741809263825417E-11</v>
      </c>
      <c r="R47" s="113">
        <v>0</v>
      </c>
    </row>
    <row r="48" spans="2:19" x14ac:dyDescent="0.2">
      <c r="B48" t="s">
        <v>53</v>
      </c>
      <c r="C48" s="33">
        <f t="array" ref="C48:D48">(aY/pKLE)^sigmaY*(aY^sigmaY*pKLE^(1-sigmaY)+bY^sigmaY*pMY^(1-sigmaY))^(-1/rhoY)*Y</f>
        <v>14362.768558000025</v>
      </c>
      <c r="D48" s="34">
        <v>817.26650999999993</v>
      </c>
      <c r="N48" s="72">
        <v>0</v>
      </c>
      <c r="O48" s="73">
        <v>0</v>
      </c>
      <c r="Q48" s="113">
        <f t="array" ref="Q48:R48">(aKLE*KL^rhoKLE+bKLE*(alphaEY*Y)^rhoKLE)^(1/rhoKLE)-KLE</f>
        <v>0</v>
      </c>
      <c r="R48" s="113">
        <v>0</v>
      </c>
    </row>
    <row r="50" spans="2:38" x14ac:dyDescent="0.2">
      <c r="B50" t="s">
        <v>26</v>
      </c>
      <c r="C50" s="88">
        <f t="array" ref="C50:D50">Calibration!tauL</f>
        <v>0.45700342514552333</v>
      </c>
      <c r="D50" s="89">
        <v>0.4570034251455235</v>
      </c>
    </row>
    <row r="51" spans="2:38" x14ac:dyDescent="0.2">
      <c r="B51" t="s">
        <v>20</v>
      </c>
      <c r="C51" s="193">
        <f t="array" ref="C51:D51">Calibration!tauY</f>
        <v>4.9682236719384319E-3</v>
      </c>
      <c r="D51" s="194">
        <v>1.7038360552061892E-2</v>
      </c>
    </row>
    <row r="52" spans="2:38" x14ac:dyDescent="0.2">
      <c r="B52" t="s">
        <v>136</v>
      </c>
      <c r="C52" s="90">
        <f>Calibration!C52</f>
        <v>1.5911682542747503E-2</v>
      </c>
      <c r="D52" s="187">
        <f>D86</f>
        <v>5.7716594496607888E-3</v>
      </c>
      <c r="J52" s="27"/>
      <c r="AA52" s="78"/>
    </row>
    <row r="53" spans="2:38" x14ac:dyDescent="0.2">
      <c r="C53" s="27"/>
      <c r="D53" s="27"/>
      <c r="Y53" s="78"/>
      <c r="AA53" s="78"/>
      <c r="AC53" s="78"/>
    </row>
    <row r="54" spans="2:38" ht="10.5" x14ac:dyDescent="0.25">
      <c r="C54" s="27"/>
      <c r="D54" s="27"/>
      <c r="K54" s="184" t="s">
        <v>141</v>
      </c>
      <c r="U54" s="127" t="s">
        <v>89</v>
      </c>
      <c r="W54" s="127" t="s">
        <v>90</v>
      </c>
      <c r="Y54" s="127" t="s">
        <v>147</v>
      </c>
      <c r="AA54" s="184" t="s">
        <v>130</v>
      </c>
      <c r="AC54" s="184" t="s">
        <v>146</v>
      </c>
      <c r="AE54" s="184" t="s">
        <v>131</v>
      </c>
      <c r="AG54" s="184" t="s">
        <v>142</v>
      </c>
      <c r="AI54" s="184" t="s">
        <v>141</v>
      </c>
      <c r="AK54" s="184" t="s">
        <v>133</v>
      </c>
    </row>
    <row r="55" spans="2:38" ht="10.5" x14ac:dyDescent="0.25">
      <c r="B55" t="s">
        <v>48</v>
      </c>
      <c r="C55" s="112">
        <f t="array" ref="C55">SUM(w*tauL*Labour+tauY/(1+tauY)*pY*Y+tauTS*pS*S)</f>
        <v>2924829.9599999995</v>
      </c>
      <c r="J55" s="107" t="s">
        <v>71</v>
      </c>
      <c r="K55" s="113">
        <f t="array" ref="K55">pK/pI/Calibration!pK*Calibration!pI-1</f>
        <v>0</v>
      </c>
      <c r="N55" s="74">
        <f t="array" ref="N55:N59">AGGREGATES/Calibration!AGGREGATES-1</f>
        <v>0</v>
      </c>
      <c r="T55" s="107" t="s">
        <v>124</v>
      </c>
      <c r="U55" s="113">
        <f>SUM(K)/SUM(Calibration!K)-1</f>
        <v>5.9952043329758453E-15</v>
      </c>
      <c r="W55" s="113">
        <f>SUM(K)/SUM(Calibration!K)-1</f>
        <v>5.9952043329758453E-15</v>
      </c>
      <c r="Y55" s="113">
        <f>SUM(K)/SUM(Calibration!K)-1</f>
        <v>5.9952043329758453E-15</v>
      </c>
      <c r="AA55" s="113">
        <f>SUM(K)/SUM(Calibration!K)-1</f>
        <v>5.9952043329758453E-15</v>
      </c>
      <c r="AC55" s="113">
        <f>SUM(K)/SUM(Calibration!K)-1</f>
        <v>5.9952043329758453E-15</v>
      </c>
      <c r="AE55" s="113">
        <f>SUM(K)/SUM(Calibration!K)-1</f>
        <v>5.9952043329758453E-15</v>
      </c>
      <c r="AG55" s="113">
        <f t="array" ref="AG55">pK/pI/Calibration!pK*Calibration!pI*20%^sigmaw*(20%+80%*(SUM(Calibration!K)-SUM(K))/SUM(Calibration!K))^-sigmaw-1</f>
        <v>-2.2204460492503131E-15</v>
      </c>
      <c r="AI55" s="113">
        <f t="array" ref="AI55">pK/pI/Calibration!pK*Calibration!pI-1</f>
        <v>0</v>
      </c>
      <c r="AK55" s="113">
        <f>SUM(K)/SUM(Calibration!K)-1</f>
        <v>5.9952043329758453E-15</v>
      </c>
    </row>
    <row r="56" spans="2:38" ht="10.5" x14ac:dyDescent="0.25">
      <c r="B56" t="s">
        <v>47</v>
      </c>
      <c r="C56" s="77">
        <f>(aU*CQ^rhoU+bU*CE^rhoU)^(1/rhoU)</f>
        <v>1</v>
      </c>
      <c r="J56" s="107" t="s">
        <v>74</v>
      </c>
      <c r="K56" s="113">
        <f t="array" ref="K56">w/CPI/Calibration!w*6.1%^sigmaw*(6.1%+93.9%*(SUM(Calibration!Labour)-SUM(Labour))/SUM(Calibration!Labour))^-sigmaw-1</f>
        <v>0</v>
      </c>
      <c r="N56" s="75">
        <v>0</v>
      </c>
      <c r="T56" s="107" t="s">
        <v>125</v>
      </c>
      <c r="U56" s="113">
        <f>SUM(Labour)/SUM(Calibration!Labour)-1</f>
        <v>0</v>
      </c>
      <c r="W56" s="113">
        <f>SUM(Labour)/SUM(Calibration!Labour)-1</f>
        <v>0</v>
      </c>
      <c r="Y56" s="113">
        <f>SUM(Labour)/SUM(Calibration!Labour)-1</f>
        <v>0</v>
      </c>
      <c r="AA56" s="113">
        <f t="array" ref="AA56">omegaI*GDP/SUM(pI*I)-1</f>
        <v>0</v>
      </c>
      <c r="AC56" s="113">
        <f t="array" ref="AC56">w/CPI/Calibration!w-1</f>
        <v>0</v>
      </c>
      <c r="AE56" s="113">
        <f t="array" ref="AE56">w/CPI/Calibration!w-1</f>
        <v>0</v>
      </c>
      <c r="AG56" s="113">
        <f t="array" ref="AG56">w/CPI/Calibration!w*6.1%^sigmaw*(6.1%+93.9%*(SUM(Calibration!Labour)-SUM(Labour))/SUM(Calibration!Labour))^-sigmaw-1</f>
        <v>0</v>
      </c>
      <c r="AI56" s="113">
        <f t="array" ref="AI56">w/CPI/Calibration!w*6.1%^sigmaw*(6.1%+93.9%*(SUM(Calibration!Labour)-SUM(Labour))/SUM(Calibration!Labour))^-sigmaw-1</f>
        <v>0</v>
      </c>
      <c r="AK56" s="113">
        <f t="array" ref="AK56">w/CPI/Calibration!w-1</f>
        <v>0</v>
      </c>
    </row>
    <row r="57" spans="2:38" ht="10.5" x14ac:dyDescent="0.25">
      <c r="B57" t="s">
        <v>64</v>
      </c>
      <c r="C57" s="83">
        <f>ABS(C87)</f>
        <v>14734457.915000005</v>
      </c>
      <c r="J57" s="107" t="s">
        <v>88</v>
      </c>
      <c r="K57" s="113">
        <f t="array" ref="K57">I/SUM(K)/Calibration!I*SUM(K)-1</f>
        <v>0</v>
      </c>
      <c r="N57" s="75">
        <v>0</v>
      </c>
      <c r="Q57" s="113">
        <f t="array" ref="Q57">(SUM(pC*Consumption+pG*G+pI*I)+B)/GDP-1</f>
        <v>0</v>
      </c>
      <c r="R57" s="113">
        <f t="array" ref="R57">SUM(w*Labour,pK*K,T)/GDP-1</f>
        <v>2.6645352591003757E-15</v>
      </c>
      <c r="T57" s="107" t="s">
        <v>126</v>
      </c>
      <c r="U57" s="113">
        <f>B/GDP/Calibration!B*Calibration!GDP-1</f>
        <v>1.9984014443252818E-15</v>
      </c>
      <c r="W57" s="113">
        <f>B/GDP/Calibration!B*Calibration!GDP-1</f>
        <v>1.9984014443252818E-15</v>
      </c>
      <c r="Y57" s="113">
        <f>B/GDP/Calibration!B*Calibration!GDP-1</f>
        <v>1.9984014443252818E-15</v>
      </c>
      <c r="AA57" s="113">
        <f>B/GDP/Calibration!B*Calibration!GDP-1</f>
        <v>1.9984014443252818E-15</v>
      </c>
      <c r="AC57" s="113">
        <f>B/GDP/Calibration!B*Calibration!GDP-1</f>
        <v>1.9984014443252818E-15</v>
      </c>
      <c r="AE57" s="113">
        <f>B/GDP/Calibration!B*Calibration!GDP-1</f>
        <v>1.9984014443252818E-15</v>
      </c>
      <c r="AG57" s="113">
        <f>B/GDP/Calibration!B*Calibration!GDP-1</f>
        <v>1.9984014443252818E-15</v>
      </c>
      <c r="AI57" s="113">
        <f t="array" ref="AI57">I/SUM(K)/Calibration!I*SUM(K)-1</f>
        <v>0</v>
      </c>
      <c r="AK57" s="113">
        <f>B/GDP/Calibration!B*Calibration!GDP-1</f>
        <v>1.9984014443252818E-15</v>
      </c>
    </row>
    <row r="58" spans="2:38" ht="10.5" x14ac:dyDescent="0.25">
      <c r="B58" t="s">
        <v>54</v>
      </c>
      <c r="C58" s="111">
        <f t="array" ref="C58">GDP-SUM(pG*G,pI*I,B)</f>
        <v>7019665.6909999941</v>
      </c>
      <c r="J58" s="107" t="s">
        <v>123</v>
      </c>
      <c r="K58" s="113">
        <f t="array" ref="K58:L58">bKL*(KL/Labour)^(1/sigmaKL)*pKL/pL-1</f>
        <v>5.773159728050814E-15</v>
      </c>
      <c r="L58" s="113">
        <v>0</v>
      </c>
      <c r="N58" s="75">
        <v>0</v>
      </c>
      <c r="Q58" s="113">
        <f t="array" ref="Q58">SUM(pC*Consumption)-Revenue</f>
        <v>0</v>
      </c>
      <c r="T58" s="107" t="s">
        <v>127</v>
      </c>
      <c r="U58" s="113">
        <f t="array" ref="U58:V58">bKL*(KL/Labour)^(1/sigmaKL)*pKL/pL-1</f>
        <v>5.773159728050814E-15</v>
      </c>
      <c r="V58" s="113">
        <v>0</v>
      </c>
      <c r="W58" s="113">
        <f t="array" ref="W58:X58">bKL*(KL/Labour)^(1/sigmaKL)*pKL/pL-1</f>
        <v>5.773159728050814E-15</v>
      </c>
      <c r="X58" s="113">
        <v>0</v>
      </c>
      <c r="Y58" s="113">
        <f t="array" ref="Y58">omegaI*GDP/SUM(pI*I)-1</f>
        <v>0</v>
      </c>
      <c r="Z58" s="113">
        <f>Labour_Q/KL_Q/Calibration!Labour_Q*Calibration!KL_Q-Labour_E/KL_E/Calibration!Labour_E*Calibration!KL_E</f>
        <v>-1.8873791418627661E-15</v>
      </c>
      <c r="AA58" s="113">
        <f t="array" ref="AA58:AB58">bKL*(KL/Labour)^(1/sigmaKL)*pKL/pL-1</f>
        <v>5.773159728050814E-15</v>
      </c>
      <c r="AB58" s="113">
        <v>0</v>
      </c>
      <c r="AC58" s="113">
        <f t="array" ref="AC58">omegaI*GDP/SUM(pI*I)-1</f>
        <v>0</v>
      </c>
      <c r="AD58" s="113">
        <f>Labour_Q/KL_Q/Calibration!Labour_Q*Calibration!KL_Q-Labour_E/KL_E/Calibration!Labour_E*Calibration!KL_E</f>
        <v>-1.8873791418627661E-15</v>
      </c>
      <c r="AE58" s="113">
        <f t="array" ref="AE58">omegaI*GDP/SUM(pI*I)-1</f>
        <v>0</v>
      </c>
      <c r="AF58" s="113">
        <f>Labour_Q/KL_Q/Calibration!Labour_Q*Calibration!KL_Q-Labour_E/KL_E/Calibration!Labour_E*Calibration!KL_E</f>
        <v>-1.8873791418627661E-15</v>
      </c>
      <c r="AG58" s="113">
        <f t="array" ref="AG58:AH58">bKL*(KL/Labour)^(1/sigmaKL)*pKL/pL-1</f>
        <v>5.773159728050814E-15</v>
      </c>
      <c r="AH58" s="113">
        <v>0</v>
      </c>
      <c r="AI58" s="113">
        <f t="array" ref="AI58:AJ58">bKL*(KL/Labour)^(1/sigmaKL)*pKL/pL-1</f>
        <v>5.773159728050814E-15</v>
      </c>
      <c r="AJ58" s="113">
        <v>0</v>
      </c>
      <c r="AK58" s="113">
        <f t="array" ref="AK58">(pI*I)/(Calibration!pI*Calibration!I)-1</f>
        <v>0</v>
      </c>
      <c r="AL58" s="113">
        <f>Labour_Q/KL_Q/Calibration!Labour_Q*Calibration!KL_Q-Labour_E/KL_E/Calibration!Labour_E*Calibration!KL_E</f>
        <v>-1.8873791418627661E-15</v>
      </c>
    </row>
    <row r="59" spans="2:38" ht="10.5" x14ac:dyDescent="0.25">
      <c r="B59" t="s">
        <v>75</v>
      </c>
      <c r="C59" s="111">
        <f t="array" ref="C59">SUM(pX*X - pW*M)</f>
        <v>1136879.4410000113</v>
      </c>
      <c r="J59" s="107" t="s">
        <v>70</v>
      </c>
      <c r="K59" s="113">
        <f t="array" ref="K59">(sL*(SUM(w*Labour))+sG*(T-SUM(pG*G))+sK*SUM(pK*K)-B)/SUM(pI*I)-1</f>
        <v>4.2188474935755949E-15</v>
      </c>
      <c r="N59" s="76">
        <v>1.9984014443252818E-15</v>
      </c>
      <c r="T59" s="107" t="s">
        <v>128</v>
      </c>
      <c r="U59" s="113">
        <f t="array" ref="U59">(sL*(SUM(w*Labour))+sG*(T-SUM(pG*G))+sK*SUM(pK*K)-B)/SUM(pI*I)-1</f>
        <v>4.2188474935755949E-15</v>
      </c>
      <c r="W59" s="113">
        <f t="array" ref="W59">omegaI*GDP/SUM(pI*I)-1</f>
        <v>0</v>
      </c>
      <c r="Y59" s="113">
        <f t="array" ref="Y59">(sL*(SUM(w*Labour))+sG*(T-SUM(pG*G))+sK*SUM(pK*K)-B)/SUM(pI*I)-1</f>
        <v>4.2188474935755949E-15</v>
      </c>
      <c r="AA59" s="113">
        <f t="array" ref="AA59">(sL*(SUM(w*Labour))+sG*(T-SUM(pG*G))+sK*SUM(pK*K)-B)/SUM(pI*I)-1</f>
        <v>4.2188474935755949E-15</v>
      </c>
      <c r="AC59" s="113">
        <f t="array" ref="AC59">(sL*(SUM(w*Labour))+sG*(T-SUM(pG*G))+sK*SUM(pK*K)-B)/SUM(pI*I)-1</f>
        <v>4.2188474935755949E-15</v>
      </c>
      <c r="AE59" s="113">
        <f t="array" ref="AE59">(sL*(SUM(w*Labour))+sG*(T-SUM(pG*G))+sK*SUM(pK*K)-B)/SUM(pI*I)-1</f>
        <v>4.2188474935755949E-15</v>
      </c>
      <c r="AG59" s="113">
        <f t="array" ref="AG59">(sL*(SUM(w*Labour))+sG*(T-SUM(pG*G))+sK*SUM(pK*K)-B)/SUM(pI*I)-1</f>
        <v>4.2188474935755949E-15</v>
      </c>
      <c r="AI59" s="113">
        <f t="array" ref="AI59">(sL*(SUM(w*Labour))+sG*(T-SUM(pG*G))+sK*SUM(pK*K)-B)/SUM(pI*I)-1</f>
        <v>4.2188474935755949E-15</v>
      </c>
      <c r="AK59" s="113">
        <f t="array" ref="AK59">(sL*(SUM(w*Labour))+sG*(T-SUM(pG*G))+sK*SUM(pK*K)-B)/SUM(pI*I)-1</f>
        <v>4.2188474935755949E-15</v>
      </c>
    </row>
    <row r="60" spans="2:38" ht="10.5" x14ac:dyDescent="0.25">
      <c r="B60" t="s">
        <v>145</v>
      </c>
      <c r="C60" s="191">
        <f t="array" ref="C60">SQRT(SUM(pC*Calibration!Consumption)*SUM(pC*Consumption)/SUM(Calibration!pC*Calibration!Consumption)/SUM(Calibration!pC*Consumption))</f>
        <v>1</v>
      </c>
      <c r="J60" s="107" t="s">
        <v>91</v>
      </c>
      <c r="K60" s="166">
        <v>0.40559806644645535</v>
      </c>
      <c r="N60" s="125"/>
      <c r="T60" s="107" t="s">
        <v>91</v>
      </c>
      <c r="U60" s="166">
        <v>0.40559806644645535</v>
      </c>
      <c r="W60" s="166">
        <v>0.40559806644645535</v>
      </c>
      <c r="Y60" s="166">
        <v>0</v>
      </c>
      <c r="AA60" s="166">
        <v>0.40559806644645535</v>
      </c>
      <c r="AC60" s="166">
        <v>0.40559806644645535</v>
      </c>
      <c r="AE60" s="166">
        <v>0</v>
      </c>
      <c r="AG60" s="166">
        <v>0.40559806644645535</v>
      </c>
      <c r="AI60" s="166">
        <v>0.40559806644645535</v>
      </c>
      <c r="AK60" s="166">
        <v>0.40559806644645535</v>
      </c>
    </row>
    <row r="61" spans="2:38" ht="10.5" x14ac:dyDescent="0.25">
      <c r="C61" s="27"/>
      <c r="O61" s="92"/>
      <c r="P61" s="92"/>
      <c r="Q61" s="92"/>
      <c r="R61" s="92"/>
    </row>
    <row r="62" spans="2:38" x14ac:dyDescent="0.2">
      <c r="B62" t="s">
        <v>98</v>
      </c>
      <c r="C62" s="182">
        <f>Calibration!omegaG</f>
        <v>0.22604620456442484</v>
      </c>
      <c r="D62" t="s">
        <v>81</v>
      </c>
    </row>
    <row r="63" spans="2:38" x14ac:dyDescent="0.2">
      <c r="B63" t="s">
        <v>99</v>
      </c>
      <c r="C63" s="182">
        <f>Calibration!omegaI</f>
        <v>0.22038438833194082</v>
      </c>
      <c r="D63" t="s">
        <v>82</v>
      </c>
    </row>
    <row r="64" spans="2:38" x14ac:dyDescent="0.2">
      <c r="B64" t="s">
        <v>92</v>
      </c>
      <c r="C64" s="153">
        <f t="array" ref="C64">(SUM(pI*I)+B)/GDP</f>
        <v>0.29754226190682431</v>
      </c>
      <c r="D64" t="s">
        <v>100</v>
      </c>
    </row>
    <row r="65" spans="2:15" x14ac:dyDescent="0.2">
      <c r="B65" t="s">
        <v>84</v>
      </c>
      <c r="C65" s="182">
        <f>Calibration!sK</f>
        <v>0.40559806644645541</v>
      </c>
      <c r="D65" t="s">
        <v>101</v>
      </c>
    </row>
    <row r="66" spans="2:15" x14ac:dyDescent="0.2">
      <c r="B66" t="s">
        <v>85</v>
      </c>
      <c r="C66" s="182">
        <f>Calibration!sL</f>
        <v>0.40559806644645535</v>
      </c>
      <c r="D66" t="s">
        <v>102</v>
      </c>
    </row>
    <row r="67" spans="2:15" x14ac:dyDescent="0.2">
      <c r="B67" t="s">
        <v>110</v>
      </c>
      <c r="C67" s="182">
        <f>Calibration!sG</f>
        <v>1</v>
      </c>
      <c r="D67" t="s">
        <v>137</v>
      </c>
    </row>
    <row r="69" spans="2:15" x14ac:dyDescent="0.2">
      <c r="C69" s="128"/>
    </row>
    <row r="70" spans="2:15" x14ac:dyDescent="0.2">
      <c r="B70" t="s">
        <v>21</v>
      </c>
      <c r="C70" s="35">
        <f t="array" ref="C70:D70">(bY/pMY)^sigmaY*(aY^sigmaY*pKLE^(1-sigmaY)+bY^sigmaY*pMY^(1-sigmaY))^(-1/rhoY)</f>
        <v>0.47195767671988198</v>
      </c>
      <c r="D70" s="36">
        <v>0.31738834428178964</v>
      </c>
      <c r="E70" t="s">
        <v>24</v>
      </c>
      <c r="N70" s="68">
        <f t="array" ref="N70:O73">FACTORS/Calibration!FACTORS-1</f>
        <v>0</v>
      </c>
      <c r="O70" s="69">
        <v>0</v>
      </c>
    </row>
    <row r="71" spans="2:15" x14ac:dyDescent="0.2">
      <c r="C71" s="37">
        <f t="array" ref="C71:D71">(bKLE/pEY)^sigmaKLE*(aKLE^sigmaKLE*pKL^(1-sigmaKLE)+bKLE^sigmaKLE*pEY^(1-sigmaKLE))^(-1/rhoKLE)*KLE/Y</f>
        <v>2.1403217525954466E-2</v>
      </c>
      <c r="D71" s="38">
        <v>0.3496246130199252</v>
      </c>
      <c r="E71" t="s">
        <v>25</v>
      </c>
      <c r="N71" s="70">
        <v>0</v>
      </c>
      <c r="O71" s="71">
        <v>0</v>
      </c>
    </row>
    <row r="72" spans="2:15" x14ac:dyDescent="0.2">
      <c r="B72" t="s">
        <v>22</v>
      </c>
      <c r="C72" s="35">
        <f t="array" ref="C72:D72">Labour/Y</f>
        <v>0.18079094942242827</v>
      </c>
      <c r="D72" s="36">
        <v>6.0565413429233668E-2</v>
      </c>
      <c r="N72" s="70">
        <v>0</v>
      </c>
      <c r="O72" s="71">
        <v>0</v>
      </c>
    </row>
    <row r="73" spans="2:15" x14ac:dyDescent="0.2">
      <c r="B73" t="s">
        <v>23</v>
      </c>
      <c r="C73" s="37">
        <f t="array" ref="C73:D73">K/Y</f>
        <v>0.23064923795098771</v>
      </c>
      <c r="D73" s="38">
        <v>0.22092201281804777</v>
      </c>
      <c r="N73" s="72">
        <v>6.2172489379008766E-15</v>
      </c>
      <c r="O73" s="73">
        <v>0</v>
      </c>
    </row>
    <row r="79" spans="2:15" ht="10.5" x14ac:dyDescent="0.25">
      <c r="B79" s="92" t="s">
        <v>93</v>
      </c>
    </row>
    <row r="80" spans="2:15" x14ac:dyDescent="0.2">
      <c r="B80" t="s">
        <v>12</v>
      </c>
      <c r="C80" s="81">
        <v>1000</v>
      </c>
      <c r="D80" s="82">
        <v>1000</v>
      </c>
    </row>
    <row r="81" spans="2:5" x14ac:dyDescent="0.2">
      <c r="B81" t="s">
        <v>115</v>
      </c>
      <c r="C81" s="93">
        <v>1000</v>
      </c>
      <c r="D81" s="94">
        <v>1000</v>
      </c>
    </row>
    <row r="82" spans="2:5" x14ac:dyDescent="0.2">
      <c r="B82" t="s">
        <v>17</v>
      </c>
      <c r="C82" s="93">
        <v>1000</v>
      </c>
      <c r="D82" s="94">
        <v>1000</v>
      </c>
    </row>
    <row r="83" spans="2:5" x14ac:dyDescent="0.2">
      <c r="B83" t="s">
        <v>18</v>
      </c>
      <c r="C83" s="146">
        <v>1000</v>
      </c>
      <c r="D83" s="147">
        <v>1000</v>
      </c>
    </row>
    <row r="84" spans="2:5" x14ac:dyDescent="0.2">
      <c r="B84" t="s">
        <v>61</v>
      </c>
      <c r="C84" s="146">
        <v>1000</v>
      </c>
      <c r="D84" s="147">
        <v>1000</v>
      </c>
    </row>
    <row r="85" spans="2:5" x14ac:dyDescent="0.2">
      <c r="B85" t="s">
        <v>114</v>
      </c>
      <c r="C85" s="79">
        <v>26548.356269999993</v>
      </c>
      <c r="D85" s="80">
        <v>1408.5418709999938</v>
      </c>
    </row>
    <row r="86" spans="2:5" x14ac:dyDescent="0.2">
      <c r="B86" t="s">
        <v>8</v>
      </c>
      <c r="C86" s="93">
        <v>3196.3846373657216</v>
      </c>
      <c r="D86" s="186">
        <v>5.7716594496607888E-3</v>
      </c>
      <c r="E86" t="s">
        <v>148</v>
      </c>
    </row>
    <row r="87" spans="2:5" x14ac:dyDescent="0.2">
      <c r="B87" t="s">
        <v>64</v>
      </c>
      <c r="C87" s="149">
        <v>14734457.915000005</v>
      </c>
      <c r="D87" s="150">
        <v>0</v>
      </c>
    </row>
    <row r="88" spans="2:5" x14ac:dyDescent="0.2">
      <c r="B88" t="s">
        <v>27</v>
      </c>
      <c r="C88" s="149">
        <v>5036.2953101960647</v>
      </c>
      <c r="D88" s="157">
        <v>74.905331803938267</v>
      </c>
    </row>
    <row r="89" spans="2:5" x14ac:dyDescent="0.2">
      <c r="B89" t="s">
        <v>19</v>
      </c>
      <c r="C89" s="148">
        <v>27857.010133999996</v>
      </c>
      <c r="D89" s="151">
        <v>1236.7674480000003</v>
      </c>
    </row>
  </sheetData>
  <conditionalFormatting sqref="K21:L21">
    <cfRule type="cellIs" dxfId="137" priority="1900" stopIfTrue="1" operator="notEqual">
      <formula>0</formula>
    </cfRule>
  </conditionalFormatting>
  <conditionalFormatting sqref="Q48:R48">
    <cfRule type="cellIs" dxfId="136" priority="1889" stopIfTrue="1" operator="notEqual">
      <formula>0</formula>
    </cfRule>
  </conditionalFormatting>
  <conditionalFormatting sqref="K39:L39">
    <cfRule type="cellIs" dxfId="135" priority="1897" stopIfTrue="1" operator="notEqual">
      <formula>0</formula>
    </cfRule>
  </conditionalFormatting>
  <conditionalFormatting sqref="K41">
    <cfRule type="cellIs" dxfId="134" priority="1896" stopIfTrue="1" operator="notEqual">
      <formula>0</formula>
    </cfRule>
  </conditionalFormatting>
  <conditionalFormatting sqref="Q47:R47">
    <cfRule type="cellIs" dxfId="133" priority="1894" stopIfTrue="1" operator="notEqual">
      <formula>0</formula>
    </cfRule>
  </conditionalFormatting>
  <conditionalFormatting sqref="Q37:R37">
    <cfRule type="cellIs" dxfId="132" priority="1891" stopIfTrue="1" operator="notEqual">
      <formula>0</formula>
    </cfRule>
  </conditionalFormatting>
  <conditionalFormatting sqref="R57">
    <cfRule type="cellIs" dxfId="131" priority="1885" stopIfTrue="1" operator="notEqual">
      <formula>0</formula>
    </cfRule>
  </conditionalFormatting>
  <conditionalFormatting sqref="Q57:Q58">
    <cfRule type="cellIs" dxfId="130" priority="1887" stopIfTrue="1" operator="notEqual">
      <formula>0</formula>
    </cfRule>
  </conditionalFormatting>
  <conditionalFormatting sqref="W59">
    <cfRule type="cellIs" dxfId="129" priority="1832" stopIfTrue="1" operator="notEqual">
      <formula>0</formula>
    </cfRule>
  </conditionalFormatting>
  <conditionalFormatting sqref="K37:L37">
    <cfRule type="cellIs" dxfId="128" priority="1466" stopIfTrue="1" operator="notEqual">
      <formula>0</formula>
    </cfRule>
  </conditionalFormatting>
  <conditionalFormatting sqref="Q21:R21">
    <cfRule type="cellIs" dxfId="127" priority="1449" stopIfTrue="1" operator="notEqual">
      <formula>0</formula>
    </cfRule>
  </conditionalFormatting>
  <conditionalFormatting sqref="Q23:R23">
    <cfRule type="cellIs" dxfId="126" priority="1453" stopIfTrue="1" operator="notEqual">
      <formula>0</formula>
    </cfRule>
  </conditionalFormatting>
  <conditionalFormatting sqref="Q38:R38">
    <cfRule type="cellIs" dxfId="125" priority="1452" stopIfTrue="1" operator="notEqual">
      <formula>0</formula>
    </cfRule>
  </conditionalFormatting>
  <conditionalFormatting sqref="Q34:R34">
    <cfRule type="cellIs" dxfId="124" priority="1451" stopIfTrue="1" operator="notEqual">
      <formula>0</formula>
    </cfRule>
  </conditionalFormatting>
  <conditionalFormatting sqref="Q35:R35">
    <cfRule type="cellIs" dxfId="123" priority="1450" stopIfTrue="1" operator="notEqual">
      <formula>0</formula>
    </cfRule>
  </conditionalFormatting>
  <conditionalFormatting sqref="K23:L23">
    <cfRule type="cellIs" dxfId="122" priority="1448" stopIfTrue="1" operator="notEqual">
      <formula>0</formula>
    </cfRule>
  </conditionalFormatting>
  <conditionalFormatting sqref="K34:L34">
    <cfRule type="cellIs" dxfId="121" priority="1219" stopIfTrue="1" operator="notEqual">
      <formula>0</formula>
    </cfRule>
  </conditionalFormatting>
  <conditionalFormatting sqref="Q33:R33">
    <cfRule type="cellIs" dxfId="120" priority="1213" stopIfTrue="1" operator="notEqual">
      <formula>0</formula>
    </cfRule>
  </conditionalFormatting>
  <conditionalFormatting sqref="Q46:R46">
    <cfRule type="cellIs" dxfId="119" priority="1217" stopIfTrue="1" operator="notEqual">
      <formula>0</formula>
    </cfRule>
  </conditionalFormatting>
  <conditionalFormatting sqref="Q45:R45">
    <cfRule type="cellIs" dxfId="118" priority="1218" stopIfTrue="1" operator="notEqual">
      <formula>0</formula>
    </cfRule>
  </conditionalFormatting>
  <conditionalFormatting sqref="W58">
    <cfRule type="cellIs" dxfId="117" priority="1204" stopIfTrue="1" operator="notEqual">
      <formula>0</formula>
    </cfRule>
  </conditionalFormatting>
  <conditionalFormatting sqref="Q32:R32">
    <cfRule type="cellIs" dxfId="116" priority="1214" stopIfTrue="1" operator="notEqual">
      <formula>0</formula>
    </cfRule>
  </conditionalFormatting>
  <conditionalFormatting sqref="X58">
    <cfRule type="cellIs" dxfId="115" priority="1203" stopIfTrue="1" operator="notEqual">
      <formula>0</formula>
    </cfRule>
  </conditionalFormatting>
  <conditionalFormatting sqref="W55">
    <cfRule type="cellIs" dxfId="114" priority="1162" stopIfTrue="1" operator="notEqual">
      <formula>0</formula>
    </cfRule>
  </conditionalFormatting>
  <conditionalFormatting sqref="W56">
    <cfRule type="cellIs" dxfId="113" priority="1161" stopIfTrue="1" operator="notEqual">
      <formula>0</formula>
    </cfRule>
  </conditionalFormatting>
  <conditionalFormatting sqref="Y55">
    <cfRule type="cellIs" dxfId="112" priority="1159" stopIfTrue="1" operator="notEqual">
      <formula>0</formula>
    </cfRule>
  </conditionalFormatting>
  <conditionalFormatting sqref="Y56">
    <cfRule type="cellIs" dxfId="111" priority="1158" stopIfTrue="1" operator="notEqual">
      <formula>0</formula>
    </cfRule>
  </conditionalFormatting>
  <conditionalFormatting sqref="AA59">
    <cfRule type="cellIs" dxfId="110" priority="1155" stopIfTrue="1" operator="notEqual">
      <formula>0</formula>
    </cfRule>
  </conditionalFormatting>
  <conditionalFormatting sqref="AA55">
    <cfRule type="cellIs" dxfId="109" priority="1153" stopIfTrue="1" operator="notEqual">
      <formula>0</formula>
    </cfRule>
  </conditionalFormatting>
  <conditionalFormatting sqref="AA58">
    <cfRule type="cellIs" dxfId="108" priority="1149" stopIfTrue="1" operator="notEqual">
      <formula>0</formula>
    </cfRule>
  </conditionalFormatting>
  <conditionalFormatting sqref="AB58">
    <cfRule type="cellIs" dxfId="107" priority="1148" stopIfTrue="1" operator="notEqual">
      <formula>0</formula>
    </cfRule>
  </conditionalFormatting>
  <conditionalFormatting sqref="U58">
    <cfRule type="cellIs" dxfId="106" priority="1126" stopIfTrue="1" operator="notEqual">
      <formula>0</formula>
    </cfRule>
  </conditionalFormatting>
  <conditionalFormatting sqref="V58">
    <cfRule type="cellIs" dxfId="105" priority="1125" stopIfTrue="1" operator="notEqual">
      <formula>0</formula>
    </cfRule>
  </conditionalFormatting>
  <conditionalFormatting sqref="U57">
    <cfRule type="cellIs" dxfId="104" priority="1123" stopIfTrue="1" operator="notEqual">
      <formula>0</formula>
    </cfRule>
  </conditionalFormatting>
  <conditionalFormatting sqref="U55">
    <cfRule type="cellIs" dxfId="103" priority="1127" stopIfTrue="1" operator="notEqual">
      <formula>0</formula>
    </cfRule>
  </conditionalFormatting>
  <conditionalFormatting sqref="U56">
    <cfRule type="cellIs" dxfId="102" priority="1124" stopIfTrue="1" operator="notEqual">
      <formula>0</formula>
    </cfRule>
  </conditionalFormatting>
  <conditionalFormatting sqref="U59">
    <cfRule type="cellIs" dxfId="101" priority="1122" stopIfTrue="1" operator="notEqual">
      <formula>0</formula>
    </cfRule>
  </conditionalFormatting>
  <conditionalFormatting sqref="Z58">
    <cfRule type="cellIs" dxfId="100" priority="1100" stopIfTrue="1" operator="notEqual">
      <formula>0</formula>
    </cfRule>
  </conditionalFormatting>
  <conditionalFormatting sqref="AC59">
    <cfRule type="cellIs" dxfId="99" priority="1093" stopIfTrue="1" operator="notEqual">
      <formula>0</formula>
    </cfRule>
  </conditionalFormatting>
  <conditionalFormatting sqref="AC55">
    <cfRule type="cellIs" dxfId="98" priority="1092" stopIfTrue="1" operator="notEqual">
      <formula>0</formula>
    </cfRule>
  </conditionalFormatting>
  <conditionalFormatting sqref="AC56">
    <cfRule type="cellIs" dxfId="97" priority="1088" stopIfTrue="1" operator="notEqual">
      <formula>0</formula>
    </cfRule>
  </conditionalFormatting>
  <conditionalFormatting sqref="AD58">
    <cfRule type="cellIs" dxfId="96" priority="1086" stopIfTrue="1" operator="notEqual">
      <formula>0</formula>
    </cfRule>
  </conditionalFormatting>
  <conditionalFormatting sqref="AE59">
    <cfRule type="cellIs" dxfId="95" priority="1079" stopIfTrue="1" operator="notEqual">
      <formula>0</formula>
    </cfRule>
  </conditionalFormatting>
  <conditionalFormatting sqref="AE55">
    <cfRule type="cellIs" dxfId="94" priority="1078" stopIfTrue="1" operator="notEqual">
      <formula>0</formula>
    </cfRule>
  </conditionalFormatting>
  <conditionalFormatting sqref="AE56">
    <cfRule type="cellIs" dxfId="93" priority="1076" stopIfTrue="1" operator="notEqual">
      <formula>0</formula>
    </cfRule>
  </conditionalFormatting>
  <conditionalFormatting sqref="AF58">
    <cfRule type="cellIs" dxfId="92" priority="1074" stopIfTrue="1" operator="notEqual">
      <formula>0</formula>
    </cfRule>
  </conditionalFormatting>
  <conditionalFormatting sqref="AI59">
    <cfRule type="cellIs" dxfId="91" priority="1067" stopIfTrue="1" operator="notEqual">
      <formula>0</formula>
    </cfRule>
  </conditionalFormatting>
  <conditionalFormatting sqref="AI57">
    <cfRule type="cellIs" dxfId="90" priority="1065" stopIfTrue="1" operator="notEqual">
      <formula>0</formula>
    </cfRule>
  </conditionalFormatting>
  <conditionalFormatting sqref="AI55">
    <cfRule type="cellIs" dxfId="89" priority="1066" stopIfTrue="1" operator="notEqual">
      <formula>0</formula>
    </cfRule>
  </conditionalFormatting>
  <conditionalFormatting sqref="AI58">
    <cfRule type="cellIs" dxfId="88" priority="1061" stopIfTrue="1" operator="notEqual">
      <formula>0</formula>
    </cfRule>
  </conditionalFormatting>
  <conditionalFormatting sqref="AJ58">
    <cfRule type="cellIs" dxfId="87" priority="1060" stopIfTrue="1" operator="notEqual">
      <formula>0</formula>
    </cfRule>
  </conditionalFormatting>
  <conditionalFormatting sqref="W57">
    <cfRule type="cellIs" dxfId="86" priority="962" stopIfTrue="1" operator="notEqual">
      <formula>0</formula>
    </cfRule>
  </conditionalFormatting>
  <conditionalFormatting sqref="Y57">
    <cfRule type="cellIs" dxfId="85" priority="961" stopIfTrue="1" operator="notEqual">
      <formula>0</formula>
    </cfRule>
  </conditionalFormatting>
  <conditionalFormatting sqref="AA57">
    <cfRule type="cellIs" dxfId="84" priority="960" stopIfTrue="1" operator="notEqual">
      <formula>0</formula>
    </cfRule>
  </conditionalFormatting>
  <conditionalFormatting sqref="AC57">
    <cfRule type="cellIs" dxfId="83" priority="959" stopIfTrue="1" operator="notEqual">
      <formula>0</formula>
    </cfRule>
  </conditionalFormatting>
  <conditionalFormatting sqref="AE57">
    <cfRule type="cellIs" dxfId="82" priority="958" stopIfTrue="1" operator="notEqual">
      <formula>0</formula>
    </cfRule>
  </conditionalFormatting>
  <conditionalFormatting sqref="AK57">
    <cfRule type="cellIs" dxfId="81" priority="858" stopIfTrue="1" operator="notEqual">
      <formula>0</formula>
    </cfRule>
  </conditionalFormatting>
  <conditionalFormatting sqref="AK58">
    <cfRule type="cellIs" dxfId="80" priority="857" stopIfTrue="1" operator="notEqual">
      <formula>0</formula>
    </cfRule>
  </conditionalFormatting>
  <conditionalFormatting sqref="Y58">
    <cfRule type="cellIs" dxfId="79" priority="896" stopIfTrue="1" operator="notEqual">
      <formula>0</formula>
    </cfRule>
  </conditionalFormatting>
  <conditionalFormatting sqref="AA56">
    <cfRule type="cellIs" dxfId="78" priority="889" stopIfTrue="1" operator="notEqual">
      <formula>0</formula>
    </cfRule>
  </conditionalFormatting>
  <conditionalFormatting sqref="AC58">
    <cfRule type="cellIs" dxfId="77" priority="882" stopIfTrue="1" operator="notEqual">
      <formula>0</formula>
    </cfRule>
  </conditionalFormatting>
  <conditionalFormatting sqref="AE58">
    <cfRule type="cellIs" dxfId="76" priority="875" stopIfTrue="1" operator="notEqual">
      <formula>0</formula>
    </cfRule>
  </conditionalFormatting>
  <conditionalFormatting sqref="AK59">
    <cfRule type="cellIs" dxfId="75" priority="862" stopIfTrue="1" operator="notEqual">
      <formula>0</formula>
    </cfRule>
  </conditionalFormatting>
  <conditionalFormatting sqref="AK56">
    <cfRule type="cellIs" dxfId="74" priority="860" stopIfTrue="1" operator="notEqual">
      <formula>0</formula>
    </cfRule>
  </conditionalFormatting>
  <conditionalFormatting sqref="AK55">
    <cfRule type="cellIs" dxfId="73" priority="861" stopIfTrue="1" operator="notEqual">
      <formula>0</formula>
    </cfRule>
  </conditionalFormatting>
  <conditionalFormatting sqref="AL58">
    <cfRule type="cellIs" dxfId="72" priority="859" stopIfTrue="1" operator="notEqual">
      <formula>0</formula>
    </cfRule>
  </conditionalFormatting>
  <conditionalFormatting sqref="T21:U21">
    <cfRule type="cellIs" dxfId="71" priority="819" stopIfTrue="1" operator="notEqual">
      <formula>0</formula>
    </cfRule>
  </conditionalFormatting>
  <conditionalFormatting sqref="AG58">
    <cfRule type="cellIs" dxfId="70" priority="796" stopIfTrue="1" operator="notEqual">
      <formula>0</formula>
    </cfRule>
  </conditionalFormatting>
  <conditionalFormatting sqref="AH58">
    <cfRule type="cellIs" dxfId="69" priority="795" stopIfTrue="1" operator="notEqual">
      <formula>0</formula>
    </cfRule>
  </conditionalFormatting>
  <conditionalFormatting sqref="AG57">
    <cfRule type="cellIs" dxfId="68" priority="792" stopIfTrue="1" operator="notEqual">
      <formula>0</formula>
    </cfRule>
  </conditionalFormatting>
  <conditionalFormatting sqref="AG59">
    <cfRule type="cellIs" dxfId="67" priority="799" stopIfTrue="1" operator="notEqual">
      <formula>0</formula>
    </cfRule>
  </conditionalFormatting>
  <conditionalFormatting sqref="AG56">
    <cfRule type="cellIs" dxfId="66" priority="671" stopIfTrue="1" operator="notEqual">
      <formula>0</formula>
    </cfRule>
  </conditionalFormatting>
  <conditionalFormatting sqref="AG55">
    <cfRule type="cellIs" dxfId="65" priority="670" stopIfTrue="1" operator="notEqual">
      <formula>0</formula>
    </cfRule>
  </conditionalFormatting>
  <conditionalFormatting sqref="Y59">
    <cfRule type="cellIs" dxfId="64" priority="548" stopIfTrue="1" operator="notEqual">
      <formula>0</formula>
    </cfRule>
  </conditionalFormatting>
  <conditionalFormatting sqref="AI56">
    <cfRule type="cellIs" dxfId="63" priority="265" stopIfTrue="1" operator="notEqual">
      <formula>0</formula>
    </cfRule>
  </conditionalFormatting>
  <conditionalFormatting sqref="K59">
    <cfRule type="cellIs" dxfId="5" priority="6" stopIfTrue="1" operator="notEqual">
      <formula>0</formula>
    </cfRule>
  </conditionalFormatting>
  <conditionalFormatting sqref="K57">
    <cfRule type="cellIs" dxfId="4" priority="4" stopIfTrue="1" operator="notEqual">
      <formula>0</formula>
    </cfRule>
  </conditionalFormatting>
  <conditionalFormatting sqref="K55">
    <cfRule type="cellIs" dxfId="3" priority="5" stopIfTrue="1" operator="notEqual">
      <formula>0</formula>
    </cfRule>
  </conditionalFormatting>
  <conditionalFormatting sqref="K58">
    <cfRule type="cellIs" dxfId="2" priority="3" stopIfTrue="1" operator="notEqual">
      <formula>0</formula>
    </cfRule>
  </conditionalFormatting>
  <conditionalFormatting sqref="L58">
    <cfRule type="cellIs" dxfId="1" priority="2" stopIfTrue="1" operator="notEqual">
      <formula>0</formula>
    </cfRule>
  </conditionalFormatting>
  <conditionalFormatting sqref="K56">
    <cfRule type="cellIs" dxfId="0" priority="1" stopIfTrue="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Resolution">
                <anchor moveWithCells="1" sizeWithCells="1">
                  <from>
                    <xdr:col>7</xdr:col>
                    <xdr:colOff>393700</xdr:colOff>
                    <xdr:row>50</xdr:row>
                    <xdr:rowOff>88900</xdr:rowOff>
                  </from>
                  <to>
                    <xdr:col>8</xdr:col>
                    <xdr:colOff>628650</xdr:colOff>
                    <xdr:row>53</xdr:row>
                    <xdr:rowOff>88900</xdr:rowOff>
                  </to>
                </anchor>
              </controlPr>
            </control>
          </mc:Choice>
        </mc:AlternateContent>
        <mc:AlternateContent xmlns:mc="http://schemas.openxmlformats.org/markup-compatibility/2006">
          <mc:Choice Requires="x14">
            <control shapeId="2052" r:id="rId5" name="Button 4">
              <controlPr defaultSize="0" print="0" autoFill="0" autoPict="0" macro="[0]!Reference">
                <anchor moveWithCells="1" sizeWithCells="1">
                  <from>
                    <xdr:col>11</xdr:col>
                    <xdr:colOff>368300</xdr:colOff>
                    <xdr:row>58</xdr:row>
                    <xdr:rowOff>101600</xdr:rowOff>
                  </from>
                  <to>
                    <xdr:col>12</xdr:col>
                    <xdr:colOff>584200</xdr:colOff>
                    <xdr:row>61</xdr:row>
                    <xdr:rowOff>95250</xdr:rowOff>
                  </to>
                </anchor>
              </controlPr>
            </control>
          </mc:Choice>
        </mc:AlternateContent>
        <mc:AlternateContent xmlns:mc="http://schemas.openxmlformats.org/markup-compatibility/2006">
          <mc:Choice Requires="x14">
            <control shapeId="2056" r:id="rId6" name="Button 8">
              <controlPr defaultSize="0" print="0" autoFill="0" autoPict="0" macro="[0]!Profile">
                <anchor moveWithCells="1" sizeWithCells="1">
                  <from>
                    <xdr:col>11</xdr:col>
                    <xdr:colOff>355600</xdr:colOff>
                    <xdr:row>50</xdr:row>
                    <xdr:rowOff>76200</xdr:rowOff>
                  </from>
                  <to>
                    <xdr:col>12</xdr:col>
                    <xdr:colOff>584200</xdr:colOff>
                    <xdr:row>53</xdr:row>
                    <xdr:rowOff>88900</xdr:rowOff>
                  </to>
                </anchor>
              </controlPr>
            </control>
          </mc:Choice>
        </mc:AlternateContent>
        <mc:AlternateContent xmlns:mc="http://schemas.openxmlformats.org/markup-compatibility/2006">
          <mc:Choice Requires="x14">
            <control shapeId="2065" r:id="rId7" name="Button 17">
              <controlPr defaultSize="0" print="0" autoFill="0" autoPict="0" macro="[0]!_xludf.Save">
                <anchor moveWithCells="1" sizeWithCells="1">
                  <from>
                    <xdr:col>7</xdr:col>
                    <xdr:colOff>393700</xdr:colOff>
                    <xdr:row>54</xdr:row>
                    <xdr:rowOff>57150</xdr:rowOff>
                  </from>
                  <to>
                    <xdr:col>8</xdr:col>
                    <xdr:colOff>628650</xdr:colOff>
                    <xdr:row>57</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A1:XFD83"/>
  <sheetViews>
    <sheetView showGridLines="0" workbookViewId="0">
      <pane xSplit="1" ySplit="1" topLeftCell="AH2" activePane="bottomRight" state="frozen"/>
      <selection pane="topRight" activeCell="B1" sqref="B1"/>
      <selection pane="bottomLeft" activeCell="A2" sqref="A2"/>
      <selection pane="bottomRight" activeCell="AM11"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c r="AX1">
        <v>0.99000000000000032</v>
      </c>
    </row>
    <row r="2" spans="1:51" x14ac:dyDescent="0.2">
      <c r="A2" s="190" t="s">
        <v>139</v>
      </c>
      <c r="B2" s="188">
        <v>5.7716594496607888E-3</v>
      </c>
      <c r="C2" s="189"/>
      <c r="D2" s="188">
        <v>4.5518481263062793E-2</v>
      </c>
      <c r="E2" s="189"/>
      <c r="F2" s="188">
        <v>8.8562863514592333E-2</v>
      </c>
      <c r="G2" s="189"/>
      <c r="H2" s="188">
        <v>0.13526398872811385</v>
      </c>
      <c r="I2" s="189"/>
      <c r="J2" s="188">
        <v>0.18601627035336959</v>
      </c>
      <c r="K2" s="189"/>
      <c r="L2" s="188">
        <v>0.24124728954057867</v>
      </c>
      <c r="M2" s="189"/>
      <c r="N2" s="188">
        <v>0.30141062494707521</v>
      </c>
      <c r="O2" s="189"/>
      <c r="P2" s="188">
        <v>0.36697403507820481</v>
      </c>
      <c r="Q2" s="189"/>
      <c r="R2" s="188">
        <v>0.43839724569730387</v>
      </c>
      <c r="S2" s="189"/>
      <c r="T2" s="188">
        <v>0.51610735644833494</v>
      </c>
      <c r="U2" s="189"/>
      <c r="V2" s="188">
        <v>0.60047821555057568</v>
      </c>
      <c r="W2" s="189"/>
      <c r="X2" s="188">
        <v>0.69188355998456963</v>
      </c>
      <c r="Y2" s="189"/>
      <c r="Z2" s="188">
        <v>0.79097882084432924</v>
      </c>
      <c r="AA2" s="189"/>
      <c r="AB2" s="188">
        <v>0.89968543496905795</v>
      </c>
      <c r="AC2" s="189"/>
      <c r="AD2" s="188">
        <v>1.0241820373121895</v>
      </c>
      <c r="AE2" s="189"/>
      <c r="AF2" s="188">
        <v>1.1839033267423165</v>
      </c>
      <c r="AG2" s="189"/>
      <c r="AH2" s="188">
        <v>1.4404694183402753</v>
      </c>
      <c r="AI2" s="189"/>
      <c r="AJ2" s="188">
        <v>2.0080031520006099</v>
      </c>
      <c r="AK2" s="189"/>
      <c r="AL2" s="188">
        <v>3.822087954220005</v>
      </c>
      <c r="AM2" s="189"/>
      <c r="AN2" s="188">
        <v>12.838574374526187</v>
      </c>
      <c r="AO2" s="189"/>
      <c r="AP2" s="188">
        <v>18.379990226301899</v>
      </c>
      <c r="AQ2" s="189"/>
      <c r="AR2" s="188">
        <v>28.482957892618224</v>
      </c>
      <c r="AS2" s="189"/>
      <c r="AT2" s="188">
        <v>50.757850970794856</v>
      </c>
      <c r="AU2" s="189"/>
      <c r="AV2" s="188">
        <v>125.26284170710795</v>
      </c>
      <c r="AW2" s="189"/>
      <c r="AX2">
        <v>2.7467636625383673</v>
      </c>
    </row>
    <row r="3" spans="1:51" x14ac:dyDescent="0.2">
      <c r="A3" t="s">
        <v>12</v>
      </c>
      <c r="B3" s="81">
        <v>1000</v>
      </c>
      <c r="C3" s="82">
        <v>1000</v>
      </c>
      <c r="D3" s="81">
        <v>998.62111887266974</v>
      </c>
      <c r="E3" s="82">
        <v>1018.7635525662997</v>
      </c>
      <c r="F3" s="81">
        <v>997.40755807159178</v>
      </c>
      <c r="G3" s="82">
        <v>1039.5683042228802</v>
      </c>
      <c r="H3" s="81">
        <v>996.3973472849558</v>
      </c>
      <c r="I3" s="82">
        <v>1062.6888578448211</v>
      </c>
      <c r="J3" s="81">
        <v>995.64256837860466</v>
      </c>
      <c r="K3" s="82">
        <v>1088.4411400596407</v>
      </c>
      <c r="L3" s="81">
        <v>995.21574539713833</v>
      </c>
      <c r="M3" s="82">
        <v>1117.1878160630213</v>
      </c>
      <c r="N3" s="81">
        <v>995.21986310822706</v>
      </c>
      <c r="O3" s="82">
        <v>1149.3437222004832</v>
      </c>
      <c r="P3" s="81">
        <v>995.8033078064791</v>
      </c>
      <c r="Q3" s="82">
        <v>1185.3820912328663</v>
      </c>
      <c r="R3" s="81">
        <v>997.18416065049553</v>
      </c>
      <c r="S3" s="82">
        <v>1225.8422374351683</v>
      </c>
      <c r="T3" s="81">
        <v>999.68947087477466</v>
      </c>
      <c r="U3" s="82">
        <v>1271.3475715108302</v>
      </c>
      <c r="V3" s="81">
        <v>1003.8218860035407</v>
      </c>
      <c r="W3" s="82">
        <v>1322.6494837441917</v>
      </c>
      <c r="X3" s="81">
        <v>1010.3747894040793</v>
      </c>
      <c r="Y3" s="82">
        <v>1380.75515725791</v>
      </c>
      <c r="Z3" s="81">
        <v>1020.6457413269409</v>
      </c>
      <c r="AA3" s="82">
        <v>1447.2731128144435</v>
      </c>
      <c r="AB3" s="81">
        <v>1036.8545958992595</v>
      </c>
      <c r="AC3" s="82">
        <v>1525.3311693896621</v>
      </c>
      <c r="AD3" s="81">
        <v>1063.0249310193374</v>
      </c>
      <c r="AE3" s="82">
        <v>1621.9909412820689</v>
      </c>
      <c r="AF3" s="81">
        <v>1106.9869932113056</v>
      </c>
      <c r="AG3" s="82">
        <v>1754.7815575561124</v>
      </c>
      <c r="AH3" s="81">
        <v>1185.3456973337513</v>
      </c>
      <c r="AI3" s="82">
        <v>1970.7735246698794</v>
      </c>
      <c r="AJ3" s="81">
        <v>1338.2147105838733</v>
      </c>
      <c r="AK3" s="82">
        <v>2412.630851196971</v>
      </c>
      <c r="AL3" s="81">
        <v>1684.343783290836</v>
      </c>
      <c r="AM3" s="82">
        <v>3626.0898011644158</v>
      </c>
      <c r="AN3" s="81">
        <v>2657.8092820982461</v>
      </c>
      <c r="AO3" s="82">
        <v>8669.8369883060222</v>
      </c>
      <c r="AP3" s="81">
        <v>3069.605159228377</v>
      </c>
      <c r="AQ3" s="82">
        <v>11532.4799832013</v>
      </c>
      <c r="AR3" s="81">
        <v>3677.4193902615921</v>
      </c>
      <c r="AS3" s="82">
        <v>16566.939689681985</v>
      </c>
      <c r="AT3" s="81">
        <v>4698.3615452484109</v>
      </c>
      <c r="AU3" s="82">
        <v>27238.714074519761</v>
      </c>
      <c r="AV3" s="81">
        <v>6975.0658729145653</v>
      </c>
      <c r="AW3" s="82">
        <v>61306.079239886705</v>
      </c>
      <c r="AX3">
        <v>983.99411499836162</v>
      </c>
      <c r="AY3">
        <v>2443.8265760999948</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c r="AX4">
        <v>1000</v>
      </c>
      <c r="AY4">
        <v>1000</v>
      </c>
    </row>
    <row r="5" spans="1:51" x14ac:dyDescent="0.2">
      <c r="A5" t="s">
        <v>115</v>
      </c>
      <c r="B5" s="39">
        <v>1000</v>
      </c>
      <c r="C5" s="40">
        <v>1000</v>
      </c>
      <c r="D5" s="39">
        <v>998.55247089451484</v>
      </c>
      <c r="E5" s="40">
        <v>1016.3037872414242</v>
      </c>
      <c r="F5" s="39">
        <v>997.2773628226297</v>
      </c>
      <c r="G5" s="40">
        <v>1033.9899195429723</v>
      </c>
      <c r="H5" s="39">
        <v>996.21510621357845</v>
      </c>
      <c r="I5" s="40">
        <v>1053.1785552294537</v>
      </c>
      <c r="J5" s="39">
        <v>995.42095705664121</v>
      </c>
      <c r="K5" s="40">
        <v>1073.9929231934293</v>
      </c>
      <c r="L5" s="39">
        <v>994.97168596008009</v>
      </c>
      <c r="M5" s="40">
        <v>1096.5547031613678</v>
      </c>
      <c r="N5" s="39">
        <v>994.97602081103514</v>
      </c>
      <c r="O5" s="40">
        <v>1120.9773109341545</v>
      </c>
      <c r="P5" s="39">
        <v>995.59011524494554</v>
      </c>
      <c r="Q5" s="40">
        <v>1147.3569493816331</v>
      </c>
      <c r="R5" s="39">
        <v>997.04251884634357</v>
      </c>
      <c r="S5" s="40">
        <v>1175.7625130544284</v>
      </c>
      <c r="T5" s="39">
        <v>999.67412946255467</v>
      </c>
      <c r="U5" s="40">
        <v>1206.2266774949601</v>
      </c>
      <c r="V5" s="39">
        <v>1004.0051160479705</v>
      </c>
      <c r="W5" s="40">
        <v>1238.7511299628648</v>
      </c>
      <c r="X5" s="39">
        <v>1010.8486306732019</v>
      </c>
      <c r="Y5" s="40">
        <v>1273.3455373629738</v>
      </c>
      <c r="Z5" s="39">
        <v>1021.5175338650398</v>
      </c>
      <c r="AA5" s="40">
        <v>1310.1509660949384</v>
      </c>
      <c r="AB5" s="39">
        <v>1038.2199223780287</v>
      </c>
      <c r="AC5" s="40">
        <v>1349.7374786866837</v>
      </c>
      <c r="AD5" s="39">
        <v>1064.8704078629435</v>
      </c>
      <c r="AE5" s="40">
        <v>1393.7386053178441</v>
      </c>
      <c r="AF5" s="39">
        <v>1108.8741328711621</v>
      </c>
      <c r="AG5" s="40">
        <v>1446.0066936683593</v>
      </c>
      <c r="AH5" s="39">
        <v>1185.3835106450279</v>
      </c>
      <c r="AI5" s="40">
        <v>1513.8740684988391</v>
      </c>
      <c r="AJ5" s="39">
        <v>1329.4444106625112</v>
      </c>
      <c r="AK5" s="40">
        <v>1604.8740806220096</v>
      </c>
      <c r="AL5" s="39">
        <v>1638.772621955701</v>
      </c>
      <c r="AM5" s="40">
        <v>1701.8902073960523</v>
      </c>
      <c r="AN5" s="39">
        <v>2425.909885193882</v>
      </c>
      <c r="AO5" s="40">
        <v>1746.3570841131886</v>
      </c>
      <c r="AP5" s="39">
        <v>2729.0901655993125</v>
      </c>
      <c r="AQ5" s="40">
        <v>1748.4881757240955</v>
      </c>
      <c r="AR5" s="39">
        <v>3148.7041239473047</v>
      </c>
      <c r="AS5" s="40">
        <v>1749.535280259563</v>
      </c>
      <c r="AT5" s="39">
        <v>3787.6682029923604</v>
      </c>
      <c r="AU5" s="40">
        <v>1749.9490498907908</v>
      </c>
      <c r="AV5" s="39">
        <v>4974.3736203502458</v>
      </c>
      <c r="AW5" s="40">
        <v>1750.0587008197472</v>
      </c>
      <c r="AX5">
        <v>983.1109276963308</v>
      </c>
      <c r="AY5">
        <v>1609.533058627753</v>
      </c>
    </row>
    <row r="6" spans="1:51" x14ac:dyDescent="0.2">
      <c r="A6" t="s">
        <v>77</v>
      </c>
      <c r="B6" s="39">
        <v>1000.0000000000003</v>
      </c>
      <c r="C6" s="40">
        <v>1000.0000000000002</v>
      </c>
      <c r="D6" s="39">
        <v>998.44192146396711</v>
      </c>
      <c r="E6" s="40">
        <v>1020.1960941904485</v>
      </c>
      <c r="F6" s="39">
        <v>997.0697184674068</v>
      </c>
      <c r="G6" s="40">
        <v>1042.464882484441</v>
      </c>
      <c r="H6" s="39">
        <v>995.92677879866721</v>
      </c>
      <c r="I6" s="40">
        <v>1067.0782561288065</v>
      </c>
      <c r="J6" s="39">
        <v>995.07243163445401</v>
      </c>
      <c r="K6" s="40">
        <v>1094.3493264555382</v>
      </c>
      <c r="L6" s="39">
        <v>994.58915120711958</v>
      </c>
      <c r="M6" s="40">
        <v>1124.6380003455793</v>
      </c>
      <c r="N6" s="39">
        <v>994.59381410972958</v>
      </c>
      <c r="O6" s="40">
        <v>1158.3566359316405</v>
      </c>
      <c r="P6" s="39">
        <v>995.25440411737281</v>
      </c>
      <c r="Q6" s="40">
        <v>1195.9766095915231</v>
      </c>
      <c r="R6" s="39">
        <v>996.81702202599206</v>
      </c>
      <c r="S6" s="40">
        <v>1238.0364741837811</v>
      </c>
      <c r="T6" s="39">
        <v>999.64921244569064</v>
      </c>
      <c r="U6" s="40">
        <v>1285.1608389245102</v>
      </c>
      <c r="V6" s="39">
        <v>1004.3127889720427</v>
      </c>
      <c r="W6" s="40">
        <v>1338.1057320241143</v>
      </c>
      <c r="X6" s="39">
        <v>1011.6881415922636</v>
      </c>
      <c r="Y6" s="40">
        <v>1397.8896348053497</v>
      </c>
      <c r="Z6" s="39">
        <v>1023.2015974070348</v>
      </c>
      <c r="AA6" s="40">
        <v>1466.1460915428838</v>
      </c>
      <c r="AB6" s="39">
        <v>1041.2640062219382</v>
      </c>
      <c r="AC6" s="40">
        <v>1546.0581747726014</v>
      </c>
      <c r="AD6" s="39">
        <v>1070.1805858247687</v>
      </c>
      <c r="AE6" s="40">
        <v>1644.8127603451874</v>
      </c>
      <c r="AF6" s="39">
        <v>1118.1861465570128</v>
      </c>
      <c r="AG6" s="40">
        <v>1780.2349542321178</v>
      </c>
      <c r="AH6" s="39">
        <v>1202.4340095735986</v>
      </c>
      <c r="AI6" s="40">
        <v>2000.1415191336184</v>
      </c>
      <c r="AJ6" s="39">
        <v>1363.8113746141482</v>
      </c>
      <c r="AK6" s="40">
        <v>2449.356062479696</v>
      </c>
      <c r="AL6" s="39">
        <v>1722.9557644575807</v>
      </c>
      <c r="AM6" s="40">
        <v>3681.8630787083775</v>
      </c>
      <c r="AN6" s="39">
        <v>2722.8896307651312</v>
      </c>
      <c r="AO6" s="40">
        <v>8803.3927302338816</v>
      </c>
      <c r="AP6" s="39">
        <v>3145.0483568161158</v>
      </c>
      <c r="AQ6" s="40">
        <v>11710.136391501677</v>
      </c>
      <c r="AR6" s="39">
        <v>3767.9898235998644</v>
      </c>
      <c r="AS6" s="40">
        <v>16822.152333898874</v>
      </c>
      <c r="AT6" s="39">
        <v>4814.1925395445196</v>
      </c>
      <c r="AU6" s="40">
        <v>27658.325018260541</v>
      </c>
      <c r="AV6" s="39">
        <v>7147.0872478717711</v>
      </c>
      <c r="AW6" s="40">
        <v>62250.496194814754</v>
      </c>
      <c r="AX6">
        <v>981.84253903156787</v>
      </c>
      <c r="AY6">
        <v>2481.0544675387359</v>
      </c>
    </row>
    <row r="7" spans="1:51" x14ac:dyDescent="0.2">
      <c r="A7" t="s">
        <v>13</v>
      </c>
      <c r="B7" s="31">
        <v>1015.9116825427475</v>
      </c>
      <c r="C7" s="32">
        <v>1015.9116825427475</v>
      </c>
      <c r="D7" s="31">
        <v>1014.4411208136644</v>
      </c>
      <c r="E7" s="32">
        <v>1014.4411208136644</v>
      </c>
      <c r="F7" s="31">
        <v>1013.1457236269317</v>
      </c>
      <c r="G7" s="32">
        <v>1013.1457236269317</v>
      </c>
      <c r="H7" s="31">
        <v>1012.0665647279384</v>
      </c>
      <c r="I7" s="32">
        <v>1012.0665647279384</v>
      </c>
      <c r="J7" s="31">
        <v>1011.2597793217243</v>
      </c>
      <c r="K7" s="32">
        <v>1011.2597793217243</v>
      </c>
      <c r="L7" s="31">
        <v>1010.8033595660991</v>
      </c>
      <c r="M7" s="32">
        <v>1010.8033595660991</v>
      </c>
      <c r="N7" s="31">
        <v>1010.8077633918264</v>
      </c>
      <c r="O7" s="32">
        <v>1010.8077633918264</v>
      </c>
      <c r="P7" s="31">
        <v>1011.4316291014204</v>
      </c>
      <c r="Q7" s="32">
        <v>1011.4316291014204</v>
      </c>
      <c r="R7" s="31">
        <v>1012.9071428878478</v>
      </c>
      <c r="S7" s="32">
        <v>1012.9071428878478</v>
      </c>
      <c r="T7" s="31">
        <v>1015.5806268567602</v>
      </c>
      <c r="U7" s="32">
        <v>1015.5806268567602</v>
      </c>
      <c r="V7" s="31">
        <v>1019.9805267258201</v>
      </c>
      <c r="W7" s="32">
        <v>1019.9805267258201</v>
      </c>
      <c r="X7" s="31">
        <v>1026.9329331832448</v>
      </c>
      <c r="Y7" s="32">
        <v>1026.9329331832448</v>
      </c>
      <c r="Z7" s="31">
        <v>1037.7715965757507</v>
      </c>
      <c r="AA7" s="32">
        <v>1037.7715965757507</v>
      </c>
      <c r="AB7" s="31">
        <v>1054.7397481924638</v>
      </c>
      <c r="AC7" s="32">
        <v>1054.7397481924638</v>
      </c>
      <c r="AD7" s="31">
        <v>1081.8142877420246</v>
      </c>
      <c r="AE7" s="32">
        <v>1081.8142877420246</v>
      </c>
      <c r="AF7" s="31">
        <v>1126.5181860532725</v>
      </c>
      <c r="AG7" s="32">
        <v>1126.5181860532725</v>
      </c>
      <c r="AH7" s="31">
        <v>1204.244956757819</v>
      </c>
      <c r="AI7" s="32">
        <v>1204.244956757819</v>
      </c>
      <c r="AJ7" s="31">
        <v>1350.598108083203</v>
      </c>
      <c r="AK7" s="32">
        <v>1350.598108083203</v>
      </c>
      <c r="AL7" s="31">
        <v>1664.8482516760059</v>
      </c>
      <c r="AM7" s="32">
        <v>1664.8482516760059</v>
      </c>
      <c r="AN7" s="31">
        <v>2464.5101931643999</v>
      </c>
      <c r="AO7" s="32">
        <v>2464.5101931643999</v>
      </c>
      <c r="AP7" s="31">
        <v>2772.514581944863</v>
      </c>
      <c r="AQ7" s="32">
        <v>2772.514581944863</v>
      </c>
      <c r="AR7" s="31">
        <v>3198.8053043885939</v>
      </c>
      <c r="AS7" s="32">
        <v>3198.8053043885939</v>
      </c>
      <c r="AT7" s="31">
        <v>3847.9363770156338</v>
      </c>
      <c r="AU7" s="32">
        <v>3847.9363770156338</v>
      </c>
      <c r="AV7" s="31">
        <v>5053.524274246276</v>
      </c>
      <c r="AW7" s="32">
        <v>5053.524274246276</v>
      </c>
      <c r="AX7">
        <v>998.7538766821408</v>
      </c>
      <c r="AY7">
        <v>998.7538766821408</v>
      </c>
    </row>
    <row r="8" spans="1:51" x14ac:dyDescent="0.2">
      <c r="B8" s="33">
        <v>1005.7716594496609</v>
      </c>
      <c r="C8" s="34">
        <v>1005.7716594496609</v>
      </c>
      <c r="D8" s="33">
        <v>1062.5643921385526</v>
      </c>
      <c r="E8" s="34">
        <v>1062.5643921385526</v>
      </c>
      <c r="F8" s="33">
        <v>1125.5630276629208</v>
      </c>
      <c r="G8" s="34">
        <v>1125.5630276629208</v>
      </c>
      <c r="H8" s="33">
        <v>1195.6356874527016</v>
      </c>
      <c r="I8" s="34">
        <v>1195.6356874527016</v>
      </c>
      <c r="J8" s="33">
        <v>1273.773081151784</v>
      </c>
      <c r="K8" s="34">
        <v>1273.773081151784</v>
      </c>
      <c r="L8" s="33">
        <v>1361.0955531320215</v>
      </c>
      <c r="M8" s="34">
        <v>1361.0955531320215</v>
      </c>
      <c r="N8" s="33">
        <v>1458.8517827743099</v>
      </c>
      <c r="O8" s="34">
        <v>1458.8517827743099</v>
      </c>
      <c r="P8" s="33">
        <v>1568.4071587712303</v>
      </c>
      <c r="Q8" s="34">
        <v>1568.4071587712303</v>
      </c>
      <c r="R8" s="33">
        <v>1691.2135603716301</v>
      </c>
      <c r="S8" s="34">
        <v>1691.2135603716301</v>
      </c>
      <c r="T8" s="33">
        <v>1828.7691392943423</v>
      </c>
      <c r="U8" s="34">
        <v>1828.7691392943423</v>
      </c>
      <c r="V8" s="33">
        <v>1982.5941979942249</v>
      </c>
      <c r="W8" s="34">
        <v>1982.5941979942249</v>
      </c>
      <c r="X8" s="33">
        <v>2154.3523808441328</v>
      </c>
      <c r="Y8" s="34">
        <v>2154.3523808441328</v>
      </c>
      <c r="Z8" s="33">
        <v>2346.4526323847717</v>
      </c>
      <c r="AA8" s="34">
        <v>2346.4526323847717</v>
      </c>
      <c r="AB8" s="33">
        <v>2564.0766292929525</v>
      </c>
      <c r="AC8" s="34">
        <v>2564.0766292929525</v>
      </c>
      <c r="AD8" s="33">
        <v>2821.1806495929231</v>
      </c>
      <c r="AE8" s="34">
        <v>2821.1806495929231</v>
      </c>
      <c r="AF8" s="33">
        <v>3157.9388287939878</v>
      </c>
      <c r="AG8" s="34">
        <v>3157.9388287939878</v>
      </c>
      <c r="AH8" s="33">
        <v>3694.5633673897883</v>
      </c>
      <c r="AI8" s="34">
        <v>3694.5633673897883</v>
      </c>
      <c r="AJ8" s="33">
        <v>4827.4662930750856</v>
      </c>
      <c r="AK8" s="34">
        <v>4827.4662930750856</v>
      </c>
      <c r="AL8" s="33">
        <v>8206.6642684894905</v>
      </c>
      <c r="AM8" s="34">
        <v>8206.6642684894905</v>
      </c>
      <c r="AN8" s="33">
        <v>24167.092392981045</v>
      </c>
      <c r="AO8" s="34">
        <v>24167.092392981045</v>
      </c>
      <c r="AP8" s="33">
        <v>33885.683756337407</v>
      </c>
      <c r="AQ8" s="34">
        <v>33885.683756337407</v>
      </c>
      <c r="AR8" s="33">
        <v>51581.474999542719</v>
      </c>
      <c r="AS8" s="34">
        <v>51581.474999542719</v>
      </c>
      <c r="AT8" s="33">
        <v>90573.602130731597</v>
      </c>
      <c r="AU8" s="34">
        <v>90573.602130731597</v>
      </c>
      <c r="AV8" s="33">
        <v>220967.38471975073</v>
      </c>
      <c r="AW8" s="34">
        <v>220967.38471975073</v>
      </c>
      <c r="AX8">
        <v>6030.5399777207003</v>
      </c>
      <c r="AY8">
        <v>6030.5399777207003</v>
      </c>
    </row>
    <row r="9" spans="1:51" x14ac:dyDescent="0.2">
      <c r="A9" t="s">
        <v>14</v>
      </c>
      <c r="B9" s="39">
        <v>1015.9116825427475</v>
      </c>
      <c r="C9" s="40">
        <v>1005.7716594496609</v>
      </c>
      <c r="D9" s="39">
        <v>1014.4411208136644</v>
      </c>
      <c r="E9" s="40">
        <v>1062.5643921385526</v>
      </c>
      <c r="F9" s="39">
        <v>1013.1457236269317</v>
      </c>
      <c r="G9" s="40">
        <v>1125.5630276629208</v>
      </c>
      <c r="H9" s="39">
        <v>1012.0665647279384</v>
      </c>
      <c r="I9" s="40">
        <v>1195.6356874527016</v>
      </c>
      <c r="J9" s="39">
        <v>1011.2597793217243</v>
      </c>
      <c r="K9" s="40">
        <v>1273.773081151784</v>
      </c>
      <c r="L9" s="39">
        <v>1010.8033595660991</v>
      </c>
      <c r="M9" s="40">
        <v>1361.0955531320215</v>
      </c>
      <c r="N9" s="39">
        <v>1010.8077633918264</v>
      </c>
      <c r="O9" s="40">
        <v>1458.8517827743099</v>
      </c>
      <c r="P9" s="39">
        <v>1011.4316291014204</v>
      </c>
      <c r="Q9" s="40">
        <v>1568.4071587712303</v>
      </c>
      <c r="R9" s="39">
        <v>1012.9071428878478</v>
      </c>
      <c r="S9" s="40">
        <v>1691.2135603716301</v>
      </c>
      <c r="T9" s="39">
        <v>1015.5806268567602</v>
      </c>
      <c r="U9" s="40">
        <v>1828.7691392943423</v>
      </c>
      <c r="V9" s="39">
        <v>1019.9805267258201</v>
      </c>
      <c r="W9" s="40">
        <v>1982.5941979942249</v>
      </c>
      <c r="X9" s="39">
        <v>1026.9329331832448</v>
      </c>
      <c r="Y9" s="40">
        <v>2154.3523808441328</v>
      </c>
      <c r="Z9" s="39">
        <v>1037.7715965757507</v>
      </c>
      <c r="AA9" s="40">
        <v>2346.4526323847717</v>
      </c>
      <c r="AB9" s="39">
        <v>1054.7397481924638</v>
      </c>
      <c r="AC9" s="40">
        <v>2564.0766292929525</v>
      </c>
      <c r="AD9" s="39">
        <v>1081.8142877420246</v>
      </c>
      <c r="AE9" s="40">
        <v>2821.1806495929231</v>
      </c>
      <c r="AF9" s="39">
        <v>1126.5181860532725</v>
      </c>
      <c r="AG9" s="40">
        <v>3157.9388287939878</v>
      </c>
      <c r="AH9" s="39">
        <v>1204.244956757819</v>
      </c>
      <c r="AI9" s="40">
        <v>3694.5633673897883</v>
      </c>
      <c r="AJ9" s="39">
        <v>1350.598108083203</v>
      </c>
      <c r="AK9" s="40">
        <v>4827.4662930750856</v>
      </c>
      <c r="AL9" s="39">
        <v>1664.8482516760059</v>
      </c>
      <c r="AM9" s="40">
        <v>8206.6642684894905</v>
      </c>
      <c r="AN9" s="39">
        <v>2464.5101931643999</v>
      </c>
      <c r="AO9" s="40">
        <v>24167.092392981045</v>
      </c>
      <c r="AP9" s="39">
        <v>2772.514581944863</v>
      </c>
      <c r="AQ9" s="40">
        <v>33885.683756337407</v>
      </c>
      <c r="AR9" s="39">
        <v>3198.8053043885939</v>
      </c>
      <c r="AS9" s="40">
        <v>51581.474999542719</v>
      </c>
      <c r="AT9" s="39">
        <v>3847.9363770156338</v>
      </c>
      <c r="AU9" s="40">
        <v>90573.602130731597</v>
      </c>
      <c r="AV9" s="39">
        <v>5053.524274246276</v>
      </c>
      <c r="AW9" s="40">
        <v>220967.38471975073</v>
      </c>
      <c r="AX9">
        <v>998.7538766821408</v>
      </c>
      <c r="AY9">
        <v>6030.5399777207003</v>
      </c>
    </row>
    <row r="10" spans="1:51" x14ac:dyDescent="0.2">
      <c r="A10" t="s">
        <v>15</v>
      </c>
      <c r="B10" s="39">
        <v>1015.9116825427475</v>
      </c>
      <c r="C10" s="40">
        <v>1005.7716594496609</v>
      </c>
      <c r="D10" s="39">
        <v>1014.4411208136644</v>
      </c>
      <c r="E10" s="40">
        <v>1062.5643921385526</v>
      </c>
      <c r="F10" s="39">
        <v>1013.1457236269317</v>
      </c>
      <c r="G10" s="40">
        <v>1125.5630276629208</v>
      </c>
      <c r="H10" s="39">
        <v>1012.0665647279384</v>
      </c>
      <c r="I10" s="40">
        <v>1195.6356874527016</v>
      </c>
      <c r="J10" s="39">
        <v>1011.2597793217243</v>
      </c>
      <c r="K10" s="40">
        <v>1273.773081151784</v>
      </c>
      <c r="L10" s="39">
        <v>1010.8033595660991</v>
      </c>
      <c r="M10" s="40">
        <v>1361.0955531320215</v>
      </c>
      <c r="N10" s="39">
        <v>1010.8077633918264</v>
      </c>
      <c r="O10" s="40">
        <v>1458.8517827743099</v>
      </c>
      <c r="P10" s="39">
        <v>1011.4316291014204</v>
      </c>
      <c r="Q10" s="40">
        <v>1568.4071587712303</v>
      </c>
      <c r="R10" s="39">
        <v>1012.9071428878478</v>
      </c>
      <c r="S10" s="40">
        <v>1691.2135603716301</v>
      </c>
      <c r="T10" s="39">
        <v>1015.5806268567602</v>
      </c>
      <c r="U10" s="40">
        <v>1828.7691392943423</v>
      </c>
      <c r="V10" s="39">
        <v>1019.9805267258201</v>
      </c>
      <c r="W10" s="40">
        <v>1982.5941979942249</v>
      </c>
      <c r="X10" s="39">
        <v>1026.9329331832448</v>
      </c>
      <c r="Y10" s="40">
        <v>2154.3523808441328</v>
      </c>
      <c r="Z10" s="39">
        <v>1037.7715965757507</v>
      </c>
      <c r="AA10" s="40">
        <v>2346.4526323847717</v>
      </c>
      <c r="AB10" s="39">
        <v>1054.7397481924638</v>
      </c>
      <c r="AC10" s="40">
        <v>2564.0766292929525</v>
      </c>
      <c r="AD10" s="39">
        <v>1081.8142877420246</v>
      </c>
      <c r="AE10" s="40">
        <v>2821.1806495929231</v>
      </c>
      <c r="AF10" s="39">
        <v>1126.5181860532725</v>
      </c>
      <c r="AG10" s="40">
        <v>3157.9388287939878</v>
      </c>
      <c r="AH10" s="39">
        <v>1204.244956757819</v>
      </c>
      <c r="AI10" s="40">
        <v>3694.5633673897883</v>
      </c>
      <c r="AJ10" s="39">
        <v>1350.598108083203</v>
      </c>
      <c r="AK10" s="40">
        <v>4827.4662930750856</v>
      </c>
      <c r="AL10" s="39">
        <v>1664.8482516760059</v>
      </c>
      <c r="AM10" s="40">
        <v>8206.6642684894905</v>
      </c>
      <c r="AN10" s="39">
        <v>2464.5101931643999</v>
      </c>
      <c r="AO10" s="40">
        <v>24167.092392981045</v>
      </c>
      <c r="AP10" s="39">
        <v>2772.514581944863</v>
      </c>
      <c r="AQ10" s="40">
        <v>33885.683756337407</v>
      </c>
      <c r="AR10" s="39">
        <v>3198.8053043885939</v>
      </c>
      <c r="AS10" s="40">
        <v>51581.474999542719</v>
      </c>
      <c r="AT10" s="39">
        <v>3847.9363770156338</v>
      </c>
      <c r="AU10" s="40">
        <v>90573.602130731597</v>
      </c>
      <c r="AV10" s="39">
        <v>5053.524274246276</v>
      </c>
      <c r="AW10" s="40">
        <v>220967.38471975073</v>
      </c>
      <c r="AX10">
        <v>998.7538766821408</v>
      </c>
      <c r="AY10">
        <v>6030.5399777207003</v>
      </c>
    </row>
    <row r="11" spans="1:51" x14ac:dyDescent="0.2">
      <c r="A11" t="s">
        <v>29</v>
      </c>
      <c r="B11" s="39">
        <v>1015.9116825427475</v>
      </c>
      <c r="C11" s="40">
        <v>1005.7716594496609</v>
      </c>
      <c r="D11" s="39">
        <v>1014.4411208136644</v>
      </c>
      <c r="E11" s="40">
        <v>1062.5643921385526</v>
      </c>
      <c r="F11" s="39">
        <v>1013.1457236269317</v>
      </c>
      <c r="G11" s="40">
        <v>1125.5630276629208</v>
      </c>
      <c r="H11" s="39">
        <v>1012.0665647279384</v>
      </c>
      <c r="I11" s="40">
        <v>1195.6356874527016</v>
      </c>
      <c r="J11" s="39">
        <v>1011.2597793217243</v>
      </c>
      <c r="K11" s="40">
        <v>1273.773081151784</v>
      </c>
      <c r="L11" s="39">
        <v>1010.8033595660991</v>
      </c>
      <c r="M11" s="40">
        <v>1361.0955531320215</v>
      </c>
      <c r="N11" s="39">
        <v>1010.8077633918264</v>
      </c>
      <c r="O11" s="40">
        <v>1458.8517827743099</v>
      </c>
      <c r="P11" s="39">
        <v>1011.4316291014204</v>
      </c>
      <c r="Q11" s="40">
        <v>1568.4071587712303</v>
      </c>
      <c r="R11" s="39">
        <v>1012.9071428878478</v>
      </c>
      <c r="S11" s="40">
        <v>1691.2135603716301</v>
      </c>
      <c r="T11" s="39">
        <v>1015.5806268567602</v>
      </c>
      <c r="U11" s="40">
        <v>1828.7691392943423</v>
      </c>
      <c r="V11" s="39">
        <v>1019.9805267258201</v>
      </c>
      <c r="W11" s="40">
        <v>1982.5941979942249</v>
      </c>
      <c r="X11" s="39">
        <v>1026.9329331832448</v>
      </c>
      <c r="Y11" s="40">
        <v>2154.3523808441328</v>
      </c>
      <c r="Z11" s="39">
        <v>1037.7715965757507</v>
      </c>
      <c r="AA11" s="40">
        <v>2346.4526323847717</v>
      </c>
      <c r="AB11" s="39">
        <v>1054.7397481924638</v>
      </c>
      <c r="AC11" s="40">
        <v>2564.0766292929525</v>
      </c>
      <c r="AD11" s="39">
        <v>1081.8142877420246</v>
      </c>
      <c r="AE11" s="40">
        <v>2821.1806495929231</v>
      </c>
      <c r="AF11" s="39">
        <v>1126.5181860532725</v>
      </c>
      <c r="AG11" s="40">
        <v>3157.9388287939878</v>
      </c>
      <c r="AH11" s="39">
        <v>1204.244956757819</v>
      </c>
      <c r="AI11" s="40">
        <v>3694.5633673897883</v>
      </c>
      <c r="AJ11" s="39">
        <v>1350.598108083203</v>
      </c>
      <c r="AK11" s="40">
        <v>4827.4662930750856</v>
      </c>
      <c r="AL11" s="39">
        <v>1664.8482516760059</v>
      </c>
      <c r="AM11" s="40">
        <v>8206.6642684894905</v>
      </c>
      <c r="AN11" s="39">
        <v>2464.5101931643999</v>
      </c>
      <c r="AO11" s="40">
        <v>24167.092392981045</v>
      </c>
      <c r="AP11" s="39">
        <v>2772.514581944863</v>
      </c>
      <c r="AQ11" s="40">
        <v>33885.683756337407</v>
      </c>
      <c r="AR11" s="39">
        <v>3198.8053043885939</v>
      </c>
      <c r="AS11" s="40">
        <v>51581.474999542719</v>
      </c>
      <c r="AT11" s="39">
        <v>3847.9363770156338</v>
      </c>
      <c r="AU11" s="40">
        <v>90573.602130731597</v>
      </c>
      <c r="AV11" s="39">
        <v>5053.524274246276</v>
      </c>
      <c r="AW11" s="40">
        <v>220967.38471975073</v>
      </c>
      <c r="AX11">
        <v>998.7538766821408</v>
      </c>
      <c r="AY11">
        <v>6030.5399777207003</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c r="AX12">
        <v>1000</v>
      </c>
      <c r="AY12">
        <v>1000</v>
      </c>
    </row>
    <row r="13" spans="1:51" x14ac:dyDescent="0.2">
      <c r="A13" t="s">
        <v>17</v>
      </c>
      <c r="B13" s="93">
        <v>1000</v>
      </c>
      <c r="C13" s="94">
        <v>1000</v>
      </c>
      <c r="D13" s="93">
        <v>994.14954821930598</v>
      </c>
      <c r="E13" s="94">
        <v>994.14954821930598</v>
      </c>
      <c r="F13" s="93">
        <v>988.11717392425817</v>
      </c>
      <c r="G13" s="94">
        <v>988.11717392425817</v>
      </c>
      <c r="H13" s="93">
        <v>981.9039223170123</v>
      </c>
      <c r="I13" s="94">
        <v>981.9039223170123</v>
      </c>
      <c r="J13" s="93">
        <v>975.52136344806661</v>
      </c>
      <c r="K13" s="94">
        <v>975.52136344806661</v>
      </c>
      <c r="L13" s="93">
        <v>968.99804158456232</v>
      </c>
      <c r="M13" s="94">
        <v>968.99804158456232</v>
      </c>
      <c r="N13" s="93">
        <v>962.38984722286386</v>
      </c>
      <c r="O13" s="94">
        <v>962.38984722286386</v>
      </c>
      <c r="P13" s="93">
        <v>955.7955394139924</v>
      </c>
      <c r="Q13" s="94">
        <v>955.7955394139924</v>
      </c>
      <c r="R13" s="93">
        <v>949.38208011168467</v>
      </c>
      <c r="S13" s="94">
        <v>949.38208011168467</v>
      </c>
      <c r="T13" s="93">
        <v>943.42494042686394</v>
      </c>
      <c r="U13" s="94">
        <v>943.42494042686394</v>
      </c>
      <c r="V13" s="93">
        <v>938.37503389492929</v>
      </c>
      <c r="W13" s="94">
        <v>938.37503389492929</v>
      </c>
      <c r="X13" s="93">
        <v>934.97021219727674</v>
      </c>
      <c r="Y13" s="94">
        <v>934.97021219727674</v>
      </c>
      <c r="Z13" s="93">
        <v>934.4353159416778</v>
      </c>
      <c r="AA13" s="94">
        <v>934.4353159416778</v>
      </c>
      <c r="AB13" s="93">
        <v>938.86414851527184</v>
      </c>
      <c r="AC13" s="94">
        <v>938.86414851527184</v>
      </c>
      <c r="AD13" s="93">
        <v>952.01868206124288</v>
      </c>
      <c r="AE13" s="94">
        <v>952.01868206124288</v>
      </c>
      <c r="AF13" s="93">
        <v>981.16110484607248</v>
      </c>
      <c r="AG13" s="94">
        <v>981.16110484607248</v>
      </c>
      <c r="AH13" s="93">
        <v>1041.6699607612422</v>
      </c>
      <c r="AI13" s="94">
        <v>1041.6699607612422</v>
      </c>
      <c r="AJ13" s="93">
        <v>1171.0134840249436</v>
      </c>
      <c r="AK13" s="94">
        <v>1171.0134840249436</v>
      </c>
      <c r="AL13" s="93">
        <v>1483.4745234712846</v>
      </c>
      <c r="AM13" s="94">
        <v>1483.4745234712846</v>
      </c>
      <c r="AN13" s="93">
        <v>2437.8067359419092</v>
      </c>
      <c r="AO13" s="94">
        <v>2437.8067359419092</v>
      </c>
      <c r="AP13" s="93">
        <v>2871.4588983162544</v>
      </c>
      <c r="AQ13" s="94">
        <v>2871.4588983162544</v>
      </c>
      <c r="AR13" s="93">
        <v>3543.1757844103026</v>
      </c>
      <c r="AS13" s="94">
        <v>3543.1757844103026</v>
      </c>
      <c r="AT13" s="93">
        <v>4752.8342371443432</v>
      </c>
      <c r="AU13" s="94">
        <v>4752.8342371443432</v>
      </c>
      <c r="AV13" s="93">
        <v>7779.4273245226723</v>
      </c>
      <c r="AW13" s="94">
        <v>7779.4273245226723</v>
      </c>
      <c r="AX13">
        <v>883.40395292481617</v>
      </c>
      <c r="AY13">
        <v>883.40395292481617</v>
      </c>
    </row>
    <row r="14" spans="1:51" x14ac:dyDescent="0.2">
      <c r="A14" t="s">
        <v>36</v>
      </c>
      <c r="B14" s="39">
        <v>1457.0034251455234</v>
      </c>
      <c r="C14" s="40">
        <v>1457.0034251455236</v>
      </c>
      <c r="D14" s="39">
        <v>1448.4792968624033</v>
      </c>
      <c r="E14" s="40">
        <v>1448.4792968624035</v>
      </c>
      <c r="F14" s="39">
        <v>1439.6901068527588</v>
      </c>
      <c r="G14" s="40">
        <v>1439.6901068527591</v>
      </c>
      <c r="H14" s="39">
        <v>1430.6373779797107</v>
      </c>
      <c r="I14" s="40">
        <v>1430.6373779797109</v>
      </c>
      <c r="J14" s="39">
        <v>1421.3379678464639</v>
      </c>
      <c r="K14" s="40">
        <v>1421.3379678464642</v>
      </c>
      <c r="L14" s="39">
        <v>1411.8334655480114</v>
      </c>
      <c r="M14" s="40">
        <v>1411.8334655480116</v>
      </c>
      <c r="N14" s="39">
        <v>1402.2053037289895</v>
      </c>
      <c r="O14" s="40">
        <v>1402.2053037289897</v>
      </c>
      <c r="P14" s="39">
        <v>1392.597374665</v>
      </c>
      <c r="Q14" s="40">
        <v>1392.5973746650002</v>
      </c>
      <c r="R14" s="39">
        <v>1383.2529424945062</v>
      </c>
      <c r="S14" s="40">
        <v>1383.2529424945064</v>
      </c>
      <c r="T14" s="39">
        <v>1374.573369569652</v>
      </c>
      <c r="U14" s="40">
        <v>1374.5733695696522</v>
      </c>
      <c r="V14" s="39">
        <v>1367.2156384559585</v>
      </c>
      <c r="W14" s="40">
        <v>1367.2156384559587</v>
      </c>
      <c r="X14" s="39">
        <v>1362.2548015804689</v>
      </c>
      <c r="Y14" s="40">
        <v>1362.2548015804691</v>
      </c>
      <c r="Z14" s="39">
        <v>1361.4754559039638</v>
      </c>
      <c r="AA14" s="40">
        <v>1361.4754559039638</v>
      </c>
      <c r="AB14" s="39">
        <v>1367.9282801330862</v>
      </c>
      <c r="AC14" s="40">
        <v>1367.9282801330864</v>
      </c>
      <c r="AD14" s="39">
        <v>1387.0944805657577</v>
      </c>
      <c r="AE14" s="40">
        <v>1387.094480565758</v>
      </c>
      <c r="AF14" s="39">
        <v>1429.5550903802934</v>
      </c>
      <c r="AG14" s="40">
        <v>1429.5550903802937</v>
      </c>
      <c r="AH14" s="39">
        <v>1517.7167007003327</v>
      </c>
      <c r="AI14" s="40">
        <v>1517.7167007003329</v>
      </c>
      <c r="AJ14" s="39">
        <v>1706.1706571159355</v>
      </c>
      <c r="AK14" s="40">
        <v>1706.1706571159357</v>
      </c>
      <c r="AL14" s="39">
        <v>2161.4274618137847</v>
      </c>
      <c r="AM14" s="40">
        <v>2161.4274618137847</v>
      </c>
      <c r="AN14" s="39">
        <v>3551.89276411019</v>
      </c>
      <c r="AO14" s="40">
        <v>3551.8927641101905</v>
      </c>
      <c r="AP14" s="39">
        <v>4183.7254500113731</v>
      </c>
      <c r="AQ14" s="40">
        <v>4183.7254500113741</v>
      </c>
      <c r="AR14" s="39">
        <v>5162.4192537784875</v>
      </c>
      <c r="AS14" s="40">
        <v>5162.4192537784875</v>
      </c>
      <c r="AT14" s="39">
        <v>6924.8957626682186</v>
      </c>
      <c r="AU14" s="40">
        <v>6924.8957626682195</v>
      </c>
      <c r="AV14" s="39">
        <v>11334.652257500207</v>
      </c>
      <c r="AW14" s="40">
        <v>11334.652257500209</v>
      </c>
      <c r="AX14">
        <v>1287.1225851985519</v>
      </c>
      <c r="AY14">
        <v>1287.1225851985519</v>
      </c>
    </row>
    <row r="15" spans="1:51" x14ac:dyDescent="0.2">
      <c r="A15" t="s">
        <v>18</v>
      </c>
      <c r="B15" s="144">
        <v>1000</v>
      </c>
      <c r="C15" s="145">
        <v>1000</v>
      </c>
      <c r="D15" s="144">
        <v>998.55247089451484</v>
      </c>
      <c r="E15" s="145">
        <v>998.55247089451484</v>
      </c>
      <c r="F15" s="144">
        <v>997.2773628226297</v>
      </c>
      <c r="G15" s="145">
        <v>997.2773628226297</v>
      </c>
      <c r="H15" s="144">
        <v>996.21510621357845</v>
      </c>
      <c r="I15" s="145">
        <v>996.21510621357845</v>
      </c>
      <c r="J15" s="144">
        <v>995.42095705664121</v>
      </c>
      <c r="K15" s="145">
        <v>995.42095705664121</v>
      </c>
      <c r="L15" s="144">
        <v>994.97168596008009</v>
      </c>
      <c r="M15" s="145">
        <v>994.97168596008009</v>
      </c>
      <c r="N15" s="144">
        <v>994.97602081103514</v>
      </c>
      <c r="O15" s="145">
        <v>994.97602081103514</v>
      </c>
      <c r="P15" s="144">
        <v>995.59011524494554</v>
      </c>
      <c r="Q15" s="145">
        <v>995.59011524494554</v>
      </c>
      <c r="R15" s="144">
        <v>997.04251884634357</v>
      </c>
      <c r="S15" s="145">
        <v>997.04251884634357</v>
      </c>
      <c r="T15" s="144">
        <v>999.67412946255467</v>
      </c>
      <c r="U15" s="145">
        <v>999.67412946255467</v>
      </c>
      <c r="V15" s="144">
        <v>1004.0051160479705</v>
      </c>
      <c r="W15" s="145">
        <v>1004.0051160479705</v>
      </c>
      <c r="X15" s="144">
        <v>1010.8486306732019</v>
      </c>
      <c r="Y15" s="145">
        <v>1010.8486306732019</v>
      </c>
      <c r="Z15" s="144">
        <v>1021.5175338650398</v>
      </c>
      <c r="AA15" s="145">
        <v>1021.5175338650398</v>
      </c>
      <c r="AB15" s="144">
        <v>1038.2199223780287</v>
      </c>
      <c r="AC15" s="145">
        <v>1038.2199223780287</v>
      </c>
      <c r="AD15" s="144">
        <v>1064.8704078629435</v>
      </c>
      <c r="AE15" s="145">
        <v>1064.8704078629435</v>
      </c>
      <c r="AF15" s="144">
        <v>1108.8741328711621</v>
      </c>
      <c r="AG15" s="145">
        <v>1108.8741328711621</v>
      </c>
      <c r="AH15" s="144">
        <v>1185.3835106450279</v>
      </c>
      <c r="AI15" s="145">
        <v>1185.3835106450279</v>
      </c>
      <c r="AJ15" s="144">
        <v>1329.444410662511</v>
      </c>
      <c r="AK15" s="145">
        <v>1329.444410662511</v>
      </c>
      <c r="AL15" s="144">
        <v>1638.7726219557005</v>
      </c>
      <c r="AM15" s="145">
        <v>1638.7726219557005</v>
      </c>
      <c r="AN15" s="144">
        <v>2425.9098851938825</v>
      </c>
      <c r="AO15" s="145">
        <v>2425.9098851938825</v>
      </c>
      <c r="AP15" s="144">
        <v>2729.090165599313</v>
      </c>
      <c r="AQ15" s="145">
        <v>2729.090165599313</v>
      </c>
      <c r="AR15" s="144">
        <v>3148.7041239473051</v>
      </c>
      <c r="AS15" s="145">
        <v>3148.7041239473051</v>
      </c>
      <c r="AT15" s="144">
        <v>3787.6682029923609</v>
      </c>
      <c r="AU15" s="145">
        <v>3787.6682029923609</v>
      </c>
      <c r="AV15" s="144">
        <v>4974.3736203502513</v>
      </c>
      <c r="AW15" s="145">
        <v>4974.3736203502513</v>
      </c>
      <c r="AX15">
        <v>839.67417131714535</v>
      </c>
      <c r="AY15">
        <v>839.67417131714535</v>
      </c>
    </row>
    <row r="16" spans="1:51" s="27" customFormat="1" x14ac:dyDescent="0.2">
      <c r="A16" t="s">
        <v>61</v>
      </c>
      <c r="B16" s="39">
        <v>1000</v>
      </c>
      <c r="C16" s="40">
        <v>1000</v>
      </c>
      <c r="D16" s="39">
        <v>996.20429298882016</v>
      </c>
      <c r="E16" s="40">
        <v>997.29546484294781</v>
      </c>
      <c r="F16" s="39">
        <v>992.39038296066747</v>
      </c>
      <c r="G16" s="40">
        <v>994.66151458328898</v>
      </c>
      <c r="H16" s="39">
        <v>988.57725862722464</v>
      </c>
      <c r="I16" s="40">
        <v>992.127157259108</v>
      </c>
      <c r="J16" s="39">
        <v>984.79633430933143</v>
      </c>
      <c r="K16" s="40">
        <v>989.73495549134395</v>
      </c>
      <c r="L16" s="39">
        <v>981.09798776072364</v>
      </c>
      <c r="M16" s="40">
        <v>987.54763768582143</v>
      </c>
      <c r="N16" s="39">
        <v>977.56193958039501</v>
      </c>
      <c r="O16" s="40">
        <v>985.65851025104882</v>
      </c>
      <c r="P16" s="39">
        <v>974.31272256364593</v>
      </c>
      <c r="Q16" s="40">
        <v>984.20693047399175</v>
      </c>
      <c r="R16" s="39">
        <v>971.54482366957438</v>
      </c>
      <c r="S16" s="40">
        <v>983.40337118321145</v>
      </c>
      <c r="T16" s="39">
        <v>969.56280875311757</v>
      </c>
      <c r="U16" s="40">
        <v>983.56946916305844</v>
      </c>
      <c r="V16" s="39">
        <v>968.84826532257023</v>
      </c>
      <c r="W16" s="40">
        <v>985.20495593416615</v>
      </c>
      <c r="X16" s="39">
        <v>970.17238250502635</v>
      </c>
      <c r="Y16" s="40">
        <v>989.10075842247113</v>
      </c>
      <c r="Z16" s="39">
        <v>974.79924759579694</v>
      </c>
      <c r="AA16" s="40">
        <v>996.54387200751376</v>
      </c>
      <c r="AB16" s="39">
        <v>984.87443337760203</v>
      </c>
      <c r="AC16" s="40">
        <v>1009.7091354901155</v>
      </c>
      <c r="AD16" s="39">
        <v>1004.2305888561162</v>
      </c>
      <c r="AE16" s="40">
        <v>1032.4673645116052</v>
      </c>
      <c r="AF16" s="39">
        <v>1040.1994318125317</v>
      </c>
      <c r="AG16" s="40">
        <v>1072.1840337420319</v>
      </c>
      <c r="AH16" s="39">
        <v>1108.06800688625</v>
      </c>
      <c r="AI16" s="40">
        <v>1144.0817857746388</v>
      </c>
      <c r="AJ16" s="39">
        <v>1244.2250985364421</v>
      </c>
      <c r="AK16" s="40">
        <v>1283.9186838081505</v>
      </c>
      <c r="AL16" s="39">
        <v>1555.3969067384194</v>
      </c>
      <c r="AM16" s="40">
        <v>1594.2112439085965</v>
      </c>
      <c r="AN16" s="39">
        <v>2432.2506081881029</v>
      </c>
      <c r="AO16" s="40">
        <v>2429.3046649149828</v>
      </c>
      <c r="AP16" s="39">
        <v>2804.724914682688</v>
      </c>
      <c r="AQ16" s="40">
        <v>2769.6148813113145</v>
      </c>
      <c r="AR16" s="39">
        <v>3357.2828824602316</v>
      </c>
      <c r="AS16" s="40">
        <v>3260.5804367359246</v>
      </c>
      <c r="AT16" s="39">
        <v>4294.0936537010684</v>
      </c>
      <c r="AU16" s="40">
        <v>4059.7674150150247</v>
      </c>
      <c r="AV16" s="39">
        <v>6423.4165751271603</v>
      </c>
      <c r="AW16" s="40">
        <v>5755.5073130136043</v>
      </c>
      <c r="AX16" s="27">
        <v>862.90617138687799</v>
      </c>
      <c r="AY16" s="27">
        <v>852.12174253160242</v>
      </c>
    </row>
    <row r="17" spans="1:51" x14ac:dyDescent="0.2">
      <c r="A17" t="s">
        <v>62</v>
      </c>
      <c r="B17" s="33">
        <v>1000.0000000000002</v>
      </c>
      <c r="C17" s="34">
        <v>999.99999999999977</v>
      </c>
      <c r="D17" s="33">
        <v>998.68496077929012</v>
      </c>
      <c r="E17" s="34">
        <v>1028.6768042123442</v>
      </c>
      <c r="F17" s="33">
        <v>997.52864248900698</v>
      </c>
      <c r="G17" s="34">
        <v>1060.4262258667327</v>
      </c>
      <c r="H17" s="33">
        <v>996.56684137335401</v>
      </c>
      <c r="I17" s="34">
        <v>1095.6664978839869</v>
      </c>
      <c r="J17" s="33">
        <v>995.84868489529663</v>
      </c>
      <c r="K17" s="34">
        <v>1134.8764284911392</v>
      </c>
      <c r="L17" s="33">
        <v>995.4427431883089</v>
      </c>
      <c r="M17" s="34">
        <v>1178.6010331112402</v>
      </c>
      <c r="N17" s="33">
        <v>995.44665840948539</v>
      </c>
      <c r="O17" s="34">
        <v>1227.4551201585045</v>
      </c>
      <c r="P17" s="33">
        <v>996.00159326402081</v>
      </c>
      <c r="Q17" s="34">
        <v>1282.1249309313721</v>
      </c>
      <c r="R17" s="33">
        <v>997.31589124602658</v>
      </c>
      <c r="S17" s="34">
        <v>1343.3665921073864</v>
      </c>
      <c r="T17" s="33">
        <v>999.70373755178287</v>
      </c>
      <c r="U17" s="34">
        <v>1412.0094265893235</v>
      </c>
      <c r="V17" s="33">
        <v>1003.6515138212754</v>
      </c>
      <c r="W17" s="34">
        <v>1488.9841923931224</v>
      </c>
      <c r="X17" s="33">
        <v>1009.9342843511388</v>
      </c>
      <c r="Y17" s="34">
        <v>1575.4505911293265</v>
      </c>
      <c r="Z17" s="33">
        <v>1019.8354929863779</v>
      </c>
      <c r="AA17" s="34">
        <v>1673.2105495176002</v>
      </c>
      <c r="AB17" s="33">
        <v>1035.5860495741883</v>
      </c>
      <c r="AC17" s="34">
        <v>1785.9106045069525</v>
      </c>
      <c r="AD17" s="33">
        <v>1061.3107562372554</v>
      </c>
      <c r="AE17" s="34">
        <v>1922.3702009837127</v>
      </c>
      <c r="AF17" s="33">
        <v>1105.2340829877653</v>
      </c>
      <c r="AG17" s="34">
        <v>2105.8887092234786</v>
      </c>
      <c r="AH17" s="33">
        <v>1185.310533196744</v>
      </c>
      <c r="AI17" s="34">
        <v>2402.1466334837646</v>
      </c>
      <c r="AJ17" s="33">
        <v>1346.4068403035965</v>
      </c>
      <c r="AK17" s="34">
        <v>3018.2754872028968</v>
      </c>
      <c r="AL17" s="33">
        <v>1727.5115320083071</v>
      </c>
      <c r="AM17" s="34">
        <v>4780.2217397244322</v>
      </c>
      <c r="AN17" s="33">
        <v>2886.99109521942</v>
      </c>
      <c r="AO17" s="34">
        <v>12594.739179914834</v>
      </c>
      <c r="AP17" s="33">
        <v>3411.9736485980852</v>
      </c>
      <c r="AQ17" s="34">
        <v>17200.263897383516</v>
      </c>
      <c r="AR17" s="33">
        <v>4222.1546596734361</v>
      </c>
      <c r="AS17" s="34">
        <v>25457.350092466106</v>
      </c>
      <c r="AT17" s="33">
        <v>5673.5006435364885</v>
      </c>
      <c r="AU17" s="34">
        <v>43349.685171447862</v>
      </c>
      <c r="AV17" s="33">
        <v>9287.1577089879884</v>
      </c>
      <c r="AW17" s="34">
        <v>102039.2179366537</v>
      </c>
      <c r="AX17">
        <v>984.81592524638256</v>
      </c>
      <c r="AY17">
        <v>3309.9498186684973</v>
      </c>
    </row>
    <row r="18" spans="1:51" x14ac:dyDescent="0.2">
      <c r="A18" t="s">
        <v>19</v>
      </c>
      <c r="B18" s="31">
        <v>27857.010133999996</v>
      </c>
      <c r="C18" s="32">
        <v>1236.7674480000003</v>
      </c>
      <c r="D18" s="31">
        <v>27690.143657063727</v>
      </c>
      <c r="E18" s="32">
        <v>1150.6157186892044</v>
      </c>
      <c r="F18" s="31">
        <v>27495.315755994583</v>
      </c>
      <c r="G18" s="32">
        <v>1065.4091243368975</v>
      </c>
      <c r="H18" s="31">
        <v>27266.622526026142</v>
      </c>
      <c r="I18" s="32">
        <v>981.2266305886659</v>
      </c>
      <c r="J18" s="31">
        <v>26996.581378898638</v>
      </c>
      <c r="K18" s="32">
        <v>898.16437709035313</v>
      </c>
      <c r="L18" s="31">
        <v>26675.644422533031</v>
      </c>
      <c r="M18" s="32">
        <v>816.34399506703176</v>
      </c>
      <c r="N18" s="31">
        <v>26291.549710814281</v>
      </c>
      <c r="O18" s="32">
        <v>735.92690079671274</v>
      </c>
      <c r="P18" s="31">
        <v>25828.584369441367</v>
      </c>
      <c r="Q18" s="32">
        <v>657.12456387750638</v>
      </c>
      <c r="R18" s="31">
        <v>25266.704879813962</v>
      </c>
      <c r="S18" s="32">
        <v>580.21460750446545</v>
      </c>
      <c r="T18" s="31">
        <v>24580.735144034763</v>
      </c>
      <c r="U18" s="32">
        <v>505.54961032046458</v>
      </c>
      <c r="V18" s="31">
        <v>23739.961518384975</v>
      </c>
      <c r="W18" s="32">
        <v>433.56073894405756</v>
      </c>
      <c r="X18" s="31">
        <v>22709.004414620063</v>
      </c>
      <c r="Y18" s="32">
        <v>364.72811625997065</v>
      </c>
      <c r="Z18" s="31">
        <v>21451.164876755127</v>
      </c>
      <c r="AA18" s="32">
        <v>299.51417588990182</v>
      </c>
      <c r="AB18" s="31">
        <v>19936.253648127356</v>
      </c>
      <c r="AC18" s="32">
        <v>238.23380229728167</v>
      </c>
      <c r="AD18" s="31">
        <v>18154.953710682734</v>
      </c>
      <c r="AE18" s="32">
        <v>180.88261089837454</v>
      </c>
      <c r="AF18" s="31">
        <v>16140.408093209064</v>
      </c>
      <c r="AG18" s="32">
        <v>127.05242253335089</v>
      </c>
      <c r="AH18" s="31">
        <v>13988.244778277882</v>
      </c>
      <c r="AI18" s="32">
        <v>76.513499670323441</v>
      </c>
      <c r="AJ18" s="31">
        <v>11829.267563943911</v>
      </c>
      <c r="AK18" s="32">
        <v>32.187796552036794</v>
      </c>
      <c r="AL18" s="31">
        <v>9651.6789706933068</v>
      </c>
      <c r="AM18" s="32">
        <v>5.3116264018039283</v>
      </c>
      <c r="AN18" s="31">
        <v>6911.1026659014969</v>
      </c>
      <c r="AO18" s="32">
        <v>9.0080991905976057E-2</v>
      </c>
      <c r="AP18" s="31">
        <v>6167.5769776342204</v>
      </c>
      <c r="AQ18" s="32">
        <v>2.3130975126442011E-2</v>
      </c>
      <c r="AR18" s="31">
        <v>5295.8751265130113</v>
      </c>
      <c r="AS18" s="32">
        <v>4.083350450618509E-3</v>
      </c>
      <c r="AT18" s="31">
        <v>4229.1246781151576</v>
      </c>
      <c r="AU18" s="32">
        <v>3.728712526396111E-4</v>
      </c>
      <c r="AV18" s="31">
        <v>2810.4920228542824</v>
      </c>
      <c r="AW18" s="32">
        <v>7.2672524490057603E-6</v>
      </c>
      <c r="AX18">
        <v>1071.424485113155</v>
      </c>
      <c r="AY18">
        <v>2.0619534083626854</v>
      </c>
    </row>
    <row r="19" spans="1:51" x14ac:dyDescent="0.2">
      <c r="A19" t="s">
        <v>3</v>
      </c>
      <c r="B19" s="39">
        <v>1886.3937399999966</v>
      </c>
      <c r="C19" s="40">
        <v>262.78711299999759</v>
      </c>
      <c r="D19" s="39">
        <v>1867.914154314441</v>
      </c>
      <c r="E19" s="40">
        <v>266.33110049436823</v>
      </c>
      <c r="F19" s="39">
        <v>1848.4984753735937</v>
      </c>
      <c r="G19" s="40">
        <v>270.34092856779665</v>
      </c>
      <c r="H19" s="39">
        <v>1827.9461583764364</v>
      </c>
      <c r="I19" s="40">
        <v>274.80905137666906</v>
      </c>
      <c r="J19" s="39">
        <v>1806.0133498110338</v>
      </c>
      <c r="K19" s="40">
        <v>279.70468554659516</v>
      </c>
      <c r="L19" s="39">
        <v>1782.4038697901226</v>
      </c>
      <c r="M19" s="40">
        <v>284.96174276142284</v>
      </c>
      <c r="N19" s="39">
        <v>1756.7599033780568</v>
      </c>
      <c r="O19" s="40">
        <v>290.462069968506</v>
      </c>
      <c r="P19" s="39">
        <v>1728.6570250054353</v>
      </c>
      <c r="Q19" s="40">
        <v>296.01372074284888</v>
      </c>
      <c r="R19" s="39">
        <v>1697.6088586397896</v>
      </c>
      <c r="S19" s="40">
        <v>301.32395661912165</v>
      </c>
      <c r="T19" s="39">
        <v>1663.0986403145569</v>
      </c>
      <c r="U19" s="40">
        <v>305.97253393751839</v>
      </c>
      <c r="V19" s="39">
        <v>1624.6700380399175</v>
      </c>
      <c r="W19" s="40">
        <v>309.39283119805555</v>
      </c>
      <c r="X19" s="39">
        <v>1582.1435697926354</v>
      </c>
      <c r="Y19" s="40">
        <v>310.88637831663192</v>
      </c>
      <c r="Z19" s="39">
        <v>1536.0872002172412</v>
      </c>
      <c r="AA19" s="40">
        <v>309.70589738238056</v>
      </c>
      <c r="AB19" s="39">
        <v>1488.7956141343586</v>
      </c>
      <c r="AC19" s="40">
        <v>305.25978917258146</v>
      </c>
      <c r="AD19" s="39">
        <v>1446.3106620810479</v>
      </c>
      <c r="AE19" s="40">
        <v>297.47511903451669</v>
      </c>
      <c r="AF19" s="39">
        <v>1422.7445313406956</v>
      </c>
      <c r="AG19" s="40">
        <v>287.22705877505445</v>
      </c>
      <c r="AH19" s="39">
        <v>1450.2686625315343</v>
      </c>
      <c r="AI19" s="40">
        <v>276.05344807395898</v>
      </c>
      <c r="AJ19" s="39">
        <v>1607.2311845404538</v>
      </c>
      <c r="AK19" s="40">
        <v>261.4924850526898</v>
      </c>
      <c r="AL19" s="39">
        <v>2124.3326561011131</v>
      </c>
      <c r="AM19" s="40">
        <v>220.46019198020255</v>
      </c>
      <c r="AN19" s="39">
        <v>3822.3474528148986</v>
      </c>
      <c r="AO19" s="40">
        <v>122.20986724639393</v>
      </c>
      <c r="AP19" s="39">
        <v>4552.4619284771006</v>
      </c>
      <c r="AQ19" s="40">
        <v>98.245994821483293</v>
      </c>
      <c r="AR19" s="39">
        <v>5612.0465020674192</v>
      </c>
      <c r="AS19" s="40">
        <v>73.861162286050487</v>
      </c>
      <c r="AT19" s="39">
        <v>7316.499261827852</v>
      </c>
      <c r="AU19" s="40">
        <v>49.287373643048184</v>
      </c>
      <c r="AV19" s="39">
        <v>10716.709295574739</v>
      </c>
      <c r="AW19" s="40">
        <v>24.649864041413405</v>
      </c>
      <c r="AX19">
        <v>69.333076737405378</v>
      </c>
      <c r="AY19">
        <v>17.636145260905064</v>
      </c>
    </row>
    <row r="20" spans="1:51" x14ac:dyDescent="0.2">
      <c r="A20" t="s">
        <v>114</v>
      </c>
      <c r="B20" s="79">
        <v>26548.356269999993</v>
      </c>
      <c r="C20" s="80">
        <v>1408.5418709999938</v>
      </c>
      <c r="D20" s="79">
        <v>26364.553616359219</v>
      </c>
      <c r="E20" s="80">
        <v>1338.1147774499941</v>
      </c>
      <c r="F20" s="79">
        <v>26157.27299987663</v>
      </c>
      <c r="G20" s="80">
        <v>1267.6876838999945</v>
      </c>
      <c r="H20" s="79">
        <v>25921.638180059635</v>
      </c>
      <c r="I20" s="80">
        <v>1197.2605903499946</v>
      </c>
      <c r="J20" s="79">
        <v>25651.495342668226</v>
      </c>
      <c r="K20" s="80">
        <v>1126.8334967999951</v>
      </c>
      <c r="L20" s="79">
        <v>25339.028658329287</v>
      </c>
      <c r="M20" s="80">
        <v>1056.4064032499953</v>
      </c>
      <c r="N20" s="79">
        <v>24974.251016010254</v>
      </c>
      <c r="O20" s="80">
        <v>985.97930969999561</v>
      </c>
      <c r="P20" s="79">
        <v>24544.431289846365</v>
      </c>
      <c r="Q20" s="80">
        <v>915.55221614999596</v>
      </c>
      <c r="R20" s="79">
        <v>24033.419346962182</v>
      </c>
      <c r="S20" s="80">
        <v>845.12512259999642</v>
      </c>
      <c r="T20" s="79">
        <v>23421.051694873935</v>
      </c>
      <c r="U20" s="80">
        <v>774.69802904999653</v>
      </c>
      <c r="V20" s="79">
        <v>22682.901662129316</v>
      </c>
      <c r="W20" s="80">
        <v>704.27093549999688</v>
      </c>
      <c r="X20" s="79">
        <v>21791.088612067149</v>
      </c>
      <c r="Y20" s="80">
        <v>633.84384194999734</v>
      </c>
      <c r="Z20" s="79">
        <v>20717.12611016096</v>
      </c>
      <c r="AA20" s="80">
        <v>563.41674839999746</v>
      </c>
      <c r="AB20" s="79">
        <v>19438.450722503516</v>
      </c>
      <c r="AC20" s="80">
        <v>492.98965484999781</v>
      </c>
      <c r="AD20" s="79">
        <v>17950.367955337137</v>
      </c>
      <c r="AE20" s="80">
        <v>422.56256129999809</v>
      </c>
      <c r="AF20" s="79">
        <v>16284.248046458781</v>
      </c>
      <c r="AG20" s="80">
        <v>352.13546774999827</v>
      </c>
      <c r="AH20" s="79">
        <v>14525.663842966902</v>
      </c>
      <c r="AI20" s="80">
        <v>281.70837419999856</v>
      </c>
      <c r="AJ20" s="79">
        <v>12798.034476379304</v>
      </c>
      <c r="AK20" s="80">
        <v>211.28128064999876</v>
      </c>
      <c r="AL20" s="79">
        <v>11132.441362056497</v>
      </c>
      <c r="AM20" s="80">
        <v>140.85418709999905</v>
      </c>
      <c r="AN20" s="79">
        <v>9140.8403590184589</v>
      </c>
      <c r="AO20" s="80">
        <v>70.427093549999285</v>
      </c>
      <c r="AP20" s="79">
        <v>8602.3249572724853</v>
      </c>
      <c r="AQ20" s="80">
        <v>56.341674839999335</v>
      </c>
      <c r="AR20" s="79">
        <v>7966.4135132013353</v>
      </c>
      <c r="AS20" s="80">
        <v>42.256256129999379</v>
      </c>
      <c r="AT20" s="79">
        <v>7177.3606183873562</v>
      </c>
      <c r="AU20" s="80">
        <v>28.170837419999433</v>
      </c>
      <c r="AV20" s="79">
        <v>6095.227744908796</v>
      </c>
      <c r="AW20" s="80">
        <v>14.08541870999948</v>
      </c>
      <c r="AX20">
        <v>1009.5799488486065</v>
      </c>
      <c r="AY20">
        <v>14.08541870999948</v>
      </c>
    </row>
    <row r="21" spans="1:51" x14ac:dyDescent="0.2">
      <c r="A21" t="s">
        <v>76</v>
      </c>
      <c r="B21" s="79">
        <v>24661.96252999999</v>
      </c>
      <c r="C21" s="80">
        <v>1145.7547579999939</v>
      </c>
      <c r="D21" s="79">
        <v>24496.643687563046</v>
      </c>
      <c r="E21" s="80">
        <v>1071.9508260311484</v>
      </c>
      <c r="F21" s="79">
        <v>24308.789355718196</v>
      </c>
      <c r="G21" s="80">
        <v>998.05315442225628</v>
      </c>
      <c r="H21" s="79">
        <v>24093.720425360309</v>
      </c>
      <c r="I21" s="80">
        <v>924.1310388586387</v>
      </c>
      <c r="J21" s="79">
        <v>23845.523133102863</v>
      </c>
      <c r="K21" s="80">
        <v>850.28290470991703</v>
      </c>
      <c r="L21" s="79">
        <v>23556.673793435242</v>
      </c>
      <c r="M21" s="80">
        <v>776.64606960474248</v>
      </c>
      <c r="N21" s="79">
        <v>23217.539328817638</v>
      </c>
      <c r="O21" s="80">
        <v>703.40891751195113</v>
      </c>
      <c r="P21" s="79">
        <v>22815.810774865124</v>
      </c>
      <c r="Q21" s="80">
        <v>630.82471993764068</v>
      </c>
      <c r="R21" s="79">
        <v>22335.82656750637</v>
      </c>
      <c r="S21" s="80">
        <v>559.22619737658658</v>
      </c>
      <c r="T21" s="79">
        <v>21757.953244799035</v>
      </c>
      <c r="U21" s="80">
        <v>489.03519464808534</v>
      </c>
      <c r="V21" s="79">
        <v>21058.25945539615</v>
      </c>
      <c r="W21" s="80">
        <v>420.76162914145681</v>
      </c>
      <c r="X21" s="79">
        <v>20209.141212682873</v>
      </c>
      <c r="Y21" s="80">
        <v>354.97499410532214</v>
      </c>
      <c r="Z21" s="79">
        <v>19181.772611129814</v>
      </c>
      <c r="AA21" s="80">
        <v>292.23221713544285</v>
      </c>
      <c r="AB21" s="79">
        <v>17951.827039975622</v>
      </c>
      <c r="AC21" s="80">
        <v>232.94526111646931</v>
      </c>
      <c r="AD21" s="79">
        <v>16509.835211949678</v>
      </c>
      <c r="AE21" s="80">
        <v>177.20353709953369</v>
      </c>
      <c r="AF21" s="79">
        <v>14876.268120781098</v>
      </c>
      <c r="AG21" s="80">
        <v>124.68197148291297</v>
      </c>
      <c r="AH21" s="79">
        <v>13113.579311411873</v>
      </c>
      <c r="AI21" s="80">
        <v>75.203470256485247</v>
      </c>
      <c r="AJ21" s="79">
        <v>11297.049215546584</v>
      </c>
      <c r="AK21" s="80">
        <v>31.676641237051175</v>
      </c>
      <c r="AL21" s="79">
        <v>9355.555026412263</v>
      </c>
      <c r="AM21" s="80">
        <v>5.2305487156590127</v>
      </c>
      <c r="AN21" s="79">
        <v>6740.0849912621279</v>
      </c>
      <c r="AO21" s="80">
        <v>8.8714287971128292E-2</v>
      </c>
      <c r="AP21" s="79">
        <v>6017.0961990812148</v>
      </c>
      <c r="AQ21" s="80">
        <v>2.2780048607727203E-2</v>
      </c>
      <c r="AR21" s="79">
        <v>5167.6977623679477</v>
      </c>
      <c r="AS21" s="80">
        <v>4.0214020725337449E-3</v>
      </c>
      <c r="AT21" s="79">
        <v>4127.163833039589</v>
      </c>
      <c r="AU21" s="80">
        <v>3.6721446412341942E-4</v>
      </c>
      <c r="AV21" s="79">
        <v>2742.8279701863303</v>
      </c>
      <c r="AW21" s="80">
        <v>7.15699747261502E-6</v>
      </c>
      <c r="AX21">
        <v>940.26889919578002</v>
      </c>
      <c r="AY21">
        <v>2.0292991735501094</v>
      </c>
    </row>
    <row r="22" spans="1:51" x14ac:dyDescent="0.2">
      <c r="A22" t="s">
        <v>28</v>
      </c>
      <c r="B22" s="39">
        <v>6533.6044688320717</v>
      </c>
      <c r="C22" s="40">
        <v>379.90788307663411</v>
      </c>
      <c r="D22" s="39">
        <v>6469.3226341636</v>
      </c>
      <c r="E22" s="40">
        <v>363.65812239633163</v>
      </c>
      <c r="F22" s="39">
        <v>6398.0014938665463</v>
      </c>
      <c r="G22" s="40">
        <v>347.16595108356415</v>
      </c>
      <c r="H22" s="39">
        <v>6318.2904141539093</v>
      </c>
      <c r="I22" s="40">
        <v>330.42830154253011</v>
      </c>
      <c r="J22" s="39">
        <v>6228.5045711320199</v>
      </c>
      <c r="K22" s="40">
        <v>313.44238083551915</v>
      </c>
      <c r="L22" s="39">
        <v>6126.5287612641241</v>
      </c>
      <c r="M22" s="40">
        <v>296.20531213914086</v>
      </c>
      <c r="N22" s="39">
        <v>6009.6910785008149</v>
      </c>
      <c r="O22" s="40">
        <v>278.7135714593727</v>
      </c>
      <c r="P22" s="39">
        <v>5874.6242501750849</v>
      </c>
      <c r="Q22" s="40">
        <v>260.96258865930497</v>
      </c>
      <c r="R22" s="39">
        <v>5717.104827337801</v>
      </c>
      <c r="S22" s="40">
        <v>242.94635834105031</v>
      </c>
      <c r="T22" s="39">
        <v>5531.9222516626487</v>
      </c>
      <c r="U22" s="40">
        <v>224.65749443637804</v>
      </c>
      <c r="V22" s="39">
        <v>5312.8435252637237</v>
      </c>
      <c r="W22" s="40">
        <v>206.08832245469551</v>
      </c>
      <c r="X22" s="39">
        <v>5052.8565924766872</v>
      </c>
      <c r="Y22" s="40">
        <v>187.23356484370737</v>
      </c>
      <c r="Z22" s="39">
        <v>4744.9367434958349</v>
      </c>
      <c r="AA22" s="40">
        <v>168.09544661692254</v>
      </c>
      <c r="AB22" s="39">
        <v>4383.7329996410335</v>
      </c>
      <c r="AC22" s="40">
        <v>148.69083882209571</v>
      </c>
      <c r="AD22" s="39">
        <v>3968.5707318982459</v>
      </c>
      <c r="AE22" s="40">
        <v>129.05616166493036</v>
      </c>
      <c r="AF22" s="39">
        <v>3507.9204339586336</v>
      </c>
      <c r="AG22" s="40">
        <v>109.23503693438595</v>
      </c>
      <c r="AH22" s="39">
        <v>3023.5055054467316</v>
      </c>
      <c r="AI22" s="40">
        <v>89.189416539512493</v>
      </c>
      <c r="AJ22" s="39">
        <v>2544.718993367916</v>
      </c>
      <c r="AK22" s="40">
        <v>68.49131314064276</v>
      </c>
      <c r="AL22" s="39">
        <v>2072.4813667083076</v>
      </c>
      <c r="AM22" s="40">
        <v>45.996729827464399</v>
      </c>
      <c r="AN22" s="39">
        <v>1498.6715626314478</v>
      </c>
      <c r="AO22" s="40">
        <v>22.015153892753119</v>
      </c>
      <c r="AP22" s="39">
        <v>1345.9524405958518</v>
      </c>
      <c r="AQ22" s="40">
        <v>17.324303958480581</v>
      </c>
      <c r="AR22" s="39">
        <v>1167.9410816819063</v>
      </c>
      <c r="AS22" s="40">
        <v>12.73001438525333</v>
      </c>
      <c r="AT22" s="39">
        <v>950.98412520086015</v>
      </c>
      <c r="AU22" s="40">
        <v>8.260770220826581</v>
      </c>
      <c r="AV22" s="39">
        <v>661.65147951230938</v>
      </c>
      <c r="AW22" s="40">
        <v>3.963697708063151</v>
      </c>
      <c r="AX22">
        <v>215.68547536575392</v>
      </c>
      <c r="AY22">
        <v>4.2383205072298482</v>
      </c>
    </row>
    <row r="23" spans="1:51" x14ac:dyDescent="0.2">
      <c r="A23" t="s">
        <v>7</v>
      </c>
      <c r="B23" s="110">
        <v>3278.5018080150408</v>
      </c>
      <c r="C23" s="8">
        <v>0</v>
      </c>
      <c r="D23" s="110">
        <v>3261.8793451551687</v>
      </c>
      <c r="E23" s="8">
        <v>0</v>
      </c>
      <c r="F23" s="110">
        <v>3241.9759415127428</v>
      </c>
      <c r="G23" s="8">
        <v>0</v>
      </c>
      <c r="H23" s="110">
        <v>3218.0725420211506</v>
      </c>
      <c r="I23" s="8">
        <v>0</v>
      </c>
      <c r="J23" s="110">
        <v>3189.2556764491023</v>
      </c>
      <c r="K23" s="8">
        <v>0</v>
      </c>
      <c r="L23" s="110">
        <v>3154.3581340963246</v>
      </c>
      <c r="M23" s="8">
        <v>0</v>
      </c>
      <c r="N23" s="110">
        <v>3111.8798594613459</v>
      </c>
      <c r="O23" s="8">
        <v>0</v>
      </c>
      <c r="P23" s="110">
        <v>3059.8990973957088</v>
      </c>
      <c r="Q23" s="8">
        <v>0</v>
      </c>
      <c r="R23" s="110">
        <v>2995.9667695885651</v>
      </c>
      <c r="S23" s="8">
        <v>0</v>
      </c>
      <c r="T23" s="110">
        <v>2917.0128019676149</v>
      </c>
      <c r="U23" s="8">
        <v>0</v>
      </c>
      <c r="V23" s="110">
        <v>2819.3037235393194</v>
      </c>
      <c r="W23" s="8">
        <v>0</v>
      </c>
      <c r="X23" s="110">
        <v>2698.5651531657631</v>
      </c>
      <c r="Y23" s="8">
        <v>0</v>
      </c>
      <c r="Z23" s="110">
        <v>2550.4214028086967</v>
      </c>
      <c r="AA23" s="8">
        <v>0</v>
      </c>
      <c r="AB23" s="110">
        <v>2371.4180060799245</v>
      </c>
      <c r="AC23" s="8">
        <v>0</v>
      </c>
      <c r="AD23" s="110">
        <v>2160.9207247986456</v>
      </c>
      <c r="AE23" s="8">
        <v>0</v>
      </c>
      <c r="AF23" s="110">
        <v>1924.0781293418436</v>
      </c>
      <c r="AG23" s="8">
        <v>0</v>
      </c>
      <c r="AH23" s="110">
        <v>1675.0480660261928</v>
      </c>
      <c r="AI23" s="8">
        <v>0</v>
      </c>
      <c r="AJ23" s="110">
        <v>1435.6759748542102</v>
      </c>
      <c r="AK23" s="8">
        <v>0</v>
      </c>
      <c r="AL23" s="110">
        <v>1217.8610449961461</v>
      </c>
      <c r="AM23" s="8">
        <v>0</v>
      </c>
      <c r="AN23" s="110">
        <v>968.73860270789635</v>
      </c>
      <c r="AO23" s="8">
        <v>0</v>
      </c>
      <c r="AP23" s="110">
        <v>899.42419237011893</v>
      </c>
      <c r="AQ23" s="8">
        <v>0</v>
      </c>
      <c r="AR23" s="110">
        <v>815.7801395678639</v>
      </c>
      <c r="AS23" s="8">
        <v>0</v>
      </c>
      <c r="AT23" s="110">
        <v>709.09552971582934</v>
      </c>
      <c r="AU23" s="8">
        <v>0</v>
      </c>
      <c r="AV23" s="110">
        <v>556.63809474958839</v>
      </c>
      <c r="AW23" s="8">
        <v>0</v>
      </c>
      <c r="AX23">
        <v>129.40141898486127</v>
      </c>
      <c r="AY23">
        <v>0</v>
      </c>
    </row>
    <row r="24" spans="1:51"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c r="AX24">
        <v>157.60801186927367</v>
      </c>
      <c r="AY24">
        <v>0</v>
      </c>
    </row>
    <row r="25" spans="1:51" x14ac:dyDescent="0.2">
      <c r="A25" t="s">
        <v>0</v>
      </c>
      <c r="B25" s="39">
        <v>3195.0476040000012</v>
      </c>
      <c r="C25" s="40">
        <v>91.012690000004255</v>
      </c>
      <c r="D25" s="39">
        <v>3193.4862807717377</v>
      </c>
      <c r="E25" s="40">
        <v>78.60507938429997</v>
      </c>
      <c r="F25" s="39">
        <v>3186.477990660333</v>
      </c>
      <c r="G25" s="40">
        <v>67.130239693573756</v>
      </c>
      <c r="H25" s="39">
        <v>3172.8089824199956</v>
      </c>
      <c r="I25" s="40">
        <v>56.618547389317158</v>
      </c>
      <c r="J25" s="39">
        <v>3150.9229065946647</v>
      </c>
      <c r="K25" s="40">
        <v>47.092303755112162</v>
      </c>
      <c r="L25" s="39">
        <v>3118.8091319904743</v>
      </c>
      <c r="M25" s="40">
        <v>38.564023998533493</v>
      </c>
      <c r="N25" s="39">
        <v>3073.8514494068118</v>
      </c>
      <c r="O25" s="40">
        <v>31.034794276881033</v>
      </c>
      <c r="P25" s="39">
        <v>3012.6534467232837</v>
      </c>
      <c r="Q25" s="40">
        <v>24.492220461775165</v>
      </c>
      <c r="R25" s="39">
        <v>2930.825440550298</v>
      </c>
      <c r="S25" s="40">
        <v>18.908811746428061</v>
      </c>
      <c r="T25" s="39">
        <v>2822.7812660857326</v>
      </c>
      <c r="U25" s="40">
        <v>14.240344423201861</v>
      </c>
      <c r="V25" s="39">
        <v>2681.6136077485303</v>
      </c>
      <c r="W25" s="40">
        <v>10.425209365495705</v>
      </c>
      <c r="X25" s="39">
        <v>2499.2570199924303</v>
      </c>
      <c r="Y25" s="40">
        <v>7.3844210596892168</v>
      </c>
      <c r="Z25" s="39">
        <v>2267.2196699817678</v>
      </c>
      <c r="AA25" s="40">
        <v>5.0237649449726698</v>
      </c>
      <c r="AB25" s="39">
        <v>1978.40387241811</v>
      </c>
      <c r="AC25" s="40">
        <v>3.2386253221972772</v>
      </c>
      <c r="AD25" s="39">
        <v>1630.6628477457737</v>
      </c>
      <c r="AE25" s="40">
        <v>1.9231671197835103</v>
      </c>
      <c r="AF25" s="39">
        <v>1232.7847971542335</v>
      </c>
      <c r="AG25" s="40">
        <v>0.98606287798871417</v>
      </c>
      <c r="AH25" s="39">
        <v>812.69192391745275</v>
      </c>
      <c r="AI25" s="40">
        <v>0.37325453587411628</v>
      </c>
      <c r="AJ25" s="39">
        <v>423.05563841892592</v>
      </c>
      <c r="AK25" s="40">
        <v>6.9910377033016197E-2</v>
      </c>
      <c r="AL25" s="39">
        <v>137.53801348988415</v>
      </c>
      <c r="AM25" s="40">
        <v>2.2609304574051107E-3</v>
      </c>
      <c r="AN25" s="39">
        <v>15.885281685366897</v>
      </c>
      <c r="AO25" s="40">
        <v>1.1732845095202886E-6</v>
      </c>
      <c r="AP25" s="39">
        <v>7.967596738524513</v>
      </c>
      <c r="AQ25" s="40">
        <v>9.6231445270687453E-8</v>
      </c>
      <c r="AR25" s="39">
        <v>3.3212985849994183</v>
      </c>
      <c r="AS25" s="40">
        <v>3.9889757329519299E-9</v>
      </c>
      <c r="AT25" s="39">
        <v>0.9954228061612439</v>
      </c>
      <c r="AU25" s="40">
        <v>4.9845551193319584E-11</v>
      </c>
      <c r="AV25" s="39">
        <v>0.13618583379941518</v>
      </c>
      <c r="AW25" s="40">
        <v>3.7859073608393674E-14</v>
      </c>
      <c r="AX25">
        <v>131.07938464261122</v>
      </c>
      <c r="AY25">
        <v>4.2541345245667491E-3</v>
      </c>
    </row>
    <row r="26" spans="1:51" x14ac:dyDescent="0.2">
      <c r="A26" t="s">
        <v>27</v>
      </c>
      <c r="B26" s="31">
        <v>5036.2953101960647</v>
      </c>
      <c r="C26" s="32">
        <v>74.905331803938267</v>
      </c>
      <c r="D26" s="31">
        <v>5015.2376336294701</v>
      </c>
      <c r="E26" s="32">
        <v>70.024918503452227</v>
      </c>
      <c r="F26" s="31">
        <v>4989.7884852557445</v>
      </c>
      <c r="G26" s="32">
        <v>65.178268757038438</v>
      </c>
      <c r="H26" s="31">
        <v>4958.9155983379342</v>
      </c>
      <c r="I26" s="32">
        <v>60.367229943312338</v>
      </c>
      <c r="J26" s="31">
        <v>4921.2891693608999</v>
      </c>
      <c r="K26" s="32">
        <v>55.594258751257819</v>
      </c>
      <c r="L26" s="31">
        <v>4875.1846274376312</v>
      </c>
      <c r="M26" s="32">
        <v>50.862904721890672</v>
      </c>
      <c r="N26" s="31">
        <v>4818.3509488530781</v>
      </c>
      <c r="O26" s="32">
        <v>46.178627018609454</v>
      </c>
      <c r="P26" s="31">
        <v>4747.8566750015389</v>
      </c>
      <c r="Q26" s="32">
        <v>41.549558406706602</v>
      </c>
      <c r="R26" s="31">
        <v>4659.9003065246761</v>
      </c>
      <c r="S26" s="32">
        <v>36.987638870690951</v>
      </c>
      <c r="T26" s="31">
        <v>4549.6236898415582</v>
      </c>
      <c r="U26" s="32">
        <v>32.509522638007915</v>
      </c>
      <c r="V26" s="31">
        <v>4410.9860363418411</v>
      </c>
      <c r="W26" s="32">
        <v>28.137281252258791</v>
      </c>
      <c r="X26" s="31">
        <v>4236.8666359704312</v>
      </c>
      <c r="Y26" s="32">
        <v>23.89739637724659</v>
      </c>
      <c r="Z26" s="31">
        <v>4019.6315920286852</v>
      </c>
      <c r="AA26" s="32">
        <v>19.817445877007497</v>
      </c>
      <c r="AB26" s="31">
        <v>3752.5673613955205</v>
      </c>
      <c r="AC26" s="32">
        <v>15.9187710439863</v>
      </c>
      <c r="AD26" s="31">
        <v>3432.6016258247282</v>
      </c>
      <c r="AE26" s="32">
        <v>12.205912749457712</v>
      </c>
      <c r="AF26" s="31">
        <v>3064.4651428203829</v>
      </c>
      <c r="AG26" s="32">
        <v>8.6607238538266138</v>
      </c>
      <c r="AH26" s="31">
        <v>2664.6039900356673</v>
      </c>
      <c r="AI26" s="32">
        <v>5.2786207290456764</v>
      </c>
      <c r="AJ26" s="31">
        <v>2255.8955010143723</v>
      </c>
      <c r="AK26" s="32">
        <v>2.2629441210750731</v>
      </c>
      <c r="AL26" s="31">
        <v>1832.5026246171528</v>
      </c>
      <c r="AM26" s="32">
        <v>0.38847605468239671</v>
      </c>
      <c r="AN26" s="31">
        <v>1283.808257845634</v>
      </c>
      <c r="AO26" s="32">
        <v>7.2201247061686128E-3</v>
      </c>
      <c r="AP26" s="31">
        <v>1134.0678951277855</v>
      </c>
      <c r="AQ26" s="32">
        <v>1.9124088866417223E-3</v>
      </c>
      <c r="AR26" s="31">
        <v>959.11881428009838</v>
      </c>
      <c r="AS26" s="32">
        <v>3.5128244678216803E-4</v>
      </c>
      <c r="AT26" s="31">
        <v>747.06665621637239</v>
      </c>
      <c r="AU26" s="32">
        <v>3.3884985664155543E-5</v>
      </c>
      <c r="AV26" s="31">
        <v>472.09433791907833</v>
      </c>
      <c r="AW26" s="32">
        <v>7.222606270107038E-7</v>
      </c>
      <c r="AX26">
        <v>205.36265634429603</v>
      </c>
      <c r="AY26">
        <v>0.15680935079065161</v>
      </c>
    </row>
    <row r="27" spans="1:51" x14ac:dyDescent="0.2">
      <c r="A27" t="s">
        <v>2</v>
      </c>
      <c r="B27" s="33">
        <v>6425.1981590000414</v>
      </c>
      <c r="C27" s="34">
        <v>273.22915400000028</v>
      </c>
      <c r="D27" s="33">
        <v>6389.8565148847074</v>
      </c>
      <c r="E27" s="34">
        <v>255.25783510103781</v>
      </c>
      <c r="F27" s="33">
        <v>6348.2675438908163</v>
      </c>
      <c r="G27" s="34">
        <v>237.41928317520939</v>
      </c>
      <c r="H27" s="33">
        <v>6299.0755561098358</v>
      </c>
      <c r="I27" s="34">
        <v>219.72168329206767</v>
      </c>
      <c r="J27" s="33">
        <v>6240.5551914029829</v>
      </c>
      <c r="K27" s="34">
        <v>202.17562661037348</v>
      </c>
      <c r="L27" s="33">
        <v>6170.4957981160214</v>
      </c>
      <c r="M27" s="34">
        <v>184.79586796174783</v>
      </c>
      <c r="N27" s="33">
        <v>6086.046914756409</v>
      </c>
      <c r="O27" s="34">
        <v>167.60463630365209</v>
      </c>
      <c r="P27" s="33">
        <v>5983.5410133190262</v>
      </c>
      <c r="Q27" s="34">
        <v>150.63411508078318</v>
      </c>
      <c r="R27" s="33">
        <v>5858.2806623123797</v>
      </c>
      <c r="S27" s="34">
        <v>133.93069002573338</v>
      </c>
      <c r="T27" s="33">
        <v>5704.3410780187769</v>
      </c>
      <c r="U27" s="34">
        <v>117.55801629731761</v>
      </c>
      <c r="V27" s="33">
        <v>5514.4623640929076</v>
      </c>
      <c r="W27" s="34">
        <v>101.59973294546803</v>
      </c>
      <c r="X27" s="33">
        <v>5280.2395663506404</v>
      </c>
      <c r="Y27" s="34">
        <v>86.155223171173205</v>
      </c>
      <c r="Z27" s="33">
        <v>4992.8970982796063</v>
      </c>
      <c r="AA27" s="34">
        <v>71.327575135265988</v>
      </c>
      <c r="AB27" s="33">
        <v>4645.12983085411</v>
      </c>
      <c r="AC27" s="34">
        <v>57.196677943236111</v>
      </c>
      <c r="AD27" s="33">
        <v>4234.5118646327201</v>
      </c>
      <c r="AE27" s="34">
        <v>43.781125275707524</v>
      </c>
      <c r="AF27" s="33">
        <v>3768.6642330686295</v>
      </c>
      <c r="AG27" s="34">
        <v>31.016814777520835</v>
      </c>
      <c r="AH27" s="33">
        <v>3270.1629246447014</v>
      </c>
      <c r="AI27" s="34">
        <v>18.8849311453091</v>
      </c>
      <c r="AJ27" s="33">
        <v>2770.5234519008186</v>
      </c>
      <c r="AK27" s="34">
        <v>8.0988223722210577</v>
      </c>
      <c r="AL27" s="33">
        <v>2269.0724444890966</v>
      </c>
      <c r="AM27" s="34">
        <v>1.3960238143408137</v>
      </c>
      <c r="AN27" s="33">
        <v>1640.2607246763534</v>
      </c>
      <c r="AO27" s="34">
        <v>2.6355887657480578E-2</v>
      </c>
      <c r="AP27" s="33">
        <v>1469.0609359937912</v>
      </c>
      <c r="AQ27" s="34">
        <v>7.0292298090685063E-3</v>
      </c>
      <c r="AR27" s="33">
        <v>1267.7277669212283</v>
      </c>
      <c r="AS27" s="34">
        <v>1.3042470063472495E-3</v>
      </c>
      <c r="AT27" s="33">
        <v>1020.255426839671</v>
      </c>
      <c r="AU27" s="34">
        <v>1.278817866582773E-4</v>
      </c>
      <c r="AV27" s="33">
        <v>688.75838377063099</v>
      </c>
      <c r="AW27" s="34">
        <v>2.8173425437815806E-6</v>
      </c>
      <c r="AX27">
        <v>266.01821624489088</v>
      </c>
      <c r="AY27">
        <v>0.57635962572058086</v>
      </c>
    </row>
    <row r="28" spans="1:51" x14ac:dyDescent="0.2">
      <c r="A28" t="s">
        <v>35</v>
      </c>
      <c r="B28" s="39">
        <v>13763.097676000029</v>
      </c>
      <c r="C28" s="40">
        <v>382.36647899999997</v>
      </c>
      <c r="D28" s="39">
        <v>13697.064938445834</v>
      </c>
      <c r="E28" s="40">
        <v>357.28427455580703</v>
      </c>
      <c r="F28" s="39">
        <v>13618.363160578103</v>
      </c>
      <c r="G28" s="40">
        <v>332.38381145019463</v>
      </c>
      <c r="H28" s="39">
        <v>13524.126836663419</v>
      </c>
      <c r="I28" s="40">
        <v>307.6759600700878</v>
      </c>
      <c r="J28" s="39">
        <v>13410.686158193643</v>
      </c>
      <c r="K28" s="40">
        <v>283.17488934080671</v>
      </c>
      <c r="L28" s="39">
        <v>13273.309677493247</v>
      </c>
      <c r="M28" s="40">
        <v>258.9005305581112</v>
      </c>
      <c r="N28" s="39">
        <v>13105.858032370605</v>
      </c>
      <c r="O28" s="40">
        <v>234.88308315697347</v>
      </c>
      <c r="P28" s="39">
        <v>12900.382736284782</v>
      </c>
      <c r="Q28" s="40">
        <v>211.16661093134294</v>
      </c>
      <c r="R28" s="39">
        <v>12646.638036181032</v>
      </c>
      <c r="S28" s="40">
        <v>187.8149478281486</v>
      </c>
      <c r="T28" s="39">
        <v>12331.61344389134</v>
      </c>
      <c r="U28" s="40">
        <v>164.91609059193559</v>
      </c>
      <c r="V28" s="39">
        <v>11939.245731357443</v>
      </c>
      <c r="W28" s="40">
        <v>142.58594800390634</v>
      </c>
      <c r="X28" s="39">
        <v>11450.76385809985</v>
      </c>
      <c r="Y28" s="40">
        <v>120.96263328991894</v>
      </c>
      <c r="Z28" s="39">
        <v>10846.296517953851</v>
      </c>
      <c r="AA28" s="40">
        <v>100.18960289979462</v>
      </c>
      <c r="AB28" s="39">
        <v>10108.810840873553</v>
      </c>
      <c r="AC28" s="40">
        <v>80.378066113664332</v>
      </c>
      <c r="AD28" s="39">
        <v>9231.4944884179022</v>
      </c>
      <c r="AE28" s="40">
        <v>61.553499045388719</v>
      </c>
      <c r="AF28" s="39">
        <v>8228.9951003522383</v>
      </c>
      <c r="AG28" s="40">
        <v>43.625650066153291</v>
      </c>
      <c r="AH28" s="39">
        <v>7148.0370656014047</v>
      </c>
      <c r="AI28" s="40">
        <v>26.56919915552999</v>
      </c>
      <c r="AJ28" s="39">
        <v>6053.7274452573529</v>
      </c>
      <c r="AK28" s="40">
        <v>11.393169348062996</v>
      </c>
      <c r="AL28" s="39">
        <v>4937.2062286412465</v>
      </c>
      <c r="AM28" s="40">
        <v>1.9617402846318444</v>
      </c>
      <c r="AN28" s="39">
        <v>3510.7706167641049</v>
      </c>
      <c r="AO28" s="40">
        <v>3.6875620581874907E-2</v>
      </c>
      <c r="AP28" s="39">
        <v>3121.1005479172431</v>
      </c>
      <c r="AQ28" s="40">
        <v>9.8152258846433693E-3</v>
      </c>
      <c r="AR28" s="39">
        <v>2663.7830038003444</v>
      </c>
      <c r="AS28" s="40">
        <v>1.8156752483747681E-3</v>
      </c>
      <c r="AT28" s="39">
        <v>2104.6927454454753</v>
      </c>
      <c r="AU28" s="40">
        <v>1.7710959698153455E-4</v>
      </c>
      <c r="AV28" s="39">
        <v>1366.4327364433964</v>
      </c>
      <c r="AW28" s="40">
        <v>3.8573641328777078E-6</v>
      </c>
      <c r="AX28">
        <v>565.17794702288631</v>
      </c>
      <c r="AY28">
        <v>0.80479949501490244</v>
      </c>
    </row>
    <row r="29" spans="1:51" x14ac:dyDescent="0.2">
      <c r="A29" t="s">
        <v>53</v>
      </c>
      <c r="B29" s="33">
        <v>14362.768558000025</v>
      </c>
      <c r="C29" s="34">
        <v>817.26650999999993</v>
      </c>
      <c r="D29" s="33">
        <v>14276.095172642419</v>
      </c>
      <c r="E29" s="34">
        <v>757.76408360074538</v>
      </c>
      <c r="F29" s="33">
        <v>14175.078339648691</v>
      </c>
      <c r="G29" s="34">
        <v>699.15339051349326</v>
      </c>
      <c r="H29" s="33">
        <v>14056.697431908717</v>
      </c>
      <c r="I29" s="34">
        <v>641.50448063145973</v>
      </c>
      <c r="J29" s="33">
        <v>13917.124230025023</v>
      </c>
      <c r="K29" s="34">
        <v>584.89945085221609</v>
      </c>
      <c r="L29" s="33">
        <v>13751.473848021296</v>
      </c>
      <c r="M29" s="34">
        <v>529.43742860998623</v>
      </c>
      <c r="N29" s="33">
        <v>13553.472381028034</v>
      </c>
      <c r="O29" s="34">
        <v>475.24312543998337</v>
      </c>
      <c r="P29" s="33">
        <v>13315.078643337534</v>
      </c>
      <c r="Q29" s="34">
        <v>422.47222224901645</v>
      </c>
      <c r="R29" s="33">
        <v>13026.031090908684</v>
      </c>
      <c r="S29" s="34">
        <v>371.31999169375939</v>
      </c>
      <c r="T29" s="33">
        <v>12673.4305415163</v>
      </c>
      <c r="U29" s="34">
        <v>322.02440227441122</v>
      </c>
      <c r="V29" s="33">
        <v>12241.51790469108</v>
      </c>
      <c r="W29" s="34">
        <v>274.86519055841524</v>
      </c>
      <c r="X29" s="33">
        <v>11712.087946832857</v>
      </c>
      <c r="Y29" s="34">
        <v>230.14103415873828</v>
      </c>
      <c r="Z29" s="33">
        <v>11066.135272507308</v>
      </c>
      <c r="AA29" s="34">
        <v>188.12347973591434</v>
      </c>
      <c r="AB29" s="33">
        <v>10287.725702861891</v>
      </c>
      <c r="AC29" s="34">
        <v>148.97232168104668</v>
      </c>
      <c r="AD29" s="33">
        <v>9371.0752442141857</v>
      </c>
      <c r="AE29" s="34">
        <v>112.62802363717626</v>
      </c>
      <c r="AF29" s="33">
        <v>8331.0539241938495</v>
      </c>
      <c r="AG29" s="34">
        <v>78.765182241669507</v>
      </c>
      <c r="AH29" s="33">
        <v>7212.3351886063947</v>
      </c>
      <c r="AI29" s="34">
        <v>47.176611522188459</v>
      </c>
      <c r="AJ29" s="33">
        <v>6073.0402346774072</v>
      </c>
      <c r="AK29" s="34">
        <v>19.666320121478822</v>
      </c>
      <c r="AL29" s="33">
        <v>4888.9250161813161</v>
      </c>
      <c r="AM29" s="34">
        <v>3.1863968027244667</v>
      </c>
      <c r="AN29" s="33">
        <v>3362.8373574379116</v>
      </c>
      <c r="AO29" s="34">
        <v>5.2233175582251795E-2</v>
      </c>
      <c r="AP29" s="33">
        <v>2953.0583760912505</v>
      </c>
      <c r="AQ29" s="34">
        <v>1.3289396467392453E-2</v>
      </c>
      <c r="AR29" s="33">
        <v>2478.8355337355965</v>
      </c>
      <c r="AS29" s="34">
        <v>2.321627262264933E-3</v>
      </c>
      <c r="AT29" s="33">
        <v>1910.8248306716414</v>
      </c>
      <c r="AU29" s="34">
        <v>2.0941355386657883E-4</v>
      </c>
      <c r="AV29" s="33">
        <v>1185.9103575029296</v>
      </c>
      <c r="AW29" s="34">
        <v>4.017941885797885E-6</v>
      </c>
      <c r="AX29">
        <v>552.09197426094613</v>
      </c>
      <c r="AY29">
        <v>1.2252977763275799</v>
      </c>
    </row>
    <row r="30" spans="1:51" x14ac:dyDescent="0.2">
      <c r="A30" t="s">
        <v>48</v>
      </c>
      <c r="B30" s="112">
        <v>2924829.9599999995</v>
      </c>
      <c r="D30" s="112">
        <v>2947525.046803216</v>
      </c>
      <c r="F30" s="112">
        <v>2967975.4409750579</v>
      </c>
      <c r="H30" s="112">
        <v>2985554.4768826333</v>
      </c>
      <c r="J30" s="112">
        <v>2999443.7913005324</v>
      </c>
      <c r="L30" s="112">
        <v>3008573.5044218819</v>
      </c>
      <c r="N30" s="112">
        <v>3011543.8597659506</v>
      </c>
      <c r="P30" s="112">
        <v>3006537.3495043144</v>
      </c>
      <c r="R30" s="112">
        <v>2991218.488309416</v>
      </c>
      <c r="T30" s="112">
        <v>2962657.565733755</v>
      </c>
      <c r="V30" s="112">
        <v>2917329.8942964054</v>
      </c>
      <c r="X30" s="112">
        <v>2851341.1921269945</v>
      </c>
      <c r="Z30" s="112">
        <v>2761112.8436632138</v>
      </c>
      <c r="AB30" s="112">
        <v>2644976.8831910873</v>
      </c>
      <c r="AD30" s="112">
        <v>2506408.5474973177</v>
      </c>
      <c r="AF30" s="112">
        <v>2360187.8812991083</v>
      </c>
      <c r="AH30" s="112">
        <v>2243778.9625509866</v>
      </c>
      <c r="AJ30" s="112">
        <v>2239628.5046809008</v>
      </c>
      <c r="AL30" s="112">
        <v>2529814.5194995869</v>
      </c>
      <c r="AN30" s="112">
        <v>3452967.5804446591</v>
      </c>
      <c r="AP30" s="112">
        <v>3766014.2554471986</v>
      </c>
      <c r="AR30" s="112">
        <v>4154165.0945820562</v>
      </c>
      <c r="AT30" s="112">
        <v>4655708.4526173174</v>
      </c>
      <c r="AV30" s="112">
        <v>5345523.0873642918</v>
      </c>
      <c r="AX30">
        <v>166332.97935953378</v>
      </c>
    </row>
    <row r="31" spans="1:51" x14ac:dyDescent="0.2">
      <c r="A31" t="s">
        <v>47</v>
      </c>
      <c r="B31" s="77">
        <v>1</v>
      </c>
      <c r="D31" s="77">
        <v>0.98832029808171684</v>
      </c>
      <c r="F31" s="77">
        <v>0.97548502887114275</v>
      </c>
      <c r="H31" s="77">
        <v>0.96129056733561735</v>
      </c>
      <c r="J31" s="77">
        <v>0.94548600928686866</v>
      </c>
      <c r="L31" s="77">
        <v>0.92776020911596147</v>
      </c>
      <c r="N31" s="77">
        <v>0.90772492437162022</v>
      </c>
      <c r="P31" s="77">
        <v>0.88489683376294892</v>
      </c>
      <c r="R31" s="77">
        <v>0.85867717135546451</v>
      </c>
      <c r="T31" s="77">
        <v>0.82833653367129378</v>
      </c>
      <c r="V31" s="77">
        <v>0.79301410076928014</v>
      </c>
      <c r="X31" s="77">
        <v>0.75175631858072334</v>
      </c>
      <c r="Z31" s="77">
        <v>0.70362742042761672</v>
      </c>
      <c r="AB31" s="77">
        <v>0.64794318347737589</v>
      </c>
      <c r="AD31" s="77">
        <v>0.58467572591309758</v>
      </c>
      <c r="AF31" s="77">
        <v>0.51503727639463259</v>
      </c>
      <c r="AH31" s="77">
        <v>0.44195758366189286</v>
      </c>
      <c r="AJ31" s="77">
        <v>0.36907271897858795</v>
      </c>
      <c r="AL31" s="77">
        <v>0.29523332431932636</v>
      </c>
      <c r="AN31" s="77">
        <v>0.20386767442293616</v>
      </c>
      <c r="AP31" s="77">
        <v>0.17995391063525931</v>
      </c>
      <c r="AR31" s="77">
        <v>0.1524940511452213</v>
      </c>
      <c r="AT31" s="77">
        <v>0.11975401432011709</v>
      </c>
      <c r="AV31" s="77">
        <v>7.7692453171667383E-2</v>
      </c>
      <c r="AX31">
        <v>3.0345040070762268E-2</v>
      </c>
    </row>
    <row r="32" spans="1:51" x14ac:dyDescent="0.2">
      <c r="A32" t="s">
        <v>64</v>
      </c>
      <c r="B32" s="83">
        <v>14734457.915000005</v>
      </c>
      <c r="D32" s="83">
        <v>14638531.733962674</v>
      </c>
      <c r="F32" s="83">
        <v>14530631.326344157</v>
      </c>
      <c r="H32" s="83">
        <v>14408132.306067578</v>
      </c>
      <c r="J32" s="83">
        <v>14267729.014876159</v>
      </c>
      <c r="L32" s="83">
        <v>14105239.260102192</v>
      </c>
      <c r="N32" s="83">
        <v>13915351.185601084</v>
      </c>
      <c r="P32" s="83">
        <v>13691354.53934527</v>
      </c>
      <c r="R32" s="83">
        <v>13424848.900331767</v>
      </c>
      <c r="T32" s="83">
        <v>13105558.200722372</v>
      </c>
      <c r="V32" s="83">
        <v>12721447.38053376</v>
      </c>
      <c r="X32" s="83">
        <v>12259641.48996266</v>
      </c>
      <c r="Z32" s="83">
        <v>11708911.000004878</v>
      </c>
      <c r="AB32" s="83">
        <v>11065121.997564642</v>
      </c>
      <c r="AD32" s="83">
        <v>10341756.984018549</v>
      </c>
      <c r="AF32" s="83">
        <v>9588787.4263033308</v>
      </c>
      <c r="AH32" s="83">
        <v>8923698.5408621319</v>
      </c>
      <c r="AJ32" s="83">
        <v>8577986.3421947826</v>
      </c>
      <c r="AL32" s="83">
        <v>8969643.3322253805</v>
      </c>
      <c r="AN32" s="83">
        <v>10561850.244227406</v>
      </c>
      <c r="AP32" s="83">
        <v>11031668.032229327</v>
      </c>
      <c r="AR32" s="83">
        <v>11544196.650825949</v>
      </c>
      <c r="AT32" s="83">
        <v>12070782.116560828</v>
      </c>
      <c r="AV32" s="83">
        <v>12444288.233937245</v>
      </c>
      <c r="AX32">
        <v>571742.26441154757</v>
      </c>
    </row>
    <row r="33" spans="1:51 16319:16384" x14ac:dyDescent="0.2">
      <c r="A33" t="s">
        <v>54</v>
      </c>
      <c r="B33" s="111">
        <v>7019665.6909999941</v>
      </c>
      <c r="D33" s="111">
        <v>6949157.0756764337</v>
      </c>
      <c r="F33" s="111">
        <v>6872865.0122727072</v>
      </c>
      <c r="H33" s="111">
        <v>6789602.3438748382</v>
      </c>
      <c r="J33" s="111">
        <v>6697890.6253077257</v>
      </c>
      <c r="L33" s="111">
        <v>6595879.587530775</v>
      </c>
      <c r="N33" s="111">
        <v>6481244.1883421205</v>
      </c>
      <c r="P33" s="111">
        <v>6351076.3679380231</v>
      </c>
      <c r="R33" s="111">
        <v>6201770.4919183422</v>
      </c>
      <c r="T33" s="111">
        <v>6028959.7608028501</v>
      </c>
      <c r="V33" s="111">
        <v>5827586.449683398</v>
      </c>
      <c r="X33" s="111">
        <v>5592311.9176613558</v>
      </c>
      <c r="Z33" s="111">
        <v>5318588.5831547854</v>
      </c>
      <c r="AB33" s="111">
        <v>5004952.1449980792</v>
      </c>
      <c r="AD33" s="111">
        <v>4657347.2656821832</v>
      </c>
      <c r="AF33" s="111">
        <v>4296693.7286821315</v>
      </c>
      <c r="AH33" s="111">
        <v>3970557.2077694777</v>
      </c>
      <c r="AJ33" s="111">
        <v>3767532.1636010036</v>
      </c>
      <c r="AL33" s="111">
        <v>3827846.6991378414</v>
      </c>
      <c r="AN33" s="111">
        <v>4225533.6004826836</v>
      </c>
      <c r="AP33" s="111">
        <v>4318718.6533920132</v>
      </c>
      <c r="AR33" s="111">
        <v>4392649.0460541984</v>
      </c>
      <c r="AT33" s="111">
        <v>4407534.1245993217</v>
      </c>
      <c r="AV33" s="111">
        <v>4219519.7291768026</v>
      </c>
      <c r="AX33">
        <v>240976.06592282013</v>
      </c>
    </row>
    <row r="34" spans="1:51 16319:16384" x14ac:dyDescent="0.2">
      <c r="A34" t="s">
        <v>75</v>
      </c>
      <c r="B34" s="111">
        <v>1136879.4410000113</v>
      </c>
      <c r="D34" s="111">
        <v>1137846.1053472287</v>
      </c>
      <c r="F34" s="111">
        <v>1134768.8264125166</v>
      </c>
      <c r="H34" s="111">
        <v>1126672.3200562072</v>
      </c>
      <c r="J34" s="111">
        <v>1112297.1749921481</v>
      </c>
      <c r="L34" s="111">
        <v>1090007.5434374623</v>
      </c>
      <c r="N34" s="111">
        <v>1057664.2703371302</v>
      </c>
      <c r="P34" s="111">
        <v>1012474.9214367747</v>
      </c>
      <c r="R34" s="111">
        <v>950801.43703781487</v>
      </c>
      <c r="T34" s="111">
        <v>867950.43625685934</v>
      </c>
      <c r="V34" s="111">
        <v>757975.94787605316</v>
      </c>
      <c r="X34" s="111">
        <v>613611.4929428522</v>
      </c>
      <c r="Z34" s="111">
        <v>426450.33732711879</v>
      </c>
      <c r="AB34" s="111">
        <v>187587.09443336714</v>
      </c>
      <c r="AD34" s="111">
        <v>-111199.76625000744</v>
      </c>
      <c r="AF34" s="111">
        <v>-476200.73008352786</v>
      </c>
      <c r="AH34" s="111">
        <v>-913256.9321521665</v>
      </c>
      <c r="AJ34" s="111">
        <v>-1445598.1207971848</v>
      </c>
      <c r="AL34" s="111">
        <v>-2207252.5736609744</v>
      </c>
      <c r="AN34" s="111">
        <v>-3928672.0372026409</v>
      </c>
      <c r="AP34" s="111">
        <v>-4642740.3264638279</v>
      </c>
      <c r="AR34" s="111">
        <v>-5682586.365764481</v>
      </c>
      <c r="AT34" s="111">
        <v>-7364791.2126646889</v>
      </c>
      <c r="AV34" s="111">
        <v>-10741222.973782355</v>
      </c>
      <c r="AX34">
        <v>44114.416778825347</v>
      </c>
    </row>
    <row r="35" spans="1:51 16319:16384" x14ac:dyDescent="0.2">
      <c r="A35" t="s">
        <v>78</v>
      </c>
      <c r="B35" s="192">
        <v>1</v>
      </c>
      <c r="D35" s="192">
        <v>1.0016552508043648</v>
      </c>
      <c r="F35" s="192">
        <v>1.0036984655006744</v>
      </c>
      <c r="H35" s="192">
        <v>1.0061952655180326</v>
      </c>
      <c r="J35" s="192">
        <v>1.0092287825670412</v>
      </c>
      <c r="L35" s="192">
        <v>1.0129061678513376</v>
      </c>
      <c r="N35" s="192">
        <v>1.0173684454097034</v>
      </c>
      <c r="P35" s="192">
        <v>1.0228049766880629</v>
      </c>
      <c r="R35" s="192">
        <v>1.0294766363747494</v>
      </c>
      <c r="T35" s="192">
        <v>1.0377535852377688</v>
      </c>
      <c r="V35" s="192">
        <v>1.0481804709994929</v>
      </c>
      <c r="X35" s="192">
        <v>1.061593429295929</v>
      </c>
      <c r="Z35" s="192">
        <v>1.0793460674123385</v>
      </c>
      <c r="AB35" s="192">
        <v>1.1037712504764519</v>
      </c>
      <c r="AD35" s="192">
        <v>1.1391886947926173</v>
      </c>
      <c r="AF35" s="192">
        <v>1.1942589345798127</v>
      </c>
      <c r="AH35" s="192">
        <v>1.2879884779971835</v>
      </c>
      <c r="AJ35" s="192">
        <v>1.4680985484879192</v>
      </c>
      <c r="AL35" s="192">
        <v>1.8832859688771666</v>
      </c>
      <c r="AN35" s="192">
        <v>3.1389461201654432</v>
      </c>
      <c r="AP35" s="192">
        <v>3.7104213755045699</v>
      </c>
      <c r="AR35" s="192">
        <v>4.5966527317082466</v>
      </c>
      <c r="AT35" s="192">
        <v>6.194529782046919</v>
      </c>
      <c r="AV35" s="192">
        <v>10.197049878088983</v>
      </c>
      <c r="AX35">
        <v>1.1640049791785474</v>
      </c>
    </row>
    <row r="36" spans="1:51 16319:16384" x14ac:dyDescent="0.2">
      <c r="A36" t="s">
        <v>21</v>
      </c>
      <c r="B36" s="35">
        <v>0.47195767671988198</v>
      </c>
      <c r="C36" s="36">
        <v>0.31738834428178964</v>
      </c>
      <c r="D36" s="35">
        <v>0.47198038868541892</v>
      </c>
      <c r="E36" s="36">
        <v>0.3196221369715056</v>
      </c>
      <c r="F36" s="35">
        <v>0.47200080593089128</v>
      </c>
      <c r="G36" s="36">
        <v>0.32203564718868005</v>
      </c>
      <c r="H36" s="35">
        <v>0.47201811080783912</v>
      </c>
      <c r="I36" s="36">
        <v>0.32464560320762309</v>
      </c>
      <c r="J36" s="35">
        <v>0.47203122488689286</v>
      </c>
      <c r="K36" s="36">
        <v>0.32746910515761296</v>
      </c>
      <c r="L36" s="35">
        <v>0.47203871111371337</v>
      </c>
      <c r="M36" s="36">
        <v>0.33052277352826559</v>
      </c>
      <c r="N36" s="35">
        <v>0.47203863858192996</v>
      </c>
      <c r="O36" s="36">
        <v>0.3338212928429552</v>
      </c>
      <c r="P36" s="35">
        <v>0.47202841898055725</v>
      </c>
      <c r="Q36" s="36">
        <v>0.33737522993209274</v>
      </c>
      <c r="R36" s="35">
        <v>0.47200460868474664</v>
      </c>
      <c r="S36" s="36">
        <v>0.34118764266582036</v>
      </c>
      <c r="T36" s="35">
        <v>0.47196274669517996</v>
      </c>
      <c r="U36" s="36">
        <v>0.34524946943970464</v>
      </c>
      <c r="V36" s="35">
        <v>0.47189738275568727</v>
      </c>
      <c r="W36" s="36">
        <v>0.34953371197846123</v>
      </c>
      <c r="X36" s="35">
        <v>0.47180280272644742</v>
      </c>
      <c r="Y36" s="36">
        <v>0.35399054707553829</v>
      </c>
      <c r="Z36" s="35">
        <v>0.47167569295645234</v>
      </c>
      <c r="AA36" s="36">
        <v>0.3585482500162982</v>
      </c>
      <c r="AB36" s="35">
        <v>0.47152313223864906</v>
      </c>
      <c r="AC36" s="36">
        <v>0.36313419445294998</v>
      </c>
      <c r="AD36" s="35">
        <v>0.47138497832508242</v>
      </c>
      <c r="AE36" s="36">
        <v>0.36775116382349871</v>
      </c>
      <c r="AF36" s="35">
        <v>0.47139529155292864</v>
      </c>
      <c r="AG36" s="36">
        <v>0.37270074096125577</v>
      </c>
      <c r="AH36" s="35">
        <v>0.47194713786403486</v>
      </c>
      <c r="AI36" s="36">
        <v>0.37919553598936934</v>
      </c>
      <c r="AJ36" s="35">
        <v>0.47413496836695174</v>
      </c>
      <c r="AK36" s="36">
        <v>0.39100131365332869</v>
      </c>
      <c r="AL36" s="35">
        <v>0.48110678455690609</v>
      </c>
      <c r="AM36" s="36">
        <v>0.41909542862560711</v>
      </c>
      <c r="AN36" s="35">
        <v>0.50310363979898809</v>
      </c>
      <c r="AO36" s="36">
        <v>0.49566547239617698</v>
      </c>
      <c r="AP36" s="35">
        <v>0.51244622332087431</v>
      </c>
      <c r="AQ36" s="36">
        <v>0.52560279076537908</v>
      </c>
      <c r="AR36" s="35">
        <v>0.52612746159015455</v>
      </c>
      <c r="AS36" s="36">
        <v>0.56751798238505313</v>
      </c>
      <c r="AT36" s="35">
        <v>0.54878876050839431</v>
      </c>
      <c r="AU36" s="36">
        <v>0.63310553328772812</v>
      </c>
      <c r="AV36" s="35">
        <v>0.59795705309727565</v>
      </c>
      <c r="AW36" s="36">
        <v>0.76446705306808649</v>
      </c>
      <c r="AX36">
        <v>0.47225442819300384</v>
      </c>
      <c r="AY36">
        <v>0.43652058113546394</v>
      </c>
    </row>
    <row r="37" spans="1:51 16319:16384" x14ac:dyDescent="0.2">
      <c r="B37" s="37">
        <v>2.1403217525954466E-2</v>
      </c>
      <c r="C37" s="38">
        <v>0.3496246130199252</v>
      </c>
      <c r="D37" s="37">
        <v>2.080874814241572E-2</v>
      </c>
      <c r="E37" s="38">
        <v>0.3461272778006505</v>
      </c>
      <c r="F37" s="37">
        <v>2.0205501600919346E-2</v>
      </c>
      <c r="G37" s="38">
        <v>0.34255862513612462</v>
      </c>
      <c r="H37" s="37">
        <v>1.9594348807150285E-2</v>
      </c>
      <c r="I37" s="38">
        <v>0.33892330774210566</v>
      </c>
      <c r="J37" s="37">
        <v>1.8976515857302763E-2</v>
      </c>
      <c r="K37" s="38">
        <v>0.33522832356040377</v>
      </c>
      <c r="L37" s="37">
        <v>1.8353684612559523E-2</v>
      </c>
      <c r="M37" s="38">
        <v>0.33148370098965552</v>
      </c>
      <c r="N37" s="37">
        <v>1.7728128990930209E-2</v>
      </c>
      <c r="O37" s="38">
        <v>0.32770341589706525</v>
      </c>
      <c r="P37" s="37">
        <v>1.7102864027342818E-2</v>
      </c>
      <c r="Q37" s="38">
        <v>0.32390640064506804</v>
      </c>
      <c r="R37" s="37">
        <v>1.6481842068958034E-2</v>
      </c>
      <c r="S37" s="38">
        <v>0.32011784673122179</v>
      </c>
      <c r="T37" s="37">
        <v>1.5870135673894035E-2</v>
      </c>
      <c r="U37" s="38">
        <v>0.31637042008871008</v>
      </c>
      <c r="V37" s="37">
        <v>1.5274075050765234E-2</v>
      </c>
      <c r="W37" s="38">
        <v>0.31270516178114005</v>
      </c>
      <c r="X37" s="37">
        <v>1.4701089432808085E-2</v>
      </c>
      <c r="Y37" s="38">
        <v>0.30917047894426231</v>
      </c>
      <c r="Z37" s="37">
        <v>1.415889501093795E-2</v>
      </c>
      <c r="AA37" s="38">
        <v>0.30581692151195755</v>
      </c>
      <c r="AB37" s="37">
        <v>1.3653013623524297E-2</v>
      </c>
      <c r="AC37" s="38">
        <v>0.30268128791804677</v>
      </c>
      <c r="AD37" s="37">
        <v>1.3180297588185398E-2</v>
      </c>
      <c r="AE37" s="38">
        <v>0.29974529027619057</v>
      </c>
      <c r="AF37" s="37">
        <v>1.2712641925902012E-2</v>
      </c>
      <c r="AG37" s="38">
        <v>0.29683181533247177</v>
      </c>
      <c r="AH37" s="37">
        <v>1.2158284258791473E-2</v>
      </c>
      <c r="AI37" s="38">
        <v>0.29335869611842957</v>
      </c>
      <c r="AJ37" s="37">
        <v>1.128760842700071E-2</v>
      </c>
      <c r="AK37" s="38">
        <v>0.28786771041445497</v>
      </c>
      <c r="AL37" s="37">
        <v>9.6752624495471881E-3</v>
      </c>
      <c r="AM37" s="38">
        <v>0.27767953349865604</v>
      </c>
      <c r="AN37" s="37">
        <v>7.0015491507887931E-3</v>
      </c>
      <c r="AO37" s="38">
        <v>0.2610391549419761</v>
      </c>
      <c r="AP37" s="37">
        <v>6.3252437072498493E-3</v>
      </c>
      <c r="AQ37" s="38">
        <v>0.25694621293359893</v>
      </c>
      <c r="AR37" s="37">
        <v>5.5751334773516386E-3</v>
      </c>
      <c r="AS37" s="38">
        <v>0.25249738830768131</v>
      </c>
      <c r="AT37" s="37">
        <v>4.7078240577733575E-3</v>
      </c>
      <c r="AU37" s="38">
        <v>0.24751022940929573</v>
      </c>
      <c r="AV37" s="37">
        <v>3.6014047235416965E-3</v>
      </c>
      <c r="AW37" s="38">
        <v>0.24148731951670138</v>
      </c>
      <c r="AX37">
        <v>8.6691077328614856E-3</v>
      </c>
      <c r="AY37">
        <v>0.27100686365746035</v>
      </c>
    </row>
    <row r="38" spans="1:51 16319:16384" x14ac:dyDescent="0.2">
      <c r="A38" t="s">
        <v>22</v>
      </c>
      <c r="B38" s="35">
        <v>0.18079094942242827</v>
      </c>
      <c r="C38" s="36">
        <v>6.0565413429233668E-2</v>
      </c>
      <c r="D38" s="35">
        <v>0.18111995718556295</v>
      </c>
      <c r="E38" s="36">
        <v>6.0858649300589665E-2</v>
      </c>
      <c r="F38" s="35">
        <v>0.18147776623252129</v>
      </c>
      <c r="G38" s="36">
        <v>6.1176751041629097E-2</v>
      </c>
      <c r="H38" s="35">
        <v>0.18186761464881182</v>
      </c>
      <c r="I38" s="36">
        <v>6.1522209101781425E-2</v>
      </c>
      <c r="J38" s="35">
        <v>0.18229305037887247</v>
      </c>
      <c r="K38" s="36">
        <v>6.1897643871557349E-2</v>
      </c>
      <c r="L38" s="35">
        <v>0.18275789518769947</v>
      </c>
      <c r="M38" s="36">
        <v>6.2305725318300663E-2</v>
      </c>
      <c r="N38" s="35">
        <v>0.18326614451605286</v>
      </c>
      <c r="O38" s="36">
        <v>6.2748931950464895E-2</v>
      </c>
      <c r="P38" s="35">
        <v>0.18382179244089281</v>
      </c>
      <c r="Q38" s="36">
        <v>6.322934903168799E-2</v>
      </c>
      <c r="R38" s="35">
        <v>0.18442849309755294</v>
      </c>
      <c r="S38" s="36">
        <v>6.3748203496249073E-2</v>
      </c>
      <c r="T38" s="35">
        <v>0.18508900011258037</v>
      </c>
      <c r="U38" s="36">
        <v>6.4305306490890862E-2</v>
      </c>
      <c r="V38" s="35">
        <v>0.18580426227421787</v>
      </c>
      <c r="W38" s="36">
        <v>6.489813012309989E-2</v>
      </c>
      <c r="X38" s="35">
        <v>0.18657209971048908</v>
      </c>
      <c r="Y38" s="36">
        <v>6.5521124673078454E-2</v>
      </c>
      <c r="Z38" s="35">
        <v>0.18738523595911713</v>
      </c>
      <c r="AA38" s="36">
        <v>6.6165301919773489E-2</v>
      </c>
      <c r="AB38" s="35">
        <v>0.18822831147857136</v>
      </c>
      <c r="AC38" s="36">
        <v>6.6819951201223554E-2</v>
      </c>
      <c r="AD38" s="35">
        <v>0.18907245264992978</v>
      </c>
      <c r="AE38" s="36">
        <v>6.7479746609337546E-2</v>
      </c>
      <c r="AF38" s="35">
        <v>0.1898629281938497</v>
      </c>
      <c r="AG38" s="36">
        <v>6.8166538513291228E-2</v>
      </c>
      <c r="AH38" s="35">
        <v>0.19048880200991961</v>
      </c>
      <c r="AI38" s="36">
        <v>6.8989403854089346E-2</v>
      </c>
      <c r="AJ38" s="35">
        <v>0.19070457987529452</v>
      </c>
      <c r="AK38" s="36">
        <v>7.0304412338901695E-2</v>
      </c>
      <c r="AL38" s="35">
        <v>0.18986361131378565</v>
      </c>
      <c r="AM38" s="36">
        <v>7.3136931195022098E-2</v>
      </c>
      <c r="AN38" s="35">
        <v>0.18576026430337678</v>
      </c>
      <c r="AO38" s="36">
        <v>8.0151478723777494E-2</v>
      </c>
      <c r="AP38" s="35">
        <v>0.18387575854185692</v>
      </c>
      <c r="AQ38" s="36">
        <v>8.2677400160945463E-2</v>
      </c>
      <c r="AR38" s="35">
        <v>0.18110676542927015</v>
      </c>
      <c r="AS38" s="36">
        <v>8.6027993685665397E-2</v>
      </c>
      <c r="AT38" s="35">
        <v>0.17664805676746473</v>
      </c>
      <c r="AU38" s="36">
        <v>9.0875832943083393E-2</v>
      </c>
      <c r="AV38" s="35">
        <v>0.16797569040584867</v>
      </c>
      <c r="AW38" s="36">
        <v>9.93856525666061E-2</v>
      </c>
      <c r="AX38">
        <v>0.19167254360684816</v>
      </c>
      <c r="AY38">
        <v>7.6048930181777302E-2</v>
      </c>
    </row>
    <row r="39" spans="1:51 16319:16384" x14ac:dyDescent="0.2">
      <c r="A39" t="s">
        <v>23</v>
      </c>
      <c r="B39" s="37">
        <v>0.23064923795098771</v>
      </c>
      <c r="C39" s="38">
        <v>0.22092201281804777</v>
      </c>
      <c r="D39" s="37">
        <v>0.23076285172159666</v>
      </c>
      <c r="E39" s="38">
        <v>0.22184455761809918</v>
      </c>
      <c r="F39" s="37">
        <v>0.23088542063775916</v>
      </c>
      <c r="G39" s="38">
        <v>0.22284329817709916</v>
      </c>
      <c r="H39" s="37">
        <v>0.23101781491628945</v>
      </c>
      <c r="I39" s="38">
        <v>0.22392551979581959</v>
      </c>
      <c r="J39" s="37">
        <v>0.23116094233623202</v>
      </c>
      <c r="K39" s="38">
        <v>0.22509869214066494</v>
      </c>
      <c r="L39" s="37">
        <v>0.23131571632825398</v>
      </c>
      <c r="M39" s="38">
        <v>0.22637009530103036</v>
      </c>
      <c r="N39" s="37">
        <v>0.23148300429978408</v>
      </c>
      <c r="O39" s="38">
        <v>0.22774631029549769</v>
      </c>
      <c r="P39" s="37">
        <v>0.23166352935696882</v>
      </c>
      <c r="Q39" s="38">
        <v>0.22923220856626303</v>
      </c>
      <c r="R39" s="37">
        <v>0.23185772304613683</v>
      </c>
      <c r="S39" s="38">
        <v>0.23082957287438274</v>
      </c>
      <c r="T39" s="37">
        <v>0.23206551978991982</v>
      </c>
      <c r="U39" s="38">
        <v>0.23253507449604868</v>
      </c>
      <c r="V39" s="37">
        <v>0.23228607004364071</v>
      </c>
      <c r="W39" s="38">
        <v>0.2343379458041229</v>
      </c>
      <c r="X39" s="37">
        <v>0.23251743977605732</v>
      </c>
      <c r="Y39" s="38">
        <v>0.23621766277476547</v>
      </c>
      <c r="Z39" s="37">
        <v>0.23275645527716776</v>
      </c>
      <c r="AA39" s="38">
        <v>0.23814423782560876</v>
      </c>
      <c r="AB39" s="37">
        <v>0.23299913378110707</v>
      </c>
      <c r="AC39" s="38">
        <v>0.24008632440774649</v>
      </c>
      <c r="AD39" s="37">
        <v>0.23324277947021421</v>
      </c>
      <c r="AE39" s="38">
        <v>0.24204164821739066</v>
      </c>
      <c r="AF39" s="37">
        <v>0.23349249977478959</v>
      </c>
      <c r="AG39" s="38">
        <v>0.24412611864507355</v>
      </c>
      <c r="AH39" s="37">
        <v>0.23377936091902568</v>
      </c>
      <c r="AI39" s="38">
        <v>0.24681828993157162</v>
      </c>
      <c r="AJ39" s="37">
        <v>0.23420921345506521</v>
      </c>
      <c r="AK39" s="38">
        <v>0.25161158077807527</v>
      </c>
      <c r="AL39" s="37">
        <v>0.23509613730201626</v>
      </c>
      <c r="AM39" s="38">
        <v>0.26282417262379332</v>
      </c>
      <c r="AN39" s="37">
        <v>0.23733705082536127</v>
      </c>
      <c r="AO39" s="38">
        <v>0.29257990059645539</v>
      </c>
      <c r="AP39" s="37">
        <v>0.23819093646031775</v>
      </c>
      <c r="AQ39" s="38">
        <v>0.30388817465084261</v>
      </c>
      <c r="AR39" s="37">
        <v>0.23938022265187819</v>
      </c>
      <c r="AS39" s="38">
        <v>0.31940609117928975</v>
      </c>
      <c r="AT39" s="37">
        <v>0.2412450576638899</v>
      </c>
      <c r="AU39" s="38">
        <v>0.34296499328651137</v>
      </c>
      <c r="AV39" s="37">
        <v>0.24506683462176884</v>
      </c>
      <c r="AW39" s="38">
        <v>0.38767643804186602</v>
      </c>
      <c r="AX39">
        <v>0.24828461542653305</v>
      </c>
      <c r="AY39">
        <v>0.27952116831691409</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6.5765194734295943E-2</v>
      </c>
      <c r="E42" s="126"/>
      <c r="F42" s="167">
        <f>6.1%+(1-6.1%)*(1-SUM(F26:G26)/SUM($B$26:$C$26))</f>
        <v>7.1330962237345918E-2</v>
      </c>
      <c r="G42" s="126"/>
      <c r="H42" s="167">
        <f>6.1%+(1-6.1%)*(1-SUM(H26:I26)/SUM($B$26:$C$26))</f>
        <v>7.788660514961504E-2</v>
      </c>
      <c r="I42" s="126"/>
      <c r="J42" s="167">
        <f>6.1%+(1-6.1%)*(1-SUM(J26:K26)/SUM($B$26:$C$26))</f>
        <v>8.5675975895819059E-2</v>
      </c>
      <c r="K42" s="126"/>
      <c r="L42" s="167">
        <f>6.1%+(1-6.1%)*(1-SUM(L26:M26)/SUM($B$26:$C$26))</f>
        <v>9.501525048959561E-2</v>
      </c>
      <c r="M42" s="126"/>
      <c r="N42" s="167">
        <f>6.1%+(1-6.1%)*(1-SUM(N26:O26)/SUM($B$26:$C$26))</f>
        <v>0.10631697096591666</v>
      </c>
      <c r="O42" s="126"/>
      <c r="P42" s="167">
        <f>6.1%+(1-6.1%)*(1-SUM(P26:Q26)/SUM($B$26:$C$26))</f>
        <v>0.12011819371454455</v>
      </c>
      <c r="Q42" s="126"/>
      <c r="R42" s="167">
        <f>6.1%+(1-6.1%)*(1-SUM(R26:S26)/SUM($B$26:$C$26))</f>
        <v>0.13711511450263145</v>
      </c>
      <c r="S42" s="126"/>
      <c r="T42" s="167">
        <f>6.1%+(1-6.1%)*(1-SUM(T26:U26)/SUM($B$26:$C$26))</f>
        <v>0.15819718538094713</v>
      </c>
      <c r="U42" s="126"/>
      <c r="V42" s="167">
        <f>6.1%+(1-6.1%)*(1-SUM(V26:W26)/SUM($B$26:$C$26))</f>
        <v>0.18447012997912809</v>
      </c>
      <c r="W42" s="126"/>
      <c r="X42" s="167">
        <f>6.1%+(1-6.1%)*(1-SUM(X26:Y26)/SUM($B$26:$C$26))</f>
        <v>0.21723725860056606</v>
      </c>
      <c r="Y42" s="152"/>
      <c r="Z42" s="167">
        <f>6.1%+(1-6.1%)*(1-SUM(Z26:AA26)/SUM($B$26:$C$26))</f>
        <v>0.25789595982104996</v>
      </c>
      <c r="AA42" s="126"/>
      <c r="AB42" s="167">
        <f>6.1%+(1-6.1%)*(1-SUM(AB26:AC26)/SUM($B$26:$C$26))</f>
        <v>0.30767568596641004</v>
      </c>
      <c r="AC42" s="126"/>
      <c r="AD42" s="167">
        <f>6.1%+(1-6.1%)*(1-SUM(AD26:AE26)/SUM($B$26:$C$26))</f>
        <v>0.36714003122064126</v>
      </c>
      <c r="AE42" s="126"/>
      <c r="AF42" s="167">
        <f>6.1%+(1-6.1%)*(1-SUM(AF26:AG26)/SUM($B$26:$C$26))</f>
        <v>0.43542322226702351</v>
      </c>
      <c r="AG42" s="126"/>
      <c r="AH42" s="167">
        <f>6.1%+(1-6.1%)*(1-SUM(AH26:AI26)/SUM($B$26:$C$26))</f>
        <v>0.50950472362457033</v>
      </c>
      <c r="AI42" s="126"/>
      <c r="AJ42" s="167">
        <f>6.1%+(1-6.1%)*(1-SUM(AJ26:AK26)/SUM($B$26:$C$26))</f>
        <v>0.58514428829926102</v>
      </c>
      <c r="AK42" s="126"/>
      <c r="AL42" s="167">
        <f>6.1%+(1-6.1%)*(1-SUM(AL26:AM26)/SUM($B$26:$C$26))</f>
        <v>0.66327192687599212</v>
      </c>
      <c r="AM42" s="126"/>
      <c r="AN42" s="167">
        <f>6.1%+(1-6.1%)*(1-SUM(AN26:AO26)/SUM($B$26:$C$26))</f>
        <v>0.76414490092440612</v>
      </c>
      <c r="AO42" s="126"/>
      <c r="AP42" s="167">
        <f>6.1%+(1-6.1%)*(1-SUM(AP26:AQ26)/SUM($B$26:$C$26))</f>
        <v>0.79165530295828002</v>
      </c>
      <c r="AQ42" s="126"/>
      <c r="AR42" s="167">
        <f>6.1%+(1-6.1%)*(1-SUM(AR26:AS26)/SUM($B$26:$C$26))</f>
        <v>0.82379621549921755</v>
      </c>
      <c r="AS42" s="126"/>
      <c r="AT42" s="167">
        <f>6.1%+(1-6.1%)*(1-SUM(AT26:AU26)/SUM($B$26:$C$26))</f>
        <v>0.86275326070340275</v>
      </c>
      <c r="AU42" s="126"/>
      <c r="AV42" s="167">
        <f>6.1%+(1-6.1%)*(1-SUM(AV26:AW26)/SUM($B$26:$C$26))</f>
        <v>0.91326957890450644</v>
      </c>
      <c r="XFD42" s="167"/>
    </row>
    <row r="43" spans="1:51 16319:16384" x14ac:dyDescent="0.2">
      <c r="A43" t="s">
        <v>95</v>
      </c>
      <c r="B43" s="152">
        <f>SUM(B15:C15*B27:C27)/SUM(B15:C15*B27:C27,B13:C13*B26:C26)</f>
        <v>0.56058995943839207</v>
      </c>
      <c r="C43" s="126"/>
      <c r="D43" s="152">
        <f t="array" ref="D43">SUM(D15:E15*D27:E27)/SUM(D15:E15*D27:E27,D13:E13*D26:E26)</f>
        <v>0.56757261837179762</v>
      </c>
      <c r="E43" s="126"/>
      <c r="F43" s="152">
        <f t="array" ref="F43">SUM(F15:G15*F27:G27)/SUM(F15:G15*F27:G27,F13:G13*F26:G26)</f>
        <v>0.56801451793620417</v>
      </c>
      <c r="G43" s="126"/>
      <c r="H43" s="152">
        <f t="array" ref="H43">SUM(H15:I15*H27:I27)/SUM(H15:I15*H27:I27,H13:I13*H26:I26)</f>
        <v>0.56853403925139623</v>
      </c>
      <c r="I43" s="126"/>
      <c r="J43" s="152">
        <f t="array" ref="J43">SUM(J15:K15*J27:K27)/SUM(J15:K15*J27:K27,J13:K13*J26:K26)</f>
        <v>0.56913976333803395</v>
      </c>
      <c r="K43" s="126"/>
      <c r="L43" s="152">
        <f t="array" ref="L43">SUM(L15:M15*L27:M27)/SUM(L15:M15*L27:M27,L13:M13*L26:M26)</f>
        <v>0.56984101791122899</v>
      </c>
      <c r="M43" s="126"/>
      <c r="N43" s="152">
        <f t="array" ref="N43">SUM(N15:O15*N27:O27)/SUM(N15:O15*N27:O27,N13:O13*N26:O26)</f>
        <v>0.57064777607693096</v>
      </c>
      <c r="O43" s="126"/>
      <c r="P43" s="152">
        <f t="array" ref="P43">SUM(P15:Q15*P27:Q27)/SUM(P15:Q15*P27:Q27,P13:Q13*P26:Q26)</f>
        <v>0.57157029337557852</v>
      </c>
      <c r="Q43" s="126"/>
      <c r="R43" s="152">
        <f t="array" ref="R43">SUM(R15:S15*R27:S27)/SUM(R15:S15*R27:S27,R13:S13*R26:S26)</f>
        <v>0.57261845320991289</v>
      </c>
      <c r="S43" s="126"/>
      <c r="T43" s="152">
        <f t="array" ref="T43">SUM(T15:U15*T27:U27)/SUM(T15:U15*T27:U27,T13:U13*T26:U26)</f>
        <v>0.57380054314912943</v>
      </c>
      <c r="U43" s="126"/>
      <c r="V43" s="152">
        <f t="array" ref="V43">SUM(V15:W15*V27:W27)/SUM(V15:W15*V27:W27,V13:W13*V26:W26)</f>
        <v>0.57512111993655501</v>
      </c>
      <c r="W43" s="126"/>
      <c r="X43" s="152">
        <f t="array" ref="X43">SUM(X15:Y15*X27:Y27)/SUM(X15:Y15*X27:Y27,X13:Y13*X26:Y26)</f>
        <v>0.57657734824088014</v>
      </c>
      <c r="Y43" s="126"/>
      <c r="Z43" s="152">
        <f t="array" ref="Z43">SUM(Z15:AA15*Z27:AA27)/SUM(Z15:AA15*Z27:AA27,Z13:AA13*Z26:AA26)</f>
        <v>0.57815277233014184</v>
      </c>
      <c r="AA43" s="126"/>
      <c r="AB43" s="152">
        <f t="array" ref="AB43">SUM(AB15:AC15*AB27:AC27)/SUM(AB15:AC15*AB27:AC27,AB13:AC13*AB26:AC26)</f>
        <v>0.57980577800986843</v>
      </c>
      <c r="AC43" s="126"/>
      <c r="AD43" s="152">
        <f t="array" ref="AD43">SUM(AD15:AE15*AD27:AE27)/SUM(AD15:AE15*AD27:AE27,AD13:AE13*AD26:AE26)</f>
        <v>0.5814454156177471</v>
      </c>
      <c r="AE43" s="126"/>
      <c r="AF43" s="152">
        <f t="array" ref="AF43">SUM(AF15:AG15*AF27:AG27)/SUM(AF15:AG15*AF27:AG27,AF13:AG13*AF26:AG26)</f>
        <v>0.58287472837794463</v>
      </c>
      <c r="AG43" s="126"/>
      <c r="AH43" s="152">
        <f t="array" ref="AH43">SUM(AH15:AI15*AH27:AI27)/SUM(AH15:AI15*AH27:AI27,AH13:AI13*AH26:AI26)</f>
        <v>0.58365718789364851</v>
      </c>
      <c r="AI43" s="126"/>
      <c r="AJ43" s="152">
        <f t="array" ref="AJ43">SUM(AJ15:AK15*AJ27:AK27)/SUM(AJ15:AK15*AJ27:AK27,AJ13:AK13*AJ26:AK26)</f>
        <v>0.58280455995241387</v>
      </c>
      <c r="AK43" s="126"/>
      <c r="AL43" s="152">
        <f t="array" ref="AL43">SUM(AL15:AM15*AL27:AM27)/SUM(AL15:AM15*AL27:AM27,AL13:AM13*AL26:AM26)</f>
        <v>0.57777647055454273</v>
      </c>
      <c r="AM43" s="126"/>
      <c r="AN43" s="152">
        <f t="array" ref="AN43">SUM(AN15:AO15*AN27:AO27)/SUM(AN15:AO15*AN27:AO27,AN13:AO13*AN26:AO26)</f>
        <v>0.55974881452124325</v>
      </c>
      <c r="AO43" s="126"/>
      <c r="AP43" s="152">
        <f t="array" ref="AP43">SUM(AP15:AQ15*AP27:AQ27)/SUM(AP15:AQ15*AP27:AQ27,AP13:AQ13*AP26:AQ26)</f>
        <v>0.55180429177239543</v>
      </c>
      <c r="AQ43" s="126"/>
      <c r="AR43" s="152">
        <f t="array" ref="AR43">SUM(AR15:AS15*AR27:AS27)/SUM(AR15:AS15*AR27:AS27,AR13:AS13*AR26:AS26)</f>
        <v>0.54014705134451191</v>
      </c>
      <c r="AS43" s="126"/>
      <c r="AT43" s="152">
        <f t="array" ref="AT43">SUM(AT15:AU15*AT27:AU27)/SUM(AT15:AU15*AT27:AU27,AT13:AU13*AT26:AU26)</f>
        <v>0.5211532208272287</v>
      </c>
      <c r="AU43" s="126"/>
      <c r="AV43" s="152">
        <f t="array" ref="AV43">SUM(AV15:AW15*AV27:AW27)/SUM(AV15:AW15*AV27:AW27,AV13:AW13*AV26:AW26)</f>
        <v>0.48263908978231296</v>
      </c>
    </row>
    <row r="44" spans="1:51 16319:16384" x14ac:dyDescent="0.2">
      <c r="A44" t="s">
        <v>129</v>
      </c>
      <c r="B44" s="183">
        <f>(SUM(B11:C11*B24:C24)+B34)/B32</f>
        <v>0.29754226190682431</v>
      </c>
      <c r="D44" s="183">
        <f>(SUM(D11:E11*D24:E24)+D34)/D32</f>
        <v>0.29923698626585621</v>
      </c>
      <c r="F44" s="183">
        <f>(SUM(F11:G11*F24:G24)+F34)/F32</f>
        <v>0.30096230195434254</v>
      </c>
      <c r="H44" s="183">
        <f>(SUM(H11:I11*H24:I24)+H34)/H32</f>
        <v>0.30271975901465831</v>
      </c>
      <c r="J44" s="183">
        <f>(SUM(J11:K11*J24:K24)+J34)/J32</f>
        <v>0.30451043704797115</v>
      </c>
      <c r="L44" s="183">
        <f>(SUM(L11:M11*L24:M24)+L34)/L32</f>
        <v>0.306334674206788</v>
      </c>
      <c r="N44" s="183">
        <f>(SUM(N11:O11*N24:O24)+N34)/N32</f>
        <v>0.30819162372347414</v>
      </c>
      <c r="P44" s="183">
        <f>(SUM(P11:Q11*P24:Q24)+P34)/P32</f>
        <v>0.31007884795052265</v>
      </c>
      <c r="R44" s="183">
        <f>(SUM(R11:S11*R24:S24)+R34)/R32</f>
        <v>0.31199176234594556</v>
      </c>
      <c r="T44" s="183">
        <f>(SUM(T11:U11*T24:U24)+T34)/T32</f>
        <v>0.31392304600358711</v>
      </c>
      <c r="V44" s="183">
        <f>(SUM(V11:W11*V24:W24)+V34)/V32</f>
        <v>0.31586233183366486</v>
      </c>
      <c r="X44" s="183">
        <f>(SUM(X11:Y11*X24:Y24)+X34)/X32</f>
        <v>0.31779755936293386</v>
      </c>
      <c r="Z44" s="183">
        <f>(SUM(Z11:AA11*Z24:AA24)+Z34)/Z32</f>
        <v>0.31971953034016454</v>
      </c>
      <c r="AB44" s="183">
        <f>(SUM(AB11:AC11*AB24:AC24)+AB34)/AB32</f>
        <v>0.32163594967665488</v>
      </c>
      <c r="AD44" s="183">
        <f>(SUM(AD11:AE11*AD24:AE24)+AD34)/AD32</f>
        <v>0.32360988647703631</v>
      </c>
      <c r="AF44" s="183">
        <f>(SUM(AF11:AG11*AF24:AG24)+AF34)/AF32</f>
        <v>0.32585816690013347</v>
      </c>
      <c r="AH44" s="183">
        <f>(SUM(AH11:AI11*AH24:AI24)+AH34)/AH32</f>
        <v>0.3290085533268165</v>
      </c>
      <c r="AJ44" s="183">
        <f>(SUM(AJ11:AK11*AJ24:AK24)+AJ34)/AJ32</f>
        <v>0.3347444037082114</v>
      </c>
      <c r="AL44" s="183">
        <f>(SUM(AL11:AM11*AL24:AM24)+AL34)/AL32</f>
        <v>0.34719806420315535</v>
      </c>
      <c r="AN44" s="183">
        <f>(SUM(AN11:AO11*AN24:AO24)+AN34)/AN32</f>
        <v>0.37387866628932026</v>
      </c>
      <c r="AP44" s="183">
        <f>(SUM(AP11:AQ11*AP24:AQ24)+AP34)/AP32</f>
        <v>0.38247005600698147</v>
      </c>
      <c r="AR44" s="183">
        <f>(SUM(AR11:AS11*AR24:AS24)+AR34)/AR32</f>
        <v>0.39344667320633642</v>
      </c>
      <c r="AT44" s="183">
        <f>(SUM(AT11:AU11*AT24:AU24)+AT34)/AT32</f>
        <v>0.40881307116118953</v>
      </c>
      <c r="AV44" s="183">
        <f>(SUM(AV11:AW11*AV24:AW24)+AV34)/AV32</f>
        <v>0.43488098951409182</v>
      </c>
    </row>
    <row r="45" spans="1:51 16319:16384" x14ac:dyDescent="0.2">
      <c r="A45" t="s">
        <v>82</v>
      </c>
      <c r="B45" s="183">
        <f>SUM(B11:C11*B24:C24)/B32</f>
        <v>0.22038438833194082</v>
      </c>
      <c r="D45" s="183">
        <f>SUM(D11:E11*D24:E24)/D32</f>
        <v>0.22150746215604911</v>
      </c>
      <c r="F45" s="183">
        <f>SUM(F11:G11*F24:G24)/F32</f>
        <v>0.22286735886985509</v>
      </c>
      <c r="H45" s="183">
        <f>SUM(H11:I11*H24:I24)/H32</f>
        <v>0.22452278690733379</v>
      </c>
      <c r="J45" s="183">
        <f>SUM(J11:K11*J24:K24)/J32</f>
        <v>0.22655148690023433</v>
      </c>
      <c r="L45" s="183">
        <f>SUM(L11:M11*L24:M24)/L32</f>
        <v>0.22905788908194177</v>
      </c>
      <c r="N45" s="183">
        <f>SUM(N11:O11*N24:O24)/N32</f>
        <v>0.23218461130746351</v>
      </c>
      <c r="P45" s="183">
        <f>SUM(P11:Q11*P24:Q24)/P32</f>
        <v>0.23612890249208063</v>
      </c>
      <c r="R45" s="183">
        <f>SUM(R11:S11*R24:S24)/R32</f>
        <v>0.24116776692545949</v>
      </c>
      <c r="T45" s="183">
        <f>SUM(T11:U11*T24:U24)/T32</f>
        <v>0.24769538725273599</v>
      </c>
      <c r="V45" s="183">
        <f>SUM(V11:W11*V24:W24)/V32</f>
        <v>0.25627980751839702</v>
      </c>
      <c r="X45" s="183">
        <f>SUM(X11:Y11*X24:Y24)/X32</f>
        <v>0.26774621867362947</v>
      </c>
      <c r="Z45" s="183">
        <f>SUM(Z11:AA11*Z24:AA24)/Z32</f>
        <v>0.28329852267113864</v>
      </c>
      <c r="AB45" s="183">
        <f>SUM(AB11:AC11*AB24:AC24)/AB32</f>
        <v>0.3046829423374991</v>
      </c>
      <c r="AD45" s="183">
        <f>SUM(AD11:AE11*AD24:AE24)/AD32</f>
        <v>0.33436238882473679</v>
      </c>
      <c r="AF45" s="183">
        <f>SUM(AF11:AG11*AF24:AG24)/AF32</f>
        <v>0.37552041395102187</v>
      </c>
      <c r="AH45" s="183">
        <f>SUM(AH11:AI11*AH24:AI24)/AH32</f>
        <v>0.43134918350053991</v>
      </c>
      <c r="AJ45" s="183">
        <f>SUM(AJ11:AK11*AJ24:AK24)/AJ32</f>
        <v>0.50326858445752587</v>
      </c>
      <c r="AL45" s="183">
        <f>SUM(AL11:AM11*AL24:AM24)/AL32</f>
        <v>0.59327836995298855</v>
      </c>
      <c r="AN45" s="183">
        <f>SUM(AN11:AO11*AN24:AO24)/AN32</f>
        <v>0.74584682966579519</v>
      </c>
      <c r="AP45" s="183">
        <f>SUM(AP11:AQ11*AP24:AQ24)/AP32</f>
        <v>0.80332575189086164</v>
      </c>
      <c r="AR45" s="183">
        <f>SUM(AR11:AS11*AR24:AS24)/AR32</f>
        <v>0.88569282403380956</v>
      </c>
      <c r="AT45" s="183">
        <f>SUM(AT11:AU11*AT24:AU24)/AT32</f>
        <v>1.018946792534585</v>
      </c>
      <c r="AV45" s="183">
        <f>SUM(AV11:AW11*AV24:AW24)/AV32</f>
        <v>1.2980258132163907</v>
      </c>
      <c r="XCQ45" s="183"/>
    </row>
    <row r="46" spans="1:51 16319:16384" x14ac:dyDescent="0.2">
      <c r="A46" t="s">
        <v>126</v>
      </c>
      <c r="B46" s="183">
        <f>B34/B32</f>
        <v>7.7157873574883462E-2</v>
      </c>
      <c r="D46" s="183">
        <f>D34/D32</f>
        <v>7.7729524109807144E-2</v>
      </c>
      <c r="F46" s="183">
        <f>F34/F32</f>
        <v>7.8094943084487403E-2</v>
      </c>
      <c r="H46" s="183">
        <f>H34/H32</f>
        <v>7.8196972107324486E-2</v>
      </c>
      <c r="J46" s="183">
        <f>J34/J32</f>
        <v>7.795895014773678E-2</v>
      </c>
      <c r="L46" s="183">
        <f>L34/L32</f>
        <v>7.7276785124846245E-2</v>
      </c>
      <c r="N46" s="183">
        <f>N34/N32</f>
        <v>7.6007012416010655E-2</v>
      </c>
      <c r="P46" s="183">
        <f>P34/P32</f>
        <v>7.3949945458441968E-2</v>
      </c>
      <c r="R46" s="183">
        <f>R34/R32</f>
        <v>7.0823995420486091E-2</v>
      </c>
      <c r="T46" s="183">
        <f>T34/T32</f>
        <v>6.6227658750851098E-2</v>
      </c>
      <c r="V46" s="183">
        <f>V34/V32</f>
        <v>5.9582524315267844E-2</v>
      </c>
      <c r="X46" s="183">
        <f>X34/X32</f>
        <v>5.0051340689304377E-2</v>
      </c>
      <c r="Z46" s="183">
        <f>Z34/Z32</f>
        <v>3.6421007669025847E-2</v>
      </c>
      <c r="AB46" s="183">
        <f>AB34/AB32</f>
        <v>1.6953007339155751E-2</v>
      </c>
      <c r="AD46" s="183">
        <f>AD34/AD32</f>
        <v>-1.0752502347700494E-2</v>
      </c>
      <c r="AF46" s="183">
        <f>AF34/AF32</f>
        <v>-4.9662247050888349E-2</v>
      </c>
      <c r="AH46" s="183">
        <f>AH34/AH32</f>
        <v>-0.1023406301737234</v>
      </c>
      <c r="AJ46" s="183">
        <f>AJ34/AJ32</f>
        <v>-0.16852418074931452</v>
      </c>
      <c r="AL46" s="183">
        <f>AL34/AL32</f>
        <v>-0.24608030574983319</v>
      </c>
      <c r="AN46" s="183">
        <f>AN34/AN32</f>
        <v>-0.37196816337647487</v>
      </c>
      <c r="AP46" s="183">
        <f>AP34/AP32</f>
        <v>-0.42085569588388011</v>
      </c>
      <c r="AR46" s="183">
        <f>AR34/AR32</f>
        <v>-0.49224615082747319</v>
      </c>
      <c r="AT46" s="183">
        <f>AT34/AT32</f>
        <v>-0.6101337213733955</v>
      </c>
      <c r="AV46" s="183">
        <f>AV34/AV32</f>
        <v>-0.86314482370229884</v>
      </c>
      <c r="XCS46" s="183"/>
    </row>
    <row r="48" spans="1:51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0.99250670070462721</v>
      </c>
      <c r="E49" s="181"/>
      <c r="F49" s="181">
        <f>F13/F35/$B$13*$B$35</f>
        <v>0.9844761229472998</v>
      </c>
      <c r="G49" s="181"/>
      <c r="H49" s="181">
        <f>H13/H35/$B$13*$B$35</f>
        <v>0.97585822152669921</v>
      </c>
      <c r="I49" s="181"/>
      <c r="J49" s="181">
        <f>J13/J35/$B$13*$B$35</f>
        <v>0.96660081470007486</v>
      </c>
      <c r="K49" s="181"/>
      <c r="L49" s="181">
        <f>L13/L35/$B$13*$B$35</f>
        <v>0.9566513388304102</v>
      </c>
      <c r="M49" s="181"/>
      <c r="N49" s="181">
        <f>N13/N35/$B$13*$B$35</f>
        <v>0.94595999272938025</v>
      </c>
      <c r="O49" s="181"/>
      <c r="P49" s="181">
        <f>P13/P35/$B$13*$B$35</f>
        <v>0.93448463900610523</v>
      </c>
      <c r="Q49" s="181"/>
      <c r="R49" s="181">
        <f>R13/R35/$B$13*$B$35</f>
        <v>0.92219876252353461</v>
      </c>
      <c r="S49" s="181"/>
      <c r="T49" s="181">
        <f>T13/T35/$B$13*$B$35</f>
        <v>0.90910304126842179</v>
      </c>
      <c r="U49" s="181"/>
      <c r="V49" s="181">
        <f>V13/V35/$B$13*$B$35</f>
        <v>0.89524185944825085</v>
      </c>
      <c r="W49" s="181"/>
      <c r="X49" s="181">
        <f>X13/X35/$B$13*$B$35</f>
        <v>0.88072343554101362</v>
      </c>
      <c r="Y49" s="181"/>
      <c r="Z49" s="181">
        <f>Z13/Z35/$B$13*$B$35</f>
        <v>0.86574208602244251</v>
      </c>
      <c r="AA49" s="181"/>
      <c r="AB49" s="181">
        <f>AB13/AB35/$B$13*$B$35</f>
        <v>0.85059666856697302</v>
      </c>
      <c r="AC49" s="181"/>
      <c r="AD49" s="181">
        <f>AD13/AD35/$B$13*$B$35</f>
        <v>0.83569884990348531</v>
      </c>
      <c r="AE49" s="181"/>
      <c r="AF49" s="181">
        <f>AF13/AF35/$B$13*$B$35</f>
        <v>0.82156480176661484</v>
      </c>
      <c r="AG49" s="181"/>
      <c r="AH49" s="181">
        <f>AH13/AH35/$B$13*$B$35</f>
        <v>0.80875720439753818</v>
      </c>
      <c r="AI49" s="181"/>
      <c r="AJ49" s="181">
        <f>AJ13/AJ35/$B$13*$B$35</f>
        <v>0.79763956256958302</v>
      </c>
      <c r="AK49" s="181"/>
      <c r="AL49" s="181">
        <f>AL13/AL35/$B$13*$B$35</f>
        <v>0.78770539789862426</v>
      </c>
      <c r="AM49" s="181"/>
      <c r="AN49" s="181">
        <f>AN13/AN35/$B$13*$B$35</f>
        <v>0.77663223343681376</v>
      </c>
      <c r="AO49" s="181"/>
      <c r="AP49" s="181">
        <f>AP13/AP35/$B$13*$B$35</f>
        <v>0.77389024256733441</v>
      </c>
      <c r="AQ49" s="181"/>
      <c r="AR49" s="181">
        <f>AR13/AR35/$B$13*$B$35</f>
        <v>0.77081650305429061</v>
      </c>
      <c r="AS49" s="181"/>
      <c r="AT49" s="181">
        <f>AT13/AT35/$B$13*$B$35</f>
        <v>0.76726311832725058</v>
      </c>
      <c r="AU49" s="181"/>
      <c r="AV49" s="181">
        <f>AV13/AV35/$B$13*$B$35</f>
        <v>0.76290960792873996</v>
      </c>
    </row>
    <row r="51" spans="1:48 16321:16384" x14ac:dyDescent="0.2">
      <c r="A51" t="s">
        <v>150</v>
      </c>
      <c r="B51" s="27">
        <f>B30-B10*B23</f>
        <v>-405838.32800000021</v>
      </c>
      <c r="D51" s="27">
        <f>D30-D10*D23</f>
        <v>-361459.49205493508</v>
      </c>
      <c r="F51" s="27">
        <f>F30-F10*F23</f>
        <v>-316618.6202699733</v>
      </c>
      <c r="H51" s="27">
        <f>H30-H10*H23</f>
        <v>-271349.14576601656</v>
      </c>
      <c r="J51" s="27">
        <f>J30-J10*J23</f>
        <v>-225722.20026594354</v>
      </c>
      <c r="L51" s="27">
        <f>L30-L10*L23</f>
        <v>-179862.29479733482</v>
      </c>
      <c r="N51" s="27">
        <f>N30-N10*N23</f>
        <v>-133968.46092024352</v>
      </c>
      <c r="P51" s="27">
        <f>P30-P10*P23</f>
        <v>-88341.37946059322</v>
      </c>
      <c r="R51" s="27">
        <f>R30-R10*R23</f>
        <v>-43417.652461472433</v>
      </c>
      <c r="T51" s="27">
        <f>T30-T10*T23</f>
        <v>195.87576229032129</v>
      </c>
      <c r="V51" s="27">
        <f>V30-V10*V23</f>
        <v>41694.997360704467</v>
      </c>
      <c r="X51" s="27">
        <f>X30-X10*X23</f>
        <v>80095.764000385068</v>
      </c>
      <c r="Z51" s="27">
        <f>Z30-Z10*Z23</f>
        <v>114357.95252946671</v>
      </c>
      <c r="AB51" s="27">
        <f>AB30-AB10*AB23</f>
        <v>143748.05259927316</v>
      </c>
      <c r="AD51" s="27">
        <f>AD30-AD10*AD23</f>
        <v>168693.63273229124</v>
      </c>
      <c r="AF51" s="27">
        <f>AF30-AF10*AF23</f>
        <v>192678.8772081607</v>
      </c>
      <c r="AH51" s="27">
        <f>AH30-AH10*AH23</f>
        <v>226610.77671200573</v>
      </c>
      <c r="AJ51" s="27">
        <f>AJ30-AJ10*AJ23</f>
        <v>300607.24922229652</v>
      </c>
      <c r="AL51" s="27">
        <f>AL30-AL10*AL23</f>
        <v>502260.68795343954</v>
      </c>
      <c r="AN51" s="27">
        <f>AN30-AN10*AN23</f>
        <v>1065501.4195592105</v>
      </c>
      <c r="AP51" s="27">
        <f>AP30-AP10*AP23</f>
        <v>1272347.5667470624</v>
      </c>
      <c r="AQ51" s="27"/>
      <c r="AR51" s="27">
        <f>AR30-AR10*AR23</f>
        <v>1544643.2569175055</v>
      </c>
      <c r="AT51" s="27">
        <f>AT30-AT10*AT23</f>
        <v>1927153.9690446076</v>
      </c>
      <c r="AV51" s="27">
        <f>AV30-AV10*AV23</f>
        <v>2532538.9635770484</v>
      </c>
      <c r="XFD51" s="27"/>
    </row>
    <row r="52" spans="1:48 16321:16384" x14ac:dyDescent="0.2">
      <c r="A52" t="s">
        <v>151</v>
      </c>
      <c r="B52" s="27">
        <f t="array" ref="B52">Calibration!sL*SUM(B13:C13*B26:C26)</f>
        <v>2073093.0976150823</v>
      </c>
      <c r="D52" s="27">
        <f t="array" ref="D52">Calibration!sL*SUM(D13:E13*D26:E26)</f>
        <v>2050505.6766348446</v>
      </c>
      <c r="F52" s="27">
        <f t="array" ref="F52">Calibration!sL*SUM(F13:G13*F26:G26)</f>
        <v>2025921.564391149</v>
      </c>
      <c r="H52" s="27">
        <f t="array" ref="H52">Calibration!sL*SUM(H13:I13*H26:I26)</f>
        <v>1998971.2086737093</v>
      </c>
      <c r="J52" s="27">
        <f t="array" ref="J52">Calibration!sL*SUM(J13:K13*J26:K26)</f>
        <v>1969201.3696967566</v>
      </c>
      <c r="L52" s="27">
        <f t="array" ref="L52">Calibration!sL*SUM(L13:M13*L26:M26)</f>
        <v>1936053.5853800047</v>
      </c>
      <c r="N52" s="27">
        <f t="array" ref="N52">Calibration!sL*SUM(N13:O13*N26:O26)</f>
        <v>1898837.3117618132</v>
      </c>
      <c r="P52" s="27">
        <f t="array" ref="P52">Calibration!sL*SUM(P13:Q13*P26:Q26)</f>
        <v>1856703.4759587869</v>
      </c>
      <c r="R52" s="27">
        <f t="array" ref="R52">Calibration!sL*SUM(R13:S13*R26:S26)</f>
        <v>1808619.06805886</v>
      </c>
      <c r="T52" s="27">
        <f t="array" ref="T52">Calibration!sL*SUM(T13:U13*T26:U26)</f>
        <v>1753359.375665253</v>
      </c>
      <c r="V52" s="27">
        <f t="array" ref="V52">Calibration!sL*SUM(V13:W13*V26:W26)</f>
        <v>1689544.0930705513</v>
      </c>
      <c r="X52" s="27">
        <f t="array" ref="X52">Calibration!sL*SUM(X13:Y13*X26:Y26)</f>
        <v>1615775.9276337617</v>
      </c>
      <c r="Z52" s="27">
        <f t="array" ref="Z52">Calibration!sL*SUM(Z13:AA13*Z26:AA26)</f>
        <v>1530972.0182802621</v>
      </c>
      <c r="AB52" s="27">
        <f t="array" ref="AB52">Calibration!sL*SUM(AB13:AC13*AB26:AC26)</f>
        <v>1435045.1090046726</v>
      </c>
      <c r="AD52" s="27">
        <f t="array" ref="AD52">Calibration!sL*SUM(AD13:AE13*AD26:AE26)</f>
        <v>1330167.4303453381</v>
      </c>
      <c r="AF52" s="27">
        <f t="array" ref="AF52">Calibration!sL*SUM(AF13:AG13*AF26:AG26)</f>
        <v>1222972.0949549449</v>
      </c>
      <c r="AH52" s="27">
        <f t="array" ref="AH52">Calibration!sL*SUM(AH13:AI13*AH26:AI26)</f>
        <v>1128023.5927611925</v>
      </c>
      <c r="AJ52" s="27">
        <f t="array" ref="AJ52">Calibration!sL*SUM(AJ13:AK13*AJ26:AK26)</f>
        <v>1072536.7527005908</v>
      </c>
      <c r="AL52" s="27">
        <f t="array" ref="AL52">Calibration!sL*SUM(AL13:AM13*AL26:AM26)</f>
        <v>1102840.3080461172</v>
      </c>
      <c r="AN52" s="27">
        <f t="array" ref="AN52">Calibration!sL*SUM(AN13:AO13*AN26:AO26)</f>
        <v>1269397.8430415194</v>
      </c>
      <c r="AP52" s="27">
        <f t="array" ref="AP52">Calibration!sL*SUM(AP13:AQ13*AP26:AQ26)</f>
        <v>1320803.6746789764</v>
      </c>
      <c r="AQ52" s="27"/>
      <c r="AR52" s="27">
        <f t="array" ref="AR52">Calibration!sL*SUM(AR13:AS13*AR26:AS26)</f>
        <v>1378355.1855552394</v>
      </c>
      <c r="AT52" s="27">
        <f t="array" ref="AT52">Calibration!sL*SUM(AT13:AU13*AT26:AU26)</f>
        <v>1440150.6226156317</v>
      </c>
      <c r="AV52" s="27">
        <f t="array" ref="AV52">Calibration!sL*SUM(AV13:AW13*AV26:AW26)</f>
        <v>1489609.0300447429</v>
      </c>
    </row>
    <row r="53" spans="1:48 16321:16384" x14ac:dyDescent="0.2">
      <c r="A53" t="s">
        <v>152</v>
      </c>
      <c r="B53" s="27">
        <f t="array" ref="B53">Calibration!sK*SUM(B15:C15*B27:C27)</f>
        <v>2716869.1663849424</v>
      </c>
      <c r="D53" s="27">
        <f t="array" ref="D53">Calibration!sK*SUM(D15:E15*D27:E27)</f>
        <v>2691344.0853162915</v>
      </c>
      <c r="F53" s="27">
        <f t="array" ref="F53">Calibration!sK*SUM(F15:G15*F27:G27)</f>
        <v>2663869.2931913286</v>
      </c>
      <c r="H53" s="27">
        <f t="array" ref="H53">Calibration!sK*SUM(H15:I15*H27:I27)</f>
        <v>2634004.25294891</v>
      </c>
      <c r="J53" s="27">
        <f t="array" ref="J53">Calibration!sK*SUM(J15:K15*J27:K27)</f>
        <v>2601193.3943986492</v>
      </c>
      <c r="L53" s="27">
        <f t="array" ref="L53">Calibration!sK*SUM(L15:M15*L27:M27)</f>
        <v>2564732.5564759513</v>
      </c>
      <c r="N53" s="27">
        <f t="array" ref="N53">Calibration!sK*SUM(N15:O15*N27:O27)</f>
        <v>2523725.8099842272</v>
      </c>
      <c r="P53" s="27">
        <f t="array" ref="P53">Calibration!sK*SUM(P15:Q15*P27:Q27)</f>
        <v>2477037.7358438936</v>
      </c>
      <c r="R53" s="27">
        <f t="array" ref="R53">Calibration!sK*SUM(R15:S15*R27:S27)</f>
        <v>2423241.3892836794</v>
      </c>
      <c r="T53" s="27">
        <f t="array" ref="T53">Calibration!sK*SUM(T15:U15*T27:U27)</f>
        <v>2360581.5209763944</v>
      </c>
      <c r="V53" s="27">
        <f t="array" ref="V53">Calibration!sK*SUM(V15:W15*V27:W27)</f>
        <v>2286987.0369735225</v>
      </c>
      <c r="X53" s="27">
        <f t="array" ref="X53">Calibration!sK*SUM(X15:Y15*X27:Y27)</f>
        <v>2200212.4728946011</v>
      </c>
      <c r="Z53" s="27">
        <f t="array" ref="Z53">Calibration!sK*SUM(Z15:AA15*Z27:AA27)</f>
        <v>2098237.6051581455</v>
      </c>
      <c r="AB53" s="27">
        <f t="array" ref="AB53">Calibration!sK*SUM(AB15:AC15*AB27:AC27)</f>
        <v>1980149.6602331949</v>
      </c>
      <c r="AD53" s="27">
        <f t="array" ref="AD53">Calibration!sK*SUM(AD15:AE15*AD27:AE27)</f>
        <v>1847834.8660780543</v>
      </c>
      <c r="AF53" s="27">
        <f t="array" ref="AF53">Calibration!sK*SUM(AF15:AG15*AF27:AG27)</f>
        <v>1708933.9250261292</v>
      </c>
      <c r="AH53" s="27">
        <f t="array" ref="AH53">Calibration!sK*SUM(AH15:AI15*AH27:AI27)</f>
        <v>1581338.8844107394</v>
      </c>
      <c r="AJ53" s="27">
        <f t="array" ref="AJ53">Calibration!sK*SUM(AJ15:AK15*AJ27:AK27)</f>
        <v>1498288.9317274443</v>
      </c>
      <c r="AL53" s="27">
        <f t="array" ref="AL53">Calibration!sK*SUM(AL15:AM15*AL27:AM27)</f>
        <v>1509141.808380632</v>
      </c>
      <c r="AN53" s="27">
        <f t="array" ref="AN53">Calibration!sK*SUM(AN15:AO15*AN27:AO27)</f>
        <v>1613951.2197465715</v>
      </c>
      <c r="AP53" s="27">
        <f t="array" ref="AP53">Calibration!sK*SUM(AP15:AQ15*AP27:AQ27)</f>
        <v>1626131.4486003395</v>
      </c>
      <c r="AQ53" s="27"/>
      <c r="AR53" s="27">
        <f t="array" ref="AR53">Calibration!sK*SUM(AR15:AS15*AR27:AS27)</f>
        <v>1619027.3246260174</v>
      </c>
      <c r="AT53" s="27">
        <f t="array" ref="AT53">Calibration!sK*SUM(AT15:AU15*AT27:AU27)</f>
        <v>1567388.9187457091</v>
      </c>
      <c r="AV53" s="27">
        <f t="array" ref="AV53">Calibration!sK*SUM(AV15:AW15*AV27:AW27)</f>
        <v>1389636.3876617639</v>
      </c>
      <c r="XFD53" s="27"/>
    </row>
    <row r="55" spans="1:48 16321:16384" x14ac:dyDescent="0.2">
      <c r="A55" t="s">
        <v>153</v>
      </c>
      <c r="B55" s="183">
        <f>B30/B32</f>
        <v>0.19850271905982084</v>
      </c>
      <c r="D55" s="183">
        <f>D30/D32</f>
        <v>0.20135387212125244</v>
      </c>
      <c r="F55" s="183">
        <f>F30/F32</f>
        <v>0.20425646858124419</v>
      </c>
      <c r="H55" s="183">
        <f>H30/H32</f>
        <v>0.20721314973109675</v>
      </c>
      <c r="J55" s="183">
        <f>J30/J32</f>
        <v>0.21022573306327735</v>
      </c>
      <c r="L55" s="183">
        <f>L30/L32</f>
        <v>0.21329475161274825</v>
      </c>
      <c r="N55" s="183">
        <f>N30/N32</f>
        <v>0.21641881829631054</v>
      </c>
      <c r="P55" s="183">
        <f>P30/P32</f>
        <v>0.21959385690176489</v>
      </c>
      <c r="R55" s="183">
        <f>R30/R32</f>
        <v>0.22281207859520075</v>
      </c>
      <c r="T55" s="183">
        <f>T30/T32</f>
        <v>0.22606115057124807</v>
      </c>
      <c r="V55" s="183">
        <f>V30/V32</f>
        <v>0.22932374021846572</v>
      </c>
      <c r="X55" s="183">
        <f>X30/X32</f>
        <v>0.23257949218673923</v>
      </c>
      <c r="Z55" s="183">
        <f>Z30/Z32</f>
        <v>0.23581294995427529</v>
      </c>
      <c r="AB55" s="183">
        <f>AB30/AB32</f>
        <v>0.23903729970381066</v>
      </c>
      <c r="AD55" s="183">
        <f>AD30/AD32</f>
        <v>0.2423580975041815</v>
      </c>
      <c r="AF55" s="183">
        <f>AF30/AF32</f>
        <v>0.2461403904757338</v>
      </c>
      <c r="AH55" s="183">
        <f>AH30/AH32</f>
        <v>0.2514404708178557</v>
      </c>
      <c r="AJ55" s="183">
        <f>AJ30/AJ32</f>
        <v>0.26109023905345419</v>
      </c>
      <c r="AL55" s="183">
        <f>AL30/AL32</f>
        <v>0.28204181881019524</v>
      </c>
      <c r="AN55" s="183">
        <f>AN30/AN32</f>
        <v>0.32692828440091576</v>
      </c>
      <c r="AP55" s="183">
        <f>AP30/AP32</f>
        <v>0.34138212321515499</v>
      </c>
      <c r="AR55" s="183">
        <f>AR30/AR32</f>
        <v>0.35984878118693858</v>
      </c>
      <c r="AT55" s="183">
        <f>AT30/AT32</f>
        <v>0.38570064538152798</v>
      </c>
      <c r="AV55" s="183">
        <f>AV30/AV32</f>
        <v>0.42955635443948753</v>
      </c>
      <c r="XCS55" s="183"/>
      <c r="XFD55" s="183"/>
    </row>
    <row r="56" spans="1:48 16321:16384" x14ac:dyDescent="0.2">
      <c r="A56" t="s">
        <v>154</v>
      </c>
      <c r="B56" s="183">
        <f>(Model!$C$52*B5*B20+B2*C5*C20)/B32</f>
        <v>2.9221206744340551E-2</v>
      </c>
      <c r="D56" s="183">
        <f>(Model!$C$52*D5*D20+D2*E5*E20)/D32</f>
        <v>3.2844766842026189E-2</v>
      </c>
      <c r="F56" s="183">
        <f>(Model!$C$52*F5*F20+F2*G5*G20)/F32</f>
        <v>3.6554443852400094E-2</v>
      </c>
      <c r="H56" s="183">
        <f>(Model!$C$52*H5*H20+H2*I5*I20)/H32</f>
        <v>4.0355964958468236E-2</v>
      </c>
      <c r="J56" s="183">
        <f>(Model!$C$52*J5*J20+J2*K5*K20)/J32</f>
        <v>4.4254306266348679E-2</v>
      </c>
      <c r="L56" s="183">
        <f>(Model!$C$52*L5*L20+L2*M5*M20)/L32</f>
        <v>4.8253125416143856E-2</v>
      </c>
      <c r="N56" s="183">
        <f>(Model!$C$52*N5*N20+N2*O5*O20)/N32</f>
        <v>5.2353917772307981E-2</v>
      </c>
      <c r="P56" s="183">
        <f>(Model!$C$52*P5*P20+P2*Q5*Q20)/P32</f>
        <v>5.6554988658667309E-2</v>
      </c>
      <c r="R56" s="183">
        <f>(Model!$C$52*R5*R20+R2*S5*S20)/R32</f>
        <v>6.0849980360630419E-2</v>
      </c>
      <c r="T56" s="183">
        <f>(Model!$C$52*T5*T20+T2*U5*U20)/T32</f>
        <v>6.5226471304584643E-2</v>
      </c>
      <c r="V56" s="183">
        <f>(Model!$C$52*V5*V20+V2*W5*W20)/V32</f>
        <v>6.9664692726830624E-2</v>
      </c>
      <c r="X56" s="183">
        <f>(Model!$C$52*X5*X20+X2*Y5*Y20)/X32</f>
        <v>7.4138809398311967E-2</v>
      </c>
      <c r="Z56" s="183">
        <f>(Model!$C$52*Z5*Z20+Z2*AA5*AA20)/Z32</f>
        <v>7.8624492248885888E-2</v>
      </c>
      <c r="AB56" s="183">
        <f>(Model!$C$52*AB5*AB20+AB2*AC5*AC20)/AB32</f>
        <v>8.3123932928068911E-2</v>
      </c>
      <c r="AD56" s="183">
        <f>(Model!$C$52*AD5*AD20+AD2*AE5*AE20)/AD32</f>
        <v>8.7734844877795315E-2</v>
      </c>
      <c r="AF56" s="183">
        <f>(Model!$C$52*AF5*AF20+AF2*AG5*AG20)/AF32</f>
        <v>9.2832609812509223E-2</v>
      </c>
      <c r="AH56" s="183">
        <f>(Model!$C$52*AH5*AH20+AH2*AI5*AI20)/AH32</f>
        <v>9.9543194874299828E-2</v>
      </c>
      <c r="AJ56" s="183">
        <f>(Model!$C$52*AJ5*AJ20+AJ2*AK5*AK20)/AJ32</f>
        <v>0.1109350284077547</v>
      </c>
      <c r="AL56" s="183">
        <f>(Model!$C$52*AL5*AL20+AL2*AM5*AM20)/AL32</f>
        <v>0.13451037424752685</v>
      </c>
      <c r="AN56" s="183">
        <f>(Model!$C$52*AN5*AN20+AN2*AO5*AO20)/AN32</f>
        <v>0.18290985304215299</v>
      </c>
      <c r="AP56" s="183">
        <f>(Model!$C$52*AP5*AP20+AP2*AQ5*AQ20)/AP32</f>
        <v>0.19799493220566966</v>
      </c>
      <c r="AR56" s="183">
        <f>(Model!$C$52*AR5*AR20+AR2*AS5*AS20)/AR32</f>
        <v>0.21697810639325268</v>
      </c>
      <c r="AT56" s="183">
        <f>(Model!$C$52*AT5*AT20+AT2*AU5*AU20)/AT32</f>
        <v>0.24313280452151281</v>
      </c>
      <c r="AV56" s="183">
        <f>(Model!$C$52*AV5*AV20+AV2*AW5*AW20)/AV32</f>
        <v>0.28689540293525401</v>
      </c>
      <c r="XFD56" s="183"/>
    </row>
    <row r="57" spans="1:48 16321:16384" x14ac:dyDescent="0.2">
      <c r="A57" t="s">
        <v>155</v>
      </c>
      <c r="B57" s="183">
        <f t="array" ref="B57">SUM(Model!tauL*B13:C13*B26:C26)/B32</f>
        <v>0.15852881819439493</v>
      </c>
      <c r="D57" s="183">
        <f t="array" ref="D57">SUM(Model!tauL*D13:E13*D26:E26)/D32</f>
        <v>0.15782908416521102</v>
      </c>
      <c r="F57" s="183">
        <f t="array" ref="F57">SUM(Model!tauL*F13:G13*F26:G26)/F32</f>
        <v>0.15709476840328931</v>
      </c>
      <c r="H57" s="183">
        <f t="array" ref="H57">SUM(Model!tauL*H13:I13*H26:I26)/H32</f>
        <v>0.15632283773064642</v>
      </c>
      <c r="J57" s="183">
        <f t="array" ref="J57">SUM(Model!tauL*J13:K13*J26:K26)/J32</f>
        <v>0.15551019143230316</v>
      </c>
      <c r="L57" s="183">
        <f t="array" ref="L57">SUM(Model!tauL*L13:M13*L26:M26)/L32</f>
        <v>0.15465376426037031</v>
      </c>
      <c r="N57" s="183">
        <f t="array" ref="N57">SUM(Model!tauL*N13:O13*N26:O26)/N32</f>
        <v>0.15375072231834153</v>
      </c>
      <c r="P57" s="183">
        <f t="array" ref="P57">SUM(Model!tauL*P13:Q13*P26:Q26)/P32</f>
        <v>0.15279871881948789</v>
      </c>
      <c r="R57" s="183">
        <f t="array" ref="R57">SUM(Model!tauL*R13:S13*R26:S26)/R32</f>
        <v>0.15179633219810809</v>
      </c>
      <c r="T57" s="183">
        <f t="array" ref="T57">SUM(Model!tauL*T13:U13*T26:U26)/T32</f>
        <v>0.15074363918163131</v>
      </c>
      <c r="V57" s="183">
        <f t="array" ref="V57">SUM(Model!tauL*V13:W13*V26:W26)/V32</f>
        <v>0.14964306106795705</v>
      </c>
      <c r="X57" s="183">
        <f t="array" ref="X57">SUM(Model!tauL*X13:Y13*X26:Y26)/X32</f>
        <v>0.14850016711425848</v>
      </c>
      <c r="Y57" s="183"/>
      <c r="Z57" s="183">
        <f t="array" ref="Z57">SUM(Model!tauL*Z13:AA13*Z26:AA26)/Z32</f>
        <v>0.1473242799878699</v>
      </c>
      <c r="AB57" s="183">
        <f t="array" ref="AB57">SUM(Model!tauL*AB13:AC13*AB26:AC26)/AB32</f>
        <v>0.14612782672299565</v>
      </c>
      <c r="AD57" s="183">
        <f t="array" ref="AD57">SUM(Model!tauL*AD13:AE13*AD26:AE26)/AD32</f>
        <v>0.14492241433013822</v>
      </c>
      <c r="AF57" s="183">
        <f t="array" ref="AF57">SUM(Model!tauL*AF13:AG13*AF26:AG26)/AF32</f>
        <v>0.14370650783501532</v>
      </c>
      <c r="AH57" s="183">
        <f t="array" ref="AH57">SUM(Model!tauL*AH13:AI13*AH26:AI26)/AH32</f>
        <v>0.14242849050252848</v>
      </c>
      <c r="AJ57" s="183">
        <f t="array" ref="AJ57">SUM(Model!tauL*AJ13:AK13*AJ26:AK26)/AJ32</f>
        <v>0.14088034670162858</v>
      </c>
      <c r="AL57" s="183">
        <f t="array" ref="AL57">SUM(Model!tauL*AL13:AM13*AL26:AM26)/AL32</f>
        <v>0.13853548701294857</v>
      </c>
      <c r="AN57" s="183">
        <f t="array" ref="AN57">SUM(Model!tauL*AN13:AO13*AN26:AO26)/AN32</f>
        <v>0.13541953859217626</v>
      </c>
      <c r="AP57" s="183">
        <f t="array" ref="AP57">SUM(Model!tauL*AP13:AQ13*AP26:AQ26)/AP32</f>
        <v>0.13490270658706124</v>
      </c>
      <c r="AR57" s="183">
        <f t="array" ref="AR57">SUM(Model!tauL*AR13:AS13*AR26:AS26)/AR32</f>
        <v>0.13453057775760416</v>
      </c>
      <c r="AT57" s="183">
        <f t="array" ref="AT57">SUM(Model!tauL*AT13:AU13*AT26:AU26)/AT32</f>
        <v>0.13442996476121927</v>
      </c>
      <c r="AV57" s="183">
        <f t="array" ref="AV57">SUM(Model!tauL*AV13:AW13*AV26:AW26)/AV32</f>
        <v>0.13487324722019875</v>
      </c>
      <c r="XFD57" s="183"/>
    </row>
    <row r="58" spans="1:48 16321:16384" x14ac:dyDescent="0.2">
      <c r="A58" t="s">
        <v>156</v>
      </c>
      <c r="B58" s="183">
        <f t="array" ref="B58">SUM(Model!tauY/(1+Model!tauY)*B3:C3*B18:C18)/B32</f>
        <v>1.075269412108535E-2</v>
      </c>
      <c r="D58" s="183">
        <f t="array" ref="D58">SUM(Model!tauY/(1+Model!tauY)*D3:E3*D18:E18)/D32</f>
        <v>1.0680021114015236E-2</v>
      </c>
      <c r="F58" s="183">
        <f t="array" ref="F58">SUM(Model!tauY/(1+Model!tauY)*F3:G3*F18:G18)/F32</f>
        <v>1.0607256325554818E-2</v>
      </c>
      <c r="H58" s="183">
        <f t="array" ref="H58">SUM(Model!tauY/(1+Model!tauY)*H3:I3*H18:I18)/H32</f>
        <v>1.053434704198206E-2</v>
      </c>
      <c r="J58" s="183">
        <f t="array" ref="J58">SUM(Model!tauY/(1+Model!tauY)*J3:K3*J18:K18)/J32</f>
        <v>1.0461235364625536E-2</v>
      </c>
      <c r="L58" s="183">
        <f t="array" ref="L58">SUM(Model!tauY/(1+Model!tauY)*L3:M3*L18:M18)/L32</f>
        <v>1.0387861936234057E-2</v>
      </c>
      <c r="N58" s="183">
        <f t="array" ref="N58">SUM(Model!tauY/(1+Model!tauY)*N3:O3*N18:O18)/N32</f>
        <v>1.0314178205661091E-2</v>
      </c>
      <c r="P58" s="183">
        <f t="array" ref="P58">SUM(Model!tauY/(1+Model!tauY)*P3:Q3*P18:Q18)/P32</f>
        <v>1.0240149423609679E-2</v>
      </c>
      <c r="R58" s="183">
        <f t="array" ref="R58">SUM(Model!tauY/(1+Model!tauY)*R3:S3*R18:S18)/R32</f>
        <v>1.0165766036462265E-2</v>
      </c>
      <c r="T58" s="183">
        <f t="array" ref="T58">SUM(Model!tauY/(1+Model!tauY)*T3:U3*T18:U18)/T32</f>
        <v>1.0091040085032104E-2</v>
      </c>
      <c r="V58" s="183">
        <f t="array" ref="V58">SUM(Model!tauY/(1+Model!tauY)*V3:W3*V18:W18)/V32</f>
        <v>1.0015986423678057E-2</v>
      </c>
      <c r="X58" s="183">
        <f t="array" ref="X58">SUM(Model!tauY/(1+Model!tauY)*X3:Y3*X18:Y18)/X32</f>
        <v>9.9405156741687716E-3</v>
      </c>
      <c r="Y58" s="183"/>
      <c r="Z58" s="183">
        <f t="array" ref="Z58">SUM(Model!tauY/(1+Model!tauY)*Z3:AA3*Z18:AA18)/Z32</f>
        <v>9.8641777175195212E-3</v>
      </c>
      <c r="AB58" s="183">
        <f t="array" ref="AB58">SUM(Model!tauY/(1+Model!tauY)*AB3:AC3*AB18:AC18)/AB32</f>
        <v>9.7855400527460945E-3</v>
      </c>
      <c r="AD58" s="183">
        <f t="array" ref="AD58">SUM(Model!tauY/(1+Model!tauY)*AD3:AE3*AD18:AE18)/AD32</f>
        <v>9.7008382962479947E-3</v>
      </c>
      <c r="AF58" s="183">
        <f t="array" ref="AF58">SUM(Model!tauY/(1+Model!tauY)*AF3:AG3*AF18:AG18)/AF32</f>
        <v>9.6012728282092834E-3</v>
      </c>
      <c r="AH58" s="183">
        <f t="array" ref="AH58">SUM(Model!tauY/(1+Model!tauY)*AH3:AI3*AH18:AI18)/AH32</f>
        <v>9.4687854410274355E-3</v>
      </c>
      <c r="AJ58" s="183">
        <f t="array" ref="AJ58">SUM(Model!tauY/(1+Model!tauY)*AJ3:AK3*AJ18:AK18)/AJ32</f>
        <v>9.2748639440708835E-3</v>
      </c>
      <c r="AL58" s="183">
        <f t="array" ref="AL58">SUM(Model!tauY/(1+Model!tauY)*AL3:AM3*AL18:AM18)/AL32</f>
        <v>8.995957549719805E-3</v>
      </c>
      <c r="AN58" s="183">
        <f t="array" ref="AN58">SUM(Model!tauY/(1+Model!tauY)*AN3:AO3*AN18:AO18)/AN32</f>
        <v>8.5988927665865706E-3</v>
      </c>
      <c r="AP58" s="183">
        <f t="array" ref="AP58">SUM(Model!tauY/(1+Model!tauY)*AP3:AQ3*AP18:AQ18)/AP32</f>
        <v>8.4844844224240979E-3</v>
      </c>
      <c r="AR58" s="183">
        <f t="array" ref="AR58">SUM(Model!tauY/(1+Model!tauY)*AR3:AS3*AR18:AS18)/AR32</f>
        <v>8.3400970360817204E-3</v>
      </c>
      <c r="AT58" s="183">
        <f t="array" ref="AT58">SUM(Model!tauY/(1+Model!tauY)*AT3:AU3*AT18:AU18)/AT32</f>
        <v>8.1378760987959112E-3</v>
      </c>
      <c r="AV58" s="183">
        <f t="array" ref="AV58">SUM(Model!tauY/(1+Model!tauY)*AV3:AW3*AV18:AW18)/AV32</f>
        <v>7.7877042840347795E-3</v>
      </c>
      <c r="XFD58" s="183"/>
    </row>
    <row r="59" spans="1:48 16321:16384" x14ac:dyDescent="0.2">
      <c r="A59" t="s">
        <v>157</v>
      </c>
      <c r="B59" s="183">
        <f>(B2*C5*C20)/B32</f>
        <v>5.5174232040962052E-4</v>
      </c>
      <c r="D59" s="183">
        <f>(D2*E5*E20)/D32</f>
        <v>4.228702724536587E-3</v>
      </c>
      <c r="F59" s="183">
        <f>(F2*G5*G20)/F32</f>
        <v>7.9890610898396604E-3</v>
      </c>
      <c r="H59" s="183">
        <f>(H2*I5*I20)/H32</f>
        <v>1.1837641867943382E-2</v>
      </c>
      <c r="J59" s="183">
        <f>(J2*K5*K20)/J32</f>
        <v>1.5778192433340252E-2</v>
      </c>
      <c r="L59" s="183">
        <f>(L2*M5*M20)/L32</f>
        <v>1.9812683973442238E-2</v>
      </c>
      <c r="N59" s="183">
        <f>(N2*O5*O20)/N32</f>
        <v>2.3940268130273341E-2</v>
      </c>
      <c r="P59" s="183">
        <f>(P2*Q5*Q20)/P32</f>
        <v>2.8155976182580131E-2</v>
      </c>
      <c r="R59" s="183">
        <f>(R2*S5*S20)/R32</f>
        <v>3.2448829241383946E-2</v>
      </c>
      <c r="T59" s="183">
        <f>(T2*U5*U20)/T32</f>
        <v>3.6799837959540775E-2</v>
      </c>
      <c r="V59" s="183">
        <f>(V2*W5*W20)/V32</f>
        <v>4.117983101429562E-2</v>
      </c>
      <c r="X59" s="183">
        <f>(X2*Y5*Y20)/X32</f>
        <v>4.5549518141581369E-2</v>
      </c>
      <c r="Z59" s="183">
        <f>(Z2*AA5*AA20)/Z32</f>
        <v>4.9865415766015636E-2</v>
      </c>
      <c r="AB59" s="183">
        <f>(AB2*AC5*AC20)/AB32</f>
        <v>5.4103031024871143E-2</v>
      </c>
      <c r="AD59" s="183">
        <f>(AD2*AE5*AE20)/AD32</f>
        <v>5.8325057073793325E-2</v>
      </c>
      <c r="AF59" s="183">
        <f>(AF2*AG5*AG20)/AF32</f>
        <v>6.2868431258061602E-2</v>
      </c>
      <c r="AH59" s="183">
        <f>(AH2*AI5*AI20)/AH32</f>
        <v>6.8841235975521164E-2</v>
      </c>
      <c r="AJ59" s="183">
        <f>(AJ2*AK5*AK20)/AJ32</f>
        <v>7.9374503816893358E-2</v>
      </c>
      <c r="AL59" s="183">
        <f>(AL2*AM5*AM20)/AL32</f>
        <v>0.10214727929623922</v>
      </c>
      <c r="AN59" s="183">
        <f>(AN2*AO5*AO20)/AN32</f>
        <v>0.14950289831276753</v>
      </c>
      <c r="AP59" s="183">
        <f>(AP2*AQ5*AQ20)/AP32</f>
        <v>0.16413324062893073</v>
      </c>
      <c r="AR59" s="183">
        <f>(AR2*AS5*AS20)/AR32</f>
        <v>0.18240430858236129</v>
      </c>
      <c r="AT59" s="183">
        <f>(AT2*AU5*AU20)/AT32</f>
        <v>0.20729698091044066</v>
      </c>
      <c r="AV59" s="183">
        <f>(AV2*AW5*AW20)/AV32</f>
        <v>0.2481273149108158</v>
      </c>
      <c r="XFD59" s="183"/>
    </row>
    <row r="60" spans="1:48 16321:16384" x14ac:dyDescent="0.2">
      <c r="A60" t="s">
        <v>158</v>
      </c>
      <c r="B60" s="183">
        <f>Model!$C$52*B5*B20/B32</f>
        <v>2.8669464423930927E-2</v>
      </c>
      <c r="D60" s="183">
        <f>Model!$C$52*D5*D20/D32</f>
        <v>2.8616064117489601E-2</v>
      </c>
      <c r="F60" s="183">
        <f>Model!$C$52*F5*F20/F32</f>
        <v>2.8565382762560435E-2</v>
      </c>
      <c r="H60" s="183">
        <f>Model!$C$52*H5*H20/H32</f>
        <v>2.8518323090524853E-2</v>
      </c>
      <c r="J60" s="183">
        <f>Model!$C$52*J5*J20/J32</f>
        <v>2.847611383300843E-2</v>
      </c>
      <c r="L60" s="183">
        <f>Model!$C$52*L5*L20/L32</f>
        <v>2.8440441442701615E-2</v>
      </c>
      <c r="N60" s="183">
        <f>Model!$C$52*N5*N20/N32</f>
        <v>2.841364964203464E-2</v>
      </c>
      <c r="P60" s="183">
        <f>Model!$C$52*P5*P20/P32</f>
        <v>2.8399012476087178E-2</v>
      </c>
      <c r="R60" s="183">
        <f>Model!$C$52*R5*R20/R32</f>
        <v>2.8401151119246473E-2</v>
      </c>
      <c r="T60" s="183">
        <f>Model!$C$52*T5*T20/T32</f>
        <v>2.8426633345043875E-2</v>
      </c>
      <c r="V60" s="183">
        <f>Model!$C$52*V5*V20/V32</f>
        <v>2.8484861712535E-2</v>
      </c>
      <c r="X60" s="183">
        <f>Model!$C$52*X5*X20/X32</f>
        <v>2.8589291256730605E-2</v>
      </c>
      <c r="Z60" s="183">
        <f>Model!$C$52*Z5*Z20/Z32</f>
        <v>2.8759076482870245E-2</v>
      </c>
      <c r="AB60" s="183">
        <f>Model!$C$52*AB5*AB20/AB32</f>
        <v>2.9020901903197761E-2</v>
      </c>
      <c r="AD60" s="183">
        <f>Model!$C$52*AD5*AD20/AD32</f>
        <v>2.9409787804001983E-2</v>
      </c>
      <c r="AF60" s="183">
        <f>Model!$C$52*AF5*AF20/AF32</f>
        <v>2.9964178554447617E-2</v>
      </c>
      <c r="AH60" s="183">
        <f>Model!$C$52*AH5*AH20/AH32</f>
        <v>3.0701958898778664E-2</v>
      </c>
      <c r="AJ60" s="183">
        <f>Model!$C$52*AJ5*AJ20/AJ32</f>
        <v>3.1560524590861345E-2</v>
      </c>
      <c r="AL60" s="183">
        <f>Model!$C$52*AL5*AL20/AL32</f>
        <v>3.2363094951287634E-2</v>
      </c>
      <c r="AN60" s="183">
        <f>Model!$C$52*AN5*AN20/AN32</f>
        <v>3.3406954729385457E-2</v>
      </c>
      <c r="AP60" s="183">
        <f>Model!$C$52*AP5*AP20/AP32</f>
        <v>3.3861691576738948E-2</v>
      </c>
      <c r="AR60" s="183">
        <f>Model!$C$52*AR5*AR20/AR32</f>
        <v>3.4573797810891427E-2</v>
      </c>
      <c r="AT60" s="183">
        <f>Model!$C$52*AT5*AT20/AT32</f>
        <v>3.5835823611072147E-2</v>
      </c>
      <c r="AV60" s="183">
        <f>Model!$C$52*AV5*AV20/AV32</f>
        <v>3.8768088024438208E-2</v>
      </c>
      <c r="XFD60" s="183"/>
    </row>
    <row r="62" spans="1:48 16321:16384" x14ac:dyDescent="0.2">
      <c r="A62" t="s">
        <v>159</v>
      </c>
      <c r="B62">
        <f>B13/B15</f>
        <v>1</v>
      </c>
      <c r="D62">
        <f>D13/D15</f>
        <v>0.99559069472707362</v>
      </c>
      <c r="F62">
        <f>F13/F15</f>
        <v>0.9908148031431846</v>
      </c>
      <c r="H62">
        <f>H13/H15</f>
        <v>0.98563444399979017</v>
      </c>
      <c r="J62">
        <f>J13/J15</f>
        <v>0.98000886613095262</v>
      </c>
      <c r="L62">
        <f>L13/L15</f>
        <v>0.97389509194881763</v>
      </c>
      <c r="N62">
        <f>N13/N15</f>
        <v>0.96724928751387462</v>
      </c>
      <c r="P62">
        <f>P13/P15</f>
        <v>0.96002915735943961</v>
      </c>
      <c r="R62">
        <f>R13/R15</f>
        <v>0.95219818830815184</v>
      </c>
      <c r="T62">
        <f>T13/T15</f>
        <v>0.94373247503570845</v>
      </c>
      <c r="V62">
        <f>V13/V15</f>
        <v>0.93463172537269668</v>
      </c>
      <c r="X62">
        <f>X13/X15</f>
        <v>0.92493592396183799</v>
      </c>
      <c r="Z62">
        <f>Z13/Z15</f>
        <v>0.91475210651169592</v>
      </c>
      <c r="AB62">
        <f>AB13/AB15</f>
        <v>0.90430180376891267</v>
      </c>
      <c r="AD62">
        <f>AD13/AD15</f>
        <v>0.89402304264593158</v>
      </c>
      <c r="AF62">
        <f>AF13/AF15</f>
        <v>0.88482639802011831</v>
      </c>
      <c r="AH62">
        <f>AH13/AH15</f>
        <v>0.87876197990506577</v>
      </c>
      <c r="AJ62">
        <f>AJ13/AJ15</f>
        <v>0.88082922056243373</v>
      </c>
      <c r="AL62">
        <f>AL13/AL15</f>
        <v>0.90523511535170498</v>
      </c>
      <c r="AN62">
        <f>AN13/AN15</f>
        <v>1.0049040777733076</v>
      </c>
      <c r="AP62">
        <f>AP13/AP15</f>
        <v>1.0521671048144636</v>
      </c>
      <c r="AR62">
        <f>AR13/AR15</f>
        <v>1.1252806376638771</v>
      </c>
      <c r="AT62">
        <f>AT13/AT15</f>
        <v>1.2548179994724658</v>
      </c>
      <c r="AV62">
        <f>AV13/AV15</f>
        <v>1.5639008884851142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0.99868403748744294</v>
      </c>
      <c r="E65" s="181"/>
      <c r="F65" s="181">
        <f t="array" ref="F65">SQRT((F9:G9*$B$22:$C$22+F10:G10*$B$23:$C$23+F11:G11*$B$24:$C$24+F4:G4*($B$25:$C$25-$B$19:$C$19))/($B$9:$C$9*$B$22:$C$22+$B$10:$C$10*$B$23:$C$23+$B$11:$C$11*$B$24:$C$24+$B$4:$C$4*($B$25:$C$25-$B$19:$C$19))*(F9:G9*F22:G22+F10:G10*F23:G23+F11:G11*F24:G24+F4:G4*(F25:G25-F19:G19))/($B$9:$C$9*F22:G22+$B$10:$C$10*F23:G23+$B$11:$C$11*F24:G24+$B$4:$C$4*(F25:G25-F19:G19)))</f>
        <v>0.99752669598660026</v>
      </c>
      <c r="G65" s="181"/>
      <c r="H65" s="181">
        <f t="array" ref="H65">SQRT((H9:I9*$B$22:$C$22+H10:I10*$B$23:$C$23+H11:I11*$B$24:$C$24+H4:I4*($B$25:$C$25-$B$19:$C$19))/($B$9:$C$9*$B$22:$C$22+$B$10:$C$10*$B$23:$C$23+$B$11:$C$11*$B$24:$C$24+$B$4:$C$4*($B$25:$C$25-$B$19:$C$19))*(H9:I9*H22:I22+H10:I10*H23:I23+H11:I11*H24:I24+H4:I4*(H25:I25-H19:I19))/($B$9:$C$9*H22:I22+$B$10:$C$10*H23:I23+$B$11:$C$11*H24:I24+$B$4:$C$4*(H25:I25-H19:I19)))</f>
        <v>0.99656384387944619</v>
      </c>
      <c r="I65" s="181"/>
      <c r="J65" s="181">
        <f t="array" ref="J65">SQRT((J9:K9*$B$22:$C$22+J10:K10*$B$23:$C$23+J11:K11*$B$24:$C$24+J4:K4*($B$25:$C$25-$B$19:$C$19))/($B$9:$C$9*$B$22:$C$22+$B$10:$C$10*$B$23:$C$23+$B$11:$C$11*$B$24:$C$24+$B$4:$C$4*($B$25:$C$25-$B$19:$C$19))*(J9:K9*J22:K22+J10:K10*J23:K23+J11:K11*J24:K24+J4:K4*(J25:K25-J19:K19))/($B$9:$C$9*J22:K22+$B$10:$C$10*J23:K23+$B$11:$C$11*J24:K24+$B$4:$C$4*(J25:K25-J19:K19)))</f>
        <v>0.99584470870441921</v>
      </c>
      <c r="K65" s="181"/>
      <c r="L65" s="181">
        <f t="array" ref="L65">SQRT((L9:M9*$B$22:$C$22+L10:M10*$B$23:$C$23+L11:M11*$B$24:$C$24+L4:M4*($B$25:$C$25-$B$19:$C$19))/($B$9:$C$9*$B$22:$C$22+$B$10:$C$10*$B$23:$C$23+$B$11:$C$11*$B$24:$C$24+$B$4:$C$4*($B$25:$C$25-$B$19:$C$19))*(L9:M9*L22:M22+L10:M10*L23:M23+L11:M11*L24:M24+L4:M4*(L25:M25-L19:M19))/($B$9:$C$9*L22:M22+$B$10:$C$10*L23:M23+$B$11:$C$11*L24:M24+$B$4:$C$4*(L25:M25-L19:M19)))</f>
        <v>0.99543800258484405</v>
      </c>
      <c r="M65" s="181"/>
      <c r="N65" s="181">
        <f t="array" ref="N65">SQRT((N9:O9*$B$22:$C$22+N10:O10*$B$23:$C$23+N11:O11*$B$24:$C$24+N4:O4*($B$25:$C$25-$B$19:$C$19))/($B$9:$C$9*$B$22:$C$22+$B$10:$C$10*$B$23:$C$23+$B$11:$C$11*$B$24:$C$24+$B$4:$C$4*($B$25:$C$25-$B$19:$C$19))*(N9:O9*N22:O22+N10:O10*N23:O23+N11:O11*N24:O24+N4:O4*(N25:O25-N19:O19))/($B$9:$C$9*N22:O22+$B$10:$C$10*N23:O23+$B$11:$C$11*N24:O24+$B$4:$C$4*(N25:O25-N19:O19)))</f>
        <v>0.99544156579176057</v>
      </c>
      <c r="O65" s="181"/>
      <c r="P65" s="181">
        <f t="array" ref="P65">SQRT((P9:Q9*$B$22:$C$22+P10:Q10*$B$23:$C$23+P11:Q11*$B$24:$C$24+P4:Q4*($B$25:$C$25-$B$19:$C$19))/($B$9:$C$9*$B$22:$C$22+$B$10:$C$10*$B$23:$C$23+$B$11:$C$11*$B$24:$C$24+$B$4:$C$4*($B$25:$C$25-$B$19:$C$19))*(P9:Q9*P22:Q22+P10:Q10*P23:Q23+P11:Q11*P24:Q24+P4:Q4*(P25:Q25-P19:Q19))/($B$9:$C$9*P22:Q22+$B$10:$C$10*P23:Q23+$B$11:$C$11*P24:Q24+$B$4:$C$4*(P25:Q25-P19:Q19)))</f>
        <v>0.99599683564772012</v>
      </c>
      <c r="Q65" s="181"/>
      <c r="R65" s="181">
        <f t="array" ref="R65">SQRT((R9:S9*$B$22:$C$22+R10:S10*$B$23:$C$23+R11:S11*$B$24:$C$24+R4:S4*($B$25:$C$25-$B$19:$C$19))/($B$9:$C$9*$B$22:$C$22+$B$10:$C$10*$B$23:$C$23+$B$11:$C$11*$B$24:$C$24+$B$4:$C$4*($B$25:$C$25-$B$19:$C$19))*(R9:S9*R22:S22+R10:S10*R23:S23+R11:S11*R24:S24+R4:S4*(R25:S25-R19:S19))/($B$9:$C$9*R22:S22+$B$10:$C$10*R23:S23+$B$11:$C$11*R24:S24+$B$4:$C$4*(R25:S25-R19:S19)))</f>
        <v>0.99731253884455628</v>
      </c>
      <c r="S65" s="181"/>
      <c r="T65" s="181">
        <f t="array" ref="T65">SQRT((T9:U9*$B$22:$C$22+T10:U10*$B$23:$C$23+T11:U11*$B$24:$C$24+T4:U4*($B$25:$C$25-$B$19:$C$19))/($B$9:$C$9*$B$22:$C$22+$B$10:$C$10*$B$23:$C$23+$B$11:$C$11*$B$24:$C$24+$B$4:$C$4*($B$25:$C$25-$B$19:$C$19))*(T9:U9*T22:U22+T10:U10*T23:U23+T11:U11*T24:U24+T4:U4*(T25:U25-T19:U19))/($B$9:$C$9*T22:U22+$B$10:$C$10*T23:U23+$B$11:$C$11*T24:U24+$B$4:$C$4*(T25:U25-T19:U19)))</f>
        <v>0.9997033559783155</v>
      </c>
      <c r="U65" s="181"/>
      <c r="V65" s="181">
        <f t="array" ref="V65">SQRT((V9:W9*$B$22:$C$22+V10:W10*$B$23:$C$23+V11:W11*$B$24:$C$24+V4:W4*($B$25:$C$25-$B$19:$C$19))/($B$9:$C$9*$B$22:$C$22+$B$10:$C$10*$B$23:$C$23+$B$11:$C$11*$B$24:$C$24+$B$4:$C$4*($B$25:$C$25-$B$19:$C$19))*(V9:W9*V22:W22+V10:W10*V23:W23+V11:W11*V24:W24+V4:W4*(V25:W25-V19:W19))/($B$9:$C$9*V22:W22+$B$10:$C$10*V23:W23+$B$11:$C$11*V24:W24+$B$4:$C$4*(V25:W25-V19:W19)))</f>
        <v>1.0036562399045623</v>
      </c>
      <c r="W65" s="181"/>
      <c r="X65" s="181">
        <f t="array" ref="X65">SQRT((X9:Y9*$B$22:$C$22+X10:Y10*$B$23:$C$23+X11:Y11*$B$24:$C$24+X4:Y4*($B$25:$C$25-$B$19:$C$19))/($B$9:$C$9*$B$22:$C$22+$B$10:$C$10*$B$23:$C$23+$B$11:$C$11*$B$24:$C$24+$B$4:$C$4*($B$25:$C$25-$B$19:$C$19))*(X9:Y9*X22:Y22+X10:Y10*X23:Y23+X11:Y11*X24:Y24+X4:Y4*(X25:Y25-X19:Y19))/($B$9:$C$9*X22:Y22+$B$10:$C$10*X23:Y23+$B$11:$C$11*X24:Y24+$B$4:$C$4*(X25:Y25-X19:Y19)))</f>
        <v>1.0099466736041074</v>
      </c>
      <c r="Y65" s="181"/>
      <c r="Z65" s="181">
        <f t="array" ref="Z65">SQRT((Z9:AA9*$B$22:$C$22+Z10:AA10*$B$23:$C$23+Z11:AA11*$B$24:$C$24+Z4:AA4*($B$25:$C$25-$B$19:$C$19))/($B$9:$C$9*$B$22:$C$22+$B$10:$C$10*$B$23:$C$23+$B$11:$C$11*$B$24:$C$24+$B$4:$C$4*($B$25:$C$25-$B$19:$C$19))*(Z9:AA9*Z22:AA22+Z10:AA10*Z23:AA23+Z11:AA11*Z24:AA24+Z4:AA4*(Z25:AA25-Z19:AA19))/($B$9:$C$9*Z22:AA22+$B$10:$C$10*Z23:AA23+$B$11:$C$11*Z24:AA24+$B$4:$C$4*(Z25:AA25-Z19:AA19)))</f>
        <v>1.0198574846661388</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1.035615014718908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1.0613263459190339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1.1051581779669588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1.184923548603815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1.345731109151838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1.7398867985179507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3.4607008428463968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5.2512027393644463</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0.99855247089451482</v>
      </c>
      <c r="E66" s="181"/>
      <c r="F66" s="181">
        <f t="array" ref="F66">SQRT((F9:G9*$B$22:$C$22)/($B$9:$C$9*$B$22:$C$22)*(F9:G9*F22:G22)/($B$9:$C$9*F22:G22))</f>
        <v>0.99727736282262958</v>
      </c>
      <c r="G66" s="181"/>
      <c r="H66" s="181">
        <f t="array" ref="H66">SQRT((H9:I9*$B$22:$C$22)/($B$9:$C$9*$B$22:$C$22)*(H9:I9*H22:I22)/($B$9:$C$9*H22:I22))</f>
        <v>0.99621510621357845</v>
      </c>
      <c r="I66" s="181"/>
      <c r="J66" s="181">
        <f t="array" ref="J66">SQRT((J9:K9*$B$22:$C$22)/($B$9:$C$9*$B$22:$C$22)*(J9:K9*J22:K22)/($B$9:$C$9*J22:K22))</f>
        <v>0.99542095705664102</v>
      </c>
      <c r="K66" s="181"/>
      <c r="L66" s="181">
        <f t="array" ref="L66">SQRT((L9:M9*$B$22:$C$22)/($B$9:$C$9*$B$22:$C$22)*(L9:M9*L22:M22)/($B$9:$C$9*L22:M22))</f>
        <v>0.99497168596008012</v>
      </c>
      <c r="M66" s="181"/>
      <c r="N66" s="181">
        <f t="array" ref="N66">SQRT((N9:O9*$B$22:$C$22)/($B$9:$C$9*$B$22:$C$22)*(N9:O9*N22:O22)/($B$9:$C$9*N22:O22))</f>
        <v>0.99497602081103509</v>
      </c>
      <c r="O66" s="181"/>
      <c r="P66" s="181">
        <f t="array" ref="P66">SQRT((P9:Q9*$B$22:$C$22)/($B$9:$C$9*$B$22:$C$22)*(P9:Q9*P22:Q22)/($B$9:$C$9*P22:Q22))</f>
        <v>0.99559011524494545</v>
      </c>
      <c r="Q66" s="181"/>
      <c r="R66" s="181">
        <f t="array" ref="R66">SQRT((R9:S9*$B$22:$C$22)/($B$9:$C$9*$B$22:$C$22)*(R9:S9*R22:S22)/($B$9:$C$9*R22:S22))</f>
        <v>0.99704251884634354</v>
      </c>
      <c r="S66" s="181"/>
      <c r="T66" s="181">
        <f t="array" ref="T66">SQRT((T9:U9*$B$22:$C$22)/($B$9:$C$9*$B$22:$C$22)*(T9:U9*T22:U22)/($B$9:$C$9*T22:U22))</f>
        <v>0.99967412946255463</v>
      </c>
      <c r="U66" s="181"/>
      <c r="V66" s="181">
        <f t="array" ref="V66">SQRT((V9:W9*$B$22:$C$22)/($B$9:$C$9*$B$22:$C$22)*(V9:W9*V22:W22)/($B$9:$C$9*V22:W22))</f>
        <v>1.0040051160479704</v>
      </c>
      <c r="W66" s="181"/>
      <c r="X66" s="181">
        <f t="array" ref="X66">SQRT((X9:Y9*$B$22:$C$22)/($B$9:$C$9*$B$22:$C$22)*(X9:Y9*X22:Y22)/($B$9:$C$9*X22:Y22))</f>
        <v>1.0108486306732019</v>
      </c>
      <c r="Y66" s="181"/>
      <c r="Z66" s="181">
        <f t="array" ref="Z66">SQRT((Z9:AA9*$B$22:$C$22)/($B$9:$C$9*$B$22:$C$22)*(Z9:AA9*Z22:AA22)/($B$9:$C$9*Z22:AA22))</f>
        <v>1.0215175338650397</v>
      </c>
      <c r="AA66" s="181"/>
      <c r="AB66" s="181">
        <f t="array" ref="AB66">SQRT((AB9:AC9*$B$22:$C$22)/($B$9:$C$9*$B$22:$C$22)*(AB9:AC9*AB22:AC22)/($B$9:$C$9*AB22:AC22))</f>
        <v>1.0382199223780288</v>
      </c>
      <c r="AC66" s="181"/>
      <c r="AD66" s="181">
        <f t="array" ref="AD66">SQRT((AD9:AE9*$B$22:$C$22)/($B$9:$C$9*$B$22:$C$22)*(AD9:AE9*AD22:AE22)/($B$9:$C$9*AD22:AE22))</f>
        <v>1.0648704078629434</v>
      </c>
      <c r="AE66" s="181"/>
      <c r="AF66" s="181">
        <f t="array" ref="AF66">SQRT((AF9:AG9*$B$22:$C$22)/($B$9:$C$9*$B$22:$C$22)*(AF9:AG9*AF22:AG22)/($B$9:$C$9*AF22:AG22))</f>
        <v>1.1088741328711622</v>
      </c>
      <c r="AG66" s="181"/>
      <c r="AH66" s="181">
        <f t="array" ref="AH66">SQRT((AH9:AI9*$B$22:$C$22)/($B$9:$C$9*$B$22:$C$22)*(AH9:AI9*AH22:AI22)/($B$9:$C$9*AH22:AI22))</f>
        <v>1.1853835106450277</v>
      </c>
      <c r="AI66" s="181"/>
      <c r="AJ66" s="181">
        <f t="array" ref="AJ66">SQRT((AJ9:AK9*$B$22:$C$22)/($B$9:$C$9*$B$22:$C$22)*(AJ9:AK9*AJ22:AK22)/($B$9:$C$9*AJ22:AK22))</f>
        <v>1.3294444106625112</v>
      </c>
      <c r="AK66" s="181"/>
      <c r="AL66" s="181">
        <f t="array" ref="AL66">SQRT((AL9:AM9*$B$22:$C$22)/($B$9:$C$9*$B$22:$C$22)*(AL9:AM9*AL22:AM22)/($B$9:$C$9*AL22:AM22))</f>
        <v>1.6387726219557008</v>
      </c>
      <c r="AM66" s="181"/>
      <c r="AN66" s="181">
        <f t="array" ref="AN66">SQRT((AN9:AO9*$B$22:$C$22)/($B$9:$C$9*$B$22:$C$22)*(AN9:AO9*AN22:AO22)/($B$9:$C$9*AN22:AO22))</f>
        <v>2.4259098851938821</v>
      </c>
      <c r="AO66" s="181"/>
      <c r="AP66" s="181">
        <f t="array" ref="AP66">SQRT((AP9:AQ9*$B$22:$C$22)/($B$9:$C$9*$B$22:$C$22)*(AP9:AQ9*AP22:AQ22)/($B$9:$C$9*AP22:AQ22))</f>
        <v>2.7290901655993123</v>
      </c>
      <c r="AQ66" s="181"/>
      <c r="AR66" s="181">
        <f t="array" ref="AR66">SQRT((AR9:AS9*$B$22:$C$22)/($B$9:$C$9*$B$22:$C$22)*(AR9:AS9*AR22:AS22)/($B$9:$C$9*AR22:AS22))</f>
        <v>3.1487041239473048</v>
      </c>
      <c r="AS66" s="181"/>
      <c r="AT66" s="181">
        <f t="array" ref="AT66">SQRT((AT9:AU9*$B$22:$C$22)/($B$9:$C$9*$B$22:$C$22)*(AT9:AU9*AT22:AU22)/($B$9:$C$9*AT22:AU22))</f>
        <v>3.7876682029923607</v>
      </c>
      <c r="AU66" s="181"/>
      <c r="AV66" s="181">
        <f t="array" ref="AV66">SQRT((AV9:AW9*$B$22:$C$22)/($B$9:$C$9*$B$22:$C$22)*(AV9:AW9*AV22:AW22)/($B$9:$C$9*AV22:AW22))</f>
        <v>4.9743736203502458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0.99855247089451482</v>
      </c>
      <c r="E68" s="181"/>
      <c r="F68" s="181">
        <f>F66/F67</f>
        <v>0.99727736282262958</v>
      </c>
      <c r="G68" s="181"/>
      <c r="H68" s="181">
        <f>H66/H67</f>
        <v>0.99621510621357845</v>
      </c>
      <c r="I68" s="181"/>
      <c r="J68" s="181">
        <f>J66/J67</f>
        <v>0.99542095705664102</v>
      </c>
      <c r="K68" s="181"/>
      <c r="L68" s="181">
        <f>L66/L67</f>
        <v>0.99497168596008012</v>
      </c>
      <c r="M68" s="181"/>
      <c r="N68" s="181">
        <f>N66/N67</f>
        <v>0.99497602081103509</v>
      </c>
      <c r="O68" s="181"/>
      <c r="P68" s="181">
        <f>P66/P67</f>
        <v>0.99559011524494545</v>
      </c>
      <c r="Q68" s="181"/>
      <c r="R68" s="181">
        <f>R66/R67</f>
        <v>0.99704251884634354</v>
      </c>
      <c r="S68" s="181"/>
      <c r="T68" s="181">
        <f>T66/T67</f>
        <v>0.99967412946255463</v>
      </c>
      <c r="U68" s="181"/>
      <c r="V68" s="181">
        <f>V66/V67</f>
        <v>1.0040051160479704</v>
      </c>
      <c r="W68" s="181"/>
      <c r="X68" s="181">
        <f>X66/X67</f>
        <v>1.0108486306732019</v>
      </c>
      <c r="Y68" s="181"/>
      <c r="Z68" s="181">
        <f>Z66/Z67</f>
        <v>1.0215175338650397</v>
      </c>
      <c r="AA68" s="181"/>
      <c r="AB68" s="181">
        <f>AB66/AB67</f>
        <v>1.0382199223780288</v>
      </c>
      <c r="AC68" s="181"/>
      <c r="AD68" s="181">
        <f>AD66/AD67</f>
        <v>1.0648704078629434</v>
      </c>
      <c r="AE68" s="181"/>
      <c r="AF68" s="181">
        <f>AF66/AF67</f>
        <v>1.1088741328711622</v>
      </c>
      <c r="AG68" s="181"/>
      <c r="AH68" s="181">
        <f>AH66/AH67</f>
        <v>1.1853835106450277</v>
      </c>
      <c r="AI68" s="181"/>
      <c r="AJ68" s="181">
        <f>AJ66/AJ67</f>
        <v>1.3294444106625112</v>
      </c>
      <c r="AK68" s="181"/>
      <c r="AL68" s="181">
        <f>AL66/AL67</f>
        <v>1.6387726219557008</v>
      </c>
      <c r="AM68" s="181"/>
      <c r="AN68" s="181">
        <f>AN66/AN67</f>
        <v>2.4259098851938821</v>
      </c>
      <c r="AO68" s="181"/>
      <c r="AP68" s="181">
        <f>AP66/AP67</f>
        <v>2.7290901655993123</v>
      </c>
      <c r="AQ68" s="181"/>
      <c r="AR68" s="181">
        <f>AR66/AR67</f>
        <v>3.1487041239473048</v>
      </c>
      <c r="AS68" s="181"/>
      <c r="AT68" s="181">
        <f>AT66/AT67</f>
        <v>3.7876682029923607</v>
      </c>
      <c r="AU68" s="181"/>
      <c r="AV68" s="181">
        <f>AV66/AV67</f>
        <v>4.9743736203502458</v>
      </c>
      <c r="XFD68" s="181"/>
    </row>
    <row r="69" spans="1:48 16384:16384" x14ac:dyDescent="0.2">
      <c r="A69" t="s">
        <v>161</v>
      </c>
      <c r="B69" s="181">
        <f>B32/B65/($B$32)</f>
        <v>1</v>
      </c>
      <c r="C69" s="181"/>
      <c r="D69" s="181">
        <f>D32/D65/($B$32)</f>
        <v>0.99479878807283906</v>
      </c>
      <c r="E69" s="181"/>
      <c r="F69" s="181">
        <f>F32/F65/($B$32)</f>
        <v>0.98861180959604011</v>
      </c>
      <c r="G69" s="181"/>
      <c r="H69" s="181">
        <f>H32/H65/($B$32)</f>
        <v>0.98122453417046052</v>
      </c>
      <c r="I69" s="181"/>
      <c r="J69" s="181">
        <f>J32/J65/($B$32)</f>
        <v>0.9723644431725359</v>
      </c>
      <c r="K69" s="181"/>
      <c r="L69" s="181">
        <f>L32/L65/($B$32)</f>
        <v>0.96168330779009426</v>
      </c>
      <c r="M69" s="181"/>
      <c r="N69" s="181">
        <f>N32/N65/($B$32)</f>
        <v>0.94873350311160765</v>
      </c>
      <c r="O69" s="181"/>
      <c r="P69" s="181">
        <f>P32/P65/($B$32)</f>
        <v>0.93294124910014353</v>
      </c>
      <c r="Q69" s="181"/>
      <c r="R69" s="181">
        <f>R32/R65/($B$32)</f>
        <v>0.9135744904541403</v>
      </c>
      <c r="S69" s="181"/>
      <c r="T69" s="181">
        <f>T32/T65/($B$32)</f>
        <v>0.8897135622796557</v>
      </c>
      <c r="U69" s="181"/>
      <c r="V69" s="181">
        <f>V32/V65/($B$32)</f>
        <v>0.86023552627680455</v>
      </c>
      <c r="W69" s="181"/>
      <c r="X69" s="181">
        <f>X32/X65/($B$32)</f>
        <v>0.82384434402750695</v>
      </c>
      <c r="Y69" s="181"/>
      <c r="Z69" s="181">
        <f>Z32/Z65/($B$32)</f>
        <v>0.77918907515295877</v>
      </c>
      <c r="AA69" s="181"/>
      <c r="AB69" s="181">
        <f>AB32/AB65/($B$32)</f>
        <v>0.72514307776558129</v>
      </c>
      <c r="AC69" s="181"/>
      <c r="AD69" s="181">
        <f>AD32/AD65/($B$32)</f>
        <v>0.66131933522884523</v>
      </c>
      <c r="AE69" s="181"/>
      <c r="AF69" s="181">
        <f>AF32/AF65/($B$32)</f>
        <v>0.588850551955312</v>
      </c>
      <c r="AG69" s="181"/>
      <c r="AH69" s="181">
        <f>AH32/AH65/($B$32)</f>
        <v>0.51111708398379818</v>
      </c>
      <c r="AI69" s="181"/>
      <c r="AJ69" s="181">
        <f>AJ32/AJ65/($B$32)</f>
        <v>0.43260635573838385</v>
      </c>
      <c r="AK69" s="181"/>
      <c r="AL69" s="181">
        <f>AL32/AL65/($B$32)</f>
        <v>0.34988072567107042</v>
      </c>
      <c r="AM69" s="181"/>
      <c r="AN69" s="181">
        <f>AN32/AN65/($B$32)</f>
        <v>0.20712941757144701</v>
      </c>
      <c r="AO69" s="181"/>
      <c r="AP69" s="181">
        <f>AP32/AP65/($B$32)</f>
        <v>0.14257659406513709</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0.99400989280135965</v>
      </c>
      <c r="E70" s="129"/>
      <c r="F70" s="129">
        <f>F18/$B$18</f>
        <v>0.98701603739002997</v>
      </c>
      <c r="G70" s="129"/>
      <c r="H70" s="129">
        <f>H18/$B$18</f>
        <v>0.97880649771336103</v>
      </c>
      <c r="I70" s="129"/>
      <c r="J70" s="129">
        <f>J18/$B$18</f>
        <v>0.96911266675919427</v>
      </c>
      <c r="K70" s="129"/>
      <c r="L70" s="129">
        <f>L18/$B$18</f>
        <v>0.95759179805067851</v>
      </c>
      <c r="M70" s="129"/>
      <c r="N70" s="129">
        <f>N18/$B$18</f>
        <v>0.94380371706599475</v>
      </c>
      <c r="O70" s="129"/>
      <c r="P70" s="129">
        <f>P18/$B$18</f>
        <v>0.92718436921976422</v>
      </c>
      <c r="Q70" s="129"/>
      <c r="R70" s="129">
        <f>R18/$B$18</f>
        <v>0.90701424015980381</v>
      </c>
      <c r="S70" s="129"/>
      <c r="T70" s="129">
        <f>T18/$B$18</f>
        <v>0.88238956821979686</v>
      </c>
      <c r="U70" s="129"/>
      <c r="V70" s="129">
        <f>V18/$B$18</f>
        <v>0.85220780709017696</v>
      </c>
      <c r="W70" s="129"/>
      <c r="X70" s="129">
        <f>X18/$B$18</f>
        <v>0.81519891421884161</v>
      </c>
      <c r="Y70" s="129"/>
      <c r="Z70" s="129">
        <f>Z18/$B$18</f>
        <v>0.77004548490914981</v>
      </c>
      <c r="AA70" s="129"/>
      <c r="AB70" s="129">
        <f>AB18/$B$18</f>
        <v>0.71566379709194961</v>
      </c>
      <c r="AC70" s="129"/>
      <c r="AD70" s="129">
        <f>AD18/$B$18</f>
        <v>0.65171939211538987</v>
      </c>
      <c r="AE70" s="129"/>
      <c r="AF70" s="129">
        <f>AF18/$B$18</f>
        <v>0.57940202539932295</v>
      </c>
      <c r="AG70" s="129"/>
      <c r="AH70" s="129">
        <f>AH18/$B$18</f>
        <v>0.50214451267348936</v>
      </c>
      <c r="AI70" s="129"/>
      <c r="AJ70" s="129">
        <f>AJ18/$B$18</f>
        <v>0.42464239726524244</v>
      </c>
      <c r="AK70" s="129"/>
      <c r="AL70" s="129">
        <f>AL18/$B$18</f>
        <v>0.3464721778922446</v>
      </c>
      <c r="AM70" s="129"/>
      <c r="AN70" s="129">
        <f>AN18/$B$18</f>
        <v>0.24809204694463488</v>
      </c>
      <c r="AO70" s="129"/>
      <c r="AP70" s="129">
        <f>AP18/$B$18</f>
        <v>0.22140125404580221</v>
      </c>
      <c r="AQ70" s="129"/>
      <c r="AR70" s="129">
        <f>AR18/$B$18</f>
        <v>0.19010924363520612</v>
      </c>
      <c r="AS70" s="129"/>
      <c r="AT70" s="129">
        <f>AT18/$B$18</f>
        <v>0.15181545534757274</v>
      </c>
      <c r="AU70" s="129"/>
      <c r="AV70" s="129">
        <f>AV18/$B$18</f>
        <v>0.10088993791275629</v>
      </c>
    </row>
    <row r="71" spans="1:48 16384:16384" x14ac:dyDescent="0.2">
      <c r="A71" t="s">
        <v>163</v>
      </c>
      <c r="B71" s="129">
        <f>C18/$C$18</f>
        <v>1</v>
      </c>
      <c r="D71" s="129">
        <f>E18/$C$18</f>
        <v>0.93034120565663869</v>
      </c>
      <c r="E71" s="129"/>
      <c r="F71" s="129">
        <f>G18/$C$18</f>
        <v>0.86144660910973236</v>
      </c>
      <c r="G71" s="129"/>
      <c r="H71" s="129">
        <f>I18/$C$18</f>
        <v>0.79338005877776441</v>
      </c>
      <c r="I71" s="129"/>
      <c r="J71" s="129">
        <f>K18/$C$18</f>
        <v>0.72621928927931556</v>
      </c>
      <c r="K71" s="129"/>
      <c r="L71" s="129">
        <f>M18/$C$18</f>
        <v>0.66006264669009262</v>
      </c>
      <c r="M71" s="129"/>
      <c r="N71" s="129">
        <f>O18/$C$18</f>
        <v>0.59504064566608206</v>
      </c>
      <c r="O71" s="129"/>
      <c r="P71" s="129">
        <f>Q18/$C$18</f>
        <v>0.53132427194793552</v>
      </c>
      <c r="Q71" s="129"/>
      <c r="R71" s="129">
        <f>S18/$C$18</f>
        <v>0.46913800039186132</v>
      </c>
      <c r="S71" s="129"/>
      <c r="T71" s="129">
        <f>U18/$C$18</f>
        <v>0.40876691178927638</v>
      </c>
      <c r="U71" s="129"/>
      <c r="V71" s="129">
        <f>W18/$C$18</f>
        <v>0.35055962998151086</v>
      </c>
      <c r="W71" s="129"/>
      <c r="X71" s="129">
        <f>Y18/$C$18</f>
        <v>0.2949043628612471</v>
      </c>
      <c r="Y71" s="129"/>
      <c r="Z71" s="129">
        <f>AA18/$C$18</f>
        <v>0.24217501550049023</v>
      </c>
      <c r="AA71" s="129"/>
      <c r="AB71" s="129">
        <f>AC18/$C$18</f>
        <v>0.19262619070588735</v>
      </c>
      <c r="AC71" s="129"/>
      <c r="AD71" s="129">
        <f>AE18/$C$18</f>
        <v>0.14625434328085138</v>
      </c>
      <c r="AE71" s="129"/>
      <c r="AF71" s="129">
        <f>AG18/$C$18</f>
        <v>0.10272943611089518</v>
      </c>
      <c r="AG71" s="129"/>
      <c r="AH71" s="129">
        <f>AI18/$C$18</f>
        <v>6.1865712744990864E-2</v>
      </c>
      <c r="AI71" s="129"/>
      <c r="AJ71" s="129">
        <f>AK18/$C$18</f>
        <v>2.6025746880780441E-2</v>
      </c>
      <c r="AK71" s="129"/>
      <c r="AL71" s="129">
        <f>AM18/$C$18</f>
        <v>4.294765689696522E-3</v>
      </c>
      <c r="AM71" s="129"/>
      <c r="AN71" s="129">
        <f>AO18/$C$18</f>
        <v>7.2835836722293844E-5</v>
      </c>
      <c r="AO71" s="129"/>
      <c r="AP71" s="129">
        <f>AQ18/$C$18</f>
        <v>1.870276838531572E-5</v>
      </c>
      <c r="AQ71" s="129"/>
      <c r="AR71" s="129">
        <f>AS18/$C$18</f>
        <v>3.3016315696388771E-6</v>
      </c>
      <c r="AS71" s="129"/>
      <c r="AT71" s="129">
        <f>AU18/$C$18</f>
        <v>3.0148857268404675E-7</v>
      </c>
      <c r="AU71" s="129"/>
      <c r="AV71" s="129">
        <f>AW18/$C$18</f>
        <v>5.8760055989165705E-9</v>
      </c>
      <c r="XFD71" s="129"/>
    </row>
    <row r="72" spans="1:48 16384:16384" x14ac:dyDescent="0.2">
      <c r="A72" t="s">
        <v>164</v>
      </c>
      <c r="B72" s="129">
        <f>C19/$C$19</f>
        <v>1</v>
      </c>
      <c r="D72" s="129">
        <f>E19/$C$19</f>
        <v>1.0134861540732047</v>
      </c>
      <c r="E72" s="129"/>
      <c r="F72" s="129">
        <f>G19/$C$19</f>
        <v>1.0287450000175584</v>
      </c>
      <c r="G72" s="129"/>
      <c r="H72" s="129">
        <f>I19/$C$19</f>
        <v>1.0457478231692114</v>
      </c>
      <c r="I72" s="129"/>
      <c r="J72" s="129">
        <f>K19/$C$19</f>
        <v>1.0643774816560267</v>
      </c>
      <c r="K72" s="129"/>
      <c r="L72" s="129">
        <f>M19/$C$19</f>
        <v>1.08438248553469</v>
      </c>
      <c r="M72" s="129"/>
      <c r="N72" s="129">
        <f>O19/$C$19</f>
        <v>1.1053132197106967</v>
      </c>
      <c r="O72" s="129"/>
      <c r="P72" s="129">
        <f>Q19/$C$19</f>
        <v>1.1264392586209186</v>
      </c>
      <c r="Q72" s="129"/>
      <c r="R72" s="129">
        <f>S19/$C$19</f>
        <v>1.1466466265380542</v>
      </c>
      <c r="S72" s="129"/>
      <c r="T72" s="129">
        <f>U19/$C$19</f>
        <v>1.164336144358499</v>
      </c>
      <c r="U72" s="129"/>
      <c r="V72" s="129">
        <f>W19/$C$19</f>
        <v>1.1773516123603001</v>
      </c>
      <c r="W72" s="129"/>
      <c r="X72" s="129">
        <f>Y19/$C$19</f>
        <v>1.1830350992768612</v>
      </c>
      <c r="Y72" s="129"/>
      <c r="Z72" s="129">
        <f>AA19/$C$19</f>
        <v>1.1785429424097498</v>
      </c>
      <c r="AA72" s="129"/>
      <c r="AB72" s="129">
        <f>AC19/$C$19</f>
        <v>1.1616238927689893</v>
      </c>
      <c r="AC72" s="129"/>
      <c r="AD72" s="129">
        <f>AE19/$C$19</f>
        <v>1.132000407624705</v>
      </c>
      <c r="AE72" s="129"/>
      <c r="AF72" s="129">
        <f>AG19/$C$19</f>
        <v>1.0930028322015055</v>
      </c>
      <c r="AG72" s="129"/>
      <c r="AH72" s="129">
        <f>AI19/$C$19</f>
        <v>1.0504832026293522</v>
      </c>
      <c r="AI72" s="129"/>
      <c r="AJ72" s="129">
        <f>AK19/$C$19</f>
        <v>0.99507347246777733</v>
      </c>
      <c r="AK72" s="129"/>
      <c r="AL72" s="129">
        <f>AM19/$C$19</f>
        <v>0.83893075829865593</v>
      </c>
      <c r="AM72" s="129"/>
      <c r="AN72" s="129">
        <f>AO19/$C$19</f>
        <v>0.46505274117606765</v>
      </c>
      <c r="AO72" s="129"/>
      <c r="AP72" s="129">
        <f>AQ19/$C$19</f>
        <v>0.37386154024030926</v>
      </c>
      <c r="AQ72" s="129"/>
      <c r="AR72" s="129">
        <f>AS19/$C$19</f>
        <v>0.28106843384687269</v>
      </c>
      <c r="AS72" s="129"/>
      <c r="AT72" s="129">
        <f>AU19/$C$19</f>
        <v>0.18755628112954167</v>
      </c>
      <c r="AU72" s="129"/>
      <c r="AV72" s="129">
        <f>AW19/$C$19</f>
        <v>9.3801647120396014E-2</v>
      </c>
      <c r="XFD72" s="129"/>
    </row>
    <row r="73" spans="1:48 16384:16384" x14ac:dyDescent="0.2">
      <c r="A73" t="s">
        <v>168</v>
      </c>
      <c r="B73" s="183">
        <f t="array" ref="B73">SUM(B9:C9*B22:C22)/B32</f>
        <v>0.47641153352875115</v>
      </c>
      <c r="D73" s="183">
        <f t="array" ref="D73">SUM(D9:E9*D22:E22)/D32</f>
        <v>0.47471680916971909</v>
      </c>
      <c r="E73" s="129"/>
      <c r="F73" s="183">
        <f t="array" ref="F73">SUM(F9:G9*F22:G22)/F32</f>
        <v>0.47299149348123259</v>
      </c>
      <c r="G73" s="129"/>
      <c r="H73" s="183">
        <f t="array" ref="H73">SUM(H9:I9*H22:I22)/H32</f>
        <v>0.47123403642091705</v>
      </c>
      <c r="I73" s="129"/>
      <c r="J73" s="183">
        <f t="array" ref="J73">SUM(J9:K9*J22:K22)/J32</f>
        <v>0.4694433583876042</v>
      </c>
      <c r="K73" s="129"/>
      <c r="L73" s="183">
        <f t="array" ref="L73">SUM(L9:M9*L22:M22)/L32</f>
        <v>0.46761912122878718</v>
      </c>
      <c r="M73" s="129"/>
      <c r="N73" s="183">
        <f t="array" ref="N73">SUM(N9:O9*N22:O22)/N32</f>
        <v>0.46576217171210116</v>
      </c>
      <c r="O73" s="129"/>
      <c r="P73" s="183">
        <f t="array" ref="P73">SUM(P9:Q9*P22:Q22)/P32</f>
        <v>0.46387494748505248</v>
      </c>
      <c r="Q73" s="129"/>
      <c r="R73" s="183">
        <f t="array" ref="R73">SUM(R9:S9*R22:S22)/R32</f>
        <v>0.4619620330896298</v>
      </c>
      <c r="S73" s="129"/>
      <c r="T73" s="183">
        <f t="array" ref="T73">SUM(T9:U9*T22:U22)/T32</f>
        <v>0.46003074943198824</v>
      </c>
      <c r="U73" s="129"/>
      <c r="V73" s="183">
        <f t="array" ref="V73">SUM(V9:W9*V22:W22)/V32</f>
        <v>0.45809146360191028</v>
      </c>
      <c r="W73" s="129"/>
      <c r="X73" s="183">
        <f t="array" ref="X73">SUM(X9:Y9*X22:Y22)/X32</f>
        <v>0.45615623607264139</v>
      </c>
      <c r="Y73" s="129"/>
      <c r="Z73" s="183">
        <f t="array" ref="Z73">SUM(Z9:AA9*Z22:AA22)/Z32</f>
        <v>0.45423426509541082</v>
      </c>
      <c r="AA73" s="129"/>
      <c r="AB73" s="183">
        <f t="array" ref="AB73">SUM(AB9:AC9*AB22:AC22)/AB32</f>
        <v>0.45231784575892026</v>
      </c>
      <c r="AC73" s="129"/>
      <c r="AD73" s="183">
        <f t="array" ref="AD73">SUM(AD9:AE9*AD22:AE22)/AD32</f>
        <v>0.45034390895853887</v>
      </c>
      <c r="AE73" s="129"/>
      <c r="AF73" s="183">
        <f t="array" ref="AF73">SUM(AF9:AG9*AF22:AG22)/AF32</f>
        <v>0.4480956285354416</v>
      </c>
      <c r="AG73" s="129"/>
      <c r="AH73" s="183">
        <f t="array" ref="AH73">SUM(AH9:AI9*AH22:AI22)/AH32</f>
        <v>0.44494524210875874</v>
      </c>
      <c r="AI73" s="129"/>
      <c r="AJ73" s="183">
        <f t="array" ref="AJ73">SUM(AJ9:AK9*AJ22:AK22)/AJ32</f>
        <v>0.43920939172736373</v>
      </c>
      <c r="AK73" s="129"/>
      <c r="AL73" s="183">
        <f t="array" ref="AL73">SUM(AL9:AM9*AL22:AM22)/AL32</f>
        <v>0.42675573123241994</v>
      </c>
      <c r="AM73" s="129"/>
      <c r="AN73" s="183">
        <f t="array" ref="AN73">SUM(AN9:AO9*AN22:AO22)/AN32</f>
        <v>0.40007512914625493</v>
      </c>
      <c r="AO73" s="129"/>
      <c r="AP73" s="183">
        <f t="array" ref="AP73">SUM(AP9:AQ9*AP22:AQ22)/AP32</f>
        <v>0.39148373942859371</v>
      </c>
      <c r="AQ73" s="129"/>
      <c r="AR73" s="183">
        <f t="array" ref="AR73">SUM(AR9:AS9*AR22:AS22)/AR32</f>
        <v>0.38050712222923871</v>
      </c>
      <c r="AS73" s="129"/>
      <c r="AT73" s="183">
        <f t="array" ref="AT73">SUM(AT9:AU9*AT22:AU22)/AT32</f>
        <v>0.36514072427438565</v>
      </c>
      <c r="AU73" s="129"/>
      <c r="AV73" s="183">
        <f t="array" ref="AV73">SUM(AV9:AW9*AV22:AW22)/AV32</f>
        <v>0.33907280592148337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0.22604620456442481</v>
      </c>
      <c r="AM74" s="129"/>
      <c r="AN74" s="183">
        <f t="array" ref="AN74">SUM(AN10:AO10*AN23:AO23)/AN32</f>
        <v>0.22604620456442484</v>
      </c>
      <c r="AO74" s="129"/>
      <c r="AP74" s="183">
        <f t="array" ref="AP74">SUM(AP10:AQ10*AP23:AQ23)/AP32</f>
        <v>0.22604620456442481</v>
      </c>
      <c r="AQ74" s="129"/>
      <c r="AR74" s="183">
        <f t="array" ref="AR74">SUM(AR10:AS10*AR23:AS23)/AR32</f>
        <v>0.22604620456442484</v>
      </c>
      <c r="AS74" s="129"/>
      <c r="AT74" s="183">
        <f t="array" ref="AT74">SUM(AT10:AU10*AT23:AU23)/AT32</f>
        <v>0.22604620456442484</v>
      </c>
      <c r="AU74" s="129"/>
      <c r="AV74" s="183">
        <f t="array" ref="AV74">SUM(AV10:AW10*AV23:AW23)/AV32</f>
        <v>0.22604620456442481</v>
      </c>
      <c r="XFD74" s="183"/>
    </row>
    <row r="75" spans="1:48 16384:16384" x14ac:dyDescent="0.2">
      <c r="A75" t="s">
        <v>170</v>
      </c>
      <c r="B75" s="183">
        <f t="array" ref="B75">SUM(B11:C11*B24:C24)/B32</f>
        <v>0.22038438833194082</v>
      </c>
      <c r="D75" s="183">
        <f t="array" ref="D75">SUM(D11:E11*D24:E24)/D32</f>
        <v>0.22150746215604911</v>
      </c>
      <c r="E75" s="129"/>
      <c r="F75" s="183">
        <f t="array" ref="F75">SUM(F11:G11*F24:G24)/F32</f>
        <v>0.22286735886985509</v>
      </c>
      <c r="G75" s="129"/>
      <c r="H75" s="183">
        <f t="array" ref="H75">SUM(H11:I11*H24:I24)/H32</f>
        <v>0.22452278690733379</v>
      </c>
      <c r="I75" s="129"/>
      <c r="J75" s="183">
        <f t="array" ref="J75">SUM(J11:K11*J24:K24)/J32</f>
        <v>0.22655148690023433</v>
      </c>
      <c r="K75" s="129"/>
      <c r="L75" s="183">
        <f t="array" ref="L75">SUM(L11:M11*L24:M24)/L32</f>
        <v>0.22905788908194177</v>
      </c>
      <c r="M75" s="129"/>
      <c r="N75" s="183">
        <f t="array" ref="N75">SUM(N11:O11*N24:O24)/N32</f>
        <v>0.23218461130746351</v>
      </c>
      <c r="O75" s="129"/>
      <c r="P75" s="183">
        <f t="array" ref="P75">SUM(P11:Q11*P24:Q24)/P32</f>
        <v>0.23612890249208063</v>
      </c>
      <c r="Q75" s="129"/>
      <c r="R75" s="183">
        <f t="array" ref="R75">SUM(R11:S11*R24:S24)/R32</f>
        <v>0.24116776692545949</v>
      </c>
      <c r="S75" s="129"/>
      <c r="T75" s="183">
        <f t="array" ref="T75">SUM(T11:U11*T24:U24)/T32</f>
        <v>0.24769538725273599</v>
      </c>
      <c r="U75" s="129"/>
      <c r="V75" s="183">
        <f t="array" ref="V75">SUM(V11:W11*V24:W24)/V32</f>
        <v>0.25627980751839702</v>
      </c>
      <c r="W75" s="129"/>
      <c r="X75" s="183">
        <f t="array" ref="X75">SUM(X11:Y11*X24:Y24)/X32</f>
        <v>0.26774621867362947</v>
      </c>
      <c r="Y75" s="129"/>
      <c r="Z75" s="183">
        <f t="array" ref="Z75">SUM(Z11:AA11*Z24:AA24)/Z32</f>
        <v>0.28329852267113864</v>
      </c>
      <c r="AA75" s="129"/>
      <c r="AB75" s="183">
        <f t="array" ref="AB75">SUM(AB11:AC11*AB24:AC24)/AB32</f>
        <v>0.3046829423374991</v>
      </c>
      <c r="AC75" s="129"/>
      <c r="AD75" s="183">
        <f t="array" ref="AD75">SUM(AD11:AE11*AD24:AE24)/AD32</f>
        <v>0.33436238882473679</v>
      </c>
      <c r="AE75" s="129"/>
      <c r="AF75" s="183">
        <f t="array" ref="AF75">SUM(AF11:AG11*AF24:AG24)/AF32</f>
        <v>0.37552041395102187</v>
      </c>
      <c r="AG75" s="129"/>
      <c r="AH75" s="183">
        <f t="array" ref="AH75">SUM(AH11:AI11*AH24:AI24)/AH32</f>
        <v>0.43134918350053991</v>
      </c>
      <c r="AI75" s="129"/>
      <c r="AJ75" s="183">
        <f t="array" ref="AJ75">SUM(AJ11:AK11*AJ24:AK24)/AJ32</f>
        <v>0.50326858445752587</v>
      </c>
      <c r="AK75" s="129"/>
      <c r="AL75" s="183">
        <f t="array" ref="AL75">SUM(AL11:AM11*AL24:AM24)/AL32</f>
        <v>0.59327836995298855</v>
      </c>
      <c r="AM75" s="129"/>
      <c r="AN75" s="183">
        <f t="array" ref="AN75">SUM(AN11:AO11*AN24:AO24)/AN32</f>
        <v>0.74584682966579519</v>
      </c>
      <c r="AO75" s="129"/>
      <c r="AP75" s="183">
        <f t="array" ref="AP75">SUM(AP11:AQ11*AP24:AQ24)/AP32</f>
        <v>0.80332575189086164</v>
      </c>
      <c r="AQ75" s="129"/>
      <c r="AR75" s="183">
        <f t="array" ref="AR75">SUM(AR11:AS11*AR24:AS24)/AR32</f>
        <v>0.88569282403380956</v>
      </c>
      <c r="AS75" s="129"/>
      <c r="AT75" s="183">
        <f t="array" ref="AT75">SUM(AT11:AU11*AT24:AU24)/AT32</f>
        <v>1.018946792534585</v>
      </c>
      <c r="AU75" s="129"/>
      <c r="AV75" s="183">
        <f t="array" ref="AV75">SUM(AV11:AW11*AV24:AW24)/AV32</f>
        <v>1.2980258132163907</v>
      </c>
      <c r="XFD75" s="183"/>
    </row>
    <row r="76" spans="1:48 16384:16384" x14ac:dyDescent="0.2">
      <c r="A76" t="s">
        <v>171</v>
      </c>
      <c r="B76" s="183">
        <f t="array" ref="B76">SUM(B12:C12*B25:C25)/B32</f>
        <v>0.22301874374724862</v>
      </c>
      <c r="D76" s="183">
        <f t="array" ref="D76">SUM(D12:E12*D25:E25)/D32</f>
        <v>0.22352592593453208</v>
      </c>
      <c r="E76" s="129"/>
      <c r="F76" s="183">
        <f t="array" ref="F76">SUM(F12:G12*F25:G25)/F32</f>
        <v>0.22391375551969911</v>
      </c>
      <c r="G76" s="129"/>
      <c r="H76" s="183">
        <f t="array" ref="H76">SUM(H12:I12*H25:I25)/H32</f>
        <v>0.22413921951905805</v>
      </c>
      <c r="I76" s="129"/>
      <c r="J76" s="183">
        <f t="array" ref="J76">SUM(J12:K12*J25:K25)/J32</f>
        <v>0.22414325412372116</v>
      </c>
      <c r="K76" s="129"/>
      <c r="L76" s="183">
        <f t="array" ref="L76">SUM(L12:M12*L25:M25)/L32</f>
        <v>0.2238439985147854</v>
      </c>
      <c r="M76" s="129"/>
      <c r="N76" s="183">
        <f t="array" ref="N76">SUM(N12:O12*N25:O25)/N32</f>
        <v>0.22312668952950865</v>
      </c>
      <c r="O76" s="129"/>
      <c r="P76" s="183">
        <f t="array" ref="P76">SUM(P12:Q12*P25:Q25)/P32</f>
        <v>0.22182945145837243</v>
      </c>
      <c r="Q76" s="129"/>
      <c r="R76" s="183">
        <f t="array" ref="R76">SUM(R12:S12*R25:S25)/R32</f>
        <v>0.21972197036972457</v>
      </c>
      <c r="S76" s="129"/>
      <c r="T76" s="183">
        <f t="array" ref="T76">SUM(T12:U12*T25:U25)/T32</f>
        <v>0.21647468707991083</v>
      </c>
      <c r="U76" s="129"/>
      <c r="V76" s="183">
        <f t="array" ref="V76">SUM(V12:W12*V25:W25)/V32</f>
        <v>0.2116141926769558</v>
      </c>
      <c r="W76" s="129"/>
      <c r="X76" s="183">
        <f t="array" ref="X76">SUM(X12:Y12*X25:Y25)/X32</f>
        <v>0.20446286647977288</v>
      </c>
      <c r="Y76" s="129"/>
      <c r="Z76" s="183">
        <f t="array" ref="Z76">SUM(Z12:AA12*Z25:AA25)/Z32</f>
        <v>0.19406103906040398</v>
      </c>
      <c r="AA76" s="129"/>
      <c r="AB76" s="183">
        <f t="array" ref="AB76">SUM(AB12:AC12*AB25:AC25)/AB32</f>
        <v>0.17908907811196781</v>
      </c>
      <c r="AC76" s="129"/>
      <c r="AD76" s="183">
        <f t="array" ref="AD76">SUM(AD12:AE12*AD25:AE25)/AD32</f>
        <v>0.15786350591958842</v>
      </c>
      <c r="AE76" s="129"/>
      <c r="AF76" s="183">
        <f t="array" ref="AF76">SUM(AF12:AG12*AF25:AG25)/AF32</f>
        <v>0.12866807920340617</v>
      </c>
      <c r="AG76" s="129"/>
      <c r="AH76" s="183">
        <f t="array" ref="AH76">SUM(AH12:AI12*AH25:AI25)/AH32</f>
        <v>9.1113026143840967E-2</v>
      </c>
      <c r="AI76" s="129"/>
      <c r="AJ76" s="183">
        <f t="array" ref="AJ76">SUM(AJ12:AK12*AJ25:AK25)/AJ32</f>
        <v>4.9326908660908067E-2</v>
      </c>
      <c r="AK76" s="129"/>
      <c r="AL76" s="183">
        <f t="array" ref="AL76">SUM(AL12:AM12*AL25:AM25)/AL32</f>
        <v>1.5333973640423186E-2</v>
      </c>
      <c r="AM76" s="129"/>
      <c r="AN76" s="183">
        <f t="array" ref="AN76">SUM(AN12:AO12*AN25:AO25)/AN32</f>
        <v>1.5040246255464123E-3</v>
      </c>
      <c r="AO76" s="129"/>
      <c r="AP76" s="183">
        <f t="array" ref="AP76">SUM(AP12:AQ12*AP25:AQ25)/AP32</f>
        <v>7.2224769739974058E-4</v>
      </c>
      <c r="AQ76" s="129"/>
      <c r="AR76" s="183">
        <f t="array" ref="AR76">SUM(AR12:AS12*AR25:AS25)/AR32</f>
        <v>2.8770287699064496E-4</v>
      </c>
      <c r="AS76" s="129"/>
      <c r="AT76" s="183">
        <f t="array" ref="AT76">SUM(AT12:AU12*AT25:AU25)/AT32</f>
        <v>8.246547709989669E-5</v>
      </c>
      <c r="AU76" s="129"/>
      <c r="AV76" s="183">
        <f t="array" ref="AV76">SUM(AV12:AW12*AV25:AW25)/AV32</f>
        <v>1.0943641873229518E-5</v>
      </c>
      <c r="XFD76" s="183"/>
    </row>
    <row r="77" spans="1:48 16384:16384" x14ac:dyDescent="0.2">
      <c r="A77" t="s">
        <v>172</v>
      </c>
      <c r="B77" s="183">
        <f t="array" ref="B77">SUM(B4:C4*B19:C19)/B32</f>
        <v>0.14586087017236518</v>
      </c>
      <c r="D77" s="183">
        <f t="array" ref="D77">SUM(D4:E4*D19:E19)/D32</f>
        <v>0.14579640182472492</v>
      </c>
      <c r="E77" s="129"/>
      <c r="F77" s="183">
        <f t="array" ref="F77">SUM(F4:G4*F19:G19)/F32</f>
        <v>0.14581881243521172</v>
      </c>
      <c r="G77" s="129"/>
      <c r="H77" s="183">
        <f t="array" ref="H77">SUM(H4:I4*H19:I19)/H32</f>
        <v>0.14594224741173353</v>
      </c>
      <c r="I77" s="129"/>
      <c r="J77" s="183">
        <f t="array" ref="J77">SUM(J4:K4*J19:K19)/J32</f>
        <v>0.14618430397598442</v>
      </c>
      <c r="K77" s="129"/>
      <c r="L77" s="183">
        <f t="array" ref="L77">SUM(L4:M4*L19:M19)/L32</f>
        <v>0.14656721338993917</v>
      </c>
      <c r="M77" s="129"/>
      <c r="N77" s="183">
        <f t="array" ref="N77">SUM(N4:O4*N19:O19)/N32</f>
        <v>0.14711967711349799</v>
      </c>
      <c r="O77" s="129"/>
      <c r="P77" s="183">
        <f t="array" ref="P77">SUM(P4:Q4*P19:Q19)/P32</f>
        <v>0.14787950599993049</v>
      </c>
      <c r="Q77" s="129"/>
      <c r="R77" s="183">
        <f t="array" ref="R77">SUM(R4:S4*R19:S19)/R32</f>
        <v>0.14889797494923848</v>
      </c>
      <c r="S77" s="129"/>
      <c r="T77" s="183">
        <f t="array" ref="T77">SUM(T4:U4*T19:U19)/T32</f>
        <v>0.15024702832905973</v>
      </c>
      <c r="U77" s="129"/>
      <c r="V77" s="183">
        <f t="array" ref="V77">SUM(V4:W4*V19:W19)/V32</f>
        <v>0.15203166836168797</v>
      </c>
      <c r="W77" s="129"/>
      <c r="X77" s="183">
        <f t="array" ref="X77">SUM(X4:Y4*X19:Y19)/X32</f>
        <v>0.15441152579046852</v>
      </c>
      <c r="Y77" s="129"/>
      <c r="Z77" s="183">
        <f t="array" ref="Z77">SUM(Z4:AA4*Z19:AA19)/Z32</f>
        <v>0.15764003139137814</v>
      </c>
      <c r="AA77" s="129"/>
      <c r="AB77" s="183">
        <f t="array" ref="AB77">SUM(AB4:AC4*AB19:AC19)/AB32</f>
        <v>0.16213607077281203</v>
      </c>
      <c r="AC77" s="129"/>
      <c r="AD77" s="183">
        <f t="array" ref="AD77">SUM(AD4:AE4*AD19:AE19)/AD32</f>
        <v>0.1686160082672889</v>
      </c>
      <c r="AE77" s="129"/>
      <c r="AF77" s="183">
        <f t="array" ref="AF77">SUM(AF4:AG4*AF19:AG19)/AF32</f>
        <v>0.17833032625429454</v>
      </c>
      <c r="AG77" s="129"/>
      <c r="AH77" s="183">
        <f t="array" ref="AH77">SUM(AH4:AI4*AH19:AI19)/AH32</f>
        <v>0.19345365631756437</v>
      </c>
      <c r="AI77" s="129"/>
      <c r="AJ77" s="183">
        <f t="array" ref="AJ77">SUM(AJ4:AK4*AJ19:AK19)/AJ32</f>
        <v>0.21785108941022258</v>
      </c>
      <c r="AK77" s="129"/>
      <c r="AL77" s="183">
        <f t="array" ref="AL77">SUM(AL4:AM4*AL19:AM19)/AL32</f>
        <v>0.26141427939025641</v>
      </c>
      <c r="AM77" s="129"/>
      <c r="AN77" s="183">
        <f t="array" ref="AN77">SUM(AN4:AO4*AN19:AO19)/AN32</f>
        <v>0.37347218800202131</v>
      </c>
      <c r="AO77" s="129"/>
      <c r="AP77" s="183">
        <f t="array" ref="AP77">SUM(AP4:AQ4*AP19:AQ19)/AP32</f>
        <v>0.42157794358127992</v>
      </c>
      <c r="AQ77" s="129"/>
      <c r="AR77" s="183">
        <f t="array" ref="AR77">SUM(AR4:AS4*AR19:AS19)/AR32</f>
        <v>0.49253385370446384</v>
      </c>
      <c r="AS77" s="129"/>
      <c r="AT77" s="183">
        <f t="array" ref="AT77">SUM(AT4:AU4*AT19:AU19)/AT32</f>
        <v>0.61021618685049539</v>
      </c>
      <c r="AU77" s="129"/>
      <c r="AV77" s="183">
        <f t="array" ref="AV77">SUM(AV4:AW4*AV19:AW19)/AV32</f>
        <v>0.86315576734417199</v>
      </c>
      <c r="XFD77" s="183"/>
    </row>
    <row r="78" spans="1:48 16384:16384" x14ac:dyDescent="0.2">
      <c r="A78" t="s">
        <v>173</v>
      </c>
      <c r="B78" s="183">
        <f t="array" ref="B78">SUM(B13:C13*B26:C26)/B32</f>
        <v>0.346887593115773</v>
      </c>
      <c r="D78" s="183">
        <f t="array" ref="D78">SUM(D13:E13*D26:E26)/D32</f>
        <v>0.34535645791922359</v>
      </c>
      <c r="E78" s="129"/>
      <c r="F78" s="183">
        <f t="array" ref="F78">SUM(F13:G13*F26:G26)/F32</f>
        <v>0.34374965210220404</v>
      </c>
      <c r="G78" s="129"/>
      <c r="H78" s="183">
        <f t="array" ref="H78">SUM(H13:I13*H26:I26)/H32</f>
        <v>0.34206053856350999</v>
      </c>
      <c r="I78" s="129"/>
      <c r="J78" s="183">
        <f t="array" ref="J78">SUM(J13:K13*J26:K26)/J32</f>
        <v>0.34028233241968403</v>
      </c>
      <c r="K78" s="129"/>
      <c r="L78" s="183">
        <f t="array" ref="L78">SUM(L13:M13*L26:M26)/L32</f>
        <v>0.33840832639519941</v>
      </c>
      <c r="M78" s="129"/>
      <c r="N78" s="183">
        <f t="array" ref="N78">SUM(N13:O13*N26:O26)/N32</f>
        <v>0.33643231945008456</v>
      </c>
      <c r="O78" s="129"/>
      <c r="P78" s="183">
        <f t="array" ref="P78">SUM(P13:Q13*P26:Q26)/P32</f>
        <v>0.33434917642210732</v>
      </c>
      <c r="Q78" s="129"/>
      <c r="R78" s="183">
        <f t="array" ref="R78">SUM(R13:S13*R26:S26)/R32</f>
        <v>0.33215578668753226</v>
      </c>
      <c r="S78" s="129"/>
      <c r="T78" s="183">
        <f t="array" ref="T78">SUM(T13:U13*T26:U26)/T32</f>
        <v>0.32985231813881938</v>
      </c>
      <c r="U78" s="129"/>
      <c r="V78" s="183">
        <f t="array" ref="V78">SUM(V13:W13*V26:W26)/V32</f>
        <v>0.32744406898111605</v>
      </c>
      <c r="W78" s="129"/>
      <c r="X78" s="183">
        <f t="array" ref="X78">SUM(X13:Y13*X26:Y26)/X32</f>
        <v>0.32494322568145234</v>
      </c>
      <c r="Y78" s="129"/>
      <c r="Z78" s="183">
        <f t="array" ref="Z78">SUM(Z13:AA13*Z26:AA26)/Z32</f>
        <v>0.32237018779663962</v>
      </c>
      <c r="AA78" s="129"/>
      <c r="AB78" s="183">
        <f t="array" ref="AB78">SUM(AB13:AC13*AB26:AC26)/AB32</f>
        <v>0.31975214775789534</v>
      </c>
      <c r="AC78" s="129"/>
      <c r="AD78" s="183">
        <f t="array" ref="AD78">SUM(AD13:AE13*AD26:AE26)/AD32</f>
        <v>0.31711450364729904</v>
      </c>
      <c r="AE78" s="129"/>
      <c r="AF78" s="183">
        <f t="array" ref="AF78">SUM(AF13:AG13*AF26:AG26)/AF32</f>
        <v>0.31445389668415491</v>
      </c>
      <c r="AG78" s="129"/>
      <c r="AH78" s="183">
        <f t="array" ref="AH78">SUM(AH13:AI13*AH26:AI26)/AH32</f>
        <v>0.31165738081104116</v>
      </c>
      <c r="AI78" s="129"/>
      <c r="AJ78" s="183">
        <f t="array" ref="AJ78">SUM(AJ13:AK13*AJ26:AK26)/AJ32</f>
        <v>0.3082697830038541</v>
      </c>
      <c r="AK78" s="129"/>
      <c r="AL78" s="183">
        <f t="array" ref="AL78">SUM(AL13:AM13*AL26:AM26)/AL32</f>
        <v>0.303138837458023</v>
      </c>
      <c r="AM78" s="129"/>
      <c r="AN78" s="183">
        <f t="array" ref="AN78">SUM(AN13:AO13*AN26:AO26)/AN32</f>
        <v>0.29632062068036952</v>
      </c>
      <c r="AO78" s="129"/>
      <c r="AP78" s="183">
        <f t="array" ref="AP78">SUM(AP13:AQ13*AP26:AQ26)/AP32</f>
        <v>0.29518970573164582</v>
      </c>
      <c r="AQ78" s="129"/>
      <c r="AR78" s="183">
        <f t="array" ref="AR78">SUM(AR13:AS13*AR26:AS26)/AR32</f>
        <v>0.29437542555565238</v>
      </c>
      <c r="AS78" s="129"/>
      <c r="AT78" s="183">
        <f t="array" ref="AT78">SUM(AT13:AU13*AT26:AU26)/AT32</f>
        <v>0.29415526747619636</v>
      </c>
      <c r="AU78" s="129"/>
      <c r="AV78" s="183">
        <f t="array" ref="AV78">SUM(AV13:AW13*AV26:AW26)/AV32</f>
        <v>0.29512524370523291</v>
      </c>
      <c r="XFD78" s="183"/>
    </row>
    <row r="79" spans="1:48 16384:16384" x14ac:dyDescent="0.2">
      <c r="A79" t="s">
        <v>174</v>
      </c>
      <c r="B79" s="183">
        <f t="array" ref="B79">SUM(B15:C15*B27:C27)/B32</f>
        <v>0.45460968782440875</v>
      </c>
      <c r="D79" s="183">
        <f t="array" ref="D79">SUM(D15:E15*D27:E27)/D32</f>
        <v>0.45328967919370861</v>
      </c>
      <c r="F79" s="183">
        <f t="array" ref="F79">SUM(F15:G15*F27:G27)/F32</f>
        <v>0.45199387719408585</v>
      </c>
      <c r="H79" s="183">
        <f t="array" ref="H79">SUM(H15:I15*H27:I27)/H32</f>
        <v>0.45072630832941002</v>
      </c>
      <c r="J79" s="183">
        <f t="array" ref="J79">SUM(J15:K15*J27:K27)/J32</f>
        <v>0.4494919457916855</v>
      </c>
      <c r="L79" s="183">
        <f t="array" ref="L79">SUM(L15:M15*L27:M27)/L32</f>
        <v>0.44829691628496571</v>
      </c>
      <c r="N79" s="183">
        <f t="array" ref="N79">SUM(N15:O15*N27:O27)/N32</f>
        <v>0.44714885401174465</v>
      </c>
      <c r="P79" s="183">
        <f t="array" ref="P79">SUM(P15:Q15*P27:Q27)/P32</f>
        <v>0.44605697014608836</v>
      </c>
      <c r="R79" s="183">
        <f t="array" ref="R79">SUM(R15:S15*R27:S27)/R32</f>
        <v>0.44503215973233035</v>
      </c>
      <c r="T79" s="183">
        <f t="array" ref="T79">SUM(T15:U15*T27:U27)/T32</f>
        <v>0.44408653334647596</v>
      </c>
      <c r="V79" s="183">
        <f t="array" ref="V79">SUM(V15:W15*V27:W27)/V32</f>
        <v>0.44323219746973813</v>
      </c>
      <c r="X79" s="183">
        <f t="array" ref="X79">SUM(X15:Y15*X27:Y27)/X32</f>
        <v>0.4424772803577679</v>
      </c>
      <c r="Z79" s="183">
        <f t="array" ref="Z79">SUM(Z15:AA15*Z27:AA27)/Z32</f>
        <v>0.44181686062205877</v>
      </c>
      <c r="AB79" s="183">
        <f t="array" ref="AB79">SUM(AB15:AC15*AB27:AC27)/AB32</f>
        <v>0.44121059524099543</v>
      </c>
      <c r="AD79" s="183">
        <f t="array" ref="AD79">SUM(AD15:AE15*AD27:AE27)/AD32</f>
        <v>0.44052742760840602</v>
      </c>
      <c r="AF79" s="183">
        <f t="array" ref="AF79">SUM(AF15:AG15*AF27:AG27)/AF32</f>
        <v>0.43940571834552872</v>
      </c>
      <c r="AH79" s="183">
        <f t="array" ref="AH79">SUM(AH15:AI15*AH27:AI27)/AH32</f>
        <v>0.43690215173933888</v>
      </c>
      <c r="AJ79" s="183">
        <f t="array" ref="AJ79">SUM(AJ15:AK15*AJ27:AK27)/AJ32</f>
        <v>0.4306399782550232</v>
      </c>
      <c r="AL79" s="183">
        <f t="array" ref="AL79">SUM(AL15:AM15*AL27:AM27)/AL32</f>
        <v>0.41481934420978106</v>
      </c>
      <c r="AN79" s="183">
        <f t="array" ref="AN79">SUM(AN15:AO15*AN27:AO27)/AN32</f>
        <v>0.37675109486340991</v>
      </c>
      <c r="AP79" s="183">
        <f t="array" ref="AP79">SUM(AP15:AQ15*AP27:AQ27)/AP32</f>
        <v>0.36342817104137615</v>
      </c>
      <c r="AR79" s="183">
        <f t="array" ref="AR79">SUM(AR15:AS15*AR27:AS27)/AR32</f>
        <v>0.34577579325536817</v>
      </c>
      <c r="AT79" s="183">
        <f t="array" ref="AT79">SUM(AT15:AU15*AT27:AU27)/AT32</f>
        <v>0.32014408728685001</v>
      </c>
      <c r="AV79" s="183">
        <f t="array" ref="AV79">SUM(AV15:AW15*AV27:AW27)/AV32</f>
        <v>0.27531840187489937</v>
      </c>
      <c r="XFD79" s="183"/>
    </row>
    <row r="80" spans="1:48 16384:16384" x14ac:dyDescent="0.2">
      <c r="A80" t="s">
        <v>153</v>
      </c>
      <c r="B80" s="195">
        <f>B55</f>
        <v>0.19850271905982084</v>
      </c>
      <c r="D80" s="195">
        <f>D55</f>
        <v>0.20135387212125244</v>
      </c>
      <c r="F80" s="195">
        <f>F55</f>
        <v>0.20425646858124419</v>
      </c>
      <c r="H80" s="195">
        <f>H55</f>
        <v>0.20721314973109675</v>
      </c>
      <c r="J80" s="195">
        <f>J55</f>
        <v>0.21022573306327735</v>
      </c>
      <c r="L80" s="195">
        <f>L55</f>
        <v>0.21329475161274825</v>
      </c>
      <c r="N80" s="195">
        <f>N55</f>
        <v>0.21641881829631054</v>
      </c>
      <c r="P80" s="195">
        <f>P55</f>
        <v>0.21959385690176489</v>
      </c>
      <c r="R80" s="195">
        <f>R55</f>
        <v>0.22281207859520075</v>
      </c>
      <c r="T80" s="195">
        <f>T55</f>
        <v>0.22606115057124807</v>
      </c>
      <c r="V80" s="195">
        <f>V55</f>
        <v>0.22932374021846572</v>
      </c>
      <c r="X80" s="195">
        <f>X55</f>
        <v>0.23257949218673923</v>
      </c>
      <c r="Z80" s="195">
        <f>Z55</f>
        <v>0.23581294995427529</v>
      </c>
      <c r="AB80" s="195">
        <f>AB55</f>
        <v>0.23903729970381066</v>
      </c>
      <c r="AD80" s="195">
        <f>AD55</f>
        <v>0.2423580975041815</v>
      </c>
      <c r="AF80" s="195">
        <f>AF55</f>
        <v>0.2461403904757338</v>
      </c>
      <c r="AH80" s="195">
        <f>AH55</f>
        <v>0.2514404708178557</v>
      </c>
      <c r="AJ80" s="195">
        <f>AJ55</f>
        <v>0.26109023905345419</v>
      </c>
      <c r="AL80" s="195">
        <f>AL55</f>
        <v>0.28204181881019524</v>
      </c>
      <c r="AN80" s="195">
        <f>AN55</f>
        <v>0.32692828440091576</v>
      </c>
      <c r="AP80" s="195">
        <f>AP55</f>
        <v>0.34138212321515499</v>
      </c>
      <c r="AR80" s="195">
        <f>AR55</f>
        <v>0.35984878118693858</v>
      </c>
      <c r="AT80" s="195">
        <f>AT55</f>
        <v>0.38570064538152798</v>
      </c>
      <c r="AV80" s="195">
        <f>AV55</f>
        <v>0.42955635443948753</v>
      </c>
      <c r="XFD80" s="195"/>
    </row>
    <row r="81" spans="1:48 16384:16384" x14ac:dyDescent="0.2">
      <c r="A81" t="s">
        <v>175</v>
      </c>
      <c r="B81" s="195">
        <f>B51/B$32</f>
        <v>-2.7543485504603994E-2</v>
      </c>
      <c r="D81" s="195">
        <f>D51/D$32</f>
        <v>-2.4692332443172389E-2</v>
      </c>
      <c r="F81" s="195">
        <f>F51/F$32</f>
        <v>-2.1789735983180653E-2</v>
      </c>
      <c r="H81" s="195">
        <f>H51/H$32</f>
        <v>-1.8833054833328085E-2</v>
      </c>
      <c r="J81" s="195">
        <f>J51/J$32</f>
        <v>-1.5820471501147498E-2</v>
      </c>
      <c r="L81" s="195">
        <f>L51/L$32</f>
        <v>-1.2751452951676604E-2</v>
      </c>
      <c r="N81" s="195">
        <f>N51/N$32</f>
        <v>-9.627386268114272E-3</v>
      </c>
      <c r="P81" s="195">
        <f>P51/P$32</f>
        <v>-6.4523476626599553E-3</v>
      </c>
      <c r="R81" s="195">
        <f>R51/R$32</f>
        <v>-3.2341259692240899E-3</v>
      </c>
      <c r="T81" s="195">
        <f>T51/T$32</f>
        <v>1.4946006823236626E-5</v>
      </c>
      <c r="V81" s="195">
        <f>V51/V$32</f>
        <v>3.2775356540408885E-3</v>
      </c>
      <c r="X81" s="195">
        <f>X51/X$32</f>
        <v>6.5332876223143967E-3</v>
      </c>
      <c r="Z81" s="195">
        <f>Z51/Z$32</f>
        <v>9.7667453898504369E-3</v>
      </c>
      <c r="AB81" s="195">
        <f>AB51/AB$32</f>
        <v>1.2991095139385822E-2</v>
      </c>
      <c r="AD81" s="195">
        <f>AD51/AD$32</f>
        <v>1.6311892939756652E-2</v>
      </c>
      <c r="AF81" s="195">
        <f>AF51/AF$32</f>
        <v>2.0094185911308939E-2</v>
      </c>
      <c r="AH81" s="195">
        <f>AH51/AH$32</f>
        <v>2.5394266253430893E-2</v>
      </c>
      <c r="AJ81" s="195">
        <f>AJ51/AJ$32</f>
        <v>3.5044034489029333E-2</v>
      </c>
      <c r="AL81" s="195">
        <f>AL51/AL$32</f>
        <v>5.5995614245770459E-2</v>
      </c>
      <c r="AN81" s="195">
        <f>AN51/AN$32</f>
        <v>0.10088207983649095</v>
      </c>
      <c r="AP81" s="195">
        <f>AP51/AP$32</f>
        <v>0.11533591865073019</v>
      </c>
      <c r="AR81" s="195">
        <f>AR51/AR$32</f>
        <v>0.13380257662251374</v>
      </c>
      <c r="AT81" s="195">
        <f>AT51/AT$32</f>
        <v>0.15965444081710314</v>
      </c>
      <c r="AV81" s="195">
        <f>AV51/AV$32</f>
        <v>0.20351014987506272</v>
      </c>
      <c r="XFD81" s="195"/>
    </row>
    <row r="82" spans="1:48 16384:16384" x14ac:dyDescent="0.2">
      <c r="A82" t="s">
        <v>176</v>
      </c>
      <c r="B82" s="195">
        <f>B52/B$32</f>
        <v>0.14069693704202227</v>
      </c>
      <c r="D82" s="195">
        <f>D52/D$32</f>
        <v>0.14007591156683372</v>
      </c>
      <c r="F82" s="195">
        <f>F52/F$32</f>
        <v>0.13942419423429567</v>
      </c>
      <c r="H82" s="195">
        <f>H52/H$32</f>
        <v>0.13873909304899282</v>
      </c>
      <c r="J82" s="195">
        <f>J52/J$32</f>
        <v>0.13801785607531381</v>
      </c>
      <c r="L82" s="195">
        <f>L52/L$32</f>
        <v>0.13725776285527383</v>
      </c>
      <c r="N82" s="195">
        <f>N52/N$32</f>
        <v>0.13645629825905048</v>
      </c>
      <c r="P82" s="195">
        <f>P52/P$32</f>
        <v>0.1356113794747715</v>
      </c>
      <c r="R82" s="195">
        <f>R52/R$32</f>
        <v>0.13472174483946436</v>
      </c>
      <c r="T82" s="195">
        <f>T52/T$32</f>
        <v>0.13378746244998618</v>
      </c>
      <c r="V82" s="195">
        <f>V52/V$32</f>
        <v>0.13281068124810042</v>
      </c>
      <c r="X82" s="195">
        <f>X52/X$32</f>
        <v>0.13179634404127122</v>
      </c>
      <c r="Z82" s="195">
        <f>Z52/Z$32</f>
        <v>0.13075272485029771</v>
      </c>
      <c r="AB82" s="195">
        <f>AB52/AB$32</f>
        <v>0.12969085287270365</v>
      </c>
      <c r="AD82" s="195">
        <f>AD52/AD$32</f>
        <v>0.12862102952147189</v>
      </c>
      <c r="AF82" s="195">
        <f>AF52/AF$32</f>
        <v>0.12754189248164666</v>
      </c>
      <c r="AH82" s="195">
        <f>AH52/AH$32</f>
        <v>0.12640763105072489</v>
      </c>
      <c r="AJ82" s="195">
        <f>AJ52/AJ$32</f>
        <v>0.12503362793023159</v>
      </c>
      <c r="AL82" s="195">
        <f>AL52/AL$32</f>
        <v>0.12295252633780043</v>
      </c>
      <c r="AN82" s="195">
        <f>AN52/AN$32</f>
        <v>0.1201870707961714</v>
      </c>
      <c r="AP82" s="195">
        <f>AP52/AP$32</f>
        <v>0.1197283738796537</v>
      </c>
      <c r="AR82" s="195">
        <f>AR52/AR$32</f>
        <v>0.11939810341472507</v>
      </c>
      <c r="AT82" s="195">
        <f>AT52/AT$32</f>
        <v>0.11930880772338513</v>
      </c>
      <c r="AV82" s="195">
        <f>AV52/AV$32</f>
        <v>0.11970222820638138</v>
      </c>
    </row>
    <row r="83" spans="1:48 16384:16384" x14ac:dyDescent="0.2">
      <c r="A83" t="s">
        <v>177</v>
      </c>
      <c r="B83" s="195">
        <f>B53/B$32</f>
        <v>0.18438881036940691</v>
      </c>
      <c r="D83" s="195">
        <f>D53/D$32</f>
        <v>0.18385341742110228</v>
      </c>
      <c r="F83" s="195">
        <f>F53/F$32</f>
        <v>0.18332784263555785</v>
      </c>
      <c r="H83" s="195">
        <f>H53/H$32</f>
        <v>0.18281371915495762</v>
      </c>
      <c r="J83" s="195">
        <f>J53/J$32</f>
        <v>0.18231306409636258</v>
      </c>
      <c r="L83" s="195">
        <f>L53/L$32</f>
        <v>0.18182836243909059</v>
      </c>
      <c r="N83" s="195">
        <f>N53/N$32</f>
        <v>0.18136271060091202</v>
      </c>
      <c r="P83" s="195">
        <f>P53/P$32</f>
        <v>0.18091984461621774</v>
      </c>
      <c r="R83" s="195">
        <f>R53/R$32</f>
        <v>0.18050418349392328</v>
      </c>
      <c r="T83" s="195">
        <f>T53/T$32</f>
        <v>0.18012063926024</v>
      </c>
      <c r="V83" s="195">
        <f>V53/V$32</f>
        <v>0.17977412228053929</v>
      </c>
      <c r="X83" s="195">
        <f>X53/X$32</f>
        <v>0.17946792935959682</v>
      </c>
      <c r="Z83" s="195">
        <f>Z53/Z$32</f>
        <v>0.17920006439175012</v>
      </c>
      <c r="AB83" s="195">
        <f>AB53/AB$32</f>
        <v>0.1789541643254374</v>
      </c>
      <c r="AD83" s="195">
        <f>AD53/AD$32</f>
        <v>0.17867707285460036</v>
      </c>
      <c r="AF83" s="195">
        <f>AF53/AF$32</f>
        <v>0.17822210974646222</v>
      </c>
      <c r="AH83" s="195">
        <f>AH53/AH$32</f>
        <v>0.1772066679717717</v>
      </c>
      <c r="AJ83" s="195">
        <f>AJ53/AJ$32</f>
        <v>0.17466674251478101</v>
      </c>
      <c r="AL83" s="195">
        <f>AL53/AL$32</f>
        <v>0.16824992393607383</v>
      </c>
      <c r="AN83" s="195">
        <f>AN53/AN$32</f>
        <v>0.15280951560818418</v>
      </c>
      <c r="AP83" s="195">
        <f>AP53/AP$32</f>
        <v>0.14740576346655382</v>
      </c>
      <c r="AR83" s="195">
        <f>AR53/AR$32</f>
        <v>0.14024599316836667</v>
      </c>
      <c r="AT83" s="195">
        <f>AT53/AT$32</f>
        <v>0.12984982278781163</v>
      </c>
      <c r="AV83" s="195">
        <f>AV53/AV$32</f>
        <v>0.11166861145758734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5.1988874691792378E-2</v>
      </c>
      <c r="E2" s="189"/>
      <c r="F2" s="188">
        <v>0.10299914014492036</v>
      </c>
      <c r="G2" s="189"/>
      <c r="H2" s="188">
        <v>0.1595925379634073</v>
      </c>
      <c r="I2" s="189"/>
      <c r="J2" s="188">
        <v>0.2227531646261402</v>
      </c>
      <c r="K2" s="189"/>
      <c r="L2" s="188">
        <v>0.29372581693113198</v>
      </c>
      <c r="M2" s="189"/>
      <c r="N2" s="188">
        <v>0.37412996207797278</v>
      </c>
      <c r="O2" s="189"/>
      <c r="P2" s="188">
        <v>0.46611819886864547</v>
      </c>
      <c r="Q2" s="189"/>
      <c r="R2" s="188">
        <v>0.57264818058012501</v>
      </c>
      <c r="S2" s="189"/>
      <c r="T2" s="188">
        <v>0.69793636863972619</v>
      </c>
      <c r="U2" s="189"/>
      <c r="V2" s="188">
        <v>0.8482529855234503</v>
      </c>
      <c r="W2" s="189"/>
      <c r="X2" s="188">
        <v>1.0334056791920525</v>
      </c>
      <c r="Y2" s="189"/>
      <c r="Z2" s="188">
        <v>1.2696597447529216</v>
      </c>
      <c r="AA2" s="189"/>
      <c r="AB2" s="188">
        <v>1.5859208417998159</v>
      </c>
      <c r="AC2" s="189"/>
      <c r="AD2" s="188">
        <v>2.0378443199475926</v>
      </c>
      <c r="AE2" s="189"/>
      <c r="AF2" s="188">
        <v>2.742723938137809</v>
      </c>
      <c r="AG2" s="189"/>
      <c r="AH2" s="188">
        <v>3.9724722705946687</v>
      </c>
      <c r="AI2" s="189"/>
      <c r="AJ2" s="188">
        <v>6.4283267005771236</v>
      </c>
      <c r="AK2" s="189"/>
      <c r="AL2" s="188">
        <v>12.30469596273759</v>
      </c>
      <c r="AM2" s="189"/>
      <c r="AN2" s="188">
        <v>32.494567606229353</v>
      </c>
      <c r="AO2" s="189"/>
      <c r="AP2" s="188">
        <v>42.685459953486379</v>
      </c>
      <c r="AQ2" s="189"/>
      <c r="AR2" s="188">
        <v>58.925584296767298</v>
      </c>
      <c r="AS2" s="189"/>
      <c r="AT2" s="188">
        <v>87.68295809393058</v>
      </c>
      <c r="AU2" s="189"/>
      <c r="AV2" s="188">
        <v>148.29311262085386</v>
      </c>
      <c r="AW2" s="189"/>
    </row>
    <row r="3" spans="1:49" x14ac:dyDescent="0.2">
      <c r="A3" t="s">
        <v>12</v>
      </c>
      <c r="B3" s="81">
        <v>1000</v>
      </c>
      <c r="C3" s="82">
        <v>1000</v>
      </c>
      <c r="D3" s="81">
        <v>998.9559316814034</v>
      </c>
      <c r="E3" s="82">
        <v>1021.1078140797861</v>
      </c>
      <c r="F3" s="81">
        <v>997.91852314569917</v>
      </c>
      <c r="G3" s="82">
        <v>1044.8842776715833</v>
      </c>
      <c r="H3" s="81">
        <v>996.88285592356738</v>
      </c>
      <c r="I3" s="82">
        <v>1071.805320538243</v>
      </c>
      <c r="J3" s="81">
        <v>995.84288921283621</v>
      </c>
      <c r="K3" s="82">
        <v>1102.465948691718</v>
      </c>
      <c r="L3" s="81">
        <v>994.79138820829678</v>
      </c>
      <c r="M3" s="82">
        <v>1137.6192141811034</v>
      </c>
      <c r="N3" s="81">
        <v>993.72010151103609</v>
      </c>
      <c r="O3" s="82">
        <v>1178.2403506607893</v>
      </c>
      <c r="P3" s="81">
        <v>992.62003848626375</v>
      </c>
      <c r="Q3" s="82">
        <v>1225.6140312221371</v>
      </c>
      <c r="R3" s="81">
        <v>991.4823381504242</v>
      </c>
      <c r="S3" s="82">
        <v>1281.4789293599031</v>
      </c>
      <c r="T3" s="81">
        <v>990.2999872751044</v>
      </c>
      <c r="U3" s="82">
        <v>1348.2622347526694</v>
      </c>
      <c r="V3" s="81">
        <v>989.07116041032123</v>
      </c>
      <c r="W3" s="82">
        <v>1429.4784501964932</v>
      </c>
      <c r="X3" s="81">
        <v>987.80565690886567</v>
      </c>
      <c r="Y3" s="82">
        <v>1530.4512212861387</v>
      </c>
      <c r="Z3" s="81">
        <v>986.53714151200415</v>
      </c>
      <c r="AA3" s="82">
        <v>1659.6926092473213</v>
      </c>
      <c r="AB3" s="81">
        <v>985.34637765440607</v>
      </c>
      <c r="AC3" s="82">
        <v>1831.7297700642539</v>
      </c>
      <c r="AD3" s="81">
        <v>984.40344298133448</v>
      </c>
      <c r="AE3" s="82">
        <v>2073.3438096908872</v>
      </c>
      <c r="AF3" s="81">
        <v>984.03245364419251</v>
      </c>
      <c r="AG3" s="82">
        <v>2438.4632814815482</v>
      </c>
      <c r="AH3" s="81">
        <v>984.74979610255252</v>
      </c>
      <c r="AI3" s="82">
        <v>3046.6584972655878</v>
      </c>
      <c r="AJ3" s="81">
        <v>987.06699402659001</v>
      </c>
      <c r="AK3" s="82">
        <v>4195.5219466105909</v>
      </c>
      <c r="AL3" s="81">
        <v>990.93750022809729</v>
      </c>
      <c r="AM3" s="82">
        <v>6800.1330146037517</v>
      </c>
      <c r="AN3" s="81">
        <v>995.74674997944146</v>
      </c>
      <c r="AO3" s="82">
        <v>15367.478729337854</v>
      </c>
      <c r="AP3" s="81">
        <v>996.83025157596353</v>
      </c>
      <c r="AQ3" s="82">
        <v>19621.64608422351</v>
      </c>
      <c r="AR3" s="81">
        <v>998.02719283295312</v>
      </c>
      <c r="AS3" s="82">
        <v>26361.860812713199</v>
      </c>
      <c r="AT3" s="81">
        <v>999.47510018461287</v>
      </c>
      <c r="AU3" s="82">
        <v>38234.07615992365</v>
      </c>
      <c r="AV3" s="81">
        <v>1001.5866628145722</v>
      </c>
      <c r="AW3" s="82">
        <v>63141.002530733836</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998.90407723151952</v>
      </c>
      <c r="E5" s="40">
        <v>1018.3169650680808</v>
      </c>
      <c r="F5" s="39">
        <v>997.8143713194878</v>
      </c>
      <c r="G5" s="40">
        <v>1038.4446920473151</v>
      </c>
      <c r="H5" s="39">
        <v>996.7257204861894</v>
      </c>
      <c r="I5" s="40">
        <v>1060.6132676945749</v>
      </c>
      <c r="J5" s="39">
        <v>995.63176716897192</v>
      </c>
      <c r="K5" s="40">
        <v>1085.0870666151422</v>
      </c>
      <c r="L5" s="39">
        <v>994.5248781479504</v>
      </c>
      <c r="M5" s="40">
        <v>1112.1704878507351</v>
      </c>
      <c r="N5" s="39">
        <v>993.39632587982896</v>
      </c>
      <c r="O5" s="40">
        <v>1142.2110607410125</v>
      </c>
      <c r="P5" s="39">
        <v>992.23657597969327</v>
      </c>
      <c r="Q5" s="40">
        <v>1175.6055388703769</v>
      </c>
      <c r="R5" s="39">
        <v>991.03619920905396</v>
      </c>
      <c r="S5" s="40">
        <v>1212.8005395017969</v>
      </c>
      <c r="T5" s="39">
        <v>989.78768413978366</v>
      </c>
      <c r="U5" s="40">
        <v>1254.2881649152184</v>
      </c>
      <c r="V5" s="39">
        <v>988.48897399411146</v>
      </c>
      <c r="W5" s="40">
        <v>1300.5892035381721</v>
      </c>
      <c r="X5" s="39">
        <v>987.15030108658755</v>
      </c>
      <c r="Y5" s="40">
        <v>1352.2037906711873</v>
      </c>
      <c r="Z5" s="39">
        <v>985.8072104000297</v>
      </c>
      <c r="AA5" s="40">
        <v>1409.4958683079251</v>
      </c>
      <c r="AB5" s="39">
        <v>984.54531147308171</v>
      </c>
      <c r="AC5" s="40">
        <v>1472.420837402791</v>
      </c>
      <c r="AD5" s="39">
        <v>983.54526449157117</v>
      </c>
      <c r="AE5" s="40">
        <v>1539.9263987427175</v>
      </c>
      <c r="AF5" s="39">
        <v>983.15161430253693</v>
      </c>
      <c r="AG5" s="40">
        <v>1608.745295899063</v>
      </c>
      <c r="AH5" s="39">
        <v>983.91267640332308</v>
      </c>
      <c r="AI5" s="40">
        <v>1671.7226785085861</v>
      </c>
      <c r="AJ5" s="39">
        <v>986.36836322466877</v>
      </c>
      <c r="AK5" s="40">
        <v>1718.356903345632</v>
      </c>
      <c r="AL5" s="39">
        <v>990.46100283493217</v>
      </c>
      <c r="AM5" s="40">
        <v>1742.4107954628089</v>
      </c>
      <c r="AN5" s="39">
        <v>995.53059740449112</v>
      </c>
      <c r="AO5" s="40">
        <v>1749.4003403701761</v>
      </c>
      <c r="AP5" s="39">
        <v>996.67040422403136</v>
      </c>
      <c r="AQ5" s="40">
        <v>1749.7477763968882</v>
      </c>
      <c r="AR5" s="39">
        <v>997.92855550981528</v>
      </c>
      <c r="AS5" s="40">
        <v>1749.9366547529391</v>
      </c>
      <c r="AT5" s="39">
        <v>999.44912797163704</v>
      </c>
      <c r="AU5" s="40">
        <v>1750.0257803265497</v>
      </c>
      <c r="AV5" s="39">
        <v>1001.6639808409651</v>
      </c>
      <c r="AW5" s="40">
        <v>1750.0595935650329</v>
      </c>
    </row>
    <row r="6" spans="1:49" x14ac:dyDescent="0.2">
      <c r="A6" t="s">
        <v>77</v>
      </c>
      <c r="B6" s="39">
        <v>1000.0000000000003</v>
      </c>
      <c r="C6" s="40">
        <v>1000.0000000000002</v>
      </c>
      <c r="D6" s="39">
        <v>998.82034896838911</v>
      </c>
      <c r="E6" s="40">
        <v>1022.7115601776715</v>
      </c>
      <c r="F6" s="39">
        <v>997.64758582783634</v>
      </c>
      <c r="G6" s="40">
        <v>1048.1359141410965</v>
      </c>
      <c r="H6" s="39">
        <v>996.47615335395426</v>
      </c>
      <c r="I6" s="40">
        <v>1076.7486012986278</v>
      </c>
      <c r="J6" s="39">
        <v>995.29921168154669</v>
      </c>
      <c r="K6" s="40">
        <v>1109.1451030722269</v>
      </c>
      <c r="L6" s="39">
        <v>994.10855331211508</v>
      </c>
      <c r="M6" s="40">
        <v>1146.0803689017803</v>
      </c>
      <c r="N6" s="39">
        <v>992.89479972171341</v>
      </c>
      <c r="O6" s="40">
        <v>1188.5341725017229</v>
      </c>
      <c r="P6" s="39">
        <v>991.64771140815355</v>
      </c>
      <c r="Q6" s="40">
        <v>1237.799700830632</v>
      </c>
      <c r="R6" s="39">
        <v>990.35716952727296</v>
      </c>
      <c r="S6" s="40">
        <v>1295.6306049226514</v>
      </c>
      <c r="T6" s="39">
        <v>989.0151247360451</v>
      </c>
      <c r="U6" s="40">
        <v>1364.4793899844053</v>
      </c>
      <c r="V6" s="39">
        <v>987.61939636620741</v>
      </c>
      <c r="W6" s="40">
        <v>1447.9026180902652</v>
      </c>
      <c r="X6" s="39">
        <v>986.18100981972202</v>
      </c>
      <c r="Y6" s="40">
        <v>1551.2941544441301</v>
      </c>
      <c r="Z6" s="39">
        <v>984.73817212714539</v>
      </c>
      <c r="AA6" s="40">
        <v>1683.2858924293434</v>
      </c>
      <c r="AB6" s="39">
        <v>983.38282585016782</v>
      </c>
      <c r="AC6" s="40">
        <v>1858.6180634086309</v>
      </c>
      <c r="AD6" s="39">
        <v>982.30890803485795</v>
      </c>
      <c r="AE6" s="40">
        <v>2104.4742215678975</v>
      </c>
      <c r="AF6" s="39">
        <v>981.88622494893548</v>
      </c>
      <c r="AG6" s="40">
        <v>2475.6048504546329</v>
      </c>
      <c r="AH6" s="39">
        <v>982.70344062804168</v>
      </c>
      <c r="AI6" s="40">
        <v>3093.4186377002206</v>
      </c>
      <c r="AJ6" s="39">
        <v>985.34096394543917</v>
      </c>
      <c r="AK6" s="40">
        <v>4260.1055100393232</v>
      </c>
      <c r="AL6" s="39">
        <v>989.73885177779687</v>
      </c>
      <c r="AM6" s="40">
        <v>6904.8817203437684</v>
      </c>
      <c r="AN6" s="39">
        <v>995.1903769990513</v>
      </c>
      <c r="AO6" s="40">
        <v>15604.213670391078</v>
      </c>
      <c r="AP6" s="39">
        <v>996.4166360266463</v>
      </c>
      <c r="AQ6" s="40">
        <v>19923.916418833913</v>
      </c>
      <c r="AR6" s="39">
        <v>997.7704639601825</v>
      </c>
      <c r="AS6" s="40">
        <v>26767.963873853092</v>
      </c>
      <c r="AT6" s="39">
        <v>999.40701675120397</v>
      </c>
      <c r="AU6" s="40">
        <v>38823.07010376839</v>
      </c>
      <c r="AV6" s="39">
        <v>1001.7914867674369</v>
      </c>
      <c r="AW6" s="40">
        <v>64113.686383455854</v>
      </c>
    </row>
    <row r="7" spans="1:49" x14ac:dyDescent="0.2">
      <c r="A7" t="s">
        <v>13</v>
      </c>
      <c r="B7" s="31">
        <v>1015.9116825427475</v>
      </c>
      <c r="C7" s="32">
        <v>1015.9116825427475</v>
      </c>
      <c r="D7" s="31">
        <v>1014.7983217990835</v>
      </c>
      <c r="E7" s="32">
        <v>1014.7983217990835</v>
      </c>
      <c r="F7" s="31">
        <v>1013.6912768325146</v>
      </c>
      <c r="G7" s="32">
        <v>1013.6912768325146</v>
      </c>
      <c r="H7" s="31">
        <v>1012.5853037327569</v>
      </c>
      <c r="I7" s="32">
        <v>1012.5853037327569</v>
      </c>
      <c r="J7" s="31">
        <v>1011.4739437776392</v>
      </c>
      <c r="K7" s="32">
        <v>1011.4739437776392</v>
      </c>
      <c r="L7" s="31">
        <v>1010.3494422899051</v>
      </c>
      <c r="M7" s="32">
        <v>1010.3494422899051</v>
      </c>
      <c r="N7" s="31">
        <v>1009.2029328563605</v>
      </c>
      <c r="O7" s="32">
        <v>1009.2029328563605</v>
      </c>
      <c r="P7" s="31">
        <v>1008.0247293839849</v>
      </c>
      <c r="Q7" s="32">
        <v>1008.0247293839849</v>
      </c>
      <c r="R7" s="31">
        <v>1006.8052525992395</v>
      </c>
      <c r="S7" s="32">
        <v>1006.8052525992395</v>
      </c>
      <c r="T7" s="31">
        <v>1005.5368715545371</v>
      </c>
      <c r="U7" s="32">
        <v>1005.5368715545371</v>
      </c>
      <c r="V7" s="31">
        <v>1004.2174967453119</v>
      </c>
      <c r="W7" s="32">
        <v>1004.2174967453119</v>
      </c>
      <c r="X7" s="31">
        <v>1002.8575232994549</v>
      </c>
      <c r="Y7" s="32">
        <v>1002.8575232994549</v>
      </c>
      <c r="Z7" s="31">
        <v>1001.4930617802664</v>
      </c>
      <c r="AA7" s="32">
        <v>1001.4930617802664</v>
      </c>
      <c r="AB7" s="31">
        <v>1000.2110839181918</v>
      </c>
      <c r="AC7" s="32">
        <v>1000.2110839181918</v>
      </c>
      <c r="AD7" s="31">
        <v>999.19512450658362</v>
      </c>
      <c r="AE7" s="32">
        <v>999.19512450658362</v>
      </c>
      <c r="AF7" s="31">
        <v>998.79521068070858</v>
      </c>
      <c r="AG7" s="32">
        <v>998.79521068070858</v>
      </c>
      <c r="AH7" s="31">
        <v>999.56838256003778</v>
      </c>
      <c r="AI7" s="32">
        <v>999.56838256003778</v>
      </c>
      <c r="AJ7" s="31">
        <v>1002.0631434905091</v>
      </c>
      <c r="AK7" s="32">
        <v>1002.0631434905091</v>
      </c>
      <c r="AL7" s="31">
        <v>1006.2209038830129</v>
      </c>
      <c r="AM7" s="32">
        <v>1006.2209038830129</v>
      </c>
      <c r="AN7" s="31">
        <v>1011.3711642319831</v>
      </c>
      <c r="AO7" s="32">
        <v>1011.3711642319831</v>
      </c>
      <c r="AP7" s="31">
        <v>1012.5291072957959</v>
      </c>
      <c r="AQ7" s="32">
        <v>1012.5291072957959</v>
      </c>
      <c r="AR7" s="31">
        <v>1013.8072778854299</v>
      </c>
      <c r="AS7" s="32">
        <v>1013.8072778854299</v>
      </c>
      <c r="AT7" s="31">
        <v>1015.3520452135475</v>
      </c>
      <c r="AU7" s="32">
        <v>1015.3520452135475</v>
      </c>
      <c r="AV7" s="31">
        <v>1017.6021401186111</v>
      </c>
      <c r="AW7" s="32">
        <v>1017.6021401186111</v>
      </c>
    </row>
    <row r="8" spans="1:49" x14ac:dyDescent="0.2">
      <c r="B8" s="33">
        <v>1005.7716594496609</v>
      </c>
      <c r="C8" s="34">
        <v>1005.7716594496609</v>
      </c>
      <c r="D8" s="33">
        <v>1071.2581181615317</v>
      </c>
      <c r="E8" s="34">
        <v>1071.2581181615317</v>
      </c>
      <c r="F8" s="33">
        <v>1145.4036024162453</v>
      </c>
      <c r="G8" s="34">
        <v>1145.4036024162453</v>
      </c>
      <c r="H8" s="33">
        <v>1229.8792308836148</v>
      </c>
      <c r="I8" s="34">
        <v>1229.8792308836148</v>
      </c>
      <c r="J8" s="33">
        <v>1326.7936445985606</v>
      </c>
      <c r="K8" s="34">
        <v>1326.7936445985606</v>
      </c>
      <c r="L8" s="33">
        <v>1438.8436729613877</v>
      </c>
      <c r="M8" s="34">
        <v>1438.8436729613877</v>
      </c>
      <c r="N8" s="33">
        <v>1569.5464415810886</v>
      </c>
      <c r="O8" s="34">
        <v>1569.5464415810886</v>
      </c>
      <c r="P8" s="33">
        <v>1723.5766752286402</v>
      </c>
      <c r="Q8" s="34">
        <v>1723.5766752286402</v>
      </c>
      <c r="R8" s="33">
        <v>1907.3085618540952</v>
      </c>
      <c r="S8" s="34">
        <v>1907.3085618540952</v>
      </c>
      <c r="T8" s="33">
        <v>2129.7014919639319</v>
      </c>
      <c r="U8" s="34">
        <v>2129.7014919639319</v>
      </c>
      <c r="V8" s="33">
        <v>2403.8178783789931</v>
      </c>
      <c r="W8" s="34">
        <v>2403.8178783789931</v>
      </c>
      <c r="X8" s="33">
        <v>2749.5788673758138</v>
      </c>
      <c r="Y8" s="34">
        <v>2749.5788673758138</v>
      </c>
      <c r="Z8" s="33">
        <v>3199.0760326940626</v>
      </c>
      <c r="AA8" s="34">
        <v>3199.0760326940626</v>
      </c>
      <c r="AB8" s="33">
        <v>3807.5637313402149</v>
      </c>
      <c r="AC8" s="34">
        <v>3807.5637313402149</v>
      </c>
      <c r="AD8" s="33">
        <v>4678.0566635579162</v>
      </c>
      <c r="AE8" s="34">
        <v>4678.0566635579162</v>
      </c>
      <c r="AF8" s="33">
        <v>6021.0895293280155</v>
      </c>
      <c r="AG8" s="34">
        <v>6021.0895293280155</v>
      </c>
      <c r="AH8" s="33">
        <v>8312.5946630081889</v>
      </c>
      <c r="AI8" s="34">
        <v>8312.5946630081889</v>
      </c>
      <c r="AJ8" s="33">
        <v>12764.516466243382</v>
      </c>
      <c r="AK8" s="34">
        <v>12764.516466243382</v>
      </c>
      <c r="AL8" s="33">
        <v>23182.245875824425</v>
      </c>
      <c r="AM8" s="34">
        <v>23182.245875824425</v>
      </c>
      <c r="AN8" s="33">
        <v>58595.407970889501</v>
      </c>
      <c r="AO8" s="34">
        <v>58595.407970889501</v>
      </c>
      <c r="AP8" s="33">
        <v>76438.536414488102</v>
      </c>
      <c r="AQ8" s="34">
        <v>76438.536414488102</v>
      </c>
      <c r="AR8" s="33">
        <v>104865.97651840023</v>
      </c>
      <c r="AS8" s="34">
        <v>104865.97651840023</v>
      </c>
      <c r="AT8" s="33">
        <v>155197.46293999758</v>
      </c>
      <c r="AU8" s="34">
        <v>155197.46293999758</v>
      </c>
      <c r="AV8" s="33">
        <v>261271.84399531019</v>
      </c>
      <c r="AW8" s="34">
        <v>261271.84399531019</v>
      </c>
    </row>
    <row r="9" spans="1:49" x14ac:dyDescent="0.2">
      <c r="A9" t="s">
        <v>14</v>
      </c>
      <c r="B9" s="39">
        <v>1015.9116825427475</v>
      </c>
      <c r="C9" s="40">
        <v>1005.7716594496609</v>
      </c>
      <c r="D9" s="39">
        <v>1014.7983217990835</v>
      </c>
      <c r="E9" s="40">
        <v>1071.2581181615317</v>
      </c>
      <c r="F9" s="39">
        <v>1013.6912768325146</v>
      </c>
      <c r="G9" s="40">
        <v>1145.4036024162453</v>
      </c>
      <c r="H9" s="39">
        <v>1012.5853037327569</v>
      </c>
      <c r="I9" s="40">
        <v>1229.8792308836148</v>
      </c>
      <c r="J9" s="39">
        <v>1011.4739437776392</v>
      </c>
      <c r="K9" s="40">
        <v>1326.7936445985606</v>
      </c>
      <c r="L9" s="39">
        <v>1010.3494422899051</v>
      </c>
      <c r="M9" s="40">
        <v>1438.8436729613877</v>
      </c>
      <c r="N9" s="39">
        <v>1009.2029328563605</v>
      </c>
      <c r="O9" s="40">
        <v>1569.5464415810886</v>
      </c>
      <c r="P9" s="39">
        <v>1008.0247293839849</v>
      </c>
      <c r="Q9" s="40">
        <v>1723.5766752286402</v>
      </c>
      <c r="R9" s="39">
        <v>1006.8052525992395</v>
      </c>
      <c r="S9" s="40">
        <v>1907.3085618540952</v>
      </c>
      <c r="T9" s="39">
        <v>1005.5368715545371</v>
      </c>
      <c r="U9" s="40">
        <v>2129.7014919639319</v>
      </c>
      <c r="V9" s="39">
        <v>1004.2174967453119</v>
      </c>
      <c r="W9" s="40">
        <v>2403.8178783789931</v>
      </c>
      <c r="X9" s="39">
        <v>1002.8575232994549</v>
      </c>
      <c r="Y9" s="40">
        <v>2749.5788673758138</v>
      </c>
      <c r="Z9" s="39">
        <v>1001.4930617802664</v>
      </c>
      <c r="AA9" s="40">
        <v>3199.0760326940626</v>
      </c>
      <c r="AB9" s="39">
        <v>1000.2110839181918</v>
      </c>
      <c r="AC9" s="40">
        <v>3807.5637313402149</v>
      </c>
      <c r="AD9" s="39">
        <v>999.19512450658362</v>
      </c>
      <c r="AE9" s="40">
        <v>4678.0566635579162</v>
      </c>
      <c r="AF9" s="39">
        <v>998.79521068070858</v>
      </c>
      <c r="AG9" s="40">
        <v>6021.0895293280155</v>
      </c>
      <c r="AH9" s="39">
        <v>999.56838256003778</v>
      </c>
      <c r="AI9" s="40">
        <v>8312.5946630081889</v>
      </c>
      <c r="AJ9" s="39">
        <v>1002.0631434905091</v>
      </c>
      <c r="AK9" s="40">
        <v>12764.516466243382</v>
      </c>
      <c r="AL9" s="39">
        <v>1006.2209038830129</v>
      </c>
      <c r="AM9" s="40">
        <v>23182.245875824425</v>
      </c>
      <c r="AN9" s="39">
        <v>1011.3711642319831</v>
      </c>
      <c r="AO9" s="40">
        <v>58595.407970889501</v>
      </c>
      <c r="AP9" s="39">
        <v>1012.5291072957959</v>
      </c>
      <c r="AQ9" s="40">
        <v>76438.536414488102</v>
      </c>
      <c r="AR9" s="39">
        <v>1013.8072778854299</v>
      </c>
      <c r="AS9" s="40">
        <v>104865.97651840023</v>
      </c>
      <c r="AT9" s="39">
        <v>1015.3520452135475</v>
      </c>
      <c r="AU9" s="40">
        <v>155197.46293999758</v>
      </c>
      <c r="AV9" s="39">
        <v>1017.6021401186111</v>
      </c>
      <c r="AW9" s="40">
        <v>261271.84399531019</v>
      </c>
    </row>
    <row r="10" spans="1:49" x14ac:dyDescent="0.2">
      <c r="A10" t="s">
        <v>15</v>
      </c>
      <c r="B10" s="39">
        <v>1015.9116825427475</v>
      </c>
      <c r="C10" s="40">
        <v>1005.7716594496609</v>
      </c>
      <c r="D10" s="39">
        <v>1014.7983217990835</v>
      </c>
      <c r="E10" s="40">
        <v>1071.2581181615317</v>
      </c>
      <c r="F10" s="39">
        <v>1013.6912768325146</v>
      </c>
      <c r="G10" s="40">
        <v>1145.4036024162453</v>
      </c>
      <c r="H10" s="39">
        <v>1012.5853037327569</v>
      </c>
      <c r="I10" s="40">
        <v>1229.8792308836148</v>
      </c>
      <c r="J10" s="39">
        <v>1011.4739437776392</v>
      </c>
      <c r="K10" s="40">
        <v>1326.7936445985606</v>
      </c>
      <c r="L10" s="39">
        <v>1010.3494422899051</v>
      </c>
      <c r="M10" s="40">
        <v>1438.8436729613877</v>
      </c>
      <c r="N10" s="39">
        <v>1009.2029328563605</v>
      </c>
      <c r="O10" s="40">
        <v>1569.5464415810886</v>
      </c>
      <c r="P10" s="39">
        <v>1008.0247293839849</v>
      </c>
      <c r="Q10" s="40">
        <v>1723.5766752286402</v>
      </c>
      <c r="R10" s="39">
        <v>1006.8052525992395</v>
      </c>
      <c r="S10" s="40">
        <v>1907.3085618540952</v>
      </c>
      <c r="T10" s="39">
        <v>1005.5368715545371</v>
      </c>
      <c r="U10" s="40">
        <v>2129.7014919639319</v>
      </c>
      <c r="V10" s="39">
        <v>1004.2174967453119</v>
      </c>
      <c r="W10" s="40">
        <v>2403.8178783789931</v>
      </c>
      <c r="X10" s="39">
        <v>1002.8575232994549</v>
      </c>
      <c r="Y10" s="40">
        <v>2749.5788673758138</v>
      </c>
      <c r="Z10" s="39">
        <v>1001.4930617802664</v>
      </c>
      <c r="AA10" s="40">
        <v>3199.0760326940626</v>
      </c>
      <c r="AB10" s="39">
        <v>1000.2110839181918</v>
      </c>
      <c r="AC10" s="40">
        <v>3807.5637313402149</v>
      </c>
      <c r="AD10" s="39">
        <v>999.19512450658362</v>
      </c>
      <c r="AE10" s="40">
        <v>4678.0566635579162</v>
      </c>
      <c r="AF10" s="39">
        <v>998.79521068070858</v>
      </c>
      <c r="AG10" s="40">
        <v>6021.0895293280155</v>
      </c>
      <c r="AH10" s="39">
        <v>999.56838256003778</v>
      </c>
      <c r="AI10" s="40">
        <v>8312.5946630081889</v>
      </c>
      <c r="AJ10" s="39">
        <v>1002.0631434905091</v>
      </c>
      <c r="AK10" s="40">
        <v>12764.516466243382</v>
      </c>
      <c r="AL10" s="39">
        <v>1006.2209038830129</v>
      </c>
      <c r="AM10" s="40">
        <v>23182.245875824425</v>
      </c>
      <c r="AN10" s="39">
        <v>1011.3711642319831</v>
      </c>
      <c r="AO10" s="40">
        <v>58595.407970889501</v>
      </c>
      <c r="AP10" s="39">
        <v>1012.5291072957959</v>
      </c>
      <c r="AQ10" s="40">
        <v>76438.536414488102</v>
      </c>
      <c r="AR10" s="39">
        <v>1013.8072778854299</v>
      </c>
      <c r="AS10" s="40">
        <v>104865.97651840023</v>
      </c>
      <c r="AT10" s="39">
        <v>1015.3520452135475</v>
      </c>
      <c r="AU10" s="40">
        <v>155197.46293999758</v>
      </c>
      <c r="AV10" s="39">
        <v>1017.6021401186111</v>
      </c>
      <c r="AW10" s="40">
        <v>261271.84399531019</v>
      </c>
    </row>
    <row r="11" spans="1:49" x14ac:dyDescent="0.2">
      <c r="A11" t="s">
        <v>29</v>
      </c>
      <c r="B11" s="39">
        <v>1015.9116825427475</v>
      </c>
      <c r="C11" s="40">
        <v>1005.7716594496609</v>
      </c>
      <c r="D11" s="39">
        <v>1014.7983217990835</v>
      </c>
      <c r="E11" s="40">
        <v>1071.2581181615317</v>
      </c>
      <c r="F11" s="39">
        <v>1013.6912768325146</v>
      </c>
      <c r="G11" s="40">
        <v>1145.4036024162453</v>
      </c>
      <c r="H11" s="39">
        <v>1012.5853037327569</v>
      </c>
      <c r="I11" s="40">
        <v>1229.8792308836148</v>
      </c>
      <c r="J11" s="39">
        <v>1011.4739437776392</v>
      </c>
      <c r="K11" s="40">
        <v>1326.7936445985606</v>
      </c>
      <c r="L11" s="39">
        <v>1010.3494422899051</v>
      </c>
      <c r="M11" s="40">
        <v>1438.8436729613877</v>
      </c>
      <c r="N11" s="39">
        <v>1009.2029328563605</v>
      </c>
      <c r="O11" s="40">
        <v>1569.5464415810886</v>
      </c>
      <c r="P11" s="39">
        <v>1008.0247293839849</v>
      </c>
      <c r="Q11" s="40">
        <v>1723.5766752286402</v>
      </c>
      <c r="R11" s="39">
        <v>1006.8052525992395</v>
      </c>
      <c r="S11" s="40">
        <v>1907.3085618540952</v>
      </c>
      <c r="T11" s="39">
        <v>1005.5368715545371</v>
      </c>
      <c r="U11" s="40">
        <v>2129.7014919639319</v>
      </c>
      <c r="V11" s="39">
        <v>1004.2174967453119</v>
      </c>
      <c r="W11" s="40">
        <v>2403.8178783789931</v>
      </c>
      <c r="X11" s="39">
        <v>1002.8575232994549</v>
      </c>
      <c r="Y11" s="40">
        <v>2749.5788673758138</v>
      </c>
      <c r="Z11" s="39">
        <v>1001.4930617802664</v>
      </c>
      <c r="AA11" s="40">
        <v>3199.0760326940626</v>
      </c>
      <c r="AB11" s="39">
        <v>1000.2110839181918</v>
      </c>
      <c r="AC11" s="40">
        <v>3807.5637313402149</v>
      </c>
      <c r="AD11" s="39">
        <v>999.19512450658362</v>
      </c>
      <c r="AE11" s="40">
        <v>4678.0566635579162</v>
      </c>
      <c r="AF11" s="39">
        <v>998.79521068070858</v>
      </c>
      <c r="AG11" s="40">
        <v>6021.0895293280155</v>
      </c>
      <c r="AH11" s="39">
        <v>999.56838256003778</v>
      </c>
      <c r="AI11" s="40">
        <v>8312.5946630081889</v>
      </c>
      <c r="AJ11" s="39">
        <v>1002.0631434905091</v>
      </c>
      <c r="AK11" s="40">
        <v>12764.516466243382</v>
      </c>
      <c r="AL11" s="39">
        <v>1006.2209038830129</v>
      </c>
      <c r="AM11" s="40">
        <v>23182.245875824425</v>
      </c>
      <c r="AN11" s="39">
        <v>1011.3711642319831</v>
      </c>
      <c r="AO11" s="40">
        <v>58595.407970889501</v>
      </c>
      <c r="AP11" s="39">
        <v>1012.5291072957959</v>
      </c>
      <c r="AQ11" s="40">
        <v>76438.536414488102</v>
      </c>
      <c r="AR11" s="39">
        <v>1013.8072778854299</v>
      </c>
      <c r="AS11" s="40">
        <v>104865.97651840023</v>
      </c>
      <c r="AT11" s="39">
        <v>1015.3520452135475</v>
      </c>
      <c r="AU11" s="40">
        <v>155197.46293999758</v>
      </c>
      <c r="AV11" s="39">
        <v>1017.6021401186111</v>
      </c>
      <c r="AW11" s="40">
        <v>261271.84399531019</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999.00712518999785</v>
      </c>
      <c r="E13" s="94">
        <v>999.00712518999785</v>
      </c>
      <c r="F13" s="93">
        <v>997.72132144181739</v>
      </c>
      <c r="G13" s="94">
        <v>997.72132144181739</v>
      </c>
      <c r="H13" s="93">
        <v>996.09884389716626</v>
      </c>
      <c r="I13" s="94">
        <v>996.09884389716626</v>
      </c>
      <c r="J13" s="93">
        <v>994.08670702151107</v>
      </c>
      <c r="K13" s="94">
        <v>994.08670702151107</v>
      </c>
      <c r="L13" s="93">
        <v>991.61984434627277</v>
      </c>
      <c r="M13" s="94">
        <v>991.61984434627277</v>
      </c>
      <c r="N13" s="93">
        <v>988.61745266379285</v>
      </c>
      <c r="O13" s="94">
        <v>988.61745266379285</v>
      </c>
      <c r="P13" s="93">
        <v>984.97716429658874</v>
      </c>
      <c r="Q13" s="94">
        <v>984.97716429658874</v>
      </c>
      <c r="R13" s="93">
        <v>980.56686897261591</v>
      </c>
      <c r="S13" s="94">
        <v>980.56686897261591</v>
      </c>
      <c r="T13" s="93">
        <v>975.21173351298978</v>
      </c>
      <c r="U13" s="94">
        <v>975.21173351298978</v>
      </c>
      <c r="V13" s="93">
        <v>968.67339018612142</v>
      </c>
      <c r="W13" s="94">
        <v>968.67339018612142</v>
      </c>
      <c r="X13" s="93">
        <v>960.61493118526357</v>
      </c>
      <c r="Y13" s="94">
        <v>960.61493118526357</v>
      </c>
      <c r="Z13" s="93">
        <v>950.53873167243535</v>
      </c>
      <c r="AA13" s="94">
        <v>950.53873167243535</v>
      </c>
      <c r="AB13" s="93">
        <v>937.67017327454539</v>
      </c>
      <c r="AC13" s="94">
        <v>937.67017327454539</v>
      </c>
      <c r="AD13" s="93">
        <v>920.72708192754203</v>
      </c>
      <c r="AE13" s="94">
        <v>920.72708192754203</v>
      </c>
      <c r="AF13" s="93">
        <v>897.44025701911255</v>
      </c>
      <c r="AG13" s="94">
        <v>897.44025701911255</v>
      </c>
      <c r="AH13" s="93">
        <v>863.51916422299894</v>
      </c>
      <c r="AI13" s="94">
        <v>863.51916422299894</v>
      </c>
      <c r="AJ13" s="93">
        <v>810.26827483142324</v>
      </c>
      <c r="AK13" s="94">
        <v>810.26827483142324</v>
      </c>
      <c r="AL13" s="93">
        <v>717.60424461785203</v>
      </c>
      <c r="AM13" s="94">
        <v>717.60424461785203</v>
      </c>
      <c r="AN13" s="93">
        <v>523.62272288980478</v>
      </c>
      <c r="AO13" s="94">
        <v>523.62272288980478</v>
      </c>
      <c r="AP13" s="93">
        <v>456.85476646504679</v>
      </c>
      <c r="AQ13" s="94">
        <v>456.85476646504679</v>
      </c>
      <c r="AR13" s="93">
        <v>372.23009684159229</v>
      </c>
      <c r="AS13" s="94">
        <v>372.23009684159229</v>
      </c>
      <c r="AT13" s="93">
        <v>262.65939881501487</v>
      </c>
      <c r="AU13" s="94">
        <v>262.65939881501487</v>
      </c>
      <c r="AV13" s="93">
        <v>121.95269452564507</v>
      </c>
      <c r="AW13" s="94">
        <v>121.95269452564507</v>
      </c>
    </row>
    <row r="14" spans="1:49" x14ac:dyDescent="0.2">
      <c r="A14" t="s">
        <v>36</v>
      </c>
      <c r="B14" s="39">
        <v>1457.0034251455234</v>
      </c>
      <c r="C14" s="40">
        <v>1457.0034251455236</v>
      </c>
      <c r="D14" s="39">
        <v>1455.5568031466094</v>
      </c>
      <c r="E14" s="40">
        <v>1455.5568031466096</v>
      </c>
      <c r="F14" s="39">
        <v>1453.6833826814457</v>
      </c>
      <c r="G14" s="40">
        <v>1453.6833826814459</v>
      </c>
      <c r="H14" s="39">
        <v>1451.3194273416671</v>
      </c>
      <c r="I14" s="40">
        <v>1451.3194273416673</v>
      </c>
      <c r="J14" s="39">
        <v>1448.3877370219759</v>
      </c>
      <c r="K14" s="40">
        <v>1448.3877370219761</v>
      </c>
      <c r="L14" s="39">
        <v>1444.7935096547901</v>
      </c>
      <c r="M14" s="40">
        <v>1444.7935096547903</v>
      </c>
      <c r="N14" s="39">
        <v>1440.4190146897884</v>
      </c>
      <c r="O14" s="40">
        <v>1440.4190146897886</v>
      </c>
      <c r="P14" s="39">
        <v>1435.1151020702546</v>
      </c>
      <c r="Q14" s="40">
        <v>1435.1151020702548</v>
      </c>
      <c r="R14" s="39">
        <v>1428.689286677323</v>
      </c>
      <c r="S14" s="40">
        <v>1428.689286677323</v>
      </c>
      <c r="T14" s="39">
        <v>1420.8868359705293</v>
      </c>
      <c r="U14" s="40">
        <v>1420.8868359705295</v>
      </c>
      <c r="V14" s="39">
        <v>1411.3604473485047</v>
      </c>
      <c r="W14" s="40">
        <v>1411.360447348505</v>
      </c>
      <c r="X14" s="39">
        <v>1399.6192449828602</v>
      </c>
      <c r="Y14" s="40">
        <v>1399.6192449828604</v>
      </c>
      <c r="Z14" s="39">
        <v>1384.9381877802198</v>
      </c>
      <c r="AA14" s="40">
        <v>1384.93818778022</v>
      </c>
      <c r="AB14" s="39">
        <v>1366.1886541178089</v>
      </c>
      <c r="AC14" s="40">
        <v>1366.1886541178092</v>
      </c>
      <c r="AD14" s="39">
        <v>1341.5025119926715</v>
      </c>
      <c r="AE14" s="40">
        <v>1341.5025119926718</v>
      </c>
      <c r="AF14" s="39">
        <v>1307.5735283403258</v>
      </c>
      <c r="AG14" s="40">
        <v>1307.573528340326</v>
      </c>
      <c r="AH14" s="39">
        <v>1258.1503799517091</v>
      </c>
      <c r="AI14" s="40">
        <v>1258.1503799517093</v>
      </c>
      <c r="AJ14" s="39">
        <v>1180.5636517161379</v>
      </c>
      <c r="AK14" s="40">
        <v>1180.5636517161381</v>
      </c>
      <c r="AL14" s="39">
        <v>1045.5518423071765</v>
      </c>
      <c r="AM14" s="40">
        <v>1045.5518423071765</v>
      </c>
      <c r="AN14" s="39">
        <v>762.92010073447079</v>
      </c>
      <c r="AO14" s="40">
        <v>762.92010073447091</v>
      </c>
      <c r="AP14" s="39">
        <v>665.63895953363135</v>
      </c>
      <c r="AQ14" s="40">
        <v>665.63895953363146</v>
      </c>
      <c r="AR14" s="39">
        <v>542.34052604044973</v>
      </c>
      <c r="AS14" s="40">
        <v>542.34052604044984</v>
      </c>
      <c r="AT14" s="39">
        <v>382.69564372014065</v>
      </c>
      <c r="AU14" s="40">
        <v>382.69564372014071</v>
      </c>
      <c r="AV14" s="39">
        <v>177.68549362959058</v>
      </c>
      <c r="AW14" s="40">
        <v>177.68549362959061</v>
      </c>
    </row>
    <row r="15" spans="1:49" x14ac:dyDescent="0.2">
      <c r="A15" t="s">
        <v>18</v>
      </c>
      <c r="B15" s="144">
        <v>1000</v>
      </c>
      <c r="C15" s="145">
        <v>1000</v>
      </c>
      <c r="D15" s="144">
        <v>992.93705775387753</v>
      </c>
      <c r="E15" s="145">
        <v>992.93705775387753</v>
      </c>
      <c r="F15" s="144">
        <v>985.67287505036211</v>
      </c>
      <c r="G15" s="145">
        <v>985.67287505036211</v>
      </c>
      <c r="H15" s="144">
        <v>978.16521989241562</v>
      </c>
      <c r="I15" s="145">
        <v>978.16521989241562</v>
      </c>
      <c r="J15" s="144">
        <v>970.36311367605595</v>
      </c>
      <c r="K15" s="145">
        <v>970.36311367605595</v>
      </c>
      <c r="L15" s="144">
        <v>962.20492789701768</v>
      </c>
      <c r="M15" s="145">
        <v>962.20492789701768</v>
      </c>
      <c r="N15" s="144">
        <v>953.61521113083677</v>
      </c>
      <c r="O15" s="145">
        <v>953.61521113083677</v>
      </c>
      <c r="P15" s="144">
        <v>944.50119117723557</v>
      </c>
      <c r="Q15" s="145">
        <v>944.50119117723557</v>
      </c>
      <c r="R15" s="144">
        <v>934.74689159467039</v>
      </c>
      <c r="S15" s="145">
        <v>934.74689159467039</v>
      </c>
      <c r="T15" s="144">
        <v>924.20449004367026</v>
      </c>
      <c r="U15" s="145">
        <v>924.20449004367026</v>
      </c>
      <c r="V15" s="144">
        <v>912.68029884515386</v>
      </c>
      <c r="W15" s="145">
        <v>912.68029884515386</v>
      </c>
      <c r="X15" s="144">
        <v>899.91041884912283</v>
      </c>
      <c r="Y15" s="145">
        <v>899.91041884912283</v>
      </c>
      <c r="Z15" s="144">
        <v>885.51596413609479</v>
      </c>
      <c r="AA15" s="145">
        <v>885.51596413609479</v>
      </c>
      <c r="AB15" s="144">
        <v>868.91436306024593</v>
      </c>
      <c r="AC15" s="145">
        <v>868.91436306024593</v>
      </c>
      <c r="AD15" s="144">
        <v>849.13088211484194</v>
      </c>
      <c r="AE15" s="145">
        <v>849.13088211484194</v>
      </c>
      <c r="AF15" s="144">
        <v>824.37098766266672</v>
      </c>
      <c r="AG15" s="145">
        <v>824.37098766266672</v>
      </c>
      <c r="AH15" s="144">
        <v>791.01128834815097</v>
      </c>
      <c r="AI15" s="145">
        <v>791.01128834815097</v>
      </c>
      <c r="AJ15" s="144">
        <v>741.18057485057773</v>
      </c>
      <c r="AK15" s="145">
        <v>741.18057485057773</v>
      </c>
      <c r="AL15" s="144">
        <v>656.13707622867184</v>
      </c>
      <c r="AM15" s="145">
        <v>656.13707622867184</v>
      </c>
      <c r="AN15" s="144">
        <v>478.74456161216534</v>
      </c>
      <c r="AO15" s="145">
        <v>478.74456161216534</v>
      </c>
      <c r="AP15" s="144">
        <v>417.69867944889518</v>
      </c>
      <c r="AQ15" s="145">
        <v>417.69867944889518</v>
      </c>
      <c r="AR15" s="144">
        <v>340.32689473704346</v>
      </c>
      <c r="AS15" s="145">
        <v>340.32689473704346</v>
      </c>
      <c r="AT15" s="144">
        <v>240.14728805106961</v>
      </c>
      <c r="AU15" s="145">
        <v>240.14728805106961</v>
      </c>
      <c r="AV15" s="144">
        <v>111.50032470189227</v>
      </c>
      <c r="AW15" s="145">
        <v>111.50032470189227</v>
      </c>
    </row>
    <row r="16" spans="1:49" s="27" customFormat="1" x14ac:dyDescent="0.2">
      <c r="A16" t="s">
        <v>61</v>
      </c>
      <c r="B16" s="39">
        <v>1000</v>
      </c>
      <c r="C16" s="40">
        <v>1000</v>
      </c>
      <c r="D16" s="39">
        <v>996.17197892918625</v>
      </c>
      <c r="E16" s="40">
        <v>994.66904660285843</v>
      </c>
      <c r="F16" s="39">
        <v>992.09113043093612</v>
      </c>
      <c r="G16" s="40">
        <v>989.10957407981641</v>
      </c>
      <c r="H16" s="39">
        <v>987.71450377874498</v>
      </c>
      <c r="I16" s="40">
        <v>983.2789535750594</v>
      </c>
      <c r="J16" s="39">
        <v>982.99013565828102</v>
      </c>
      <c r="K16" s="40">
        <v>977.12566762764118</v>
      </c>
      <c r="L16" s="39">
        <v>977.85464846306286</v>
      </c>
      <c r="M16" s="40">
        <v>970.58713983020345</v>
      </c>
      <c r="N16" s="39">
        <v>972.22982300273236</v>
      </c>
      <c r="O16" s="40">
        <v>963.58642544555937</v>
      </c>
      <c r="P16" s="39">
        <v>966.01786568792284</v>
      </c>
      <c r="Q16" s="40">
        <v>956.02805137737539</v>
      </c>
      <c r="R16" s="39">
        <v>959.09431575380256</v>
      </c>
      <c r="S16" s="40">
        <v>947.79148351456126</v>
      </c>
      <c r="T16" s="39">
        <v>951.2971148615112</v>
      </c>
      <c r="U16" s="40">
        <v>938.72125703604354</v>
      </c>
      <c r="V16" s="39">
        <v>942.40901044420104</v>
      </c>
      <c r="W16" s="40">
        <v>928.61103614867886</v>
      </c>
      <c r="X16" s="39">
        <v>932.12760022850125</v>
      </c>
      <c r="Y16" s="40">
        <v>917.1762568841873</v>
      </c>
      <c r="Z16" s="39">
        <v>920.0114027201538</v>
      </c>
      <c r="AA16" s="40">
        <v>904.00443239335516</v>
      </c>
      <c r="AB16" s="39">
        <v>905.37665192844145</v>
      </c>
      <c r="AC16" s="40">
        <v>888.45867100475891</v>
      </c>
      <c r="AD16" s="39">
        <v>887.08666786923754</v>
      </c>
      <c r="AE16" s="40">
        <v>869.47729844563071</v>
      </c>
      <c r="AF16" s="39">
        <v>863.09687027522227</v>
      </c>
      <c r="AG16" s="40">
        <v>845.13154736490321</v>
      </c>
      <c r="AH16" s="39">
        <v>829.43212883098647</v>
      </c>
      <c r="AI16" s="40">
        <v>811.60923826772057</v>
      </c>
      <c r="AJ16" s="39">
        <v>777.78546467893864</v>
      </c>
      <c r="AK16" s="40">
        <v>760.8054153081971</v>
      </c>
      <c r="AL16" s="39">
        <v>688.70338343229207</v>
      </c>
      <c r="AM16" s="40">
        <v>673.5968466543502</v>
      </c>
      <c r="AN16" s="39">
        <v>502.52164931382805</v>
      </c>
      <c r="AO16" s="40">
        <v>491.49218024680846</v>
      </c>
      <c r="AP16" s="39">
        <v>438.44412944346834</v>
      </c>
      <c r="AQ16" s="40">
        <v>428.82094523822695</v>
      </c>
      <c r="AR16" s="39">
        <v>357.2296630579412</v>
      </c>
      <c r="AS16" s="40">
        <v>349.38898222930771</v>
      </c>
      <c r="AT16" s="39">
        <v>252.0745230862623</v>
      </c>
      <c r="AU16" s="40">
        <v>246.5418410356956</v>
      </c>
      <c r="AV16" s="39">
        <v>117.03813822315668</v>
      </c>
      <c r="AW16" s="40">
        <v>114.46931473912817</v>
      </c>
    </row>
    <row r="17" spans="1:49" x14ac:dyDescent="0.2">
      <c r="A17" t="s">
        <v>62</v>
      </c>
      <c r="B17" s="33">
        <v>1000.0000000000002</v>
      </c>
      <c r="C17" s="34">
        <v>999.99999999999977</v>
      </c>
      <c r="D17" s="33">
        <v>999.00415512704137</v>
      </c>
      <c r="E17" s="34">
        <v>1032.0039090650746</v>
      </c>
      <c r="F17" s="33">
        <v>998.01538525493129</v>
      </c>
      <c r="G17" s="34">
        <v>1068.126229842308</v>
      </c>
      <c r="H17" s="33">
        <v>997.02899850184679</v>
      </c>
      <c r="I17" s="34">
        <v>1109.1278695812102</v>
      </c>
      <c r="J17" s="33">
        <v>996.03925682636748</v>
      </c>
      <c r="K17" s="34">
        <v>1155.9644871566545</v>
      </c>
      <c r="L17" s="33">
        <v>995.03927221206357</v>
      </c>
      <c r="M17" s="34">
        <v>1209.8529193706418</v>
      </c>
      <c r="N17" s="33">
        <v>994.02126104313777</v>
      </c>
      <c r="O17" s="34">
        <v>1272.3740715138706</v>
      </c>
      <c r="P17" s="33">
        <v>992.97673171471763</v>
      </c>
      <c r="Q17" s="34">
        <v>1345.6216399402317</v>
      </c>
      <c r="R17" s="33">
        <v>991.89734741331938</v>
      </c>
      <c r="S17" s="34">
        <v>1432.4415211388725</v>
      </c>
      <c r="T17" s="33">
        <v>990.77656667911526</v>
      </c>
      <c r="U17" s="34">
        <v>1536.8226960984539</v>
      </c>
      <c r="V17" s="33">
        <v>989.61277592692193</v>
      </c>
      <c r="W17" s="34">
        <v>1664.5659056135171</v>
      </c>
      <c r="X17" s="33">
        <v>988.41537523260672</v>
      </c>
      <c r="Y17" s="34">
        <v>1824.495233482962</v>
      </c>
      <c r="Z17" s="33">
        <v>987.21627655240547</v>
      </c>
      <c r="AA17" s="34">
        <v>2030.7863076813937</v>
      </c>
      <c r="AB17" s="33">
        <v>986.09173320408411</v>
      </c>
      <c r="AC17" s="34">
        <v>2307.7652393350354</v>
      </c>
      <c r="AD17" s="33">
        <v>985.20196819565422</v>
      </c>
      <c r="AE17" s="34">
        <v>2700.5918167909122</v>
      </c>
      <c r="AF17" s="33">
        <v>984.85207877533412</v>
      </c>
      <c r="AG17" s="34">
        <v>3301.0460234464117</v>
      </c>
      <c r="AH17" s="33">
        <v>985.52871511836395</v>
      </c>
      <c r="AI17" s="34">
        <v>4315.1445995091181</v>
      </c>
      <c r="AJ17" s="33">
        <v>987.71699026977831</v>
      </c>
      <c r="AK17" s="34">
        <v>6263.4912454989153</v>
      </c>
      <c r="AL17" s="33">
        <v>991.38075856789953</v>
      </c>
      <c r="AM17" s="34">
        <v>10771.302589973116</v>
      </c>
      <c r="AN17" s="33">
        <v>995.94778858142877</v>
      </c>
      <c r="AO17" s="34">
        <v>25945.761153571693</v>
      </c>
      <c r="AP17" s="33">
        <v>996.97891627642014</v>
      </c>
      <c r="AQ17" s="34">
        <v>33566.141030071318</v>
      </c>
      <c r="AR17" s="33">
        <v>998.11892584444854</v>
      </c>
      <c r="AS17" s="34">
        <v>45696.602068209497</v>
      </c>
      <c r="AT17" s="33">
        <v>999.49925323202012</v>
      </c>
      <c r="AU17" s="34">
        <v>67164.618834690089</v>
      </c>
      <c r="AV17" s="33">
        <v>1001.5147653689177</v>
      </c>
      <c r="AW17" s="34">
        <v>112419.21252591115</v>
      </c>
    </row>
    <row r="18" spans="1:49" x14ac:dyDescent="0.2">
      <c r="A18" t="s">
        <v>19</v>
      </c>
      <c r="B18" s="31">
        <v>27857.010133999996</v>
      </c>
      <c r="C18" s="32">
        <v>1236.7674480000003</v>
      </c>
      <c r="D18" s="31">
        <v>27870.139895721179</v>
      </c>
      <c r="E18" s="32">
        <v>1147.6372960618248</v>
      </c>
      <c r="F18" s="31">
        <v>27879.05013910812</v>
      </c>
      <c r="G18" s="32">
        <v>1059.2439884024668</v>
      </c>
      <c r="H18" s="31">
        <v>27883.184680569768</v>
      </c>
      <c r="I18" s="32">
        <v>971.59285481942266</v>
      </c>
      <c r="J18" s="31">
        <v>27881.869074175254</v>
      </c>
      <c r="K18" s="32">
        <v>884.68960429238007</v>
      </c>
      <c r="L18" s="31">
        <v>27874.268712697442</v>
      </c>
      <c r="M18" s="32">
        <v>798.54957689854666</v>
      </c>
      <c r="N18" s="31">
        <v>27859.329103187792</v>
      </c>
      <c r="O18" s="32">
        <v>713.20398216187903</v>
      </c>
      <c r="P18" s="31">
        <v>27835.6819966234</v>
      </c>
      <c r="Q18" s="32">
        <v>628.72405028644926</v>
      </c>
      <c r="R18" s="31">
        <v>27801.503822294861</v>
      </c>
      <c r="S18" s="32">
        <v>545.24682297066352</v>
      </c>
      <c r="T18" s="31">
        <v>27754.285732203414</v>
      </c>
      <c r="U18" s="32">
        <v>463.02218522913984</v>
      </c>
      <c r="V18" s="31">
        <v>27690.454668944112</v>
      </c>
      <c r="W18" s="32">
        <v>382.48497412495442</v>
      </c>
      <c r="X18" s="31">
        <v>27604.721808717273</v>
      </c>
      <c r="Y18" s="32">
        <v>304.36461632287228</v>
      </c>
      <c r="Z18" s="31">
        <v>27488.911722405857</v>
      </c>
      <c r="AA18" s="32">
        <v>229.85340449349525</v>
      </c>
      <c r="AB18" s="31">
        <v>27329.763934745424</v>
      </c>
      <c r="AC18" s="32">
        <v>160.84529682405335</v>
      </c>
      <c r="AD18" s="31">
        <v>27104.6198417212</v>
      </c>
      <c r="AE18" s="32">
        <v>100.21796002957832</v>
      </c>
      <c r="AF18" s="31">
        <v>26772.72581414965</v>
      </c>
      <c r="AG18" s="32">
        <v>51.902892795290491</v>
      </c>
      <c r="AH18" s="31">
        <v>26257.517352568855</v>
      </c>
      <c r="AI18" s="32">
        <v>19.84999811778307</v>
      </c>
      <c r="AJ18" s="31">
        <v>25407.155772026981</v>
      </c>
      <c r="AK18" s="32">
        <v>4.6197021814793402</v>
      </c>
      <c r="AL18" s="31">
        <v>23863.26179836928</v>
      </c>
      <c r="AM18" s="32">
        <v>0.47174779778079851</v>
      </c>
      <c r="AN18" s="31">
        <v>20334.136089855721</v>
      </c>
      <c r="AO18" s="32">
        <v>9.1894659519055621E-3</v>
      </c>
      <c r="AP18" s="31">
        <v>18983.000434691803</v>
      </c>
      <c r="AQ18" s="32">
        <v>2.7681777975554489E-3</v>
      </c>
      <c r="AR18" s="31">
        <v>17124.424279382642</v>
      </c>
      <c r="AS18" s="32">
        <v>6.3750011203343086E-4</v>
      </c>
      <c r="AT18" s="31">
        <v>14374.277561118493</v>
      </c>
      <c r="AU18" s="32">
        <v>9.6068111995573394E-5</v>
      </c>
      <c r="AV18" s="31">
        <v>9784.0495497259526</v>
      </c>
      <c r="AW18" s="32">
        <v>6.4586145570359206E-6</v>
      </c>
    </row>
    <row r="19" spans="1:49" x14ac:dyDescent="0.2">
      <c r="A19" t="s">
        <v>3</v>
      </c>
      <c r="B19" s="39">
        <v>1886.3937399999966</v>
      </c>
      <c r="C19" s="40">
        <v>262.78711299999759</v>
      </c>
      <c r="D19" s="39">
        <v>1881.8108269512013</v>
      </c>
      <c r="E19" s="40">
        <v>268.44765098462273</v>
      </c>
      <c r="F19" s="39">
        <v>1876.9746930464919</v>
      </c>
      <c r="G19" s="40">
        <v>275.0300121483823</v>
      </c>
      <c r="H19" s="39">
        <v>1871.8246890266191</v>
      </c>
      <c r="I19" s="40">
        <v>282.65147898384663</v>
      </c>
      <c r="J19" s="39">
        <v>1866.2867897234123</v>
      </c>
      <c r="K19" s="40">
        <v>291.44274482713837</v>
      </c>
      <c r="L19" s="39">
        <v>1860.2705970687771</v>
      </c>
      <c r="M19" s="40">
        <v>301.54413693189406</v>
      </c>
      <c r="N19" s="39">
        <v>1853.6665559896053</v>
      </c>
      <c r="O19" s="40">
        <v>313.10338061836882</v>
      </c>
      <c r="P19" s="39">
        <v>1846.3415419079668</v>
      </c>
      <c r="Q19" s="40">
        <v>326.26030644963947</v>
      </c>
      <c r="R19" s="39">
        <v>1838.1345702872597</v>
      </c>
      <c r="S19" s="40">
        <v>341.12446999422053</v>
      </c>
      <c r="T19" s="39">
        <v>1828.8513394780505</v>
      </c>
      <c r="U19" s="40">
        <v>357.73070051630771</v>
      </c>
      <c r="V19" s="39">
        <v>1818.2577197000028</v>
      </c>
      <c r="W19" s="40">
        <v>375.95408668657626</v>
      </c>
      <c r="X19" s="39">
        <v>1806.0717341773368</v>
      </c>
      <c r="Y19" s="40">
        <v>395.35346990529951</v>
      </c>
      <c r="Z19" s="39">
        <v>1791.9515705157178</v>
      </c>
      <c r="AA19" s="40">
        <v>414.8769080870639</v>
      </c>
      <c r="AB19" s="39">
        <v>1775.4716554611971</v>
      </c>
      <c r="AC19" s="40">
        <v>432.31459755121023</v>
      </c>
      <c r="AD19" s="39">
        <v>1756.0511568642462</v>
      </c>
      <c r="AE19" s="40">
        <v>443.32803986864934</v>
      </c>
      <c r="AF19" s="39">
        <v>1732.6855402107783</v>
      </c>
      <c r="AG19" s="40">
        <v>440.04102536438853</v>
      </c>
      <c r="AH19" s="39">
        <v>1702.874989303205</v>
      </c>
      <c r="AI19" s="40">
        <v>410.47906439577872</v>
      </c>
      <c r="AJ19" s="39">
        <v>1658.7716492134239</v>
      </c>
      <c r="AK19" s="40">
        <v>343.67568327463965</v>
      </c>
      <c r="AL19" s="39">
        <v>1575.3110044739024</v>
      </c>
      <c r="AM19" s="40">
        <v>242.21792446537157</v>
      </c>
      <c r="AN19" s="39">
        <v>1360.7081548239321</v>
      </c>
      <c r="AO19" s="40">
        <v>123.06396251999205</v>
      </c>
      <c r="AP19" s="39">
        <v>1274.159168280599</v>
      </c>
      <c r="AQ19" s="40">
        <v>98.529404070205587</v>
      </c>
      <c r="AR19" s="39">
        <v>1153.2625480702886</v>
      </c>
      <c r="AS19" s="40">
        <v>73.928965807010698</v>
      </c>
      <c r="AT19" s="39">
        <v>971.96431488978556</v>
      </c>
      <c r="AU19" s="40">
        <v>49.296018663008411</v>
      </c>
      <c r="AV19" s="39">
        <v>665.46677464010816</v>
      </c>
      <c r="AW19" s="40">
        <v>24.649914339446966</v>
      </c>
    </row>
    <row r="20" spans="1:49" x14ac:dyDescent="0.2">
      <c r="A20" t="s">
        <v>114</v>
      </c>
      <c r="B20" s="79">
        <v>26548.356269999993</v>
      </c>
      <c r="C20" s="80">
        <v>1408.5418709999938</v>
      </c>
      <c r="D20" s="79">
        <v>26542.002263343526</v>
      </c>
      <c r="E20" s="80">
        <v>1338.1147774499941</v>
      </c>
      <c r="F20" s="79">
        <v>26531.64625760106</v>
      </c>
      <c r="G20" s="80">
        <v>1267.6876838999945</v>
      </c>
      <c r="H20" s="79">
        <v>26516.678988204025</v>
      </c>
      <c r="I20" s="80">
        <v>1197.2605903499946</v>
      </c>
      <c r="J20" s="79">
        <v>26496.357968940418</v>
      </c>
      <c r="K20" s="80">
        <v>1126.8334967999951</v>
      </c>
      <c r="L20" s="79">
        <v>26469.766442370044</v>
      </c>
      <c r="M20" s="80">
        <v>1056.4064032499953</v>
      </c>
      <c r="N20" s="79">
        <v>26435.760349788648</v>
      </c>
      <c r="O20" s="80">
        <v>985.97930969999561</v>
      </c>
      <c r="P20" s="79">
        <v>26392.885139102767</v>
      </c>
      <c r="Q20" s="80">
        <v>915.55221614999596</v>
      </c>
      <c r="R20" s="79">
        <v>26339.259276754092</v>
      </c>
      <c r="S20" s="80">
        <v>845.12512259999642</v>
      </c>
      <c r="T20" s="79">
        <v>26272.391311870546</v>
      </c>
      <c r="U20" s="80">
        <v>774.69802904999653</v>
      </c>
      <c r="V20" s="79">
        <v>26188.888817381383</v>
      </c>
      <c r="W20" s="80">
        <v>704.27093549999688</v>
      </c>
      <c r="X20" s="79">
        <v>26083.971780756492</v>
      </c>
      <c r="Y20" s="80">
        <v>633.84384194999723</v>
      </c>
      <c r="Z20" s="79">
        <v>25950.610426166131</v>
      </c>
      <c r="AA20" s="80">
        <v>563.41674839999746</v>
      </c>
      <c r="AB20" s="79">
        <v>25777.904904612842</v>
      </c>
      <c r="AC20" s="80">
        <v>492.98965484999781</v>
      </c>
      <c r="AD20" s="79">
        <v>25547.814294407744</v>
      </c>
      <c r="AE20" s="80">
        <v>422.56256129999804</v>
      </c>
      <c r="AF20" s="79">
        <v>25228.071219028381</v>
      </c>
      <c r="AG20" s="80">
        <v>352.13546774999827</v>
      </c>
      <c r="AH20" s="79">
        <v>24755.684867974462</v>
      </c>
      <c r="AI20" s="80">
        <v>281.70837419999856</v>
      </c>
      <c r="AJ20" s="79">
        <v>23994.606167333812</v>
      </c>
      <c r="AK20" s="80">
        <v>211.28128064999879</v>
      </c>
      <c r="AL20" s="79">
        <v>22599.39618162343</v>
      </c>
      <c r="AM20" s="80">
        <v>140.85418709999902</v>
      </c>
      <c r="AN20" s="79">
        <v>19322.399320548899</v>
      </c>
      <c r="AO20" s="80">
        <v>70.427093549999285</v>
      </c>
      <c r="AP20" s="79">
        <v>18052.021814034299</v>
      </c>
      <c r="AQ20" s="80">
        <v>56.341674839999335</v>
      </c>
      <c r="AR20" s="79">
        <v>16298.009968570581</v>
      </c>
      <c r="AS20" s="80">
        <v>42.256256129999379</v>
      </c>
      <c r="AT20" s="79">
        <v>13694.122991694156</v>
      </c>
      <c r="AU20" s="80">
        <v>28.170837419999433</v>
      </c>
      <c r="AV20" s="79">
        <v>9334.4246271711636</v>
      </c>
      <c r="AW20" s="80">
        <v>14.08541870999948</v>
      </c>
    </row>
    <row r="21" spans="1:49" x14ac:dyDescent="0.2">
      <c r="A21" t="s">
        <v>76</v>
      </c>
      <c r="B21" s="79">
        <v>24661.96252999999</v>
      </c>
      <c r="C21" s="80">
        <v>1145.7547579999939</v>
      </c>
      <c r="D21" s="79">
        <v>24660.193874754968</v>
      </c>
      <c r="E21" s="80">
        <v>1069.8787305870339</v>
      </c>
      <c r="F21" s="79">
        <v>24654.681258971083</v>
      </c>
      <c r="G21" s="80">
        <v>993.56728863882017</v>
      </c>
      <c r="H21" s="79">
        <v>24644.876043973898</v>
      </c>
      <c r="I21" s="80">
        <v>916.81477335914076</v>
      </c>
      <c r="J21" s="79">
        <v>24630.109851734789</v>
      </c>
      <c r="K21" s="80">
        <v>839.62892150655853</v>
      </c>
      <c r="L21" s="79">
        <v>24609.556538831835</v>
      </c>
      <c r="M21" s="80">
        <v>762.04075731331488</v>
      </c>
      <c r="N21" s="79">
        <v>24582.181973330513</v>
      </c>
      <c r="O21" s="80">
        <v>684.11430304859857</v>
      </c>
      <c r="P21" s="79">
        <v>24546.665271309084</v>
      </c>
      <c r="Q21" s="80">
        <v>605.96892281761325</v>
      </c>
      <c r="R21" s="79">
        <v>24501.286586268216</v>
      </c>
      <c r="S21" s="80">
        <v>527.80765754415961</v>
      </c>
      <c r="T21" s="79">
        <v>24443.749553820107</v>
      </c>
      <c r="U21" s="80">
        <v>449.96206162519275</v>
      </c>
      <c r="V21" s="79">
        <v>24370.896527588389</v>
      </c>
      <c r="W21" s="80">
        <v>372.96235814568678</v>
      </c>
      <c r="X21" s="79">
        <v>24278.229477483073</v>
      </c>
      <c r="Y21" s="80">
        <v>297.64359166859447</v>
      </c>
      <c r="Z21" s="79">
        <v>24159.058697106851</v>
      </c>
      <c r="AA21" s="80">
        <v>225.30733673262981</v>
      </c>
      <c r="AB21" s="79">
        <v>24002.904197029064</v>
      </c>
      <c r="AC21" s="80">
        <v>157.95264084480624</v>
      </c>
      <c r="AD21" s="79">
        <v>23792.292240606082</v>
      </c>
      <c r="AE21" s="80">
        <v>98.545855754318055</v>
      </c>
      <c r="AF21" s="79">
        <v>23495.93345778521</v>
      </c>
      <c r="AG21" s="80">
        <v>51.080539311837093</v>
      </c>
      <c r="AH21" s="79">
        <v>23053.299936412626</v>
      </c>
      <c r="AI21" s="80">
        <v>19.544466775203198</v>
      </c>
      <c r="AJ21" s="79">
        <v>22336.175565211783</v>
      </c>
      <c r="AK21" s="80">
        <v>4.5494090669887113</v>
      </c>
      <c r="AL21" s="79">
        <v>21024.242469277528</v>
      </c>
      <c r="AM21" s="80">
        <v>0.46458898600314857</v>
      </c>
      <c r="AN21" s="79">
        <v>17961.720689012735</v>
      </c>
      <c r="AO21" s="80">
        <v>9.0500493274337512E-3</v>
      </c>
      <c r="AP21" s="79">
        <v>16777.87795358213</v>
      </c>
      <c r="AQ21" s="80">
        <v>2.7261805626093072E-3</v>
      </c>
      <c r="AR21" s="79">
        <v>15144.752769664019</v>
      </c>
      <c r="AS21" s="80">
        <v>6.2782829787487438E-4</v>
      </c>
      <c r="AT21" s="79">
        <v>12722.158994667656</v>
      </c>
      <c r="AU21" s="80">
        <v>9.4610632636428206E-5</v>
      </c>
      <c r="AV21" s="79">
        <v>8668.9598294502048</v>
      </c>
      <c r="AW21" s="80">
        <v>6.3606284307943574E-6</v>
      </c>
    </row>
    <row r="22" spans="1:49" x14ac:dyDescent="0.2">
      <c r="A22" t="s">
        <v>28</v>
      </c>
      <c r="B22" s="39">
        <v>6533.6044688320717</v>
      </c>
      <c r="C22" s="40">
        <v>379.90788307663411</v>
      </c>
      <c r="D22" s="39">
        <v>6502.5553893190699</v>
      </c>
      <c r="E22" s="40">
        <v>363.82032547368419</v>
      </c>
      <c r="F22" s="39">
        <v>6469.1270983212135</v>
      </c>
      <c r="G22" s="40">
        <v>347.4765587149983</v>
      </c>
      <c r="H22" s="39">
        <v>6432.9788144920522</v>
      </c>
      <c r="I22" s="40">
        <v>330.87590471582996</v>
      </c>
      <c r="J22" s="39">
        <v>6393.702492951913</v>
      </c>
      <c r="K22" s="40">
        <v>314.01814486798605</v>
      </c>
      <c r="L22" s="39">
        <v>6350.7984414319062</v>
      </c>
      <c r="M22" s="40">
        <v>296.90304766075849</v>
      </c>
      <c r="N22" s="39">
        <v>6303.6552358274685</v>
      </c>
      <c r="O22" s="40">
        <v>279.52881383843538</v>
      </c>
      <c r="P22" s="39">
        <v>6251.4980638873676</v>
      </c>
      <c r="Q22" s="40">
        <v>261.89064017577789</v>
      </c>
      <c r="R22" s="39">
        <v>6193.3285658207833</v>
      </c>
      <c r="S22" s="40">
        <v>243.97782674591753</v>
      </c>
      <c r="T22" s="39">
        <v>6127.8216192389145</v>
      </c>
      <c r="U22" s="40">
        <v>225.76946444090038</v>
      </c>
      <c r="V22" s="39">
        <v>6053.1554246054475</v>
      </c>
      <c r="W22" s="40">
        <v>207.22831148293113</v>
      </c>
      <c r="X22" s="39">
        <v>5966.7242112703061</v>
      </c>
      <c r="Y22" s="40">
        <v>188.29176539988501</v>
      </c>
      <c r="Z22" s="39">
        <v>5864.6215353916705</v>
      </c>
      <c r="AA22" s="40">
        <v>168.85951973491584</v>
      </c>
      <c r="AB22" s="39">
        <v>5740.6788306748904</v>
      </c>
      <c r="AC22" s="40">
        <v>148.77894288730823</v>
      </c>
      <c r="AD22" s="39">
        <v>5584.6008233698813</v>
      </c>
      <c r="AE22" s="40">
        <v>127.83640891347792</v>
      </c>
      <c r="AF22" s="39">
        <v>5378.3181824340218</v>
      </c>
      <c r="AG22" s="40">
        <v>105.7885929085827</v>
      </c>
      <c r="AH22" s="39">
        <v>5089.1012462504295</v>
      </c>
      <c r="AI22" s="40">
        <v>82.527400231746711</v>
      </c>
      <c r="AJ22" s="39">
        <v>4656.7879633894745</v>
      </c>
      <c r="AK22" s="40">
        <v>58.469910024282285</v>
      </c>
      <c r="AL22" s="39">
        <v>3960.1712272733625</v>
      </c>
      <c r="AM22" s="40">
        <v>34.845619494015644</v>
      </c>
      <c r="AN22" s="39">
        <v>2673.8188019754011</v>
      </c>
      <c r="AO22" s="40">
        <v>13.529186791401743</v>
      </c>
      <c r="AP22" s="39">
        <v>2272.6675975742855</v>
      </c>
      <c r="AQ22" s="40">
        <v>9.8108026932259929</v>
      </c>
      <c r="AR22" s="39">
        <v>1790.2834128806287</v>
      </c>
      <c r="AS22" s="40">
        <v>6.3977283627419288</v>
      </c>
      <c r="AT22" s="39">
        <v>1206.3291389025344</v>
      </c>
      <c r="AU22" s="40">
        <v>3.4104883150698435</v>
      </c>
      <c r="AV22" s="39">
        <v>522.51086848868442</v>
      </c>
      <c r="AW22" s="40">
        <v>1.0821764990993259</v>
      </c>
    </row>
    <row r="23" spans="1:49" x14ac:dyDescent="0.2">
      <c r="A23" t="s">
        <v>7</v>
      </c>
      <c r="B23" s="110">
        <v>3278.5018080150408</v>
      </c>
      <c r="C23" s="8">
        <v>0</v>
      </c>
      <c r="D23" s="110">
        <v>3283.4969142901678</v>
      </c>
      <c r="E23" s="8">
        <v>0</v>
      </c>
      <c r="F23" s="110">
        <v>3288.1311641092097</v>
      </c>
      <c r="G23" s="8">
        <v>0</v>
      </c>
      <c r="H23" s="110">
        <v>3292.3425669877274</v>
      </c>
      <c r="I23" s="8">
        <v>0</v>
      </c>
      <c r="J23" s="110">
        <v>3296.0543069492155</v>
      </c>
      <c r="K23" s="8">
        <v>0</v>
      </c>
      <c r="L23" s="110">
        <v>3299.1697980330418</v>
      </c>
      <c r="M23" s="8">
        <v>0</v>
      </c>
      <c r="N23" s="110">
        <v>3301.5678031621078</v>
      </c>
      <c r="O23" s="8">
        <v>0</v>
      </c>
      <c r="P23" s="110">
        <v>3303.0928707351882</v>
      </c>
      <c r="Q23" s="8">
        <v>0</v>
      </c>
      <c r="R23" s="110">
        <v>3303.544153143841</v>
      </c>
      <c r="S23" s="8">
        <v>0</v>
      </c>
      <c r="T23" s="110">
        <v>3302.6577226459667</v>
      </c>
      <c r="U23" s="8">
        <v>0</v>
      </c>
      <c r="V23" s="110">
        <v>3300.0796319692399</v>
      </c>
      <c r="W23" s="8">
        <v>0</v>
      </c>
      <c r="X23" s="110">
        <v>3295.3228960295505</v>
      </c>
      <c r="Y23" s="8">
        <v>0</v>
      </c>
      <c r="Z23" s="110">
        <v>3287.6928013499742</v>
      </c>
      <c r="AA23" s="8">
        <v>0</v>
      </c>
      <c r="AB23" s="110">
        <v>3276.14683435908</v>
      </c>
      <c r="AC23" s="8">
        <v>0</v>
      </c>
      <c r="AD23" s="110">
        <v>3258.9979926035039</v>
      </c>
      <c r="AE23" s="8">
        <v>0</v>
      </c>
      <c r="AF23" s="110">
        <v>3233.1965222833906</v>
      </c>
      <c r="AG23" s="8">
        <v>0</v>
      </c>
      <c r="AH23" s="110">
        <v>3192.334131326219</v>
      </c>
      <c r="AI23" s="8">
        <v>0</v>
      </c>
      <c r="AJ23" s="110">
        <v>3120.5907906593848</v>
      </c>
      <c r="AK23" s="8">
        <v>0</v>
      </c>
      <c r="AL23" s="110">
        <v>2972.5790727088547</v>
      </c>
      <c r="AM23" s="8">
        <v>0</v>
      </c>
      <c r="AN23" s="110">
        <v>2573.8689310664558</v>
      </c>
      <c r="AO23" s="8">
        <v>0</v>
      </c>
      <c r="AP23" s="110">
        <v>2408.4247428761387</v>
      </c>
      <c r="AQ23" s="8">
        <v>0</v>
      </c>
      <c r="AR23" s="110">
        <v>2174.4352130470156</v>
      </c>
      <c r="AS23" s="8">
        <v>0</v>
      </c>
      <c r="AT23" s="110">
        <v>1820.2514610047788</v>
      </c>
      <c r="AU23" s="8">
        <v>0</v>
      </c>
      <c r="AV23" s="110">
        <v>1223.4714793318897</v>
      </c>
      <c r="AW23" s="8">
        <v>0</v>
      </c>
    </row>
    <row r="24" spans="1:49" x14ac:dyDescent="0.2">
      <c r="A24" t="s">
        <v>8</v>
      </c>
      <c r="B24" s="93">
        <v>3196.3846373657216</v>
      </c>
      <c r="C24" s="8">
        <v>0</v>
      </c>
      <c r="D24" s="93">
        <v>3234.885272521255</v>
      </c>
      <c r="E24" s="8">
        <v>0</v>
      </c>
      <c r="F24" s="93">
        <v>3274.0354590155298</v>
      </c>
      <c r="G24" s="8">
        <v>0</v>
      </c>
      <c r="H24" s="93">
        <v>3313.9112879475292</v>
      </c>
      <c r="I24" s="8">
        <v>0</v>
      </c>
      <c r="J24" s="93">
        <v>3354.598382931606</v>
      </c>
      <c r="K24" s="8">
        <v>0</v>
      </c>
      <c r="L24" s="93">
        <v>3396.1953778378497</v>
      </c>
      <c r="M24" s="8">
        <v>0</v>
      </c>
      <c r="N24" s="93">
        <v>3438.8190098010068</v>
      </c>
      <c r="O24" s="8">
        <v>0</v>
      </c>
      <c r="P24" s="93">
        <v>3482.6148360206571</v>
      </c>
      <c r="Q24" s="8">
        <v>0</v>
      </c>
      <c r="R24" s="93">
        <v>3527.7748285256494</v>
      </c>
      <c r="S24" s="8">
        <v>0</v>
      </c>
      <c r="T24" s="93">
        <v>3574.5710237647995</v>
      </c>
      <c r="U24" s="8">
        <v>0</v>
      </c>
      <c r="V24" s="93">
        <v>3623.4170876945686</v>
      </c>
      <c r="W24" s="8">
        <v>0</v>
      </c>
      <c r="X24" s="93">
        <v>3674.9847199086298</v>
      </c>
      <c r="Y24" s="8">
        <v>0</v>
      </c>
      <c r="Z24" s="93">
        <v>3730.4260143390702</v>
      </c>
      <c r="AA24" s="8">
        <v>0</v>
      </c>
      <c r="AB24" s="93">
        <v>3791.8011783847023</v>
      </c>
      <c r="AC24" s="8">
        <v>0</v>
      </c>
      <c r="AD24" s="93">
        <v>3862.8752959240655</v>
      </c>
      <c r="AE24" s="8">
        <v>0</v>
      </c>
      <c r="AF24" s="93">
        <v>3950.4006997711517</v>
      </c>
      <c r="AG24" s="8">
        <v>0</v>
      </c>
      <c r="AH24" s="93">
        <v>4065.0756514492086</v>
      </c>
      <c r="AI24" s="8">
        <v>0</v>
      </c>
      <c r="AJ24" s="93">
        <v>4217.7469481480957</v>
      </c>
      <c r="AK24" s="8">
        <v>0</v>
      </c>
      <c r="AL24" s="93">
        <v>4400.1099505769289</v>
      </c>
      <c r="AM24" s="8">
        <v>0</v>
      </c>
      <c r="AN24" s="93">
        <v>4476.3938189383434</v>
      </c>
      <c r="AO24" s="8">
        <v>0</v>
      </c>
      <c r="AP24" s="93">
        <v>4410.748403286867</v>
      </c>
      <c r="AQ24" s="8">
        <v>0</v>
      </c>
      <c r="AR24" s="93">
        <v>4250.7280271056488</v>
      </c>
      <c r="AS24" s="8">
        <v>0</v>
      </c>
      <c r="AT24" s="93">
        <v>3883.3682350770255</v>
      </c>
      <c r="AU24" s="8">
        <v>0</v>
      </c>
      <c r="AV24" s="93">
        <v>2971.0344836313211</v>
      </c>
      <c r="AW24" s="8">
        <v>0</v>
      </c>
    </row>
    <row r="25" spans="1:49" x14ac:dyDescent="0.2">
      <c r="A25" t="s">
        <v>0</v>
      </c>
      <c r="B25" s="39">
        <v>3195.0476040000012</v>
      </c>
      <c r="C25" s="40">
        <v>91.012690000004255</v>
      </c>
      <c r="D25" s="39">
        <v>3209.938115144897</v>
      </c>
      <c r="E25" s="40">
        <v>77.68410375099262</v>
      </c>
      <c r="F25" s="39">
        <v>3224.3373053535925</v>
      </c>
      <c r="G25" s="40">
        <v>65.393884354401393</v>
      </c>
      <c r="H25" s="39">
        <v>3238.2374978297348</v>
      </c>
      <c r="I25" s="40">
        <v>54.179448833780782</v>
      </c>
      <c r="J25" s="39">
        <v>3251.6321430952839</v>
      </c>
      <c r="K25" s="40">
        <v>44.070105553346075</v>
      </c>
      <c r="L25" s="39">
        <v>3264.5118208797585</v>
      </c>
      <c r="M25" s="40">
        <v>35.085535886899351</v>
      </c>
      <c r="N25" s="39">
        <v>3276.8546993895234</v>
      </c>
      <c r="O25" s="40">
        <v>27.232787493872706</v>
      </c>
      <c r="P25" s="39">
        <v>3288.6112971476828</v>
      </c>
      <c r="Q25" s="40">
        <v>20.504967307652642</v>
      </c>
      <c r="R25" s="39">
        <v>3299.6751805982876</v>
      </c>
      <c r="S25" s="40">
        <v>14.878569211607466</v>
      </c>
      <c r="T25" s="39">
        <v>3309.8307940432674</v>
      </c>
      <c r="U25" s="40">
        <v>10.311414027001749</v>
      </c>
      <c r="V25" s="39">
        <v>3318.6600148031193</v>
      </c>
      <c r="W25" s="40">
        <v>6.740899197659707</v>
      </c>
      <c r="X25" s="39">
        <v>3325.3714985537281</v>
      </c>
      <c r="Y25" s="40">
        <v>4.0825367052678478</v>
      </c>
      <c r="Z25" s="39">
        <v>3328.4850922058522</v>
      </c>
      <c r="AA25" s="40">
        <v>2.2292265417923365</v>
      </c>
      <c r="AB25" s="39">
        <v>3325.2401372360018</v>
      </c>
      <c r="AC25" s="40">
        <v>1.0514210218356197</v>
      </c>
      <c r="AD25" s="39">
        <v>3310.5004824191924</v>
      </c>
      <c r="AE25" s="40">
        <v>0.39909305045910948</v>
      </c>
      <c r="AF25" s="39">
        <v>3274.8976690186264</v>
      </c>
      <c r="AG25" s="40">
        <v>0.10802905751061059</v>
      </c>
      <c r="AH25" s="39">
        <v>3202.5276937526182</v>
      </c>
      <c r="AI25" s="40">
        <v>1.6954276776510735E-2</v>
      </c>
      <c r="AJ25" s="39">
        <v>3069.8161123780519</v>
      </c>
      <c r="AK25" s="40">
        <v>1.0971951890247304E-3</v>
      </c>
      <c r="AL25" s="39">
        <v>2838.4913927237289</v>
      </c>
      <c r="AM25" s="40">
        <v>1.6235069599883853E-5</v>
      </c>
      <c r="AN25" s="39">
        <v>2372.3183410632191</v>
      </c>
      <c r="AO25" s="40">
        <v>1.2125333571577831E-8</v>
      </c>
      <c r="AP25" s="39">
        <v>2205.0723888063799</v>
      </c>
      <c r="AQ25" s="40">
        <v>1.3742512271026309E-9</v>
      </c>
      <c r="AR25" s="39">
        <v>1979.6540948826789</v>
      </c>
      <c r="AS25" s="40">
        <v>9.7138170432547234E-11</v>
      </c>
      <c r="AT25" s="39">
        <v>1652.1175379850538</v>
      </c>
      <c r="AU25" s="40">
        <v>3.3081923785335011E-12</v>
      </c>
      <c r="AV25" s="39">
        <v>1115.0833810504091</v>
      </c>
      <c r="AW25" s="40">
        <v>2.9902491738289655E-14</v>
      </c>
    </row>
    <row r="26" spans="1:49" x14ac:dyDescent="0.2">
      <c r="A26" t="s">
        <v>27</v>
      </c>
      <c r="B26" s="31">
        <v>5036.2953101960647</v>
      </c>
      <c r="C26" s="32">
        <v>74.905331803938267</v>
      </c>
      <c r="D26" s="31">
        <v>5041.3559958001661</v>
      </c>
      <c r="E26" s="32">
        <v>69.844646199840554</v>
      </c>
      <c r="F26" s="31">
        <v>5046.3884839598213</v>
      </c>
      <c r="G26" s="32">
        <v>64.81215804018268</v>
      </c>
      <c r="H26" s="31">
        <v>5051.3955205897309</v>
      </c>
      <c r="I26" s="32">
        <v>59.805121410273607</v>
      </c>
      <c r="J26" s="31">
        <v>5056.3804799650588</v>
      </c>
      <c r="K26" s="32">
        <v>54.82016203494674</v>
      </c>
      <c r="L26" s="31">
        <v>5061.3469847438237</v>
      </c>
      <c r="M26" s="32">
        <v>49.853657256180654</v>
      </c>
      <c r="N26" s="31">
        <v>5066.2986534772608</v>
      </c>
      <c r="O26" s="32">
        <v>44.90198852274402</v>
      </c>
      <c r="P26" s="31">
        <v>5071.2378988348009</v>
      </c>
      <c r="Q26" s="32">
        <v>39.962743165200472</v>
      </c>
      <c r="R26" s="31">
        <v>5076.1644987830305</v>
      </c>
      <c r="S26" s="32">
        <v>35.036143216972434</v>
      </c>
      <c r="T26" s="31">
        <v>5081.0728957523779</v>
      </c>
      <c r="U26" s="32">
        <v>30.127746247627698</v>
      </c>
      <c r="V26" s="31">
        <v>5085.9477483292912</v>
      </c>
      <c r="W26" s="32">
        <v>25.25289367071133</v>
      </c>
      <c r="X26" s="31">
        <v>5090.7567421622671</v>
      </c>
      <c r="Y26" s="32">
        <v>20.443899837736176</v>
      </c>
      <c r="Z26" s="31">
        <v>5095.4388236422074</v>
      </c>
      <c r="AA26" s="32">
        <v>15.761818357797654</v>
      </c>
      <c r="AB26" s="31">
        <v>5099.8859140699442</v>
      </c>
      <c r="AC26" s="32">
        <v>11.314727930059709</v>
      </c>
      <c r="AD26" s="31">
        <v>5103.917582170764</v>
      </c>
      <c r="AE26" s="32">
        <v>7.2830598292366648</v>
      </c>
      <c r="AF26" s="31">
        <v>5107.2615288903116</v>
      </c>
      <c r="AG26" s="32">
        <v>3.9391131096888485</v>
      </c>
      <c r="AH26" s="31">
        <v>5109.5994313769961</v>
      </c>
      <c r="AI26" s="32">
        <v>1.60121062300789</v>
      </c>
      <c r="AJ26" s="31">
        <v>5110.7925947877911</v>
      </c>
      <c r="AK26" s="32">
        <v>0.4080472122133571</v>
      </c>
      <c r="AL26" s="31">
        <v>5111.1524620756036</v>
      </c>
      <c r="AM26" s="32">
        <v>4.8179924398757734E-2</v>
      </c>
      <c r="AN26" s="31">
        <v>5111.1994048715624</v>
      </c>
      <c r="AO26" s="32">
        <v>1.2371284434400116E-3</v>
      </c>
      <c r="AP26" s="31">
        <v>5111.2002326530419</v>
      </c>
      <c r="AQ26" s="32">
        <v>4.093469626663146E-4</v>
      </c>
      <c r="AR26" s="31">
        <v>5111.2005353144805</v>
      </c>
      <c r="AS26" s="32">
        <v>1.0668552363570934E-4</v>
      </c>
      <c r="AT26" s="31">
        <v>5111.2006227757438</v>
      </c>
      <c r="AU26" s="32">
        <v>1.9224257182291879E-5</v>
      </c>
      <c r="AV26" s="31">
        <v>5111.2006402274892</v>
      </c>
      <c r="AW26" s="32">
        <v>1.7725208674918273E-6</v>
      </c>
    </row>
    <row r="27" spans="1:49" x14ac:dyDescent="0.2">
      <c r="A27" t="s">
        <v>2</v>
      </c>
      <c r="B27" s="33">
        <v>6425.1981590000414</v>
      </c>
      <c r="C27" s="34">
        <v>273.22915400000028</v>
      </c>
      <c r="D27" s="33">
        <v>6443.4248065661404</v>
      </c>
      <c r="E27" s="34">
        <v>255.0025069133022</v>
      </c>
      <c r="F27" s="33">
        <v>6461.5833913274409</v>
      </c>
      <c r="G27" s="34">
        <v>236.84392219926036</v>
      </c>
      <c r="H27" s="33">
        <v>6479.6832895151965</v>
      </c>
      <c r="I27" s="34">
        <v>218.74402408745757</v>
      </c>
      <c r="J27" s="33">
        <v>6497.7362756953144</v>
      </c>
      <c r="K27" s="34">
        <v>200.69106990153642</v>
      </c>
      <c r="L27" s="33">
        <v>6515.7549121370548</v>
      </c>
      <c r="M27" s="34">
        <v>182.67240124591669</v>
      </c>
      <c r="N27" s="33">
        <v>6533.7521651596153</v>
      </c>
      <c r="O27" s="34">
        <v>164.67514802527546</v>
      </c>
      <c r="P27" s="33">
        <v>6551.7364404226491</v>
      </c>
      <c r="Q27" s="34">
        <v>146.6908802897442</v>
      </c>
      <c r="R27" s="33">
        <v>6569.7067084927585</v>
      </c>
      <c r="S27" s="34">
        <v>128.72060523303313</v>
      </c>
      <c r="T27" s="33">
        <v>6587.6424183605213</v>
      </c>
      <c r="U27" s="34">
        <v>110.78489745191445</v>
      </c>
      <c r="V27" s="33">
        <v>6605.4869788165079</v>
      </c>
      <c r="W27" s="34">
        <v>92.940336649018604</v>
      </c>
      <c r="X27" s="33">
        <v>6623.1211568356111</v>
      </c>
      <c r="Y27" s="34">
        <v>75.30616146598895</v>
      </c>
      <c r="Z27" s="33">
        <v>6640.319219877053</v>
      </c>
      <c r="AA27" s="34">
        <v>58.108102556028605</v>
      </c>
      <c r="AB27" s="33">
        <v>6656.6808808983833</v>
      </c>
      <c r="AC27" s="34">
        <v>41.746438549865047</v>
      </c>
      <c r="AD27" s="33">
        <v>6671.5366442430341</v>
      </c>
      <c r="AE27" s="34">
        <v>26.890667725671733</v>
      </c>
      <c r="AF27" s="33">
        <v>6683.8745595476094</v>
      </c>
      <c r="AG27" s="34">
        <v>14.55275651376045</v>
      </c>
      <c r="AH27" s="33">
        <v>6692.5092965728654</v>
      </c>
      <c r="AI27" s="34">
        <v>5.9180160761097254</v>
      </c>
      <c r="AJ27" s="33">
        <v>6696.9188649055923</v>
      </c>
      <c r="AK27" s="34">
        <v>1.5084484226818902</v>
      </c>
      <c r="AL27" s="33">
        <v>6698.249192357428</v>
      </c>
      <c r="AM27" s="34">
        <v>0.17812051340414212</v>
      </c>
      <c r="AN27" s="33">
        <v>6698.4227393219735</v>
      </c>
      <c r="AO27" s="34">
        <v>4.5736855695040438E-3</v>
      </c>
      <c r="AP27" s="33">
        <v>6698.4257996526403</v>
      </c>
      <c r="AQ27" s="34">
        <v>1.5133632533790064E-3</v>
      </c>
      <c r="AR27" s="33">
        <v>6698.4269185983276</v>
      </c>
      <c r="AS27" s="34">
        <v>3.9441838156100805E-4</v>
      </c>
      <c r="AT27" s="33">
        <v>6698.4272419284016</v>
      </c>
      <c r="AU27" s="34">
        <v>7.1072435112323531E-5</v>
      </c>
      <c r="AV27" s="33">
        <v>6698.4273064001054</v>
      </c>
      <c r="AW27" s="34">
        <v>6.5530428732220596E-6</v>
      </c>
    </row>
    <row r="28" spans="1:49" x14ac:dyDescent="0.2">
      <c r="A28" t="s">
        <v>35</v>
      </c>
      <c r="B28" s="39">
        <v>13763.097676000029</v>
      </c>
      <c r="C28" s="40">
        <v>382.36647899999997</v>
      </c>
      <c r="D28" s="39">
        <v>13788.678638770047</v>
      </c>
      <c r="E28" s="40">
        <v>356.76619282529026</v>
      </c>
      <c r="F28" s="39">
        <v>13814.11257538248</v>
      </c>
      <c r="G28" s="40">
        <v>331.27470955903397</v>
      </c>
      <c r="H28" s="39">
        <v>13839.413344870587</v>
      </c>
      <c r="I28" s="40">
        <v>305.87874365748502</v>
      </c>
      <c r="J28" s="39">
        <v>13864.59801861423</v>
      </c>
      <c r="K28" s="40">
        <v>280.56172405734981</v>
      </c>
      <c r="L28" s="39">
        <v>13889.684710548958</v>
      </c>
      <c r="M28" s="40">
        <v>255.30579887512431</v>
      </c>
      <c r="N28" s="39">
        <v>13914.69182122392</v>
      </c>
      <c r="O28" s="40">
        <v>230.09290944076918</v>
      </c>
      <c r="P28" s="39">
        <v>13939.631393612708</v>
      </c>
      <c r="Q28" s="40">
        <v>204.91119181090295</v>
      </c>
      <c r="R28" s="39">
        <v>13964.502282306894</v>
      </c>
      <c r="S28" s="40">
        <v>179.76205848011571</v>
      </c>
      <c r="T28" s="39">
        <v>13989.27641449116</v>
      </c>
      <c r="U28" s="40">
        <v>154.67426204514857</v>
      </c>
      <c r="V28" s="39">
        <v>14013.876324198285</v>
      </c>
      <c r="W28" s="40">
        <v>129.72681224854347</v>
      </c>
      <c r="X28" s="39">
        <v>14038.139026341654</v>
      </c>
      <c r="Y28" s="40">
        <v>105.08609911542526</v>
      </c>
      <c r="Z28" s="39">
        <v>14061.756678371932</v>
      </c>
      <c r="AA28" s="40">
        <v>81.066855410285683</v>
      </c>
      <c r="AB28" s="39">
        <v>14084.184602729334</v>
      </c>
      <c r="AC28" s="40">
        <v>58.226831110173393</v>
      </c>
      <c r="AD28" s="39">
        <v>14104.513692377352</v>
      </c>
      <c r="AE28" s="40">
        <v>37.49832171670635</v>
      </c>
      <c r="AF28" s="39">
        <v>14121.372315554247</v>
      </c>
      <c r="AG28" s="40">
        <v>20.289800258072937</v>
      </c>
      <c r="AH28" s="39">
        <v>14133.157445292594</v>
      </c>
      <c r="AI28" s="40">
        <v>8.2500062331032069</v>
      </c>
      <c r="AJ28" s="39">
        <v>14139.171586890467</v>
      </c>
      <c r="AK28" s="40">
        <v>2.1027168626700199</v>
      </c>
      <c r="AL28" s="39">
        <v>14140.985434722999</v>
      </c>
      <c r="AM28" s="40">
        <v>0.24828810055954409</v>
      </c>
      <c r="AN28" s="39">
        <v>14141.222039630617</v>
      </c>
      <c r="AO28" s="40">
        <v>6.3753959382251433E-3</v>
      </c>
      <c r="AP28" s="39">
        <v>14141.226211883773</v>
      </c>
      <c r="AQ28" s="40">
        <v>2.1095217685273477E-3</v>
      </c>
      <c r="AR28" s="39">
        <v>14141.227737381118</v>
      </c>
      <c r="AS28" s="40">
        <v>5.4979142389520973E-4</v>
      </c>
      <c r="AT28" s="39">
        <v>14141.228178194746</v>
      </c>
      <c r="AU28" s="40">
        <v>9.9069966875495435E-5</v>
      </c>
      <c r="AV28" s="39">
        <v>14141.228266110873</v>
      </c>
      <c r="AW28" s="40">
        <v>9.1344798895732606E-6</v>
      </c>
    </row>
    <row r="29" spans="1:49" x14ac:dyDescent="0.2">
      <c r="A29" t="s">
        <v>53</v>
      </c>
      <c r="B29" s="33">
        <v>14362.768558000025</v>
      </c>
      <c r="C29" s="34">
        <v>817.26650999999993</v>
      </c>
      <c r="D29" s="33">
        <v>14369.052568830088</v>
      </c>
      <c r="E29" s="34">
        <v>755.55641967341296</v>
      </c>
      <c r="F29" s="33">
        <v>14373.155575445779</v>
      </c>
      <c r="G29" s="34">
        <v>694.588564781728</v>
      </c>
      <c r="H29" s="33">
        <v>14374.788764776098</v>
      </c>
      <c r="I29" s="34">
        <v>634.39093692762867</v>
      </c>
      <c r="J29" s="33">
        <v>14373.601653003239</v>
      </c>
      <c r="K29" s="34">
        <v>574.99463810770771</v>
      </c>
      <c r="L29" s="33">
        <v>14369.160613904449</v>
      </c>
      <c r="M29" s="34">
        <v>516.44022190417195</v>
      </c>
      <c r="N29" s="33">
        <v>14360.917755716349</v>
      </c>
      <c r="O29" s="34">
        <v>458.78170616766835</v>
      </c>
      <c r="P29" s="33">
        <v>14348.163052836122</v>
      </c>
      <c r="Q29" s="34">
        <v>402.10223615207491</v>
      </c>
      <c r="R29" s="33">
        <v>14329.951671098272</v>
      </c>
      <c r="S29" s="34">
        <v>346.53004795260176</v>
      </c>
      <c r="T29" s="33">
        <v>14304.986371208546</v>
      </c>
      <c r="U29" s="34">
        <v>292.26725806488201</v>
      </c>
      <c r="V29" s="33">
        <v>14271.424320670438</v>
      </c>
      <c r="W29" s="34">
        <v>239.63312354174485</v>
      </c>
      <c r="X29" s="33">
        <v>14226.545164749632</v>
      </c>
      <c r="Y29" s="34">
        <v>189.12836991341945</v>
      </c>
      <c r="Z29" s="33">
        <v>14166.155362241587</v>
      </c>
      <c r="AA29" s="34">
        <v>141.53172541617434</v>
      </c>
      <c r="AB29" s="33">
        <v>14083.469751898414</v>
      </c>
      <c r="AC29" s="34">
        <v>98.03213173552777</v>
      </c>
      <c r="AD29" s="33">
        <v>13966.914601841921</v>
      </c>
      <c r="AE29" s="34">
        <v>60.373387803406899</v>
      </c>
      <c r="AF29" s="33">
        <v>13795.680941457516</v>
      </c>
      <c r="AG29" s="34">
        <v>30.848201287869532</v>
      </c>
      <c r="AH29" s="33">
        <v>13530.596812586191</v>
      </c>
      <c r="AI29" s="34">
        <v>11.612509294880605</v>
      </c>
      <c r="AJ29" s="33">
        <v>13093.615525388519</v>
      </c>
      <c r="AK29" s="34">
        <v>2.6532548604859274</v>
      </c>
      <c r="AL29" s="33">
        <v>12299.784735401636</v>
      </c>
      <c r="AM29" s="34">
        <v>0.26538278763156614</v>
      </c>
      <c r="AN29" s="33">
        <v>10482.575863299089</v>
      </c>
      <c r="AO29" s="34">
        <v>5.0553776191167151E-3</v>
      </c>
      <c r="AP29" s="33">
        <v>9786.4049521360412</v>
      </c>
      <c r="AQ29" s="34">
        <v>1.5158685611421135E-3</v>
      </c>
      <c r="AR29" s="33">
        <v>8828.5971096155936</v>
      </c>
      <c r="AS29" s="34">
        <v>3.4748669175696089E-4</v>
      </c>
      <c r="AT29" s="33">
        <v>7411.0943167236137</v>
      </c>
      <c r="AU29" s="34">
        <v>5.2121082707612729E-5</v>
      </c>
      <c r="AV29" s="33">
        <v>5044.8020163729898</v>
      </c>
      <c r="AW29" s="34">
        <v>3.4876255521660394E-6</v>
      </c>
    </row>
    <row r="30" spans="1:49" x14ac:dyDescent="0.2">
      <c r="A30" t="s">
        <v>48</v>
      </c>
      <c r="B30" s="112">
        <v>2924829.9599999995</v>
      </c>
      <c r="D30" s="112">
        <v>2983492.231902075</v>
      </c>
      <c r="F30" s="112">
        <v>3043424.1675376939</v>
      </c>
      <c r="H30" s="112">
        <v>3104783.8454733826</v>
      </c>
      <c r="J30" s="112">
        <v>3167752.1002586065</v>
      </c>
      <c r="L30" s="112">
        <v>3232536.0248623295</v>
      </c>
      <c r="N30" s="112">
        <v>3299392.0665001357</v>
      </c>
      <c r="P30" s="112">
        <v>3368640.4287689086</v>
      </c>
      <c r="R30" s="112">
        <v>3440711.1626814534</v>
      </c>
      <c r="T30" s="112">
        <v>3516219.9996375465</v>
      </c>
      <c r="V30" s="112">
        <v>3596102.7082630731</v>
      </c>
      <c r="X30" s="112">
        <v>3681871.5065677562</v>
      </c>
      <c r="Z30" s="112">
        <v>3776096.9916880033</v>
      </c>
      <c r="AB30" s="112">
        <v>3883341.1362160454</v>
      </c>
      <c r="AD30" s="112">
        <v>4011930.96845</v>
      </c>
      <c r="AF30" s="112">
        <v>4177036.3379648738</v>
      </c>
      <c r="AH30" s="112">
        <v>4404238.1529822387</v>
      </c>
      <c r="AJ30" s="112">
        <v>4727395.4437357588</v>
      </c>
      <c r="AL30" s="112">
        <v>5169217.294604646</v>
      </c>
      <c r="AN30" s="112">
        <v>5632773.6787991058</v>
      </c>
      <c r="AP30" s="112">
        <v>5655059.9887267472</v>
      </c>
      <c r="AR30" s="112">
        <v>5570048.5442661494</v>
      </c>
      <c r="AT30" s="112">
        <v>5225072.9789678771</v>
      </c>
      <c r="AV30" s="112">
        <v>4137553.8532637469</v>
      </c>
    </row>
    <row r="31" spans="1:49" x14ac:dyDescent="0.2">
      <c r="A31" t="s">
        <v>47</v>
      </c>
      <c r="B31" s="77">
        <v>1</v>
      </c>
      <c r="D31" s="77">
        <v>0.99313853018652332</v>
      </c>
      <c r="F31" s="77">
        <v>0.98575786979873314</v>
      </c>
      <c r="H31" s="77">
        <v>0.97778783561644322</v>
      </c>
      <c r="J31" s="77">
        <v>0.96914497682383649</v>
      </c>
      <c r="L31" s="77">
        <v>0.95972815759580854</v>
      </c>
      <c r="N31" s="77">
        <v>0.94941422606492154</v>
      </c>
      <c r="P31" s="77">
        <v>0.93804869803672342</v>
      </c>
      <c r="R31" s="77">
        <v>0.9254341338198826</v>
      </c>
      <c r="T31" s="77">
        <v>0.91131072167908667</v>
      </c>
      <c r="V31" s="77">
        <v>0.89532467005587324</v>
      </c>
      <c r="X31" s="77">
        <v>0.87697517212698528</v>
      </c>
      <c r="Z31" s="77">
        <v>0.85552070278418013</v>
      </c>
      <c r="AB31" s="77">
        <v>0.82980851615798479</v>
      </c>
      <c r="AD31" s="77">
        <v>0.79795546033901577</v>
      </c>
      <c r="AF31" s="77">
        <v>0.75675932979072147</v>
      </c>
      <c r="AH31" s="77">
        <v>0.70070727364030716</v>
      </c>
      <c r="AJ31" s="77">
        <v>0.62050055201033094</v>
      </c>
      <c r="AL31" s="77">
        <v>0.49977649675663294</v>
      </c>
      <c r="AN31" s="77">
        <v>0.3026678316036453</v>
      </c>
      <c r="AP31" s="77">
        <v>0.24778921142187993</v>
      </c>
      <c r="AR31" s="77">
        <v>0.18591697098712431</v>
      </c>
      <c r="AT31" s="77">
        <v>0.11716524964155564</v>
      </c>
      <c r="AV31" s="77">
        <v>4.587931959618697E-2</v>
      </c>
    </row>
    <row r="32" spans="1:49" x14ac:dyDescent="0.2">
      <c r="A32" t="s">
        <v>64</v>
      </c>
      <c r="B32" s="83">
        <v>14734457.915000005</v>
      </c>
      <c r="D32" s="83">
        <v>14740734.81868377</v>
      </c>
      <c r="F32" s="83">
        <v>14745436.157892557</v>
      </c>
      <c r="H32" s="83">
        <v>14748213.554877013</v>
      </c>
      <c r="J32" s="83">
        <v>14748635.373813666</v>
      </c>
      <c r="L32" s="83">
        <v>14746163.829140354</v>
      </c>
      <c r="N32" s="83">
        <v>14740136.497296063</v>
      </c>
      <c r="P32" s="83">
        <v>14729728.833841346</v>
      </c>
      <c r="R32" s="83">
        <v>14713919.271450467</v>
      </c>
      <c r="T32" s="83">
        <v>14691439.392420162</v>
      </c>
      <c r="V32" s="83">
        <v>14660709.360115917</v>
      </c>
      <c r="X32" s="83">
        <v>14619751.58730129</v>
      </c>
      <c r="Z32" s="83">
        <v>14566055.360945072</v>
      </c>
      <c r="AB32" s="83">
        <v>14496321.150729718</v>
      </c>
      <c r="AD32" s="83">
        <v>14405793.325576821</v>
      </c>
      <c r="AF32" s="83">
        <v>14286022.664564574</v>
      </c>
      <c r="AH32" s="83">
        <v>14116389.480591813</v>
      </c>
      <c r="AJ32" s="83">
        <v>13833583.374077179</v>
      </c>
      <c r="AL32" s="83">
        <v>13232123.083722711</v>
      </c>
      <c r="AN32" s="83">
        <v>11515950.123600937</v>
      </c>
      <c r="AP32" s="83">
        <v>10788060.607310327</v>
      </c>
      <c r="AR32" s="83">
        <v>9752246.2211885229</v>
      </c>
      <c r="AT32" s="83">
        <v>8176187.0202399278</v>
      </c>
      <c r="AV32" s="83">
        <v>5507755.3641798832</v>
      </c>
    </row>
    <row r="33" spans="1:49 16319:16384" x14ac:dyDescent="0.2">
      <c r="A33" t="s">
        <v>54</v>
      </c>
      <c r="B33" s="111">
        <v>7019665.6909999941</v>
      </c>
      <c r="D33" s="111">
        <v>6988527.7737024324</v>
      </c>
      <c r="F33" s="111">
        <v>6955698.6103964085</v>
      </c>
      <c r="H33" s="111">
        <v>6920877.2099886499</v>
      </c>
      <c r="J33" s="111">
        <v>6883700.7547864681</v>
      </c>
      <c r="L33" s="111">
        <v>6843722.7350059599</v>
      </c>
      <c r="N33" s="111">
        <v>6800400.8067919295</v>
      </c>
      <c r="P33" s="111">
        <v>6753053.2429622347</v>
      </c>
      <c r="R33" s="111">
        <v>6700816.7289963216</v>
      </c>
      <c r="T33" s="111">
        <v>6642572.1457134383</v>
      </c>
      <c r="V33" s="111">
        <v>6576823.7079565488</v>
      </c>
      <c r="X33" s="111">
        <v>6501497.3237698395</v>
      </c>
      <c r="Z33" s="111">
        <v>6413572.2201380897</v>
      </c>
      <c r="AB33" s="111">
        <v>6308375.9025804</v>
      </c>
      <c r="AD33" s="111">
        <v>6178131.8795896489</v>
      </c>
      <c r="AF33" s="111">
        <v>6008801.0312162852</v>
      </c>
      <c r="AH33" s="111">
        <v>5772921.5281171724</v>
      </c>
      <c r="AJ33" s="111">
        <v>5412735.714447543</v>
      </c>
      <c r="AL33" s="111">
        <v>4792606.7906441968</v>
      </c>
      <c r="AN33" s="111">
        <v>3496971.4542557811</v>
      </c>
      <c r="AP33" s="111">
        <v>3051065.4926734846</v>
      </c>
      <c r="AR33" s="111">
        <v>2485906.3857143447</v>
      </c>
      <c r="AT33" s="111">
        <v>1754147.8922707327</v>
      </c>
      <c r="AV33" s="111">
        <v>814450.42745738942</v>
      </c>
    </row>
    <row r="34" spans="1:49 16319:16384" x14ac:dyDescent="0.2">
      <c r="A34" t="s">
        <v>75</v>
      </c>
      <c r="B34" s="111">
        <v>1136879.4410000113</v>
      </c>
      <c r="D34" s="111">
        <v>1137363.7409600653</v>
      </c>
      <c r="F34" s="111">
        <v>1137726.4845131198</v>
      </c>
      <c r="H34" s="111">
        <v>1137940.7786530498</v>
      </c>
      <c r="J34" s="111">
        <v>1137972.7140980791</v>
      </c>
      <c r="L34" s="111">
        <v>1137782.6227659865</v>
      </c>
      <c r="N34" s="111">
        <v>1137317.5502754219</v>
      </c>
      <c r="P34" s="111">
        <v>1136514.4160977292</v>
      </c>
      <c r="R34" s="111">
        <v>1135294.709528415</v>
      </c>
      <c r="T34" s="111">
        <v>1133560.1680759105</v>
      </c>
      <c r="V34" s="111">
        <v>1131189.1076142001</v>
      </c>
      <c r="X34" s="111">
        <v>1128028.8311763597</v>
      </c>
      <c r="Z34" s="111">
        <v>1123885.8401448629</v>
      </c>
      <c r="AB34" s="111">
        <v>1118505.3052454302</v>
      </c>
      <c r="AD34" s="111">
        <v>1111520.378736756</v>
      </c>
      <c r="AF34" s="111">
        <v>1102279.1325009698</v>
      </c>
      <c r="AH34" s="111">
        <v>1089190.5943304109</v>
      </c>
      <c r="AJ34" s="111">
        <v>1067369.8770851775</v>
      </c>
      <c r="AL34" s="111">
        <v>1020962.4800195247</v>
      </c>
      <c r="AN34" s="111">
        <v>888546.22373142035</v>
      </c>
      <c r="AP34" s="111">
        <v>832383.81645694957</v>
      </c>
      <c r="AR34" s="111">
        <v>752462.58100547665</v>
      </c>
      <c r="AT34" s="111">
        <v>630857.20443226316</v>
      </c>
      <c r="AV34" s="111">
        <v>424966.69207085401</v>
      </c>
    </row>
    <row r="35" spans="1:49 16319:16384" x14ac:dyDescent="0.2">
      <c r="A35" t="s">
        <v>78</v>
      </c>
      <c r="B35" s="192">
        <v>1</v>
      </c>
      <c r="D35" s="192">
        <v>1.0024433983258942</v>
      </c>
      <c r="F35" s="192">
        <v>1.0052123858205542</v>
      </c>
      <c r="H35" s="192">
        <v>1.0083565984415359</v>
      </c>
      <c r="J35" s="192">
        <v>1.0119380232592559</v>
      </c>
      <c r="L35" s="192">
        <v>1.0160354134658509</v>
      </c>
      <c r="N35" s="192">
        <v>1.0207515259883138</v>
      </c>
      <c r="P35" s="192">
        <v>1.0262233532892966</v>
      </c>
      <c r="R35" s="192">
        <v>1.0326390698556365</v>
      </c>
      <c r="T35" s="192">
        <v>1.0402657373639355</v>
      </c>
      <c r="V35" s="192">
        <v>1.049496618374121</v>
      </c>
      <c r="X35" s="192">
        <v>1.0609363175856463</v>
      </c>
      <c r="Z35" s="192">
        <v>1.0755617720888033</v>
      </c>
      <c r="AB35" s="192">
        <v>1.0950454498636599</v>
      </c>
      <c r="AD35" s="192">
        <v>1.1224450017711214</v>
      </c>
      <c r="AF35" s="192">
        <v>1.1637594036046728</v>
      </c>
      <c r="AH35" s="192">
        <v>1.2315942678921641</v>
      </c>
      <c r="AJ35" s="192">
        <v>1.3545052239380309</v>
      </c>
      <c r="AL35" s="192">
        <v>1.6086322730466305</v>
      </c>
      <c r="AN35" s="192">
        <v>2.295212226521933</v>
      </c>
      <c r="AP35" s="192">
        <v>2.5852716344536852</v>
      </c>
      <c r="AR35" s="192">
        <v>3.0025005146517678</v>
      </c>
      <c r="AT35" s="192">
        <v>3.6520883193387514</v>
      </c>
      <c r="AV35" s="192">
        <v>4.8063760007287639</v>
      </c>
    </row>
    <row r="36" spans="1:49 16319:16384" x14ac:dyDescent="0.2">
      <c r="A36" t="s">
        <v>21</v>
      </c>
      <c r="B36" s="35">
        <v>0.47195767671988198</v>
      </c>
      <c r="C36" s="36">
        <v>0.31738834428178964</v>
      </c>
      <c r="D36" s="35">
        <v>0.47197482658638285</v>
      </c>
      <c r="E36" s="36">
        <v>0.31983994949917599</v>
      </c>
      <c r="F36" s="35">
        <v>0.471992160267804</v>
      </c>
      <c r="G36" s="36">
        <v>0.32255028288520549</v>
      </c>
      <c r="H36" s="35">
        <v>0.47200975897691888</v>
      </c>
      <c r="I36" s="36">
        <v>0.32555926407719449</v>
      </c>
      <c r="J36" s="35">
        <v>0.47202773043073537</v>
      </c>
      <c r="K36" s="36">
        <v>0.32891539353947069</v>
      </c>
      <c r="L36" s="35">
        <v>0.47204620500490413</v>
      </c>
      <c r="M36" s="36">
        <v>0.33267825591040356</v>
      </c>
      <c r="N36" s="35">
        <v>0.4720653485768142</v>
      </c>
      <c r="O36" s="36">
        <v>0.33692244306991026</v>
      </c>
      <c r="P36" s="35">
        <v>0.47208534563576543</v>
      </c>
      <c r="Q36" s="36">
        <v>0.34174285043763131</v>
      </c>
      <c r="R36" s="35">
        <v>0.47210639094925749</v>
      </c>
      <c r="S36" s="36">
        <v>0.34726311452204595</v>
      </c>
      <c r="T36" s="35">
        <v>0.47212865970325774</v>
      </c>
      <c r="U36" s="36">
        <v>0.35364887749810892</v>
      </c>
      <c r="V36" s="35">
        <v>0.47215223666752454</v>
      </c>
      <c r="W36" s="36">
        <v>0.36112952364973522</v>
      </c>
      <c r="X36" s="35">
        <v>0.47217698383938289</v>
      </c>
      <c r="Y36" s="36">
        <v>0.37003571375825056</v>
      </c>
      <c r="Z36" s="35">
        <v>0.47220226949618482</v>
      </c>
      <c r="AA36" s="36">
        <v>0.38086710090440101</v>
      </c>
      <c r="AB36" s="35">
        <v>0.47222644707454609</v>
      </c>
      <c r="AC36" s="36">
        <v>0.39442094456755228</v>
      </c>
      <c r="AD36" s="35">
        <v>0.47224589894574531</v>
      </c>
      <c r="AE36" s="36">
        <v>0.41204809802002595</v>
      </c>
      <c r="AF36" s="35">
        <v>0.47225362731269876</v>
      </c>
      <c r="AG36" s="36">
        <v>0.43617872451443601</v>
      </c>
      <c r="AH36" s="35">
        <v>0.47223872223856606</v>
      </c>
      <c r="AI36" s="36">
        <v>0.47140534326007622</v>
      </c>
      <c r="AJ36" s="35">
        <v>0.47219164856533402</v>
      </c>
      <c r="AK36" s="36">
        <v>0.5268080175167783</v>
      </c>
      <c r="AL36" s="35">
        <v>0.47211660196310107</v>
      </c>
      <c r="AM36" s="36">
        <v>0.62291527856352547</v>
      </c>
      <c r="AN36" s="35">
        <v>0.47202940538621369</v>
      </c>
      <c r="AO36" s="36">
        <v>0.82714714794456734</v>
      </c>
      <c r="AP36" s="35">
        <v>0.47201066069538028</v>
      </c>
      <c r="AQ36" s="36">
        <v>0.90064850051121259</v>
      </c>
      <c r="AR36" s="35">
        <v>0.47199033072812735</v>
      </c>
      <c r="AS36" s="36">
        <v>0.99826946736563871</v>
      </c>
      <c r="AT36" s="35">
        <v>0.47196626186551632</v>
      </c>
      <c r="AU36" s="36">
        <v>1.1364031827199474</v>
      </c>
      <c r="AV36" s="35">
        <v>0.47193217527282932</v>
      </c>
      <c r="AW36" s="36">
        <v>1.3534657472812515</v>
      </c>
    </row>
    <row r="37" spans="1:49 16319:16384" x14ac:dyDescent="0.2">
      <c r="B37" s="37">
        <v>2.1403217525954466E-2</v>
      </c>
      <c r="C37" s="38">
        <v>0.3496246130199252</v>
      </c>
      <c r="D37" s="37">
        <v>2.0727678860835083E-2</v>
      </c>
      <c r="E37" s="38">
        <v>0.34558926286270858</v>
      </c>
      <c r="F37" s="37">
        <v>2.0034965620404386E-2</v>
      </c>
      <c r="G37" s="38">
        <v>0.34142775347394722</v>
      </c>
      <c r="H37" s="37">
        <v>1.9324437428955368E-2</v>
      </c>
      <c r="I37" s="38">
        <v>0.33713484016970358</v>
      </c>
      <c r="J37" s="37">
        <v>1.8595392941144474E-2</v>
      </c>
      <c r="K37" s="38">
        <v>0.33270500843181006</v>
      </c>
      <c r="L37" s="37">
        <v>1.7847045227352806E-2</v>
      </c>
      <c r="M37" s="38">
        <v>0.32813239388286147</v>
      </c>
      <c r="N37" s="37">
        <v>1.7078408409952162E-2</v>
      </c>
      <c r="O37" s="38">
        <v>0.32341017781476178</v>
      </c>
      <c r="P37" s="37">
        <v>1.628822541757621E-2</v>
      </c>
      <c r="Q37" s="38">
        <v>0.31853025831860021</v>
      </c>
      <c r="R37" s="37">
        <v>1.5474777915973513E-2</v>
      </c>
      <c r="S37" s="38">
        <v>0.31348223256335905</v>
      </c>
      <c r="T37" s="37">
        <v>1.4635615490604024E-2</v>
      </c>
      <c r="U37" s="38">
        <v>0.30825193605779205</v>
      </c>
      <c r="V37" s="37">
        <v>1.3767154952171392E-2</v>
      </c>
      <c r="W37" s="38">
        <v>0.30281927755154292</v>
      </c>
      <c r="X37" s="37">
        <v>1.2864053272811631E-2</v>
      </c>
      <c r="Y37" s="38">
        <v>0.29715486531028756</v>
      </c>
      <c r="Z37" s="37">
        <v>1.1918275727740346E-2</v>
      </c>
      <c r="AA37" s="38">
        <v>0.29121515154932132</v>
      </c>
      <c r="AB37" s="37">
        <v>1.0917770363837414E-2</v>
      </c>
      <c r="AC37" s="38">
        <v>0.28493603857619793</v>
      </c>
      <c r="AD37" s="37">
        <v>9.8449191959051347E-3</v>
      </c>
      <c r="AE37" s="38">
        <v>0.27822717498583044</v>
      </c>
      <c r="AF37" s="37">
        <v>8.6760813230072498E-3</v>
      </c>
      <c r="AG37" s="38">
        <v>0.2709777274597458</v>
      </c>
      <c r="AH37" s="37">
        <v>7.3867726654356309E-3</v>
      </c>
      <c r="AI37" s="38">
        <v>0.26310644249684795</v>
      </c>
      <c r="AJ37" s="37">
        <v>5.9681910153202991E-3</v>
      </c>
      <c r="AK37" s="38">
        <v>0.25469428896436414</v>
      </c>
      <c r="AL37" s="37">
        <v>4.4374686310188474E-3</v>
      </c>
      <c r="AM37" s="38">
        <v>0.24608902199948554</v>
      </c>
      <c r="AN37" s="37">
        <v>2.798039783265354E-3</v>
      </c>
      <c r="AO37" s="38">
        <v>0.23777447269534921</v>
      </c>
      <c r="AP37" s="37">
        <v>2.4511519389950479E-3</v>
      </c>
      <c r="AQ37" s="38">
        <v>0.23619245391160301</v>
      </c>
      <c r="AR37" s="37">
        <v>2.0939902908338887E-3</v>
      </c>
      <c r="AS37" s="38">
        <v>0.2346504692187677</v>
      </c>
      <c r="AT37" s="37">
        <v>1.7225440792168274E-3</v>
      </c>
      <c r="AU37" s="38">
        <v>0.23315747727786307</v>
      </c>
      <c r="AV37" s="37">
        <v>1.32902441346839E-3</v>
      </c>
      <c r="AW37" s="38">
        <v>0.23172807627914954</v>
      </c>
    </row>
    <row r="38" spans="1:49 16319:16384" x14ac:dyDescent="0.2">
      <c r="A38" t="s">
        <v>22</v>
      </c>
      <c r="B38" s="35">
        <v>0.18079094942242827</v>
      </c>
      <c r="C38" s="36">
        <v>6.0565413429233668E-2</v>
      </c>
      <c r="D38" s="35">
        <v>0.18088735882427884</v>
      </c>
      <c r="E38" s="36">
        <v>6.0859512355964707E-2</v>
      </c>
      <c r="F38" s="35">
        <v>0.18101005804644896</v>
      </c>
      <c r="G38" s="36">
        <v>6.1187185152621199E-2</v>
      </c>
      <c r="H38" s="35">
        <v>0.18116278963320018</v>
      </c>
      <c r="I38" s="36">
        <v>6.1553685902094049E-2</v>
      </c>
      <c r="J38" s="35">
        <v>0.18135012636754613</v>
      </c>
      <c r="K38" s="36">
        <v>6.1965419022635297E-2</v>
      </c>
      <c r="L38" s="35">
        <v>0.18157774960525694</v>
      </c>
      <c r="M38" s="36">
        <v>6.2430259433365665E-2</v>
      </c>
      <c r="N38" s="35">
        <v>0.18185285922400593</v>
      </c>
      <c r="O38" s="36">
        <v>6.2958129295122775E-2</v>
      </c>
      <c r="P38" s="35">
        <v>0.18218479071035393</v>
      </c>
      <c r="Q38" s="36">
        <v>6.3561658166238877E-2</v>
      </c>
      <c r="R38" s="35">
        <v>0.18258596841485611</v>
      </c>
      <c r="S38" s="36">
        <v>6.4257400026808631E-2</v>
      </c>
      <c r="T38" s="35">
        <v>0.18307345196265626</v>
      </c>
      <c r="U38" s="36">
        <v>6.5067608440226507E-2</v>
      </c>
      <c r="V38" s="35">
        <v>0.18367151457550362</v>
      </c>
      <c r="W38" s="36">
        <v>6.6023230660196955E-2</v>
      </c>
      <c r="X38" s="35">
        <v>0.18441615812823228</v>
      </c>
      <c r="Y38" s="36">
        <v>6.716910817270931E-2</v>
      </c>
      <c r="Z38" s="35">
        <v>0.18536342490012003</v>
      </c>
      <c r="AA38" s="36">
        <v>6.8573351752306569E-2</v>
      </c>
      <c r="AB38" s="35">
        <v>0.18660556037903622</v>
      </c>
      <c r="AC38" s="36">
        <v>7.0345407378847688E-2</v>
      </c>
      <c r="AD38" s="35">
        <v>0.18830434117782685</v>
      </c>
      <c r="AE38" s="36">
        <v>7.2672201939524048E-2</v>
      </c>
      <c r="AF38" s="35">
        <v>0.19076359890822447</v>
      </c>
      <c r="AG38" s="36">
        <v>7.5893902970399982E-2</v>
      </c>
      <c r="AH38" s="35">
        <v>0.19459567950650553</v>
      </c>
      <c r="AI38" s="36">
        <v>8.0665530218534842E-2</v>
      </c>
      <c r="AJ38" s="35">
        <v>0.20115563664999928</v>
      </c>
      <c r="AK38" s="36">
        <v>8.8327601257337005E-2</v>
      </c>
      <c r="AL38" s="35">
        <v>0.21418498884443699</v>
      </c>
      <c r="AM38" s="36">
        <v>0.10213068216832447</v>
      </c>
      <c r="AN38" s="35">
        <v>0.25136053886358289</v>
      </c>
      <c r="AO38" s="36">
        <v>0.13462462888645624</v>
      </c>
      <c r="AP38" s="35">
        <v>0.26925144158518921</v>
      </c>
      <c r="AQ38" s="36">
        <v>0.14787596484149426</v>
      </c>
      <c r="AR38" s="35">
        <v>0.29847429916042389</v>
      </c>
      <c r="AS38" s="36">
        <v>0.16734981158735027</v>
      </c>
      <c r="AT38" s="35">
        <v>0.35557965268468283</v>
      </c>
      <c r="AU38" s="36">
        <v>0.20011070044946538</v>
      </c>
      <c r="AV38" s="35">
        <v>0.52240134458136023</v>
      </c>
      <c r="AW38" s="36">
        <v>0.27444289357086171</v>
      </c>
    </row>
    <row r="39" spans="1:49 16319:16384" x14ac:dyDescent="0.2">
      <c r="A39" t="s">
        <v>23</v>
      </c>
      <c r="B39" s="37">
        <v>0.23064923795098771</v>
      </c>
      <c r="C39" s="38">
        <v>0.22092201281804777</v>
      </c>
      <c r="D39" s="37">
        <v>0.23119456273541636</v>
      </c>
      <c r="E39" s="38">
        <v>0.22219782137471145</v>
      </c>
      <c r="F39" s="37">
        <v>0.23177200654563454</v>
      </c>
      <c r="G39" s="38">
        <v>0.22359713606349016</v>
      </c>
      <c r="H39" s="37">
        <v>0.23238677230547936</v>
      </c>
      <c r="I39" s="38">
        <v>0.2251395973142605</v>
      </c>
      <c r="J39" s="37">
        <v>0.23304521868347944</v>
      </c>
      <c r="K39" s="38">
        <v>0.22684913321894337</v>
      </c>
      <c r="L39" s="37">
        <v>0.23375518759955707</v>
      </c>
      <c r="M39" s="38">
        <v>0.22875524141580589</v>
      </c>
      <c r="N39" s="37">
        <v>0.23452654372829077</v>
      </c>
      <c r="O39" s="38">
        <v>0.23089488020819607</v>
      </c>
      <c r="P39" s="37">
        <v>0.23537186698775356</v>
      </c>
      <c r="Q39" s="38">
        <v>0.23331520437767767</v>
      </c>
      <c r="R39" s="37">
        <v>0.23630760229683379</v>
      </c>
      <c r="S39" s="38">
        <v>0.23607768043787175</v>
      </c>
      <c r="T39" s="37">
        <v>0.23735586215129478</v>
      </c>
      <c r="U39" s="38">
        <v>0.23926477172382002</v>
      </c>
      <c r="V39" s="37">
        <v>0.23854743657296498</v>
      </c>
      <c r="W39" s="38">
        <v>0.24299081777433648</v>
      </c>
      <c r="X39" s="37">
        <v>0.23992711111995704</v>
      </c>
      <c r="Y39" s="38">
        <v>0.24742088083623889</v>
      </c>
      <c r="Z39" s="37">
        <v>0.24156355431359672</v>
      </c>
      <c r="AA39" s="38">
        <v>0.25280505496133748</v>
      </c>
      <c r="AB39" s="37">
        <v>0.24356891251576007</v>
      </c>
      <c r="AC39" s="38">
        <v>0.25954404246914942</v>
      </c>
      <c r="AD39" s="37">
        <v>0.24614020352256591</v>
      </c>
      <c r="AE39" s="38">
        <v>0.26832184288859223</v>
      </c>
      <c r="AF39" s="37">
        <v>0.24965237405954069</v>
      </c>
      <c r="AG39" s="38">
        <v>0.280384304804701</v>
      </c>
      <c r="AH39" s="37">
        <v>0.2548797438352684</v>
      </c>
      <c r="AI39" s="38">
        <v>0.29813685830065328</v>
      </c>
      <c r="AJ39" s="37">
        <v>0.26358396528110523</v>
      </c>
      <c r="AK39" s="38">
        <v>0.3265250363387816</v>
      </c>
      <c r="AL39" s="37">
        <v>0.28069294336012185</v>
      </c>
      <c r="AM39" s="38">
        <v>0.37757571787734617</v>
      </c>
      <c r="AN39" s="37">
        <v>0.32941762117268791</v>
      </c>
      <c r="AO39" s="38">
        <v>0.49770961592774904</v>
      </c>
      <c r="AP39" s="37">
        <v>0.35286443903836912</v>
      </c>
      <c r="AQ39" s="38">
        <v>0.54670016308758884</v>
      </c>
      <c r="AR39" s="37">
        <v>0.39116216751666555</v>
      </c>
      <c r="AS39" s="38">
        <v>0.61869539175912258</v>
      </c>
      <c r="AT39" s="37">
        <v>0.46600096689709269</v>
      </c>
      <c r="AU39" s="38">
        <v>0.73981296848634215</v>
      </c>
      <c r="AV39" s="37">
        <v>0.68462728774587267</v>
      </c>
      <c r="AW39" s="38">
        <v>1.0146205219946545</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6.0999999999999374E-2</v>
      </c>
      <c r="E42" s="126"/>
      <c r="F42" s="167">
        <f>6.1%+(1-6.1%)*(1-SUM(F26:G26)/SUM($B$26:$C$26))</f>
        <v>6.0999999999999791E-2</v>
      </c>
      <c r="G42" s="126"/>
      <c r="H42" s="167">
        <f>6.1%+(1-6.1%)*(1-SUM(H26:I26)/SUM($B$26:$C$26))</f>
        <v>6.0999999999999791E-2</v>
      </c>
      <c r="I42" s="126"/>
      <c r="J42" s="167">
        <f>6.1%+(1-6.1%)*(1-SUM(J26:K26)/SUM($B$26:$C$26))</f>
        <v>6.0999999999999582E-2</v>
      </c>
      <c r="K42" s="126"/>
      <c r="L42" s="167">
        <f>6.1%+(1-6.1%)*(1-SUM(L26:M26)/SUM($B$26:$C$26))</f>
        <v>6.0999999999999791E-2</v>
      </c>
      <c r="M42" s="126"/>
      <c r="N42" s="167">
        <f>6.1%+(1-6.1%)*(1-SUM(N26:O26)/SUM($B$26:$C$26))</f>
        <v>6.0999999999999582E-2</v>
      </c>
      <c r="O42" s="126"/>
      <c r="P42" s="167">
        <f>6.1%+(1-6.1%)*(1-SUM(P26:Q26)/SUM($B$26:$C$26))</f>
        <v>6.1000000000000311E-2</v>
      </c>
      <c r="Q42" s="126"/>
      <c r="R42" s="167">
        <f>6.1%+(1-6.1%)*(1-SUM(R26:S26)/SUM($B$26:$C$26))</f>
        <v>6.1000000000000207E-2</v>
      </c>
      <c r="S42" s="126"/>
      <c r="T42" s="167">
        <f>6.1%+(1-6.1%)*(1-SUM(T26:U26)/SUM($B$26:$C$26))</f>
        <v>6.0999999999999582E-2</v>
      </c>
      <c r="U42" s="126"/>
      <c r="V42" s="167">
        <f>6.1%+(1-6.1%)*(1-SUM(V26:W26)/SUM($B$26:$C$26))</f>
        <v>6.1000000000000207E-2</v>
      </c>
      <c r="W42" s="126"/>
      <c r="X42" s="167">
        <f>6.1%+(1-6.1%)*(1-SUM(X26:Y26)/SUM($B$26:$C$26))</f>
        <v>6.0999999999999999E-2</v>
      </c>
      <c r="Y42" s="152"/>
      <c r="Z42" s="167">
        <f>6.1%+(1-6.1%)*(1-SUM(Z26:AA26)/SUM($B$26:$C$26))</f>
        <v>6.0999999999999582E-2</v>
      </c>
      <c r="AA42" s="126"/>
      <c r="AB42" s="167">
        <f>6.1%+(1-6.1%)*(1-SUM(AB26:AC26)/SUM($B$26:$C$26))</f>
        <v>6.0999999999999791E-2</v>
      </c>
      <c r="AC42" s="126"/>
      <c r="AD42" s="167">
        <f>6.1%+(1-6.1%)*(1-SUM(AD26:AE26)/SUM($B$26:$C$26))</f>
        <v>6.1000000000000519E-2</v>
      </c>
      <c r="AE42" s="126"/>
      <c r="AF42" s="167">
        <f>6.1%+(1-6.1%)*(1-SUM(AF26:AG26)/SUM($B$26:$C$26))</f>
        <v>6.1000000000000519E-2</v>
      </c>
      <c r="AG42" s="126"/>
      <c r="AH42" s="167">
        <f>6.1%+(1-6.1%)*(1-SUM(AH26:AI26)/SUM($B$26:$C$26))</f>
        <v>6.0999999999999791E-2</v>
      </c>
      <c r="AI42" s="126"/>
      <c r="AJ42" s="167">
        <f>6.1%+(1-6.1%)*(1-SUM(AJ26:AK26)/SUM($B$26:$C$26))</f>
        <v>6.0999999999999791E-2</v>
      </c>
      <c r="AK42" s="126"/>
      <c r="AL42" s="167">
        <f>6.1%+(1-6.1%)*(1-SUM(AL26:AM26)/SUM($B$26:$C$26))</f>
        <v>6.1000000000000207E-2</v>
      </c>
      <c r="AM42" s="126"/>
      <c r="AN42" s="167">
        <f>6.1%+(1-6.1%)*(1-SUM(AN26:AO26)/SUM($B$26:$C$26))</f>
        <v>6.0999999999999582E-2</v>
      </c>
      <c r="AO42" s="126"/>
      <c r="AP42" s="167">
        <f>6.1%+(1-6.1%)*(1-SUM(AP26:AQ26)/SUM($B$26:$C$26))</f>
        <v>6.0999999999999791E-2</v>
      </c>
      <c r="AQ42" s="126"/>
      <c r="AR42" s="167">
        <f>6.1%+(1-6.1%)*(1-SUM(AR26:AS26)/SUM($B$26:$C$26))</f>
        <v>6.0999999999999791E-2</v>
      </c>
      <c r="AS42" s="126"/>
      <c r="AT42" s="167">
        <f>6.1%+(1-6.1%)*(1-SUM(AT26:AU26)/SUM($B$26:$C$26))</f>
        <v>6.1000000000000519E-2</v>
      </c>
      <c r="AU42" s="126"/>
      <c r="AV42" s="167">
        <f>6.1%+(1-6.1%)*(1-SUM(AV26:AW26)/SUM($B$26:$C$26))</f>
        <v>6.099999999999875E-2</v>
      </c>
      <c r="XFD42" s="167"/>
    </row>
    <row r="43" spans="1:49 16319:16384" x14ac:dyDescent="0.2">
      <c r="A43" t="s">
        <v>95</v>
      </c>
      <c r="B43" s="152">
        <f>SUM(B15:C15*B27:C27)/SUM(B15:C15*B27:C27,B13:C13*B26:C26)</f>
        <v>0.56058995943839207</v>
      </c>
      <c r="C43" s="126"/>
      <c r="D43" s="152">
        <f t="array" ref="D43">SUM(D15:E15*D27:E27)/SUM(D15:E15*D27:E27,D13:E13*D26:E26)</f>
        <v>0.56570379235070256</v>
      </c>
      <c r="E43" s="126"/>
      <c r="F43" s="152">
        <f t="array" ref="F43">SUM(F15:G15*F27:G27)/SUM(F15:G15*F27:G27,F13:G13*F26:G26)</f>
        <v>0.56421563462636737</v>
      </c>
      <c r="G43" s="126"/>
      <c r="H43" s="152">
        <f t="array" ref="H43">SUM(H15:I15*H27:I27)/SUM(H15:I15*H27:I27,H13:I13*H26:I26)</f>
        <v>0.56273527716069349</v>
      </c>
      <c r="I43" s="126"/>
      <c r="J43" s="152">
        <f t="array" ref="J43">SUM(J15:K15*J27:K27)/SUM(J15:K15*J27:K27,J13:K13*J26:K26)</f>
        <v>0.56126174264406803</v>
      </c>
      <c r="K43" s="126"/>
      <c r="L43" s="152">
        <f t="array" ref="L43">SUM(L15:M15*L27:M27)/SUM(L15:M15*L27:M27,L13:M13*L26:M26)</f>
        <v>0.55979400299961135</v>
      </c>
      <c r="M43" s="126"/>
      <c r="N43" s="152">
        <f t="array" ref="N43">SUM(N15:O15*N27:O27)/SUM(N15:O15*N27:O27,N13:O13*N26:O26)</f>
        <v>0.55833099572231815</v>
      </c>
      <c r="O43" s="126"/>
      <c r="P43" s="152">
        <f t="array" ref="P43">SUM(P15:Q15*P27:Q27)/SUM(P15:Q15*P27:Q27,P13:Q13*P26:Q26)</f>
        <v>0.55687204483768449</v>
      </c>
      <c r="Q43" s="126"/>
      <c r="R43" s="152">
        <f t="array" ref="R43">SUM(R15:S15*R27:S27)/SUM(R15:S15*R27:S27,R13:S13*R26:S26)</f>
        <v>0.55541723733512438</v>
      </c>
      <c r="S43" s="126"/>
      <c r="T43" s="152">
        <f t="array" ref="T43">SUM(T15:U15*T27:U27)/SUM(T15:U15*T27:U27,T13:U13*T26:U26)</f>
        <v>0.55396823613048662</v>
      </c>
      <c r="U43" s="126"/>
      <c r="V43" s="152">
        <f t="array" ref="V43">SUM(V15:W15*V27:W27)/SUM(V15:W15*V27:W27,V13:W13*V26:W26)</f>
        <v>0.55252959377610777</v>
      </c>
      <c r="W43" s="126"/>
      <c r="X43" s="152">
        <f t="array" ref="X43">SUM(X15:Y15*X27:Y27)/SUM(X15:Y15*X27:Y27,X13:Y13*X26:Y26)</f>
        <v>0.55111085793482995</v>
      </c>
      <c r="Y43" s="126"/>
      <c r="Z43" s="152">
        <f t="array" ref="Z43">SUM(Z15:AA15*Z27:AA27)/SUM(Z15:AA15*Z27:AA27,Z13:AA13*Z26:AA26)</f>
        <v>0.54973004078899557</v>
      </c>
      <c r="AA43" s="126"/>
      <c r="AB43" s="152">
        <f t="array" ref="AB43">SUM(AB15:AC15*AB27:AC27)/SUM(AB15:AC15*AB27:AC27,AB13:AC13*AB26:AC26)</f>
        <v>0.54841897876619317</v>
      </c>
      <c r="AC43" s="126"/>
      <c r="AD43" s="152">
        <f t="array" ref="AD43">SUM(AD15:AE15*AD27:AE27)/SUM(AD15:AE15*AD27:AE27,AD13:AE13*AD26:AE26)</f>
        <v>0.54723078906580169</v>
      </c>
      <c r="AE43" s="126"/>
      <c r="AF43" s="152">
        <f t="array" ref="AF43">SUM(AF15:AG15*AF27:AG27)/SUM(AF15:AG15*AF27:AG27,AF13:AG13*AF26:AG26)</f>
        <v>0.54624558245424759</v>
      </c>
      <c r="AG43" s="126"/>
      <c r="AH43" s="152">
        <f t="array" ref="AH43">SUM(AH15:AI15*AH27:AI27)/SUM(AH15:AI15*AH27:AI27,AH13:AI13*AH26:AI26)</f>
        <v>0.54555694625800577</v>
      </c>
      <c r="AI43" s="126"/>
      <c r="AJ43" s="152">
        <f t="array" ref="AJ43">SUM(AJ15:AK15*AJ27:AK27)/SUM(AJ15:AK15*AJ27:AK27,AJ13:AK13*AJ26:AK26)</f>
        <v>0.54520555067699517</v>
      </c>
      <c r="AK43" s="126"/>
      <c r="AL43" s="152">
        <f t="array" ref="AL43">SUM(AL15:AM15*AL27:AM27)/SUM(AL15:AM15*AL27:AM27,AL13:AM13*AL26:AM26)</f>
        <v>0.54509957425460076</v>
      </c>
      <c r="AM43" s="126"/>
      <c r="AN43" s="152">
        <f t="array" ref="AN43">SUM(AN15:AO15*AN27:AO27)/SUM(AN15:AO15*AN27:AO27,AN13:AO13*AN26:AO26)</f>
        <v>0.54508575044696728</v>
      </c>
      <c r="AO43" s="126"/>
      <c r="AP43" s="152">
        <f t="array" ref="AP43">SUM(AP15:AQ15*AP27:AQ27)/SUM(AP15:AQ15*AP27:AQ27,AP13:AQ13*AP26:AQ26)</f>
        <v>0.54508550668093825</v>
      </c>
      <c r="AQ43" s="126"/>
      <c r="AR43" s="152">
        <f t="array" ref="AR43">SUM(AR15:AS15*AR27:AS27)/SUM(AR15:AS15*AR27:AS27,AR13:AS13*AR26:AS26)</f>
        <v>0.54508541755276174</v>
      </c>
      <c r="AS43" s="126"/>
      <c r="AT43" s="152">
        <f t="array" ref="AT43">SUM(AT15:AU15*AT27:AU27)/SUM(AT15:AU15*AT27:AU27,AT13:AU13*AT26:AU26)</f>
        <v>0.54508539179644144</v>
      </c>
      <c r="AU43" s="126"/>
      <c r="AV43" s="152">
        <f t="array" ref="AV43">SUM(AV15:AW15*AV27:AW27)/SUM(AV15:AW15*AV27:AW27,AV13:AW13*AV26:AW26)</f>
        <v>0.54508538665545792</v>
      </c>
    </row>
    <row r="44" spans="1:49 16319:16384" x14ac:dyDescent="0.2">
      <c r="A44" t="s">
        <v>129</v>
      </c>
      <c r="B44" s="183">
        <f>(SUM(B11:C11*B24:C24)+B34)/B32</f>
        <v>0.29754226190682431</v>
      </c>
      <c r="D44" s="183">
        <f>(SUM(D11:E11*D24:E24)+D34)/D32</f>
        <v>0.29985749971736403</v>
      </c>
      <c r="F44" s="183">
        <f>(SUM(F11:G11*F24:G24)+F34)/F32</f>
        <v>0.30223505236717557</v>
      </c>
      <c r="H44" s="183">
        <f>(SUM(H11:I11*H24:I24)+H34)/H32</f>
        <v>0.30468494573818111</v>
      </c>
      <c r="J44" s="183">
        <f>(SUM(J11:K11*J24:K24)+J34)/J32</f>
        <v>0.30721903792651506</v>
      </c>
      <c r="L44" s="183">
        <f>(SUM(L11:M11*L24:M24)+L34)/L32</f>
        <v>0.30985188972624989</v>
      </c>
      <c r="N44" s="183">
        <f>(SUM(N11:O11*N24:O24)+N34)/N32</f>
        <v>0.3126011608762278</v>
      </c>
      <c r="P44" s="183">
        <f>(SUM(P11:Q11*P24:Q24)+P34)/P32</f>
        <v>0.31548960243242974</v>
      </c>
      <c r="R44" s="183">
        <f>(SUM(R11:S11*R24:S24)+R34)/R32</f>
        <v>0.31854714236266007</v>
      </c>
      <c r="T44" s="183">
        <f>(SUM(T11:U11*T24:U24)+T34)/T32</f>
        <v>0.32181483421571144</v>
      </c>
      <c r="V44" s="183">
        <f>(SUM(V11:W11*V24:W24)+V34)/V32</f>
        <v>0.32535178400435283</v>
      </c>
      <c r="X44" s="183">
        <f>(SUM(X11:Y11*X24:Y24)+X34)/X32</f>
        <v>0.32924737994373898</v>
      </c>
      <c r="Z44" s="183">
        <f>(SUM(Z11:AA11*Z24:AA24)+Z34)/Z32</f>
        <v>0.33364431828403657</v>
      </c>
      <c r="AB44" s="183">
        <f>(SUM(AB11:AC11*AB24:AC24)+AB34)/AB32</f>
        <v>0.33878297954461739</v>
      </c>
      <c r="AD44" s="183">
        <f>(SUM(AD11:AE11*AD24:AE24)+AD34)/AD32</f>
        <v>0.34508939762274105</v>
      </c>
      <c r="AF44" s="183">
        <f>(SUM(AF11:AG11*AF24:AG24)+AF34)/AF32</f>
        <v>0.35334680269149443</v>
      </c>
      <c r="AH44" s="183">
        <f>(SUM(AH11:AI11*AH24:AI24)+AH34)/AH32</f>
        <v>0.36500209174008108</v>
      </c>
      <c r="AJ44" s="183">
        <f>(SUM(AJ11:AK11*AJ24:AK24)+AJ34)/AJ32</f>
        <v>0.38267876798386691</v>
      </c>
      <c r="AL44" s="183">
        <f>(SUM(AL11:AM11*AL24:AM24)+AL34)/AL32</f>
        <v>0.41175894882477332</v>
      </c>
      <c r="AN44" s="183">
        <f>(SUM(AN11:AO11*AN24:AO24)+AN34)/AN32</f>
        <v>0.4702904922150235</v>
      </c>
      <c r="AP44" s="183">
        <f>(SUM(AP11:AQ11*AP24:AQ24)+AP34)/AP32</f>
        <v>0.49113507539557205</v>
      </c>
      <c r="AR44" s="183">
        <f>(SUM(AR11:AS11*AR24:AS24)+AR34)/AR32</f>
        <v>0.5190477636012617</v>
      </c>
      <c r="AT44" s="183">
        <f>(SUM(AT11:AU11*AT24:AU24)+AT34)/AT32</f>
        <v>0.55941028170131402</v>
      </c>
      <c r="AV44" s="183">
        <f>(SUM(AV11:AW11*AV24:AW24)+AV34)/AV32</f>
        <v>0.62608041079793642</v>
      </c>
    </row>
    <row r="45" spans="1:49 16319:16384" x14ac:dyDescent="0.2">
      <c r="A45" t="s">
        <v>82</v>
      </c>
      <c r="B45" s="183">
        <f>SUM(B11:C11*B24:C24)/B32</f>
        <v>0.22038438833194082</v>
      </c>
      <c r="D45" s="183">
        <f>SUM(D11:E11*D24:E24)/D32</f>
        <v>0.22269962699595355</v>
      </c>
      <c r="F45" s="183">
        <f>SUM(F11:G11*F24:G24)/F32</f>
        <v>0.22507717976642869</v>
      </c>
      <c r="H45" s="183">
        <f>SUM(H11:I11*H24:I24)/H32</f>
        <v>0.22752707340206013</v>
      </c>
      <c r="J45" s="183">
        <f>SUM(J11:K11*J24:K24)/J32</f>
        <v>0.23006120703196598</v>
      </c>
      <c r="L45" s="183">
        <f>SUM(L11:M11*L24:M24)/L32</f>
        <v>0.23269401762139921</v>
      </c>
      <c r="N45" s="183">
        <f>SUM(N11:O11*N24:O24)/N32</f>
        <v>0.23544328988337423</v>
      </c>
      <c r="P45" s="183">
        <f>SUM(P11:Q11*P24:Q24)/P32</f>
        <v>0.23833173829805387</v>
      </c>
      <c r="R45" s="183">
        <f>SUM(R11:S11*R24:S24)/R32</f>
        <v>0.24138926969910429</v>
      </c>
      <c r="T45" s="183">
        <f>SUM(T11:U11*T24:U24)/T32</f>
        <v>0.24465696439794837</v>
      </c>
      <c r="V45" s="183">
        <f>SUM(V11:W11*V24:W24)/V32</f>
        <v>0.24819391395670218</v>
      </c>
      <c r="X45" s="183">
        <f>SUM(X11:Y11*X24:Y24)/X32</f>
        <v>0.25208951413183528</v>
      </c>
      <c r="Z45" s="183">
        <f>SUM(Z11:AA11*Z24:AA24)/Z32</f>
        <v>0.25648644593664333</v>
      </c>
      <c r="AB45" s="183">
        <f>SUM(AB11:AC11*AB24:AC24)/AB32</f>
        <v>0.26162510661841454</v>
      </c>
      <c r="AD45" s="183">
        <f>SUM(AD11:AE11*AD24:AE24)/AD32</f>
        <v>0.26793152414670673</v>
      </c>
      <c r="AF45" s="183">
        <f>SUM(AF11:AG11*AF24:AG24)/AF32</f>
        <v>0.27618892898637343</v>
      </c>
      <c r="AH45" s="183">
        <f>SUM(AH11:AI11*AH24:AI24)/AH32</f>
        <v>0.28784421820394029</v>
      </c>
      <c r="AJ45" s="183">
        <f>SUM(AJ11:AK11*AJ24:AK24)/AJ32</f>
        <v>0.30552089440750008</v>
      </c>
      <c r="AL45" s="183">
        <f>SUM(AL11:AM11*AL24:AM24)/AL32</f>
        <v>0.33460107525001453</v>
      </c>
      <c r="AN45" s="183">
        <f>SUM(AN11:AO11*AN24:AO24)/AN32</f>
        <v>0.39313261864014393</v>
      </c>
      <c r="AP45" s="183">
        <f>SUM(AP11:AQ11*AP24:AQ24)/AP32</f>
        <v>0.41397720182069614</v>
      </c>
      <c r="AR45" s="183">
        <f>SUM(AR11:AS11*AR24:AS24)/AR32</f>
        <v>0.44188989002639084</v>
      </c>
      <c r="AT45" s="183">
        <f>SUM(AT11:AU11*AT24:AU24)/AT32</f>
        <v>0.48225240812643205</v>
      </c>
      <c r="AV45" s="183">
        <f>SUM(AV11:AW11*AV24:AW24)/AV32</f>
        <v>0.54892253722303908</v>
      </c>
      <c r="XCQ45" s="183"/>
    </row>
    <row r="46" spans="1:49 16319:16384" x14ac:dyDescent="0.2">
      <c r="A46" t="s">
        <v>126</v>
      </c>
      <c r="B46" s="183">
        <f>B34/B32</f>
        <v>7.7157873574883462E-2</v>
      </c>
      <c r="D46" s="183">
        <f>D34/D32</f>
        <v>7.715787272141042E-2</v>
      </c>
      <c r="F46" s="183">
        <f>F34/F32</f>
        <v>7.715787260074683E-2</v>
      </c>
      <c r="H46" s="183">
        <f>H34/H32</f>
        <v>7.7157872336120994E-2</v>
      </c>
      <c r="J46" s="183">
        <f>J34/J32</f>
        <v>7.7157830894549057E-2</v>
      </c>
      <c r="L46" s="183">
        <f>L34/L32</f>
        <v>7.7157872104850672E-2</v>
      </c>
      <c r="N46" s="183">
        <f>N34/N32</f>
        <v>7.7157870992853553E-2</v>
      </c>
      <c r="P46" s="183">
        <f>P34/P32</f>
        <v>7.7157864134375864E-2</v>
      </c>
      <c r="R46" s="183">
        <f>R34/R32</f>
        <v>7.715787266355581E-2</v>
      </c>
      <c r="T46" s="183">
        <f>T34/T32</f>
        <v>7.7157869817763042E-2</v>
      </c>
      <c r="V46" s="183">
        <f>V34/V32</f>
        <v>7.7157870047650692E-2</v>
      </c>
      <c r="X46" s="183">
        <f>X34/X32</f>
        <v>7.7157865811903745E-2</v>
      </c>
      <c r="Z46" s="183">
        <f>Z34/Z32</f>
        <v>7.7157872347393242E-2</v>
      </c>
      <c r="AB46" s="183">
        <f>AB34/AB32</f>
        <v>7.7157872926202853E-2</v>
      </c>
      <c r="AD46" s="183">
        <f>AD34/AD32</f>
        <v>7.7157873476034325E-2</v>
      </c>
      <c r="AF46" s="183">
        <f>AF34/AF32</f>
        <v>7.7157873705121019E-2</v>
      </c>
      <c r="AH46" s="183">
        <f>AH34/AH32</f>
        <v>7.7157873536140759E-2</v>
      </c>
      <c r="AJ46" s="183">
        <f>AJ34/AJ32</f>
        <v>7.7157873576366859E-2</v>
      </c>
      <c r="AL46" s="183">
        <f>AL34/AL32</f>
        <v>7.7157873574758812E-2</v>
      </c>
      <c r="AN46" s="183">
        <f>AN34/AN32</f>
        <v>7.7157873574879604E-2</v>
      </c>
      <c r="AP46" s="183">
        <f>AP34/AP32</f>
        <v>7.715787357487594E-2</v>
      </c>
      <c r="AR46" s="183">
        <f>AR34/AR32</f>
        <v>7.7157873574870917E-2</v>
      </c>
      <c r="AT46" s="183">
        <f>AT34/AT32</f>
        <v>7.7157873574881949E-2</v>
      </c>
      <c r="AV46" s="183">
        <f>AV34/AV32</f>
        <v>7.7157873574897326E-2</v>
      </c>
      <c r="XCS46" s="183"/>
    </row>
    <row r="48" spans="1:49 16319:16384" x14ac:dyDescent="0.2">
      <c r="A48" t="s">
        <v>143</v>
      </c>
      <c r="B48" s="181">
        <f>B24/$B$24</f>
        <v>1</v>
      </c>
      <c r="C48" s="181"/>
      <c r="D48" s="181">
        <f>D24/$B$24</f>
        <v>1.0120450570014201</v>
      </c>
      <c r="E48" s="181"/>
      <c r="F48" s="181">
        <f>F24/$B$24</f>
        <v>1.0242933283879763</v>
      </c>
      <c r="G48" s="181"/>
      <c r="H48" s="181">
        <f>H24/$B$24</f>
        <v>1.0367686195234209</v>
      </c>
      <c r="I48" s="181"/>
      <c r="J48" s="181">
        <f>J24/$B$24</f>
        <v>1.0494977180519411</v>
      </c>
      <c r="K48" s="181"/>
      <c r="L48" s="181">
        <f>L24/$B$24</f>
        <v>1.0625114819212749</v>
      </c>
      <c r="M48" s="181"/>
      <c r="N48" s="181">
        <f>N24/$B$24</f>
        <v>1.0758464327481831</v>
      </c>
      <c r="O48" s="181"/>
      <c r="P48" s="181">
        <f>P24/$B$24</f>
        <v>1.089548108606488</v>
      </c>
      <c r="Q48" s="181"/>
      <c r="R48" s="181">
        <f>R24/$B$24</f>
        <v>1.1036765686100409</v>
      </c>
      <c r="S48" s="181"/>
      <c r="T48" s="181">
        <f>T24/$B$24</f>
        <v>1.1183169203036709</v>
      </c>
      <c r="U48" s="181"/>
      <c r="V48" s="181">
        <f>V24/$B$24</f>
        <v>1.1335985805140094</v>
      </c>
      <c r="W48" s="181"/>
      <c r="X48" s="181">
        <f>X24/$B$24</f>
        <v>1.1497316927844277</v>
      </c>
      <c r="Y48" s="181"/>
      <c r="Z48" s="181">
        <f>Z24/$B$24</f>
        <v>1.1670766936902421</v>
      </c>
      <c r="AA48" s="181"/>
      <c r="AB48" s="181">
        <f>AB24/$B$24</f>
        <v>1.1862781262488138</v>
      </c>
      <c r="AC48" s="181"/>
      <c r="AD48" s="181">
        <f>AD24/$B$24</f>
        <v>1.2085139099866364</v>
      </c>
      <c r="AE48" s="181"/>
      <c r="AF48" s="181">
        <f>AF24/$B$24</f>
        <v>1.2358965356018128</v>
      </c>
      <c r="AG48" s="181"/>
      <c r="AH48" s="181">
        <f>AH24/$B$24</f>
        <v>1.2717729912503311</v>
      </c>
      <c r="AI48" s="181"/>
      <c r="AJ48" s="181">
        <f>AJ24/$B$24</f>
        <v>1.3195367349857252</v>
      </c>
      <c r="AK48" s="181"/>
      <c r="AL48" s="181">
        <f>AL24/$B$24</f>
        <v>1.3765896316543584</v>
      </c>
      <c r="AM48" s="181"/>
      <c r="AN48" s="181">
        <f>AN24/$B$24</f>
        <v>1.4004553039735332</v>
      </c>
      <c r="AO48" s="181"/>
      <c r="AP48" s="181">
        <f>AP24/$B$24</f>
        <v>1.3799179084160393</v>
      </c>
      <c r="AQ48" s="181"/>
      <c r="AR48" s="181">
        <f>AR24/$B$24</f>
        <v>1.329854979721357</v>
      </c>
      <c r="AS48" s="181"/>
      <c r="AT48" s="181">
        <f>AT24/$B$24</f>
        <v>1.2149251969492247</v>
      </c>
      <c r="AU48" s="181"/>
      <c r="AV48" s="181">
        <f>AV24/$B$24</f>
        <v>0.92949842421964546</v>
      </c>
    </row>
    <row r="49" spans="1:48 16321:16384" x14ac:dyDescent="0.2">
      <c r="A49" t="s">
        <v>144</v>
      </c>
      <c r="B49" s="181">
        <f>B13/B35/$B$13*$B$35</f>
        <v>1</v>
      </c>
      <c r="C49" s="181"/>
      <c r="D49" s="181">
        <f>D13/D35/$B$13*$B$35</f>
        <v>0.99657210258291384</v>
      </c>
      <c r="E49" s="181"/>
      <c r="F49" s="181">
        <f>F13/F35/$B$13*$B$35</f>
        <v>0.99254777946988604</v>
      </c>
      <c r="G49" s="181"/>
      <c r="H49" s="181">
        <f>H13/H35/$B$13*$B$35</f>
        <v>0.98784382968950202</v>
      </c>
      <c r="I49" s="181"/>
      <c r="J49" s="181">
        <f>J13/J35/$B$13*$B$35</f>
        <v>0.98235927909868515</v>
      </c>
      <c r="K49" s="181"/>
      <c r="L49" s="181">
        <f>L13/L35/$B$13*$B$35</f>
        <v>0.97596976562431725</v>
      </c>
      <c r="M49" s="181"/>
      <c r="N49" s="181">
        <f>N13/N35/$B$13*$B$35</f>
        <v>0.96851920128808233</v>
      </c>
      <c r="O49" s="181"/>
      <c r="P49" s="181">
        <f>P13/P35/$B$13*$B$35</f>
        <v>0.95980778564383307</v>
      </c>
      <c r="Q49" s="181"/>
      <c r="R49" s="181">
        <f>R13/R35/$B$13*$B$35</f>
        <v>0.94957366769949902</v>
      </c>
      <c r="S49" s="181"/>
      <c r="T49" s="181">
        <f>T13/T35/$B$13*$B$35</f>
        <v>0.93746405219901363</v>
      </c>
      <c r="U49" s="181"/>
      <c r="V49" s="181">
        <f>V13/V35/$B$13*$B$35</f>
        <v>0.92298857683485358</v>
      </c>
      <c r="W49" s="181"/>
      <c r="X49" s="181">
        <f>X13/X35/$B$13*$B$35</f>
        <v>0.90544070861040715</v>
      </c>
      <c r="Y49" s="181"/>
      <c r="Z49" s="181">
        <f>Z13/Z35/$B$13*$B$35</f>
        <v>0.88376024170739542</v>
      </c>
      <c r="AA49" s="181"/>
      <c r="AB49" s="181">
        <f>AB13/AB35/$B$13*$B$35</f>
        <v>0.85628425139001418</v>
      </c>
      <c r="AC49" s="181"/>
      <c r="AD49" s="181">
        <f>AD13/AD35/$B$13*$B$35</f>
        <v>0.82028703453150409</v>
      </c>
      <c r="AE49" s="181"/>
      <c r="AF49" s="181">
        <f>AF13/AF35/$B$13*$B$35</f>
        <v>0.77115618077013759</v>
      </c>
      <c r="AG49" s="181"/>
      <c r="AH49" s="181">
        <f>AH13/AH35/$B$13*$B$35</f>
        <v>0.70113931733450297</v>
      </c>
      <c r="AI49" s="181"/>
      <c r="AJ49" s="181">
        <f>AJ13/AJ35/$B$13*$B$35</f>
        <v>0.59820239930539643</v>
      </c>
      <c r="AK49" s="181"/>
      <c r="AL49" s="181">
        <f>AL13/AL35/$B$13*$B$35</f>
        <v>0.44609588943454598</v>
      </c>
      <c r="AM49" s="181"/>
      <c r="AN49" s="181">
        <f>AN13/AN35/$B$13*$B$35</f>
        <v>0.22813695258293407</v>
      </c>
      <c r="AO49" s="181"/>
      <c r="AP49" s="181">
        <f>AP13/AP35/$B$13*$B$35</f>
        <v>0.17671441576064345</v>
      </c>
      <c r="AQ49" s="181"/>
      <c r="AR49" s="181">
        <f>AR13/AR35/$B$13*$B$35</f>
        <v>0.12397336654070942</v>
      </c>
      <c r="AS49" s="181"/>
      <c r="AT49" s="181">
        <f>AT13/AT35/$B$13*$B$35</f>
        <v>7.1920330465220533E-2</v>
      </c>
      <c r="AU49" s="181"/>
      <c r="AV49" s="181">
        <f>AV13/AV35/$B$13*$B$35</f>
        <v>2.5373107411312403E-2</v>
      </c>
    </row>
    <row r="51" spans="1:48 16321:16384" x14ac:dyDescent="0.2">
      <c r="A51" t="s">
        <v>150</v>
      </c>
      <c r="B51" s="27">
        <f>B30-B10*B23</f>
        <v>-405838.32800000021</v>
      </c>
      <c r="D51" s="27">
        <f>D30-D10*D23</f>
        <v>-348594.92635205621</v>
      </c>
      <c r="F51" s="27">
        <f>F30-F10*F23</f>
        <v>-289725.71060095355</v>
      </c>
      <c r="H51" s="27">
        <f>H30-H10*H23</f>
        <v>-228993.85271216976</v>
      </c>
      <c r="J51" s="27">
        <f>J30-J10*J23</f>
        <v>-166120.9484965899</v>
      </c>
      <c r="L51" s="27">
        <f>L30-L10*L23</f>
        <v>-100778.34060005331</v>
      </c>
      <c r="N51" s="27">
        <f>N30-N10*N23</f>
        <v>-32559.843475194648</v>
      </c>
      <c r="P51" s="27">
        <f>P30-P10*P23</f>
        <v>39041.1316159009</v>
      </c>
      <c r="R51" s="27">
        <f>R30-R10*R23</f>
        <v>114685.55710272817</v>
      </c>
      <c r="T51" s="27">
        <f>T30-T10*T23</f>
        <v>195275.88539268915</v>
      </c>
      <c r="V51" s="27">
        <f>V30-V10*V23</f>
        <v>282105.00118673267</v>
      </c>
      <c r="X51" s="27">
        <f>X30-X10*X23</f>
        <v>377132.14858357422</v>
      </c>
      <c r="Z51" s="27">
        <f>Z30-Z10*Z23</f>
        <v>483495.46187107638</v>
      </c>
      <c r="AB51" s="27">
        <f>AB30-AB10*AB23</f>
        <v>606502.75994659727</v>
      </c>
      <c r="AD51" s="27">
        <f>AD30-AD10*AD23</f>
        <v>755556.06346383598</v>
      </c>
      <c r="AF51" s="27">
        <f>AF30-AF10*AF23</f>
        <v>947735.13631870039</v>
      </c>
      <c r="AH51" s="27">
        <f>AH30-AH10*AH23</f>
        <v>1213281.8887412869</v>
      </c>
      <c r="AJ51" s="27">
        <f>AJ30-AJ10*AJ23</f>
        <v>1600366.4265000825</v>
      </c>
      <c r="AL51" s="27">
        <f>AL30-AL10*AL23</f>
        <v>2178146.0931998142</v>
      </c>
      <c r="AN51" s="27">
        <f>AN30-AN10*AN23</f>
        <v>3029636.8614058946</v>
      </c>
      <c r="AP51" s="27">
        <f>AP30-AP10*AP23</f>
        <v>3216459.8338332637</v>
      </c>
      <c r="AQ51" s="27"/>
      <c r="AR51" s="27">
        <f>AR30-AR10*AR23</f>
        <v>3365590.2999887294</v>
      </c>
      <c r="AT51" s="27">
        <f>AT30-AT10*AT23</f>
        <v>3376876.9352337271</v>
      </c>
      <c r="AV51" s="27">
        <f>AV30-AV10*AV23</f>
        <v>2892546.6575215328</v>
      </c>
      <c r="XFD51" s="27"/>
    </row>
    <row r="52" spans="1:48 16321:16384" x14ac:dyDescent="0.2">
      <c r="A52" t="s">
        <v>151</v>
      </c>
      <c r="B52" s="27">
        <f t="array" ref="B52">Calibration!sL*SUM(B13:C13*B26:C26)</f>
        <v>2073093.0976150823</v>
      </c>
      <c r="D52" s="27">
        <f t="array" ref="D52">Calibration!sL*SUM(D13:E13*D26:E26)</f>
        <v>2071034.7756996723</v>
      </c>
      <c r="F52" s="27">
        <f t="array" ref="F52">Calibration!sL*SUM(F13:G13*F26:G26)</f>
        <v>2068369.1848244311</v>
      </c>
      <c r="H52" s="27">
        <f t="array" ref="H52">Calibration!sL*SUM(H13:I13*H26:I26)</f>
        <v>2065005.6378255798</v>
      </c>
      <c r="J52" s="27">
        <f t="array" ref="J52">Calibration!sL*SUM(J13:K13*J26:K26)</f>
        <v>2060834.2907572023</v>
      </c>
      <c r="L52" s="27">
        <f t="array" ref="L52">Calibration!sL*SUM(L13:M13*L26:M26)</f>
        <v>2055720.2547724012</v>
      </c>
      <c r="N52" s="27">
        <f t="array" ref="N52">Calibration!sL*SUM(N13:O13*N26:O26)</f>
        <v>2049496.0172991152</v>
      </c>
      <c r="P52" s="27">
        <f t="array" ref="P52">Calibration!sL*SUM(P13:Q13*P26:Q26)</f>
        <v>2041949.3606117344</v>
      </c>
      <c r="R52" s="27">
        <f t="array" ref="R52">Calibration!sL*SUM(R13:S13*R26:S26)</f>
        <v>2032806.4078171628</v>
      </c>
      <c r="T52" s="27">
        <f t="array" ref="T52">Calibration!sL*SUM(T13:U13*T26:U26)</f>
        <v>2021704.7134590193</v>
      </c>
      <c r="V52" s="27">
        <f t="array" ref="V52">Calibration!sL*SUM(V13:W13*V26:W26)</f>
        <v>2008150.1190382496</v>
      </c>
      <c r="X52" s="27">
        <f t="array" ref="X52">Calibration!sL*SUM(X13:Y13*X26:Y26)</f>
        <v>1991444.1833061574</v>
      </c>
      <c r="Z52" s="27">
        <f t="array" ref="Z52">Calibration!sL*SUM(Z13:AA13*Z26:AA26)</f>
        <v>1970555.2836459212</v>
      </c>
      <c r="AB52" s="27">
        <f t="array" ref="AB52">Calibration!sL*SUM(AB13:AC13*AB26:AC26)</f>
        <v>1943877.5640549986</v>
      </c>
      <c r="AD52" s="27">
        <f t="array" ref="AD52">Calibration!sL*SUM(AD13:AE13*AD26:AE26)</f>
        <v>1908752.9583312629</v>
      </c>
      <c r="AF52" s="27">
        <f t="array" ref="AF52">Calibration!sL*SUM(AF13:AG13*AF26:AG26)</f>
        <v>1860477.2023482267</v>
      </c>
      <c r="AH52" s="27">
        <f t="array" ref="AH52">Calibration!sL*SUM(AH13:AI13*AH26:AI26)</f>
        <v>1790155.6190090445</v>
      </c>
      <c r="AJ52" s="27">
        <f t="array" ref="AJ52">Calibration!sL*SUM(AJ13:AK13*AJ26:AK26)</f>
        <v>1679761.5677695046</v>
      </c>
      <c r="AL52" s="27">
        <f t="array" ref="AL52">Calibration!sL*SUM(AL13:AM13*AL26:AM26)</f>
        <v>1487660.4063365541</v>
      </c>
      <c r="AN52" s="27">
        <f t="array" ref="AN52">Calibration!sL*SUM(AN13:AO13*AN26:AO26)</f>
        <v>1085518.6525772701</v>
      </c>
      <c r="AP52" s="27">
        <f t="array" ref="AP52">Calibration!sL*SUM(AP13:AQ13*AP26:AQ26)</f>
        <v>947102.46297123923</v>
      </c>
      <c r="AQ52" s="27"/>
      <c r="AR52" s="27">
        <f t="array" ref="AR52">Calibration!sL*SUM(AR13:AS13*AR26:AS26)</f>
        <v>771667.64448689879</v>
      </c>
      <c r="AT52" s="27">
        <f t="array" ref="AT52">Calibration!sL*SUM(AT13:AU13*AT26:AU26)</f>
        <v>544517.38670713431</v>
      </c>
      <c r="AV52" s="27">
        <f t="array" ref="AV52">Calibration!sL*SUM(AV13:AW13*AV26:AW26)</f>
        <v>252819.28925667581</v>
      </c>
    </row>
    <row r="53" spans="1:48 16321:16384" x14ac:dyDescent="0.2">
      <c r="A53" t="s">
        <v>152</v>
      </c>
      <c r="B53" s="27">
        <f t="array" ref="B53">Calibration!sK*SUM(B15:C15*B27:C27)</f>
        <v>2716869.1663849424</v>
      </c>
      <c r="D53" s="27">
        <f t="array" ref="D53">Calibration!sK*SUM(D15:E15*D27:E27)</f>
        <v>2697680.0765655655</v>
      </c>
      <c r="F53" s="27">
        <f t="array" ref="F53">Calibration!sK*SUM(F15:G15*F27:G27)</f>
        <v>2677944.2425768785</v>
      </c>
      <c r="H53" s="27">
        <f t="array" ref="H53">Calibration!sK*SUM(H15:I15*H27:I27)</f>
        <v>2657546.925794933</v>
      </c>
      <c r="J53" s="27">
        <f t="array" ref="J53">Calibration!sK*SUM(J15:K15*J27:K27)</f>
        <v>2636349.6365731312</v>
      </c>
      <c r="L53" s="27">
        <f t="array" ref="L53">Calibration!sK*SUM(L15:M15*L27:M27)</f>
        <v>2614184.9004964996</v>
      </c>
      <c r="N53" s="27">
        <f t="array" ref="N53">Calibration!sK*SUM(N15:O15*N27:O27)</f>
        <v>2590847.7637885343</v>
      </c>
      <c r="P53" s="27">
        <f t="array" ref="P53">Calibration!sK*SUM(P15:Q15*P27:Q27)</f>
        <v>2566086.1668777899</v>
      </c>
      <c r="R53" s="27">
        <f t="array" ref="R53">Calibration!sK*SUM(R15:S15*R27:S27)</f>
        <v>2539585.0084228832</v>
      </c>
      <c r="T53" s="27">
        <f t="array" ref="T53">Calibration!sK*SUM(T15:U15*T27:U27)</f>
        <v>2510942.683488409</v>
      </c>
      <c r="V53" s="27">
        <f t="array" ref="V53">Calibration!sK*SUM(V15:W15*V27:W27)</f>
        <v>2479632.9636120703</v>
      </c>
      <c r="X53" s="27">
        <f t="array" ref="X53">Calibration!sK*SUM(X15:Y15*X27:Y27)</f>
        <v>2444938.8714148202</v>
      </c>
      <c r="Z53" s="27">
        <f t="array" ref="Z53">Calibration!sK*SUM(Z15:AA15*Z27:AA27)</f>
        <v>2405831.0226909947</v>
      </c>
      <c r="AB53" s="27">
        <f t="array" ref="AB53">Calibration!sK*SUM(AB15:AC15*AB27:AC27)</f>
        <v>2360726.643499935</v>
      </c>
      <c r="AD53" s="27">
        <f t="array" ref="AD53">Calibration!sK*SUM(AD15:AE15*AD27:AE27)</f>
        <v>2306977.5114878635</v>
      </c>
      <c r="AF53" s="27">
        <f t="array" ref="AF53">Calibration!sK*SUM(AF15:AG15*AF27:AG27)</f>
        <v>2239708.119066597</v>
      </c>
      <c r="AH53" s="27">
        <f t="array" ref="AH53">Calibration!sK*SUM(AH15:AI15*AH27:AI27)</f>
        <v>2149074.1794628864</v>
      </c>
      <c r="AJ53" s="27">
        <f t="array" ref="AJ53">Calibration!sK*SUM(AJ15:AK15*AJ27:AK27)</f>
        <v>2013690.6506336755</v>
      </c>
      <c r="AL53" s="27">
        <f t="array" ref="AL53">Calibration!sK*SUM(AL15:AM15*AL27:AM27)</f>
        <v>1782638.5912932588</v>
      </c>
      <c r="AN53" s="27">
        <f t="array" ref="AN53">Calibration!sK*SUM(AN15:AO15*AN27:AO27)</f>
        <v>1300686.3380200251</v>
      </c>
      <c r="AP53" s="27">
        <f t="array" ref="AP53">Calibration!sK*SUM(AP15:AQ15*AP27:AQ27)</f>
        <v>1134832.6630370968</v>
      </c>
      <c r="AQ53" s="27"/>
      <c r="AR53" s="27">
        <f t="array" ref="AR53">Calibration!sK*SUM(AR15:AS15*AR27:AS27)</f>
        <v>924623.64680490817</v>
      </c>
      <c r="AT53" s="27">
        <f t="array" ref="AT53">Calibration!sK*SUM(AT15:AU15*AT27:AU27)</f>
        <v>652448.76229699166</v>
      </c>
      <c r="AV53" s="27">
        <f t="array" ref="AV53">Calibration!sK*SUM(AV15:AW15*AV27:AW27)</f>
        <v>302931.79422235978</v>
      </c>
      <c r="XFD53" s="27"/>
    </row>
    <row r="55" spans="1:48 16321:16384" x14ac:dyDescent="0.2">
      <c r="A55" t="s">
        <v>153</v>
      </c>
      <c r="B55" s="183">
        <f>B30/B32</f>
        <v>0.19850271905982084</v>
      </c>
      <c r="D55" s="183">
        <f>D30/D32</f>
        <v>0.20239779553733789</v>
      </c>
      <c r="F55" s="183">
        <f>F30/F32</f>
        <v>0.20639770400475324</v>
      </c>
      <c r="H55" s="183">
        <f>H30/H32</f>
        <v>0.21051931706309454</v>
      </c>
      <c r="J55" s="183">
        <f>J30/J32</f>
        <v>0.2147827253145724</v>
      </c>
      <c r="L55" s="183">
        <f>L30/L32</f>
        <v>0.2192119972568333</v>
      </c>
      <c r="N55" s="183">
        <f>N30/N32</f>
        <v>0.22383728041496614</v>
      </c>
      <c r="P55" s="183">
        <f>P30/P32</f>
        <v>0.22869670356928121</v>
      </c>
      <c r="R55" s="183">
        <f>R30/R32</f>
        <v>0.23384056274914408</v>
      </c>
      <c r="T55" s="183">
        <f>T30/T32</f>
        <v>0.23933801894535195</v>
      </c>
      <c r="V55" s="183">
        <f>V30/V32</f>
        <v>0.24528845227954507</v>
      </c>
      <c r="X55" s="183">
        <f>X30/X32</f>
        <v>0.2518422754710708</v>
      </c>
      <c r="Z55" s="183">
        <f>Z30/Z32</f>
        <v>0.25923950569435456</v>
      </c>
      <c r="AB55" s="183">
        <f>AB30/AB32</f>
        <v>0.26788459608737114</v>
      </c>
      <c r="AD55" s="183">
        <f>AD30/AD32</f>
        <v>0.27849427503079621</v>
      </c>
      <c r="AF55" s="183">
        <f>AF30/AF32</f>
        <v>0.29238623205643544</v>
      </c>
      <c r="AH55" s="183">
        <f>AH30/AH32</f>
        <v>0.31199466117292168</v>
      </c>
      <c r="AJ55" s="183">
        <f>AJ30/AJ32</f>
        <v>0.34173325275896693</v>
      </c>
      <c r="AL55" s="183">
        <f>AL30/AL32</f>
        <v>0.39065668161471973</v>
      </c>
      <c r="AN55" s="183">
        <f>AN30/AN32</f>
        <v>0.48912800232220754</v>
      </c>
      <c r="AP55" s="183">
        <f>AP30/AP32</f>
        <v>0.52419616412747083</v>
      </c>
      <c r="AR55" s="183">
        <f>AR30/AR32</f>
        <v>0.57115544644106797</v>
      </c>
      <c r="AT55" s="183">
        <f>AT30/AT32</f>
        <v>0.63905986568474415</v>
      </c>
      <c r="AV55" s="183">
        <f>AV30/AV32</f>
        <v>0.75122324425893194</v>
      </c>
      <c r="XCS55" s="183"/>
      <c r="XFD55" s="183"/>
    </row>
    <row r="56" spans="1:48 16321:16384" x14ac:dyDescent="0.2">
      <c r="A56" t="s">
        <v>154</v>
      </c>
      <c r="B56" s="183">
        <f>(Model!$C$52*B5*B20+B2*C5*C20)/B32</f>
        <v>2.9221206744340551E-2</v>
      </c>
      <c r="D56" s="183">
        <f>(Model!$C$52*D5*D20+D2*E5*E20)/D32</f>
        <v>3.34248204473164E-2</v>
      </c>
      <c r="F56" s="183">
        <f>(Model!$C$52*F5*F20+F2*G5*G20)/F32</f>
        <v>3.7762934112803098E-2</v>
      </c>
      <c r="H56" s="183">
        <f>(Model!$C$52*H5*H20+H2*I5*I20)/H32</f>
        <v>4.2255893741362155E-2</v>
      </c>
      <c r="J56" s="183">
        <f>(Model!$C$52*J5*J20+J2*K5*K20)/J32</f>
        <v>4.6927938304577789E-2</v>
      </c>
      <c r="L56" s="183">
        <f>(Model!$C$52*L5*L20+L2*M5*M20)/L32</f>
        <v>5.1808197051297078E-2</v>
      </c>
      <c r="N56" s="183">
        <f>(Model!$C$52*N5*N20+N2*O5*O20)/N32</f>
        <v>5.6933225682130759E-2</v>
      </c>
      <c r="P56" s="183">
        <f>(Model!$C$52*P5*P20+P2*Q5*Q20)/P32</f>
        <v>6.234949183362104E-2</v>
      </c>
      <c r="R56" s="183">
        <f>(Model!$C$52*R5*R20+R2*S5*S20)/R32</f>
        <v>6.811858518722444E-2</v>
      </c>
      <c r="T56" s="183">
        <f>(Model!$C$52*T5*T20+T2*U5*U20)/T32</f>
        <v>7.4325582708832771E-2</v>
      </c>
      <c r="V56" s="183">
        <f>(Model!$C$52*V5*V20+V2*W5*W20)/V32</f>
        <v>8.1093240121636906E-2</v>
      </c>
      <c r="X56" s="183">
        <f>(Model!$C$52*X5*X20+X2*Y5*Y20)/X32</f>
        <v>8.8607820761013631E-2</v>
      </c>
      <c r="Z56" s="183">
        <f>(Model!$C$52*Z5*Z20+Z2*AA5*AA20)/Z32</f>
        <v>9.7166790906594885E-2</v>
      </c>
      <c r="AB56" s="183">
        <f>(Model!$C$52*AB5*AB20+AB2*AC5*AC20)/AB32</f>
        <v>0.10727080791644243</v>
      </c>
      <c r="AD56" s="183">
        <f>(Model!$C$52*AD5*AD20+AD2*AE5*AE20)/AD32</f>
        <v>0.11980430655812303</v>
      </c>
      <c r="AF56" s="183">
        <f>(Model!$C$52*AF5*AF20+AF2*AG5*AG20)/AF32</f>
        <v>0.13638510240471802</v>
      </c>
      <c r="AH56" s="183">
        <f>(Model!$C$52*AH5*AH20+AH2*AI5*AI20)/AH32</f>
        <v>0.15998120348902842</v>
      </c>
      <c r="AJ56" s="183">
        <f>(Model!$C$52*AJ5*AJ20+AJ2*AK5*AK20)/AJ32</f>
        <v>0.19593164957924436</v>
      </c>
      <c r="AL56" s="183">
        <f>(Model!$C$52*AL5*AL20+AL2*AM5*AM20)/AL32</f>
        <v>0.25514082419049883</v>
      </c>
      <c r="AN56" s="183">
        <f>(Model!$C$52*AN5*AN20+AN2*AO5*AO20)/AN32</f>
        <v>0.3742267731961687</v>
      </c>
      <c r="AP56" s="183">
        <f>(Model!$C$52*AP5*AP20+AP2*AQ5*AQ20)/AP32</f>
        <v>0.41660621505862055</v>
      </c>
      <c r="AR56" s="183">
        <f>(Model!$C$52*AR5*AR20+AR2*AS5*AS20)/AR32</f>
        <v>0.47333601536086622</v>
      </c>
      <c r="AT56" s="183">
        <f>(Model!$C$52*AT5*AT20+AT2*AU5*AU20)/AT32</f>
        <v>0.55533457076485615</v>
      </c>
      <c r="AV56" s="183">
        <f>(Model!$C$52*AV5*AV20+AV2*AW5*AW20)/AV32</f>
        <v>0.69070724689027474</v>
      </c>
      <c r="XFD56" s="183"/>
    </row>
    <row r="57" spans="1:48 16321:16384" x14ac:dyDescent="0.2">
      <c r="A57" t="s">
        <v>155</v>
      </c>
      <c r="B57" s="183">
        <f t="array" ref="B57">SUM(Model!tauL*B13:C13*B26:C26)/B32</f>
        <v>0.15852881819439493</v>
      </c>
      <c r="D57" s="183">
        <f t="array" ref="D57">SUM(Model!tauL*D13:E13*D26:E26)/D32</f>
        <v>0.15830398116374866</v>
      </c>
      <c r="F57" s="183">
        <f t="array" ref="F57">SUM(Model!tauL*F13:G13*F26:G26)/F32</f>
        <v>0.15804982336098722</v>
      </c>
      <c r="H57" s="183">
        <f t="array" ref="H57">SUM(Model!tauL*H13:I13*H26:I26)/H32</f>
        <v>0.15776308972578834</v>
      </c>
      <c r="J57" s="183">
        <f t="array" ref="J57">SUM(Model!tauL*J13:K13*J26:K26)/J32</f>
        <v>0.15743990256362389</v>
      </c>
      <c r="L57" s="183">
        <f t="array" ref="L57">SUM(Model!tauL*L13:M13*L26:M26)/L32</f>
        <v>0.15707553204346966</v>
      </c>
      <c r="N57" s="183">
        <f t="array" ref="N57">SUM(Model!tauL*N13:O13*N26:O26)/N32</f>
        <v>0.15666397894669992</v>
      </c>
      <c r="P57" s="183">
        <f t="array" ref="P57">SUM(Model!tauL*P13:Q13*P26:Q26)/P32</f>
        <v>0.15619739796237034</v>
      </c>
      <c r="R57" s="183">
        <f t="array" ref="R57">SUM(Model!tauL*R13:S13*R26:S26)/R32</f>
        <v>0.15566509145602409</v>
      </c>
      <c r="T57" s="183">
        <f t="array" ref="T57">SUM(Model!tauL*T13:U13*T26:U26)/T32</f>
        <v>0.15505185087443937</v>
      </c>
      <c r="V57" s="183">
        <f t="array" ref="V57">SUM(Model!tauL*V13:W13*V26:W26)/V32</f>
        <v>0.15433512220963749</v>
      </c>
      <c r="X57" s="183">
        <f t="array" ref="X57">SUM(Model!tauL*X13:Y13*X26:Y26)/X32</f>
        <v>0.15347997653202566</v>
      </c>
      <c r="Y57" s="183"/>
      <c r="Z57" s="183">
        <f t="array" ref="Z57">SUM(Model!tauL*Z13:AA13*Z26:AA26)/Z32</f>
        <v>0.1524299286199132</v>
      </c>
      <c r="AB57" s="183">
        <f t="array" ref="AB57">SUM(Model!tauL*AB13:AC13*AB26:AC26)/AB32</f>
        <v>0.15108963933823322</v>
      </c>
      <c r="AD57" s="183">
        <f t="array" ref="AD57">SUM(Model!tauL*AD13:AE13*AD26:AE26)/AD32</f>
        <v>0.14929185777421267</v>
      </c>
      <c r="AF57" s="183">
        <f t="array" ref="AF57">SUM(Model!tauL*AF13:AG13*AF26:AG26)/AF32</f>
        <v>0.14673597325882712</v>
      </c>
      <c r="AH57" s="183">
        <f t="array" ref="AH57">SUM(Model!tauL*AH13:AI13*AH26:AI26)/AH32</f>
        <v>0.14288634682111814</v>
      </c>
      <c r="AJ57" s="183">
        <f t="array" ref="AJ57">SUM(Model!tauL*AJ13:AK13*AJ26:AK26)/AJ32</f>
        <v>0.13681588615784401</v>
      </c>
      <c r="AL57" s="183">
        <f t="array" ref="AL57">SUM(Model!tauL*AL13:AM13*AL26:AM26)/AL32</f>
        <v>0.12667702387940993</v>
      </c>
      <c r="AN57" s="183">
        <f t="array" ref="AN57">SUM(Model!tauL*AN13:AO13*AN26:AO26)/AN32</f>
        <v>0.10620894482357511</v>
      </c>
      <c r="AP57" s="183">
        <f t="array" ref="AP57">SUM(Model!tauL*AP13:AQ13*AP26:AQ26)/AP32</f>
        <v>9.8918419213225056E-2</v>
      </c>
      <c r="AR57" s="183">
        <f t="array" ref="AR57">SUM(Model!tauL*AR13:AS13*AR26:AS26)/AR32</f>
        <v>8.9155720150196668E-2</v>
      </c>
      <c r="AT57" s="183">
        <f t="array" ref="AT57">SUM(Model!tauL*AT13:AU13*AT26:AU26)/AT32</f>
        <v>7.503856388113106E-2</v>
      </c>
      <c r="AV57" s="183">
        <f t="array" ref="AV57">SUM(Model!tauL*AV13:AW13*AV26:AW26)/AV32</f>
        <v>5.1720074644775078E-2</v>
      </c>
      <c r="XFD57" s="183"/>
    </row>
    <row r="58" spans="1:48 16321:16384" x14ac:dyDescent="0.2">
      <c r="A58" t="s">
        <v>156</v>
      </c>
      <c r="B58" s="183">
        <f t="array" ref="B58">SUM(Model!tauY/(1+Model!tauY)*B3:C3*B18:C18)/B32</f>
        <v>1.075269412108535E-2</v>
      </c>
      <c r="D58" s="183">
        <f t="array" ref="D58">SUM(Model!tauY/(1+Model!tauY)*D3:E3*D18:E18)/D32</f>
        <v>1.0668993926272843E-2</v>
      </c>
      <c r="F58" s="183">
        <f t="array" ref="F58">SUM(Model!tauY/(1+Model!tauY)*F3:G3*F18:G18)/F32</f>
        <v>1.0584946530962936E-2</v>
      </c>
      <c r="H58" s="183">
        <f t="array" ref="H58">SUM(Model!tauY/(1+Model!tauY)*H3:I3*H18:I18)/H32</f>
        <v>1.0500333595944041E-2</v>
      </c>
      <c r="J58" s="183">
        <f t="array" ref="J58">SUM(Model!tauY/(1+Model!tauY)*J3:K3*J18:K18)/J32</f>
        <v>1.0414884446370714E-2</v>
      </c>
      <c r="L58" s="183">
        <f t="array" ref="L58">SUM(Model!tauY/(1+Model!tauY)*L3:M3*L18:M18)/L32</f>
        <v>1.0328268162066556E-2</v>
      </c>
      <c r="N58" s="183">
        <f t="array" ref="N58">SUM(Model!tauY/(1+Model!tauY)*N3:O3*N18:O18)/N32</f>
        <v>1.0240075786135425E-2</v>
      </c>
      <c r="P58" s="183">
        <f t="array" ref="P58">SUM(Model!tauY/(1+Model!tauY)*P3:Q3*P18:Q18)/P32</f>
        <v>1.0149813773289837E-2</v>
      </c>
      <c r="R58" s="183">
        <f t="array" ref="R58">SUM(Model!tauY/(1+Model!tauY)*R3:S3*R18:S18)/R32</f>
        <v>1.0056886105895549E-2</v>
      </c>
      <c r="T58" s="183">
        <f t="array" ref="T58">SUM(Model!tauY/(1+Model!tauY)*T3:U3*T18:U18)/T32</f>
        <v>9.9605853620798358E-3</v>
      </c>
      <c r="V58" s="183">
        <f t="array" ref="V58">SUM(Model!tauY/(1+Model!tauY)*V3:W3*V18:W18)/V32</f>
        <v>9.8600899482706623E-3</v>
      </c>
      <c r="X58" s="183">
        <f t="array" ref="X58">SUM(Model!tauY/(1+Model!tauY)*X3:Y3*X18:Y18)/X32</f>
        <v>9.7544781780315414E-3</v>
      </c>
      <c r="Y58" s="183"/>
      <c r="Z58" s="183">
        <f t="array" ref="Z58">SUM(Model!tauY/(1+Model!tauY)*Z3:AA3*Z18:AA18)/Z32</f>
        <v>9.6427861678464403E-3</v>
      </c>
      <c r="AB58" s="183">
        <f t="array" ref="AB58">SUM(Model!tauY/(1+Model!tauY)*AB3:AC3*AB18:AC18)/AB32</f>
        <v>9.5241488326954851E-3</v>
      </c>
      <c r="AD58" s="183">
        <f t="array" ref="AD58">SUM(Model!tauY/(1+Model!tauY)*AD3:AE3*AD18:AE18)/AD32</f>
        <v>9.3981106984605076E-3</v>
      </c>
      <c r="AF58" s="183">
        <f t="array" ref="AF58">SUM(Model!tauY/(1+Model!tauY)*AF3:AG3*AF18:AG18)/AF32</f>
        <v>9.2651563928902881E-3</v>
      </c>
      <c r="AH58" s="183">
        <f t="array" ref="AH58">SUM(Model!tauY/(1+Model!tauY)*AH3:AI3*AH18:AI18)/AH32</f>
        <v>9.1271108627751941E-3</v>
      </c>
      <c r="AJ58" s="183">
        <f t="array" ref="AJ58">SUM(Model!tauY/(1+Model!tauY)*AJ3:AK3*AJ18:AK18)/AJ32</f>
        <v>8.98571702187855E-3</v>
      </c>
      <c r="AL58" s="183">
        <f t="array" ref="AL58">SUM(Model!tauY/(1+Model!tauY)*AL3:AM3*AL18:AM18)/AL32</f>
        <v>8.8388335448109819E-3</v>
      </c>
      <c r="AN58" s="183">
        <f t="array" ref="AN58">SUM(Model!tauY/(1+Model!tauY)*AN3:AO3*AN18:AO18)/AN32</f>
        <v>8.6922843024636945E-3</v>
      </c>
      <c r="AP58" s="183">
        <f t="array" ref="AP58">SUM(Model!tauY/(1+Model!tauY)*AP3:AQ3*AP18:AQ18)/AP32</f>
        <v>8.671529855625271E-3</v>
      </c>
      <c r="AR58" s="183">
        <f t="array" ref="AR58">SUM(Model!tauY/(1+Model!tauY)*AR3:AS3*AR18:AS18)/AR32</f>
        <v>8.663710930005156E-3</v>
      </c>
      <c r="AT58" s="183">
        <f t="array" ref="AT58">SUM(Model!tauY/(1+Model!tauY)*AT3:AU3*AT18:AU18)/AT32</f>
        <v>8.6867310387570736E-3</v>
      </c>
      <c r="AV58" s="183">
        <f t="array" ref="AV58">SUM(Model!tauY/(1+Model!tauY)*AV3:AW3*AV18:AW18)/AV32</f>
        <v>8.7959227238821238E-3</v>
      </c>
      <c r="XFD58" s="183"/>
    </row>
    <row r="59" spans="1:48 16321:16384" x14ac:dyDescent="0.2">
      <c r="A59" t="s">
        <v>157</v>
      </c>
      <c r="B59" s="183">
        <f>(B2*C5*C20)/B32</f>
        <v>5.5174232040962052E-4</v>
      </c>
      <c r="D59" s="183">
        <f>(D2*E5*E20)/D32</f>
        <v>4.8058214302721244E-3</v>
      </c>
      <c r="F59" s="183">
        <f>(F2*G5*G20)/F32</f>
        <v>9.1954210039070748E-3</v>
      </c>
      <c r="H59" s="183">
        <f>(H2*I5*I20)/H32</f>
        <v>1.3741017938193285E-2</v>
      </c>
      <c r="J59" s="183">
        <f>(J2*K5*K20)/J32</f>
        <v>1.846700128963789E-2</v>
      </c>
      <c r="L59" s="183">
        <f>(L2*M5*M20)/L32</f>
        <v>2.3402672621811133E-2</v>
      </c>
      <c r="N59" s="183">
        <f>(N2*O5*O20)/N32</f>
        <v>2.8584799325866109E-2</v>
      </c>
      <c r="P59" s="183">
        <f>(P2*Q5*Q20)/P32</f>
        <v>3.4060110266687309E-2</v>
      </c>
      <c r="R59" s="183">
        <f>(R2*S5*S20)/R32</f>
        <v>3.9890539475503528E-2</v>
      </c>
      <c r="T59" s="183">
        <f>(T2*U5*U20)/T32</f>
        <v>4.6161642910131473E-2</v>
      </c>
      <c r="V59" s="183">
        <f>(V2*W5*W20)/V32</f>
        <v>5.2996882471069151E-2</v>
      </c>
      <c r="X59" s="183">
        <f>(X2*Y5*Y20)/X32</f>
        <v>6.0583627702194776E-2</v>
      </c>
      <c r="Z59" s="183">
        <f>(Z2*AA5*AA20)/Z32</f>
        <v>6.922117294178344E-2</v>
      </c>
      <c r="AB59" s="183">
        <f>(AB2*AC5*AC20)/AB32</f>
        <v>7.9413340621919543E-2</v>
      </c>
      <c r="AD59" s="183">
        <f>(AD2*AE5*AE20)/AD32</f>
        <v>9.2050214273100783E-2</v>
      </c>
      <c r="AF59" s="183">
        <f>(AF2*AG5*AG20)/AF32</f>
        <v>0.10875965529345383</v>
      </c>
      <c r="AH59" s="183">
        <f>(AH2*AI5*AI20)/AH32</f>
        <v>0.132526043758979</v>
      </c>
      <c r="AJ59" s="183">
        <f>(AJ2*AK5*AK20)/AJ32</f>
        <v>0.16870876298665138</v>
      </c>
      <c r="AL59" s="183">
        <f>(AL2*AM5*AM20)/AL32</f>
        <v>0.22822418766019859</v>
      </c>
      <c r="AN59" s="183">
        <f>(AN2*AO5*AO20)/AN32</f>
        <v>0.34764817964379113</v>
      </c>
      <c r="AP59" s="183">
        <f>(AP2*AQ5*AQ20)/AP32</f>
        <v>0.39006931800042327</v>
      </c>
      <c r="AR59" s="183">
        <f>(AR2*AS5*AS20)/AR32</f>
        <v>0.44679940321056361</v>
      </c>
      <c r="AT59" s="183">
        <f>(AT2*AU5*AU20)/AT32</f>
        <v>0.52869911048265406</v>
      </c>
      <c r="AV59" s="183">
        <f>(AV2*AW5*AW20)/AV32</f>
        <v>0.66369559937945799</v>
      </c>
      <c r="XFD59" s="183"/>
    </row>
    <row r="60" spans="1:48 16321:16384" x14ac:dyDescent="0.2">
      <c r="A60" t="s">
        <v>158</v>
      </c>
      <c r="B60" s="183">
        <f>Model!$C$52*B5*B20/B32</f>
        <v>2.8669464423930927E-2</v>
      </c>
      <c r="D60" s="183">
        <f>Model!$C$52*D5*D20/D32</f>
        <v>2.8618999017044278E-2</v>
      </c>
      <c r="F60" s="183">
        <f>Model!$C$52*F5*F20/F32</f>
        <v>2.8567513108896023E-2</v>
      </c>
      <c r="H60" s="183">
        <f>Model!$C$52*H5*H20/H32</f>
        <v>2.8514875803168874E-2</v>
      </c>
      <c r="J60" s="183">
        <f>Model!$C$52*J5*J20/J32</f>
        <v>2.8460937014939895E-2</v>
      </c>
      <c r="L60" s="183">
        <f>Model!$C$52*L5*L20/L32</f>
        <v>2.8405524429485941E-2</v>
      </c>
      <c r="N60" s="183">
        <f>Model!$C$52*N5*N20/N32</f>
        <v>2.8348426356264656E-2</v>
      </c>
      <c r="P60" s="183">
        <f>Model!$C$52*P5*P20/P32</f>
        <v>2.8289381566933731E-2</v>
      </c>
      <c r="R60" s="183">
        <f>Model!$C$52*R5*R20/R32</f>
        <v>2.8228045711720912E-2</v>
      </c>
      <c r="T60" s="183">
        <f>Model!$C$52*T5*T20/T32</f>
        <v>2.8163939798701292E-2</v>
      </c>
      <c r="V60" s="183">
        <f>Model!$C$52*V5*V20/V32</f>
        <v>2.8096357650567762E-2</v>
      </c>
      <c r="X60" s="183">
        <f>Model!$C$52*X5*X20/X32</f>
        <v>2.8024193058818852E-2</v>
      </c>
      <c r="Z60" s="183">
        <f>Model!$C$52*Z5*Z20/Z32</f>
        <v>2.7945617964811445E-2</v>
      </c>
      <c r="AB60" s="183">
        <f>Model!$C$52*AB5*AB20/AB32</f>
        <v>2.7857467294522879E-2</v>
      </c>
      <c r="AD60" s="183">
        <f>Model!$C$52*AD5*AD20/AD32</f>
        <v>2.7754092285022257E-2</v>
      </c>
      <c r="AF60" s="183">
        <f>Model!$C$52*AF5*AF20/AF32</f>
        <v>2.762544711126419E-2</v>
      </c>
      <c r="AH60" s="183">
        <f>Model!$C$52*AH5*AH20/AH32</f>
        <v>2.745515973004941E-2</v>
      </c>
      <c r="AJ60" s="183">
        <f>Model!$C$52*AJ5*AJ20/AJ32</f>
        <v>2.722288659259298E-2</v>
      </c>
      <c r="AL60" s="183">
        <f>Model!$C$52*AL5*AL20/AL32</f>
        <v>2.6916636530300238E-2</v>
      </c>
      <c r="AN60" s="183">
        <f>Model!$C$52*AN5*AN20/AN32</f>
        <v>2.6578593552377565E-2</v>
      </c>
      <c r="AP60" s="183">
        <f>Model!$C$52*AP5*AP20/AP32</f>
        <v>2.6536897058197305E-2</v>
      </c>
      <c r="AR60" s="183">
        <f>Model!$C$52*AR5*AR20/AR32</f>
        <v>2.6536612150302612E-2</v>
      </c>
      <c r="AT60" s="183">
        <f>Model!$C$52*AT5*AT20/AT32</f>
        <v>2.6635460282202005E-2</v>
      </c>
      <c r="AV60" s="183">
        <f>Model!$C$52*AV5*AV20/AV32</f>
        <v>2.7011647510816691E-2</v>
      </c>
      <c r="XFD60" s="183"/>
    </row>
    <row r="62" spans="1:48 16321:16384" x14ac:dyDescent="0.2">
      <c r="A62" t="s">
        <v>159</v>
      </c>
      <c r="B62">
        <f>B13/B15</f>
        <v>1</v>
      </c>
      <c r="D62">
        <f>D13/D15</f>
        <v>1.0061132449320116</v>
      </c>
      <c r="F62">
        <f>F13/F15</f>
        <v>1.0122235750789426</v>
      </c>
      <c r="H62">
        <f>H13/H15</f>
        <v>1.0183339415878261</v>
      </c>
      <c r="J62">
        <f>J13/J15</f>
        <v>1.0244481607051017</v>
      </c>
      <c r="L62">
        <f>L13/L15</f>
        <v>1.0305703240509732</v>
      </c>
      <c r="N62">
        <f>N13/N15</f>
        <v>1.0367047852471323</v>
      </c>
      <c r="P62">
        <f>P13/P15</f>
        <v>1.0428543378213251</v>
      </c>
      <c r="R62">
        <f>R13/R15</f>
        <v>1.0490185929367222</v>
      </c>
      <c r="T62">
        <f>T13/T15</f>
        <v>1.0551904302768638</v>
      </c>
      <c r="V62">
        <f>V13/V15</f>
        <v>1.0613501698369272</v>
      </c>
      <c r="X62">
        <f>X13/X15</f>
        <v>1.0674561723752176</v>
      </c>
      <c r="Z62">
        <f>Z13/Z15</f>
        <v>1.0734292437062685</v>
      </c>
      <c r="AB62">
        <f>AB13/AB15</f>
        <v>1.0791284079735397</v>
      </c>
      <c r="AD62">
        <f>AD13/AD15</f>
        <v>1.0843170367733923</v>
      </c>
      <c r="AF62">
        <f>AF13/AF15</f>
        <v>1.0886363912000574</v>
      </c>
      <c r="AH62">
        <f>AH13/AH15</f>
        <v>1.0916647801907662</v>
      </c>
      <c r="AJ62">
        <f>AJ13/AJ15</f>
        <v>1.093213047299268</v>
      </c>
      <c r="AL62">
        <f>AL13/AL15</f>
        <v>1.0936803765799665</v>
      </c>
      <c r="AN62">
        <f>AN13/AN15</f>
        <v>1.0937413495132204</v>
      </c>
      <c r="AP62">
        <f>AP13/AP15</f>
        <v>1.0937424247254348</v>
      </c>
      <c r="AR62">
        <f>AR13/AR15</f>
        <v>1.0937428178551658</v>
      </c>
      <c r="AT62">
        <f>AT13/AT15</f>
        <v>1.0937429314594544</v>
      </c>
      <c r="AV62">
        <f>AV13/AV15</f>
        <v>1.0937429541276971</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0.99900344623169246</v>
      </c>
      <c r="E65" s="181"/>
      <c r="F65" s="181">
        <f t="array" ref="F65">SQRT((F9:G9*$B$22:$C$22+F10:G10*$B$23:$C$23+F11:G11*$B$24:$C$24+F4:G4*($B$25:$C$25-$B$19:$C$19))/($B$9:$C$9*$B$22:$C$22+$B$10:$C$10*$B$23:$C$23+$B$11:$C$11*$B$24:$C$24+$B$4:$C$4*($B$25:$C$25-$B$19:$C$19))*(F9:G9*F22:G22+F10:G10*F23:G23+F11:G11*F24:G24+F4:G4*(F25:G25-F19:G19))/($B$9:$C$9*F22:G22+$B$10:$C$10*F23:G23+$B$11:$C$11*F24:G24+$B$4:$C$4*(F25:G25-F19:G19)))</f>
        <v>0.99801378336338908</v>
      </c>
      <c r="G65" s="181"/>
      <c r="H65" s="181">
        <f t="array" ref="H65">SQRT((H9:I9*$B$22:$C$22+H10:I10*$B$23:$C$23+H11:I11*$B$24:$C$24+H4:I4*($B$25:$C$25-$B$19:$C$19))/($B$9:$C$9*$B$22:$C$22+$B$10:$C$10*$B$23:$C$23+$B$11:$C$11*$B$24:$C$24+$B$4:$C$4*($B$25:$C$25-$B$19:$C$19))*(H9:I9*H22:I22+H10:I10*H23:I23+H11:I11*H24:I24+H4:I4*(H25:I25-H19:I19))/($B$9:$C$9*H22:I22+$B$10:$C$10*H23:I23+$B$11:$C$11*H24:I24+$B$4:$C$4*(H25:I25-H19:I19)))</f>
        <v>0.99702631229350192</v>
      </c>
      <c r="I65" s="181"/>
      <c r="J65" s="181">
        <f t="array" ref="J65">SQRT((J9:K9*$B$22:$C$22+J10:K10*$B$23:$C$23+J11:K11*$B$24:$C$24+J4:K4*($B$25:$C$25-$B$19:$C$19))/($B$9:$C$9*$B$22:$C$22+$B$10:$C$10*$B$23:$C$23+$B$11:$C$11*$B$24:$C$24+$B$4:$C$4*($B$25:$C$25-$B$19:$C$19))*(J9:K9*J22:K22+J10:K10*J23:K23+J11:K11*J24:K24+J4:K4*(J25:K25-J19:K19))/($B$9:$C$9*J22:K22+$B$10:$C$10*J23:K23+$B$11:$C$11*J24:K24+$B$4:$C$4*(J25:K25-J19:K19)))</f>
        <v>0.99603527646325007</v>
      </c>
      <c r="K65" s="181"/>
      <c r="L65" s="181">
        <f t="array" ref="L65">SQRT((L9:M9*$B$22:$C$22+L10:M10*$B$23:$C$23+L11:M11*$B$24:$C$24+L4:M4*($B$25:$C$25-$B$19:$C$19))/($B$9:$C$9*$B$22:$C$22+$B$10:$C$10*$B$23:$C$23+$B$11:$C$11*$B$24:$C$24+$B$4:$C$4*($B$25:$C$25-$B$19:$C$19))*(L9:M9*L22:M22+L10:M10*L23:M23+L11:M11*L24:M24+L4:M4*(L25:M25-L19:M19))/($B$9:$C$9*L22:M22+$B$10:$C$10*L23:M23+$B$11:$C$11*L24:M24+$B$4:$C$4*(L25:M25-L19:M19)))</f>
        <v>0.9950337972369433</v>
      </c>
      <c r="M65" s="181"/>
      <c r="N65" s="181">
        <f t="array" ref="N65">SQRT((N9:O9*$B$22:$C$22+N10:O10*$B$23:$C$23+N11:O11*$B$24:$C$24+N4:O4*($B$25:$C$25-$B$19:$C$19))/($B$9:$C$9*$B$22:$C$22+$B$10:$C$10*$B$23:$C$23+$B$11:$C$11*$B$24:$C$24+$B$4:$C$4*($B$25:$C$25-$B$19:$C$19))*(N9:O9*N22:O22+N10:O10*N23:O23+N11:O11*N24:O24+N4:O4*(N25:O25-N19:O19))/($B$9:$C$9*N22:O22+$B$10:$C$10*N23:O23+$B$11:$C$11*N24:O24+$B$4:$C$4*(N25:O25-N19:O19)))</f>
        <v>0.99401404625807011</v>
      </c>
      <c r="O65" s="181"/>
      <c r="P65" s="181">
        <f t="array" ref="P65">SQRT((P9:Q9*$B$22:$C$22+P10:Q10*$B$23:$C$23+P11:Q11*$B$24:$C$24+P4:Q4*($B$25:$C$25-$B$19:$C$19))/($B$9:$C$9*$B$22:$C$22+$B$10:$C$10*$B$23:$C$23+$B$11:$C$11*$B$24:$C$24+$B$4:$C$4*($B$25:$C$25-$B$19:$C$19))*(P9:Q9*P22:Q22+P10:Q10*P23:Q23+P11:Q11*P24:Q24+P4:Q4*(P25:Q25-P19:Q19))/($B$9:$C$9*P22:Q22+$B$10:$C$10*P23:Q23+$B$11:$C$11*P24:Q24+$B$4:$C$4*(P25:Q25-P19:Q19)))</f>
        <v>0.99296751353391699</v>
      </c>
      <c r="Q65" s="181"/>
      <c r="R65" s="181">
        <f t="array" ref="R65">SQRT((R9:S9*$B$22:$C$22+R10:S10*$B$23:$C$23+R11:S11*$B$24:$C$24+R4:S4*($B$25:$C$25-$B$19:$C$19))/($B$9:$C$9*$B$22:$C$22+$B$10:$C$10*$B$23:$C$23+$B$11:$C$11*$B$24:$C$24+$B$4:$C$4*($B$25:$C$25-$B$19:$C$19))*(R9:S9*R22:S22+R10:S10*R23:S23+R11:S11*R24:S24+R4:S4*(R25:S25-R19:S19))/($B$9:$C$9*R22:S22+$B$10:$C$10*R23:S23+$B$11:$C$11*R24:S24+$B$4:$C$4*(R25:S25-R19:S19)))</f>
        <v>0.99188583670691133</v>
      </c>
      <c r="S65" s="181"/>
      <c r="T65" s="181">
        <f t="array" ref="T65">SQRT((T9:U9*$B$22:$C$22+T10:U10*$B$23:$C$23+T11:U11*$B$24:$C$24+T4:U4*($B$25:$C$25-$B$19:$C$19))/($B$9:$C$9*$B$22:$C$22+$B$10:$C$10*$B$23:$C$23+$B$11:$C$11*$B$24:$C$24+$B$4:$C$4*($B$25:$C$25-$B$19:$C$19))*(T9:U9*T22:U22+T10:U10*T23:U23+T11:U11*T24:U24+T4:U4*(T25:U25-T19:U19))/($B$9:$C$9*T22:U22+$B$10:$C$10*T23:U23+$B$11:$C$11*T24:U24+$B$4:$C$4*(T25:U25-T19:U19)))</f>
        <v>0.99076243387182505</v>
      </c>
      <c r="U65" s="181"/>
      <c r="V65" s="181">
        <f t="array" ref="V65">SQRT((V9:W9*$B$22:$C$22+V10:W10*$B$23:$C$23+V11:W11*$B$24:$C$24+V4:W4*($B$25:$C$25-$B$19:$C$19))/($B$9:$C$9*$B$22:$C$22+$B$10:$C$10*$B$23:$C$23+$B$11:$C$11*$B$24:$C$24+$B$4:$C$4*($B$25:$C$25-$B$19:$C$19))*(V9:W9*V22:W22+V10:W10*V23:W23+V11:W11*V24:W24+V4:W4*(V25:W25-V19:W19))/($B$9:$C$9*V22:W22+$B$10:$C$10*V23:W23+$B$11:$C$11*V24:W24+$B$4:$C$4*(V25:W25-V19:W19)))</f>
        <v>0.98959566849102532</v>
      </c>
      <c r="W65" s="181"/>
      <c r="X65" s="181">
        <f t="array" ref="X65">SQRT((X9:Y9*$B$22:$C$22+X10:Y10*$B$23:$C$23+X11:Y11*$B$24:$C$24+X4:Y4*($B$25:$C$25-$B$19:$C$19))/($B$9:$C$9*$B$22:$C$22+$B$10:$C$10*$B$23:$C$23+$B$11:$C$11*$B$24:$C$24+$B$4:$C$4*($B$25:$C$25-$B$19:$C$19))*(X9:Y9*X22:Y22+X10:Y10*X23:Y23+X11:Y11*X24:Y24+X4:Y4*(X25:Y25-X19:Y19))/($B$9:$C$9*X22:Y22+$B$10:$C$10*X23:Y23+$B$11:$C$11*X24:Y24+$B$4:$C$4*(X25:Y25-X19:Y19)))</f>
        <v>0.98839493417579083</v>
      </c>
      <c r="Y65" s="181"/>
      <c r="Z65" s="181">
        <f t="array" ref="Z65">SQRT((Z9:AA9*$B$22:$C$22+Z10:AA10*$B$23:$C$23+Z11:AA11*$B$24:$C$24+Z4:AA4*($B$25:$C$25-$B$19:$C$19))/($B$9:$C$9*$B$22:$C$22+$B$10:$C$10*$B$23:$C$23+$B$11:$C$11*$B$24:$C$24+$B$4:$C$4*($B$25:$C$25-$B$19:$C$19))*(Z9:AA9*Z22:AA22+Z10:AA10*Z23:AA23+Z11:AA11*Z24:AA24+Z4:AA4*(Z25:AA25-Z19:AA19))/($B$9:$C$9*Z22:AA22+$B$10:$C$10*Z23:AA23+$B$11:$C$11*Z24:AA24+$B$4:$C$4*(Z25:AA25-Z19:AA19)))</f>
        <v>0.98719220433682631</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0.98606392811732879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0.98517080850359828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0.98481890926206228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0.98549642403695137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0.98768979571267823</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0.9913622967738418</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0.99593952977193623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0.99697283221106336</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0.99811518843531921</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0.99949827485690801</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1.0015176511221411</v>
      </c>
    </row>
    <row r="66" spans="1:48 16384:16384" x14ac:dyDescent="0.2">
      <c r="A66" t="s">
        <v>166</v>
      </c>
      <c r="B66" s="181">
        <f t="array" ref="B66">SQRT((B9:C9*$B$22:$C$22)/($B$9:$C$9*$B$22:$C$22)*(B9:C9*B22:C22)/($B$9:$C$9*B22:C22))</f>
        <v>1</v>
      </c>
      <c r="C66" s="181"/>
      <c r="D66" s="181">
        <f t="array" ref="D66">SQRT((D9:E9*$B$22:$C$22)/($B$9:$C$9*$B$22:$C$22)*(D9:E9*D22:E22)/($B$9:$C$9*D22:E22))</f>
        <v>0.99890407723151942</v>
      </c>
      <c r="E66" s="181"/>
      <c r="F66" s="181">
        <f t="array" ref="F66">SQRT((F9:G9*$B$22:$C$22)/($B$9:$C$9*$B$22:$C$22)*(F9:G9*F22:G22)/($B$9:$C$9*F22:G22))</f>
        <v>0.9978143713194878</v>
      </c>
      <c r="G66" s="181"/>
      <c r="H66" s="181">
        <f t="array" ref="H66">SQRT((H9:I9*$B$22:$C$22)/($B$9:$C$9*$B$22:$C$22)*(H9:I9*H22:I22)/($B$9:$C$9*H22:I22))</f>
        <v>0.99672572048618935</v>
      </c>
      <c r="I66" s="181"/>
      <c r="J66" s="181">
        <f t="array" ref="J66">SQRT((J9:K9*$B$22:$C$22)/($B$9:$C$9*$B$22:$C$22)*(J9:K9*J22:K22)/($B$9:$C$9*J22:K22))</f>
        <v>0.99563176716897184</v>
      </c>
      <c r="K66" s="181"/>
      <c r="L66" s="181">
        <f t="array" ref="L66">SQRT((L9:M9*$B$22:$C$22)/($B$9:$C$9*$B$22:$C$22)*(L9:M9*L22:M22)/($B$9:$C$9*L22:M22))</f>
        <v>0.99452487814795032</v>
      </c>
      <c r="M66" s="181"/>
      <c r="N66" s="181">
        <f t="array" ref="N66">SQRT((N9:O9*$B$22:$C$22)/($B$9:$C$9*$B$22:$C$22)*(N9:O9*N22:O22)/($B$9:$C$9*N22:O22))</f>
        <v>0.99339632587982885</v>
      </c>
      <c r="O66" s="181"/>
      <c r="P66" s="181">
        <f t="array" ref="P66">SQRT((P9:Q9*$B$22:$C$22)/($B$9:$C$9*$B$22:$C$22)*(P9:Q9*P22:Q22)/($B$9:$C$9*P22:Q22))</f>
        <v>0.99223657597969328</v>
      </c>
      <c r="Q66" s="181"/>
      <c r="R66" s="181">
        <f t="array" ref="R66">SQRT((R9:S9*$B$22:$C$22)/($B$9:$C$9*$B$22:$C$22)*(R9:S9*R22:S22)/($B$9:$C$9*R22:S22))</f>
        <v>0.99103619920905395</v>
      </c>
      <c r="S66" s="181"/>
      <c r="T66" s="181">
        <f t="array" ref="T66">SQRT((T9:U9*$B$22:$C$22)/($B$9:$C$9*$B$22:$C$22)*(T9:U9*T22:U22)/($B$9:$C$9*T22:U22))</f>
        <v>0.98978768413978369</v>
      </c>
      <c r="U66" s="181"/>
      <c r="V66" s="181">
        <f t="array" ref="V66">SQRT((V9:W9*$B$22:$C$22)/($B$9:$C$9*$B$22:$C$22)*(V9:W9*V22:W22)/($B$9:$C$9*V22:W22))</f>
        <v>0.9884889739941114</v>
      </c>
      <c r="W66" s="181"/>
      <c r="X66" s="181">
        <f t="array" ref="X66">SQRT((X9:Y9*$B$22:$C$22)/($B$9:$C$9*$B$22:$C$22)*(X9:Y9*X22:Y22)/($B$9:$C$9*X22:Y22))</f>
        <v>0.98715030108658763</v>
      </c>
      <c r="Y66" s="181"/>
      <c r="Z66" s="181">
        <f t="array" ref="Z66">SQRT((Z9:AA9*$B$22:$C$22)/($B$9:$C$9*$B$22:$C$22)*(Z9:AA9*Z22:AA22)/($B$9:$C$9*Z22:AA22))</f>
        <v>0.98580721040002972</v>
      </c>
      <c r="AA66" s="181"/>
      <c r="AB66" s="181">
        <f t="array" ref="AB66">SQRT((AB9:AC9*$B$22:$C$22)/($B$9:$C$9*$B$22:$C$22)*(AB9:AC9*AB22:AC22)/($B$9:$C$9*AB22:AC22))</f>
        <v>0.98454531147308177</v>
      </c>
      <c r="AC66" s="181"/>
      <c r="AD66" s="181">
        <f t="array" ref="AD66">SQRT((AD9:AE9*$B$22:$C$22)/($B$9:$C$9*$B$22:$C$22)*(AD9:AE9*AD22:AE22)/($B$9:$C$9*AD22:AE22))</f>
        <v>0.9835452644915712</v>
      </c>
      <c r="AE66" s="181"/>
      <c r="AF66" s="181">
        <f t="array" ref="AF66">SQRT((AF9:AG9*$B$22:$C$22)/($B$9:$C$9*$B$22:$C$22)*(AF9:AG9*AF22:AG22)/($B$9:$C$9*AF22:AG22))</f>
        <v>0.98315161430253684</v>
      </c>
      <c r="AG66" s="181"/>
      <c r="AH66" s="181">
        <f t="array" ref="AH66">SQRT((AH9:AI9*$B$22:$C$22)/($B$9:$C$9*$B$22:$C$22)*(AH9:AI9*AH22:AI22)/($B$9:$C$9*AH22:AI22))</f>
        <v>0.98391267640332314</v>
      </c>
      <c r="AI66" s="181"/>
      <c r="AJ66" s="181">
        <f t="array" ref="AJ66">SQRT((AJ9:AK9*$B$22:$C$22)/($B$9:$C$9*$B$22:$C$22)*(AJ9:AK9*AJ22:AK22)/($B$9:$C$9*AJ22:AK22))</f>
        <v>0.9863683632246687</v>
      </c>
      <c r="AK66" s="181"/>
      <c r="AL66" s="181">
        <f t="array" ref="AL66">SQRT((AL9:AM9*$B$22:$C$22)/($B$9:$C$9*$B$22:$C$22)*(AL9:AM9*AL22:AM22)/($B$9:$C$9*AL22:AM22))</f>
        <v>0.9904610028349321</v>
      </c>
      <c r="AM66" s="181"/>
      <c r="AN66" s="181">
        <f t="array" ref="AN66">SQRT((AN9:AO9*$B$22:$C$22)/($B$9:$C$9*$B$22:$C$22)*(AN9:AO9*AN22:AO22)/($B$9:$C$9*AN22:AO22))</f>
        <v>0.99553059740449112</v>
      </c>
      <c r="AO66" s="181"/>
      <c r="AP66" s="181">
        <f t="array" ref="AP66">SQRT((AP9:AQ9*$B$22:$C$22)/($B$9:$C$9*$B$22:$C$22)*(AP9:AQ9*AP22:AQ22)/($B$9:$C$9*AP22:AQ22))</f>
        <v>0.9966704042240313</v>
      </c>
      <c r="AQ66" s="181"/>
      <c r="AR66" s="181">
        <f t="array" ref="AR66">SQRT((AR9:AS9*$B$22:$C$22)/($B$9:$C$9*$B$22:$C$22)*(AR9:AS9*AR22:AS22)/($B$9:$C$9*AR22:AS22))</f>
        <v>0.99792855550981518</v>
      </c>
      <c r="AS66" s="181"/>
      <c r="AT66" s="181">
        <f t="array" ref="AT66">SQRT((AT9:AU9*$B$22:$C$22)/($B$9:$C$9*$B$22:$C$22)*(AT9:AU9*AT22:AU22)/($B$9:$C$9*AT22:AU22))</f>
        <v>0.99944912797163699</v>
      </c>
      <c r="AU66" s="181"/>
      <c r="AV66" s="181">
        <f t="array" ref="AV66">SQRT((AV9:AW9*$B$22:$C$22)/($B$9:$C$9*$B$22:$C$22)*(AV9:AW9*AV22:AW22)/($B$9:$C$9*AV22:AW22))</f>
        <v>1.0016639808409651</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0.99890407723151942</v>
      </c>
      <c r="E68" s="181"/>
      <c r="F68" s="181">
        <f>F66/F67</f>
        <v>0.9978143713194878</v>
      </c>
      <c r="G68" s="181"/>
      <c r="H68" s="181">
        <f>H66/H67</f>
        <v>0.99672572048618935</v>
      </c>
      <c r="I68" s="181"/>
      <c r="J68" s="181">
        <f>J66/J67</f>
        <v>0.99563176716897184</v>
      </c>
      <c r="K68" s="181"/>
      <c r="L68" s="181">
        <f>L66/L67</f>
        <v>0.99452487814795032</v>
      </c>
      <c r="M68" s="181"/>
      <c r="N68" s="181">
        <f>N66/N67</f>
        <v>0.99339632587982885</v>
      </c>
      <c r="O68" s="181"/>
      <c r="P68" s="181">
        <f>P66/P67</f>
        <v>0.99223657597969328</v>
      </c>
      <c r="Q68" s="181"/>
      <c r="R68" s="181">
        <f>R66/R67</f>
        <v>0.99103619920905395</v>
      </c>
      <c r="S68" s="181"/>
      <c r="T68" s="181">
        <f>T66/T67</f>
        <v>0.98978768413978369</v>
      </c>
      <c r="U68" s="181"/>
      <c r="V68" s="181">
        <f>V66/V67</f>
        <v>0.9884889739941114</v>
      </c>
      <c r="W68" s="181"/>
      <c r="X68" s="181">
        <f>X66/X67</f>
        <v>0.98715030108658763</v>
      </c>
      <c r="Y68" s="181"/>
      <c r="Z68" s="181">
        <f>Z66/Z67</f>
        <v>0.98580721040002972</v>
      </c>
      <c r="AA68" s="181"/>
      <c r="AB68" s="181">
        <f>AB66/AB67</f>
        <v>0.98454531147308177</v>
      </c>
      <c r="AC68" s="181"/>
      <c r="AD68" s="181">
        <f>AD66/AD67</f>
        <v>0.9835452644915712</v>
      </c>
      <c r="AE68" s="181"/>
      <c r="AF68" s="181">
        <f>AF66/AF67</f>
        <v>0.98315161430253684</v>
      </c>
      <c r="AG68" s="181"/>
      <c r="AH68" s="181">
        <f>AH66/AH67</f>
        <v>0.98391267640332314</v>
      </c>
      <c r="AI68" s="181"/>
      <c r="AJ68" s="181">
        <f>AJ66/AJ67</f>
        <v>0.9863683632246687</v>
      </c>
      <c r="AK68" s="181"/>
      <c r="AL68" s="181">
        <f>AL66/AL67</f>
        <v>0.9904610028349321</v>
      </c>
      <c r="AM68" s="181"/>
      <c r="AN68" s="181">
        <f>AN66/AN67</f>
        <v>0.99553059740449112</v>
      </c>
      <c r="AO68" s="181"/>
      <c r="AP68" s="181">
        <f>AP66/AP67</f>
        <v>0.9966704042240313</v>
      </c>
      <c r="AQ68" s="181"/>
      <c r="AR68" s="181">
        <f>AR66/AR67</f>
        <v>0.99792855550981518</v>
      </c>
      <c r="AS68" s="181"/>
      <c r="AT68" s="181">
        <f>AT66/AT67</f>
        <v>0.99944912797163699</v>
      </c>
      <c r="AU68" s="181"/>
      <c r="AV68" s="181">
        <f>AV66/AV67</f>
        <v>1.0016639808409651</v>
      </c>
      <c r="XFD68" s="181"/>
    </row>
    <row r="69" spans="1:48 16384:16384" x14ac:dyDescent="0.2">
      <c r="A69" t="s">
        <v>161</v>
      </c>
      <c r="B69" s="181">
        <f>B32/B65/($B$32)</f>
        <v>1</v>
      </c>
      <c r="C69" s="181"/>
      <c r="D69" s="181">
        <f>D32/D65/($B$32)</f>
        <v>1.0014239745058358</v>
      </c>
      <c r="E69" s="181"/>
      <c r="F69" s="181">
        <f>F32/F65/($B$32)</f>
        <v>1.0027367251029209</v>
      </c>
      <c r="G69" s="181"/>
      <c r="H69" s="181">
        <f>H32/H65/($B$32)</f>
        <v>1.0039189107804523</v>
      </c>
      <c r="I69" s="181"/>
      <c r="J69" s="181">
        <f>J32/J65/($B$32)</f>
        <v>1.0049465326878824</v>
      </c>
      <c r="K69" s="181"/>
      <c r="L69" s="181">
        <f>L32/L65/($B$32)</f>
        <v>1.0057894125788278</v>
      </c>
      <c r="M69" s="181"/>
      <c r="N69" s="181">
        <f>N32/N65/($B$32)</f>
        <v>1.0064097167306987</v>
      </c>
      <c r="O69" s="181"/>
      <c r="P69" s="181">
        <f>P32/P65/($B$32)</f>
        <v>1.0067590656426639</v>
      </c>
      <c r="Q69" s="181"/>
      <c r="R69" s="181">
        <f>R32/R65/($B$32)</f>
        <v>1.0067752193454773</v>
      </c>
      <c r="S69" s="181"/>
      <c r="T69" s="181">
        <f>T32/T65/($B$32)</f>
        <v>1.0063768866648772</v>
      </c>
      <c r="U69" s="181"/>
      <c r="V69" s="181">
        <f>V32/V65/($B$32)</f>
        <v>1.0054559207336069</v>
      </c>
      <c r="W69" s="181"/>
      <c r="X69" s="181">
        <f>X32/X65/($B$32)</f>
        <v>1.0038650164538871</v>
      </c>
      <c r="Y69" s="181"/>
      <c r="Z69" s="181">
        <f>Z32/Z65/($B$32)</f>
        <v>1.0013965167362129</v>
      </c>
      <c r="AA69" s="181"/>
      <c r="AB69" s="181">
        <f>AB32/AB65/($B$32)</f>
        <v>0.99774271907934253</v>
      </c>
      <c r="AC69" s="181"/>
      <c r="AD69" s="181">
        <f>AD32/AD65/($B$32)</f>
        <v>0.99241080107872115</v>
      </c>
      <c r="AE69" s="181"/>
      <c r="AF69" s="181">
        <f>AF32/AF65/($B$32)</f>
        <v>0.98451149974033814</v>
      </c>
      <c r="AG69" s="181"/>
      <c r="AH69" s="181">
        <f>AH32/AH65/($B$32)</f>
        <v>0.97215254382688876</v>
      </c>
      <c r="AI69" s="181"/>
      <c r="AJ69" s="181">
        <f>AJ32/AJ65/($B$32)</f>
        <v>0.95056093527913843</v>
      </c>
      <c r="AK69" s="181"/>
      <c r="AL69" s="181">
        <f>AL32/AL65/($B$32)</f>
        <v>0.90586393896726458</v>
      </c>
      <c r="AM69" s="181"/>
      <c r="AN69" s="181">
        <f>AN32/AN65/($B$32)</f>
        <v>0.7847523814799412</v>
      </c>
      <c r="AO69" s="181"/>
      <c r="AP69" s="181">
        <f>AP32/AP65/($B$32)</f>
        <v>0.73438854001382226</v>
      </c>
      <c r="AQ69" s="181"/>
      <c r="AR69" s="181">
        <f>AR32/AR65/($B$32)</f>
        <v>0.66311649430421893</v>
      </c>
      <c r="AS69" s="181"/>
      <c r="AT69" s="181">
        <f>AT32/AT65/($B$32)</f>
        <v>0.55518101346125703</v>
      </c>
      <c r="AU69" s="181"/>
      <c r="AV69" s="181">
        <f>AV32/AV65/($B$32)</f>
        <v>0.37323457784413827</v>
      </c>
    </row>
    <row r="70" spans="1:48 16384:16384" x14ac:dyDescent="0.2">
      <c r="A70" t="s">
        <v>162</v>
      </c>
      <c r="B70" s="129">
        <f>B18/$B$18</f>
        <v>1</v>
      </c>
      <c r="C70" s="129"/>
      <c r="D70" s="129">
        <f>D18/$B$18</f>
        <v>1.0004713270253349</v>
      </c>
      <c r="E70" s="129"/>
      <c r="F70" s="129">
        <f>F18/$B$18</f>
        <v>1.0007911834400787</v>
      </c>
      <c r="G70" s="129"/>
      <c r="H70" s="129">
        <f>H18/$B$18</f>
        <v>1.0009396035842995</v>
      </c>
      <c r="I70" s="129"/>
      <c r="J70" s="129">
        <f>J18/$B$18</f>
        <v>1.0008923764630762</v>
      </c>
      <c r="K70" s="129"/>
      <c r="L70" s="129">
        <f>L18/$B$18</f>
        <v>1.0006195416742294</v>
      </c>
      <c r="M70" s="129"/>
      <c r="N70" s="129">
        <f>N18/$B$18</f>
        <v>1.0000832454443833</v>
      </c>
      <c r="O70" s="129"/>
      <c r="P70" s="129">
        <f>P18/$B$18</f>
        <v>0.99923437090793299</v>
      </c>
      <c r="Q70" s="129"/>
      <c r="R70" s="129">
        <f>R18/$B$18</f>
        <v>0.99800745624034548</v>
      </c>
      <c r="S70" s="129"/>
      <c r="T70" s="129">
        <f>T18/$B$18</f>
        <v>0.99631243980231732</v>
      </c>
      <c r="U70" s="129"/>
      <c r="V70" s="129">
        <f>V18/$B$18</f>
        <v>0.99402105738359192</v>
      </c>
      <c r="W70" s="129"/>
      <c r="X70" s="129">
        <f>X18/$B$18</f>
        <v>0.99094345286629304</v>
      </c>
      <c r="Y70" s="129"/>
      <c r="Z70" s="129">
        <f>Z18/$B$18</f>
        <v>0.98678614790950347</v>
      </c>
      <c r="AA70" s="129"/>
      <c r="AB70" s="129">
        <f>AB18/$B$18</f>
        <v>0.98107312318449214</v>
      </c>
      <c r="AC70" s="129"/>
      <c r="AD70" s="129">
        <f>AD18/$B$18</f>
        <v>0.97299098903078296</v>
      </c>
      <c r="AE70" s="129"/>
      <c r="AF70" s="129">
        <f>AF18/$B$18</f>
        <v>0.96107678768702609</v>
      </c>
      <c r="AG70" s="129"/>
      <c r="AH70" s="129">
        <f>AH18/$B$18</f>
        <v>0.94258203684684272</v>
      </c>
      <c r="AI70" s="129"/>
      <c r="AJ70" s="129">
        <f>AJ18/$B$18</f>
        <v>0.91205609108125629</v>
      </c>
      <c r="AK70" s="129"/>
      <c r="AL70" s="129">
        <f>AL18/$B$18</f>
        <v>0.85663399207525603</v>
      </c>
      <c r="AM70" s="129"/>
      <c r="AN70" s="129">
        <f>AN18/$B$18</f>
        <v>0.72994682458895799</v>
      </c>
      <c r="AO70" s="129"/>
      <c r="AP70" s="129">
        <f>AP18/$B$18</f>
        <v>0.68144428793249068</v>
      </c>
      <c r="AQ70" s="129"/>
      <c r="AR70" s="129">
        <f>AR18/$B$18</f>
        <v>0.61472585166209082</v>
      </c>
      <c r="AS70" s="129"/>
      <c r="AT70" s="129">
        <f>AT18/$B$18</f>
        <v>0.51600216577350566</v>
      </c>
      <c r="AU70" s="129"/>
      <c r="AV70" s="129">
        <f>AV18/$B$18</f>
        <v>0.35122396490728697</v>
      </c>
    </row>
    <row r="71" spans="1:48 16384:16384" x14ac:dyDescent="0.2">
      <c r="A71" t="s">
        <v>163</v>
      </c>
      <c r="B71" s="129">
        <f>C18/$C$18</f>
        <v>1</v>
      </c>
      <c r="D71" s="129">
        <f>E18/$C$18</f>
        <v>0.92793297391331775</v>
      </c>
      <c r="E71" s="129"/>
      <c r="F71" s="129">
        <f>G18/$C$18</f>
        <v>0.85646173022696392</v>
      </c>
      <c r="G71" s="129"/>
      <c r="H71" s="129">
        <f>I18/$C$18</f>
        <v>0.78559057839903823</v>
      </c>
      <c r="I71" s="129"/>
      <c r="J71" s="129">
        <f>K18/$C$18</f>
        <v>0.71532413447898235</v>
      </c>
      <c r="K71" s="129"/>
      <c r="L71" s="129">
        <f>M18/$C$18</f>
        <v>0.64567480183109294</v>
      </c>
      <c r="M71" s="129"/>
      <c r="N71" s="129">
        <f>O18/$C$18</f>
        <v>0.57666781521070476</v>
      </c>
      <c r="O71" s="129"/>
      <c r="P71" s="129">
        <f>Q18/$C$18</f>
        <v>0.50836076847201195</v>
      </c>
      <c r="Q71" s="129"/>
      <c r="R71" s="129">
        <f>S18/$C$18</f>
        <v>0.44086446797447032</v>
      </c>
      <c r="S71" s="129"/>
      <c r="T71" s="129">
        <f>U18/$C$18</f>
        <v>0.37438096060654058</v>
      </c>
      <c r="U71" s="129"/>
      <c r="V71" s="129">
        <f>W18/$C$18</f>
        <v>0.3092618379821348</v>
      </c>
      <c r="W71" s="129"/>
      <c r="X71" s="129">
        <f>Y18/$C$18</f>
        <v>0.24609688491968801</v>
      </c>
      <c r="Y71" s="129"/>
      <c r="Z71" s="129">
        <f>AA18/$C$18</f>
        <v>0.1858501409179191</v>
      </c>
      <c r="AA71" s="129"/>
      <c r="AB71" s="129">
        <f>AC18/$C$18</f>
        <v>0.1300529837554823</v>
      </c>
      <c r="AC71" s="129"/>
      <c r="AD71" s="129">
        <f>AE18/$C$18</f>
        <v>8.1032178031239951E-2</v>
      </c>
      <c r="AE71" s="129"/>
      <c r="AF71" s="129">
        <f>AG18/$C$18</f>
        <v>4.1966574135843912E-2</v>
      </c>
      <c r="AG71" s="129"/>
      <c r="AH71" s="129">
        <f>AI18/$C$18</f>
        <v>1.6049903439715262E-2</v>
      </c>
      <c r="AI71" s="129"/>
      <c r="AJ71" s="129">
        <f>AK18/$C$18</f>
        <v>3.7353038268834993E-3</v>
      </c>
      <c r="AK71" s="129"/>
      <c r="AL71" s="129">
        <f>AM18/$C$18</f>
        <v>3.814361370390777E-4</v>
      </c>
      <c r="AM71" s="129"/>
      <c r="AN71" s="129">
        <f>AO18/$C$18</f>
        <v>7.4302294798961756E-6</v>
      </c>
      <c r="AO71" s="129"/>
      <c r="AP71" s="129">
        <f>AQ18/$C$18</f>
        <v>2.2382363006334951E-6</v>
      </c>
      <c r="AQ71" s="129"/>
      <c r="AR71" s="129">
        <f>AS18/$C$18</f>
        <v>5.1545673607786504E-7</v>
      </c>
      <c r="AS71" s="129"/>
      <c r="AT71" s="129">
        <f>AU18/$C$18</f>
        <v>7.7676779212556837E-8</v>
      </c>
      <c r="AU71" s="129"/>
      <c r="AV71" s="129">
        <f>AW18/$C$18</f>
        <v>5.2221737946614511E-9</v>
      </c>
      <c r="XFD71" s="129"/>
    </row>
    <row r="72" spans="1:48 16384:16384" x14ac:dyDescent="0.2">
      <c r="A72" t="s">
        <v>164</v>
      </c>
      <c r="B72" s="129">
        <f>C19/$C$19</f>
        <v>1</v>
      </c>
      <c r="D72" s="129">
        <f>E19/$C$19</f>
        <v>1.0215403941236083</v>
      </c>
      <c r="E72" s="129"/>
      <c r="F72" s="129">
        <f>G19/$C$19</f>
        <v>1.0465886588144253</v>
      </c>
      <c r="G72" s="129"/>
      <c r="H72" s="129">
        <f>I19/$C$19</f>
        <v>1.0755910963710356</v>
      </c>
      <c r="I72" s="129"/>
      <c r="J72" s="129">
        <f>K19/$C$19</f>
        <v>1.109045042201674</v>
      </c>
      <c r="K72" s="129"/>
      <c r="L72" s="129">
        <f>M19/$C$19</f>
        <v>1.1474844922547509</v>
      </c>
      <c r="M72" s="129"/>
      <c r="N72" s="129">
        <f>O19/$C$19</f>
        <v>1.1914715947976173</v>
      </c>
      <c r="O72" s="129"/>
      <c r="P72" s="129">
        <f>Q19/$C$19</f>
        <v>1.2415384556914801</v>
      </c>
      <c r="Q72" s="129"/>
      <c r="R72" s="129">
        <f>S19/$C$19</f>
        <v>1.2981019734945056</v>
      </c>
      <c r="S72" s="129"/>
      <c r="T72" s="129">
        <f>U19/$C$19</f>
        <v>1.3612946861527071</v>
      </c>
      <c r="U72" s="129"/>
      <c r="V72" s="129">
        <f>W19/$C$19</f>
        <v>1.4306412608847365</v>
      </c>
      <c r="W72" s="129"/>
      <c r="X72" s="129">
        <f>Y19/$C$19</f>
        <v>1.5044629296768564</v>
      </c>
      <c r="Y72" s="129"/>
      <c r="Z72" s="129">
        <f>AA19/$C$19</f>
        <v>1.5787566724669171</v>
      </c>
      <c r="AA72" s="129"/>
      <c r="AB72" s="129">
        <f>AC19/$C$19</f>
        <v>1.6451133870906911</v>
      </c>
      <c r="AC72" s="129"/>
      <c r="AD72" s="129">
        <f>AE19/$C$19</f>
        <v>1.6870235180393089</v>
      </c>
      <c r="AE72" s="129"/>
      <c r="AF72" s="129">
        <f>AG19/$C$19</f>
        <v>1.6745152391258722</v>
      </c>
      <c r="AG72" s="129"/>
      <c r="AH72" s="129">
        <f>AI19/$C$19</f>
        <v>1.5620212867736116</v>
      </c>
      <c r="AI72" s="129"/>
      <c r="AJ72" s="129">
        <f>AK19/$C$19</f>
        <v>1.3078102626541006</v>
      </c>
      <c r="AK72" s="129"/>
      <c r="AL72" s="129">
        <f>AM19/$C$19</f>
        <v>0.92172679892934395</v>
      </c>
      <c r="AM72" s="129"/>
      <c r="AN72" s="129">
        <f>AO19/$C$19</f>
        <v>0.46830288256940961</v>
      </c>
      <c r="AO72" s="129"/>
      <c r="AP72" s="129">
        <f>AQ19/$C$19</f>
        <v>0.37494001492457696</v>
      </c>
      <c r="AQ72" s="129"/>
      <c r="AR72" s="129">
        <f>AS19/$C$19</f>
        <v>0.28132645076477314</v>
      </c>
      <c r="AS72" s="129"/>
      <c r="AT72" s="129">
        <f>AU19/$C$19</f>
        <v>0.18758917855689849</v>
      </c>
      <c r="AU72" s="129"/>
      <c r="AV72" s="129">
        <f>AW19/$C$19</f>
        <v>9.3801838522603626E-2</v>
      </c>
      <c r="XFD72" s="129"/>
    </row>
    <row r="73" spans="1:48 16384:16384" x14ac:dyDescent="0.2">
      <c r="A73" t="s">
        <v>168</v>
      </c>
      <c r="B73" s="183">
        <f t="array" ref="B73">SUM(B9:C9*B22:C22)/B32</f>
        <v>0.47641153352875115</v>
      </c>
      <c r="D73" s="183">
        <f t="array" ref="D73">SUM(D9:E9*D22:E22)/D32</f>
        <v>0.47409629571821121</v>
      </c>
      <c r="E73" s="129"/>
      <c r="F73" s="183">
        <f t="array" ref="F73">SUM(F9:G9*F22:G22)/F32</f>
        <v>0.47171874306839973</v>
      </c>
      <c r="G73" s="129"/>
      <c r="H73" s="183">
        <f t="array" ref="H73">SUM(H9:I9*H22:I22)/H32</f>
        <v>0.46926884969739402</v>
      </c>
      <c r="I73" s="129"/>
      <c r="J73" s="183">
        <f t="array" ref="J73">SUM(J9:K9*J22:K22)/J32</f>
        <v>0.46673475750906018</v>
      </c>
      <c r="K73" s="129"/>
      <c r="L73" s="183">
        <f t="array" ref="L73">SUM(L9:M9*L22:M22)/L32</f>
        <v>0.46410190570932536</v>
      </c>
      <c r="M73" s="129"/>
      <c r="N73" s="183">
        <f t="array" ref="N73">SUM(N9:O9*N22:O22)/N32</f>
        <v>0.46135263455934755</v>
      </c>
      <c r="O73" s="129"/>
      <c r="P73" s="183">
        <f t="array" ref="P73">SUM(P9:Q9*P22:Q22)/P32</f>
        <v>0.45846419300314556</v>
      </c>
      <c r="Q73" s="129"/>
      <c r="R73" s="183">
        <f t="array" ref="R73">SUM(R9:S9*R22:S22)/R32</f>
        <v>0.45540665307291517</v>
      </c>
      <c r="S73" s="129"/>
      <c r="T73" s="183">
        <f t="array" ref="T73">SUM(T9:U9*T22:U22)/T32</f>
        <v>0.45213896121986386</v>
      </c>
      <c r="U73" s="129"/>
      <c r="V73" s="183">
        <f t="array" ref="V73">SUM(V9:W9*V22:W22)/V32</f>
        <v>0.4486020114312223</v>
      </c>
      <c r="W73" s="129"/>
      <c r="X73" s="183">
        <f t="array" ref="X73">SUM(X9:Y9*X22:Y22)/X32</f>
        <v>0.44470641549183637</v>
      </c>
      <c r="Y73" s="129"/>
      <c r="Z73" s="183">
        <f t="array" ref="Z73">SUM(Z9:AA9*Z22:AA22)/Z32</f>
        <v>0.44030947715153862</v>
      </c>
      <c r="AA73" s="129"/>
      <c r="AB73" s="183">
        <f t="array" ref="AB73">SUM(AB9:AC9*AB22:AC22)/AB32</f>
        <v>0.43517081589095802</v>
      </c>
      <c r="AC73" s="129"/>
      <c r="AD73" s="183">
        <f t="array" ref="AD73">SUM(AD9:AE9*AD22:AE22)/AD32</f>
        <v>0.42886439781283409</v>
      </c>
      <c r="AE73" s="129"/>
      <c r="AF73" s="183">
        <f t="array" ref="AF73">SUM(AF9:AG9*AF22:AG22)/AF32</f>
        <v>0.42060699274408081</v>
      </c>
      <c r="AG73" s="129"/>
      <c r="AH73" s="183">
        <f t="array" ref="AH73">SUM(AH9:AI9*AH22:AI22)/AH32</f>
        <v>0.40895170369549405</v>
      </c>
      <c r="AI73" s="129"/>
      <c r="AJ73" s="183">
        <f t="array" ref="AJ73">SUM(AJ9:AK9*AJ22:AK22)/AJ32</f>
        <v>0.39127502745170828</v>
      </c>
      <c r="AK73" s="129"/>
      <c r="AL73" s="183">
        <f t="array" ref="AL73">SUM(AL9:AM9*AL22:AM22)/AL32</f>
        <v>0.36219484661080165</v>
      </c>
      <c r="AM73" s="129"/>
      <c r="AN73" s="183">
        <f t="array" ref="AN73">SUM(AN9:AO9*AN22:AO22)/AN32</f>
        <v>0.30366330322055179</v>
      </c>
      <c r="AO73" s="129"/>
      <c r="AP73" s="183">
        <f t="array" ref="AP73">SUM(AP9:AQ9*AP22:AQ22)/AP32</f>
        <v>0.28281872004000314</v>
      </c>
      <c r="AQ73" s="129"/>
      <c r="AR73" s="183">
        <f t="array" ref="AR73">SUM(AR9:AS9*AR22:AS22)/AR32</f>
        <v>0.25490603183431354</v>
      </c>
      <c r="AS73" s="129"/>
      <c r="AT73" s="183">
        <f t="array" ref="AT73">SUM(AT9:AU9*AT22:AU22)/AT32</f>
        <v>0.21454351373426114</v>
      </c>
      <c r="AU73" s="129"/>
      <c r="AV73" s="183">
        <f t="array" ref="AV73">SUM(AV9:AW9*AV22:AW22)/AV32</f>
        <v>0.14787338463763866</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0.22604620456442481</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0.22604620456442481</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0.22604620456442484</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0.22269962699595355</v>
      </c>
      <c r="E75" s="129"/>
      <c r="F75" s="183">
        <f t="array" ref="F75">SUM(F11:G11*F24:G24)/F32</f>
        <v>0.22507717976642869</v>
      </c>
      <c r="G75" s="129"/>
      <c r="H75" s="183">
        <f t="array" ref="H75">SUM(H11:I11*H24:I24)/H32</f>
        <v>0.22752707340206013</v>
      </c>
      <c r="I75" s="129"/>
      <c r="J75" s="183">
        <f t="array" ref="J75">SUM(J11:K11*J24:K24)/J32</f>
        <v>0.23006120703196598</v>
      </c>
      <c r="K75" s="129"/>
      <c r="L75" s="183">
        <f t="array" ref="L75">SUM(L11:M11*L24:M24)/L32</f>
        <v>0.23269401762139921</v>
      </c>
      <c r="M75" s="129"/>
      <c r="N75" s="183">
        <f t="array" ref="N75">SUM(N11:O11*N24:O24)/N32</f>
        <v>0.23544328988337423</v>
      </c>
      <c r="O75" s="129"/>
      <c r="P75" s="183">
        <f t="array" ref="P75">SUM(P11:Q11*P24:Q24)/P32</f>
        <v>0.23833173829805387</v>
      </c>
      <c r="Q75" s="129"/>
      <c r="R75" s="183">
        <f t="array" ref="R75">SUM(R11:S11*R24:S24)/R32</f>
        <v>0.24138926969910429</v>
      </c>
      <c r="S75" s="129"/>
      <c r="T75" s="183">
        <f t="array" ref="T75">SUM(T11:U11*T24:U24)/T32</f>
        <v>0.24465696439794837</v>
      </c>
      <c r="U75" s="129"/>
      <c r="V75" s="183">
        <f t="array" ref="V75">SUM(V11:W11*V24:W24)/V32</f>
        <v>0.24819391395670218</v>
      </c>
      <c r="W75" s="129"/>
      <c r="X75" s="183">
        <f t="array" ref="X75">SUM(X11:Y11*X24:Y24)/X32</f>
        <v>0.25208951413183528</v>
      </c>
      <c r="Y75" s="129"/>
      <c r="Z75" s="183">
        <f t="array" ref="Z75">SUM(Z11:AA11*Z24:AA24)/Z32</f>
        <v>0.25648644593664333</v>
      </c>
      <c r="AA75" s="129"/>
      <c r="AB75" s="183">
        <f t="array" ref="AB75">SUM(AB11:AC11*AB24:AC24)/AB32</f>
        <v>0.26162510661841454</v>
      </c>
      <c r="AC75" s="129"/>
      <c r="AD75" s="183">
        <f t="array" ref="AD75">SUM(AD11:AE11*AD24:AE24)/AD32</f>
        <v>0.26793152414670673</v>
      </c>
      <c r="AE75" s="129"/>
      <c r="AF75" s="183">
        <f t="array" ref="AF75">SUM(AF11:AG11*AF24:AG24)/AF32</f>
        <v>0.27618892898637343</v>
      </c>
      <c r="AG75" s="129"/>
      <c r="AH75" s="183">
        <f t="array" ref="AH75">SUM(AH11:AI11*AH24:AI24)/AH32</f>
        <v>0.28784421820394029</v>
      </c>
      <c r="AI75" s="129"/>
      <c r="AJ75" s="183">
        <f t="array" ref="AJ75">SUM(AJ11:AK11*AJ24:AK24)/AJ32</f>
        <v>0.30552089440750008</v>
      </c>
      <c r="AK75" s="129"/>
      <c r="AL75" s="183">
        <f t="array" ref="AL75">SUM(AL11:AM11*AL24:AM24)/AL32</f>
        <v>0.33460107525001453</v>
      </c>
      <c r="AM75" s="129"/>
      <c r="AN75" s="183">
        <f t="array" ref="AN75">SUM(AN11:AO11*AN24:AO24)/AN32</f>
        <v>0.39313261864014393</v>
      </c>
      <c r="AO75" s="129"/>
      <c r="AP75" s="183">
        <f t="array" ref="AP75">SUM(AP11:AQ11*AP24:AQ24)/AP32</f>
        <v>0.41397720182069614</v>
      </c>
      <c r="AQ75" s="129"/>
      <c r="AR75" s="183">
        <f t="array" ref="AR75">SUM(AR11:AS11*AR24:AS24)/AR32</f>
        <v>0.44188989002639084</v>
      </c>
      <c r="AS75" s="129"/>
      <c r="AT75" s="183">
        <f t="array" ref="AT75">SUM(AT11:AU11*AT24:AU24)/AT32</f>
        <v>0.48225240812643205</v>
      </c>
      <c r="AU75" s="129"/>
      <c r="AV75" s="183">
        <f t="array" ref="AV75">SUM(AV11:AW11*AV24:AW24)/AV32</f>
        <v>0.54892253722303908</v>
      </c>
      <c r="XFD75" s="183"/>
    </row>
    <row r="76" spans="1:48 16384:16384" x14ac:dyDescent="0.2">
      <c r="A76" t="s">
        <v>171</v>
      </c>
      <c r="B76" s="183">
        <f t="array" ref="B76">SUM(B12:C12*B25:C25)/B32</f>
        <v>0.22301874374724862</v>
      </c>
      <c r="D76" s="183">
        <f t="array" ref="D76">SUM(D12:E12*D25:E25)/D32</f>
        <v>0.2230297376172084</v>
      </c>
      <c r="E76" s="129"/>
      <c r="F76" s="183">
        <f t="array" ref="F76">SUM(F12:G12*F25:G25)/F32</f>
        <v>0.2231016535883987</v>
      </c>
      <c r="G76" s="129"/>
      <c r="H76" s="183">
        <f t="array" ref="H76">SUM(H12:I12*H25:I25)/H32</f>
        <v>0.22324174615540218</v>
      </c>
      <c r="I76" s="129"/>
      <c r="J76" s="183">
        <f t="array" ref="J76">SUM(J12:K12*J25:K25)/J32</f>
        <v>0.22345811426731579</v>
      </c>
      <c r="K76" s="129"/>
      <c r="L76" s="183">
        <f t="array" ref="L76">SUM(L12:M12*L25:M25)/L32</f>
        <v>0.22375971099997008</v>
      </c>
      <c r="M76" s="129"/>
      <c r="N76" s="183">
        <f t="array" ref="N76">SUM(N12:O12*N25:O25)/N32</f>
        <v>0.22415582701622197</v>
      </c>
      <c r="O76" s="129"/>
      <c r="P76" s="183">
        <f t="array" ref="P76">SUM(P12:Q12*P25:Q25)/P32</f>
        <v>0.22465561326917896</v>
      </c>
      <c r="Q76" s="129"/>
      <c r="R76" s="183">
        <f t="array" ref="R76">SUM(R12:S12*R25:S25)/R32</f>
        <v>0.22526654446454317</v>
      </c>
      <c r="S76" s="129"/>
      <c r="T76" s="183">
        <f t="array" ref="T76">SUM(T12:U12*T25:U25)/T32</f>
        <v>0.22599162133720191</v>
      </c>
      <c r="U76" s="129"/>
      <c r="V76" s="183">
        <f t="array" ref="V76">SUM(V12:W12*V25:W25)/V32</f>
        <v>0.22682401187540399</v>
      </c>
      <c r="W76" s="129"/>
      <c r="X76" s="183">
        <f t="array" ref="X76">SUM(X12:Y12*X25:Y25)/X32</f>
        <v>0.22773670369002427</v>
      </c>
      <c r="Y76" s="129"/>
      <c r="Z76" s="183">
        <f t="array" ref="Z76">SUM(Z12:AA12*Z25:AA25)/Z32</f>
        <v>0.22866275297003552</v>
      </c>
      <c r="AA76" s="129"/>
      <c r="AB76" s="183">
        <f t="array" ref="AB76">SUM(AB12:AC12*AB25:AC25)/AB32</f>
        <v>0.22945763436610936</v>
      </c>
      <c r="AC76" s="129"/>
      <c r="AD76" s="183">
        <f t="array" ref="AD76">SUM(AD12:AE12*AD25:AE25)/AD32</f>
        <v>0.22983111729024336</v>
      </c>
      <c r="AE76" s="129"/>
      <c r="AF76" s="183">
        <f t="array" ref="AF76">SUM(AF12:AG12*AF25:AG25)/AF32</f>
        <v>0.22924545025394277</v>
      </c>
      <c r="AG76" s="129"/>
      <c r="AH76" s="183">
        <f t="array" ref="AH76">SUM(AH12:AI12*AH25:AI25)/AH32</f>
        <v>0.22686712154212477</v>
      </c>
      <c r="AI76" s="129"/>
      <c r="AJ76" s="183">
        <f t="array" ref="AJ76">SUM(AJ12:AK12*AJ25:AK25)/AJ32</f>
        <v>0.22191048599351249</v>
      </c>
      <c r="AK76" s="129"/>
      <c r="AL76" s="183">
        <f t="array" ref="AL76">SUM(AL12:AM12*AL25:AM25)/AL32</f>
        <v>0.21451519087292378</v>
      </c>
      <c r="AM76" s="129"/>
      <c r="AN76" s="183">
        <f t="array" ref="AN76">SUM(AN12:AO12*AN25:AO25)/AN32</f>
        <v>0.20600283221212329</v>
      </c>
      <c r="AO76" s="129"/>
      <c r="AP76" s="183">
        <f t="array" ref="AP76">SUM(AP12:AQ12*AP25:AQ25)/AP32</f>
        <v>0.20439933265795041</v>
      </c>
      <c r="AQ76" s="129"/>
      <c r="AR76" s="183">
        <f t="array" ref="AR76">SUM(AR12:AS12*AR25:AS25)/AR32</f>
        <v>0.20299467937772311</v>
      </c>
      <c r="AS76" s="129"/>
      <c r="AT76" s="183">
        <f t="array" ref="AT76">SUM(AT12:AU12*AT25:AU25)/AT32</f>
        <v>0.20206454841300539</v>
      </c>
      <c r="AU76" s="129"/>
      <c r="AV76" s="183">
        <f t="array" ref="AV76">SUM(AV12:AW12*AV25:AW25)/AV32</f>
        <v>0.20245695520582502</v>
      </c>
      <c r="XFD76" s="183"/>
    </row>
    <row r="77" spans="1:48 16384:16384" x14ac:dyDescent="0.2">
      <c r="A77" t="s">
        <v>172</v>
      </c>
      <c r="B77" s="183">
        <f t="array" ref="B77">SUM(B4:C4*B19:C19)/B32</f>
        <v>0.14586087017236518</v>
      </c>
      <c r="D77" s="183">
        <f t="array" ref="D77">SUM(D4:E4*D19:E19)/D32</f>
        <v>0.14587186489579798</v>
      </c>
      <c r="E77" s="129"/>
      <c r="F77" s="183">
        <f t="array" ref="F77">SUM(F4:G4*F19:G19)/F32</f>
        <v>0.14594378098765187</v>
      </c>
      <c r="G77" s="129"/>
      <c r="H77" s="183">
        <f t="array" ref="H77">SUM(H4:I4*H19:I19)/H32</f>
        <v>0.14608387381928117</v>
      </c>
      <c r="I77" s="129"/>
      <c r="J77" s="183">
        <f t="array" ref="J77">SUM(J4:K4*J19:K19)/J32</f>
        <v>0.14630028337276674</v>
      </c>
      <c r="K77" s="129"/>
      <c r="L77" s="183">
        <f t="array" ref="L77">SUM(L4:M4*L19:M19)/L32</f>
        <v>0.14660183889511941</v>
      </c>
      <c r="M77" s="129"/>
      <c r="N77" s="183">
        <f t="array" ref="N77">SUM(N4:O4*N19:O19)/N32</f>
        <v>0.1469979560233684</v>
      </c>
      <c r="O77" s="129"/>
      <c r="P77" s="183">
        <f t="array" ref="P77">SUM(P4:Q4*P19:Q19)/P32</f>
        <v>0.14749774913480307</v>
      </c>
      <c r="Q77" s="129"/>
      <c r="R77" s="183">
        <f t="array" ref="R77">SUM(R4:S4*R19:S19)/R32</f>
        <v>0.14810867180098736</v>
      </c>
      <c r="S77" s="129"/>
      <c r="T77" s="183">
        <f t="array" ref="T77">SUM(T4:U4*T19:U19)/T32</f>
        <v>0.14883375151943887</v>
      </c>
      <c r="U77" s="129"/>
      <c r="V77" s="183">
        <f t="array" ref="V77">SUM(V4:W4*V19:W19)/V32</f>
        <v>0.14966614182775329</v>
      </c>
      <c r="W77" s="129"/>
      <c r="X77" s="183">
        <f t="array" ref="X77">SUM(X4:Y4*X19:Y19)/X32</f>
        <v>0.15057883787812054</v>
      </c>
      <c r="Y77" s="129"/>
      <c r="Z77" s="183">
        <f t="array" ref="Z77">SUM(Z4:AA4*Z19:AA19)/Z32</f>
        <v>0.15150488062264228</v>
      </c>
      <c r="AA77" s="129"/>
      <c r="AB77" s="183">
        <f t="array" ref="AB77">SUM(AB4:AC4*AB19:AC19)/AB32</f>
        <v>0.15229976143990651</v>
      </c>
      <c r="AC77" s="129"/>
      <c r="AD77" s="183">
        <f t="array" ref="AD77">SUM(AD4:AE4*AD19:AE19)/AD32</f>
        <v>0.15267324381420905</v>
      </c>
      <c r="AE77" s="129"/>
      <c r="AF77" s="183">
        <f t="array" ref="AF77">SUM(AF4:AG4*AF19:AG19)/AF32</f>
        <v>0.15208757654882174</v>
      </c>
      <c r="AG77" s="129"/>
      <c r="AH77" s="183">
        <f t="array" ref="AH77">SUM(AH4:AI4*AH19:AI19)/AH32</f>
        <v>0.14970924800598401</v>
      </c>
      <c r="AI77" s="129"/>
      <c r="AJ77" s="183">
        <f t="array" ref="AJ77">SUM(AJ4:AK4*AJ19:AK19)/AJ32</f>
        <v>0.14475261241714565</v>
      </c>
      <c r="AK77" s="129"/>
      <c r="AL77" s="183">
        <f t="array" ref="AL77">SUM(AL4:AM4*AL19:AM19)/AL32</f>
        <v>0.137357317298165</v>
      </c>
      <c r="AM77" s="129"/>
      <c r="AN77" s="183">
        <f t="array" ref="AN77">SUM(AN4:AO4*AN19:AO19)/AN32</f>
        <v>0.12884495863724371</v>
      </c>
      <c r="AO77" s="129"/>
      <c r="AP77" s="183">
        <f t="array" ref="AP77">SUM(AP4:AQ4*AP19:AQ19)/AP32</f>
        <v>0.12724145908307447</v>
      </c>
      <c r="AQ77" s="129"/>
      <c r="AR77" s="183">
        <f t="array" ref="AR77">SUM(AR4:AS4*AR19:AS19)/AR32</f>
        <v>0.1258368058028522</v>
      </c>
      <c r="AS77" s="129"/>
      <c r="AT77" s="183">
        <f t="array" ref="AT77">SUM(AT4:AU4*AT19:AU19)/AT32</f>
        <v>0.12490667483812344</v>
      </c>
      <c r="AU77" s="129"/>
      <c r="AV77" s="183">
        <f t="array" ref="AV77">SUM(AV4:AW4*AV19:AW19)/AV32</f>
        <v>0.12529908163092768</v>
      </c>
      <c r="XFD77" s="183"/>
    </row>
    <row r="78" spans="1:48 16384:16384" x14ac:dyDescent="0.2">
      <c r="A78" t="s">
        <v>173</v>
      </c>
      <c r="B78" s="183">
        <f t="array" ref="B78">SUM(B13:C13*B26:C26)/B32</f>
        <v>0.346887593115773</v>
      </c>
      <c r="D78" s="183">
        <f t="array" ref="D78">SUM(D13:E13*D26:E26)/D32</f>
        <v>0.34639561205332325</v>
      </c>
      <c r="E78" s="129"/>
      <c r="F78" s="183">
        <f t="array" ref="F78">SUM(F13:G13*F26:G26)/F32</f>
        <v>0.34583947223296962</v>
      </c>
      <c r="G78" s="129"/>
      <c r="H78" s="183">
        <f t="array" ref="H78">SUM(H13:I13*H26:I26)/H32</f>
        <v>0.34521205103780556</v>
      </c>
      <c r="I78" s="129"/>
      <c r="J78" s="183">
        <f t="array" ref="J78">SUM(J13:K13*J26:K26)/J32</f>
        <v>0.34450486342304848</v>
      </c>
      <c r="K78" s="129"/>
      <c r="L78" s="183">
        <f t="array" ref="L78">SUM(L13:M13*L26:M26)/L32</f>
        <v>0.3437075597266086</v>
      </c>
      <c r="M78" s="129"/>
      <c r="N78" s="183">
        <f t="array" ref="N78">SUM(N13:O13*N26:O26)/N32</f>
        <v>0.34280701265381874</v>
      </c>
      <c r="O78" s="129"/>
      <c r="P78" s="183">
        <f t="array" ref="P78">SUM(P13:Q13*P26:Q26)/P32</f>
        <v>0.34178605535096918</v>
      </c>
      <c r="Q78" s="129"/>
      <c r="R78" s="183">
        <f t="array" ref="R78">SUM(R13:S13*R26:S26)/R32</f>
        <v>0.34062127960300459</v>
      </c>
      <c r="S78" s="129"/>
      <c r="T78" s="183">
        <f t="array" ref="T78">SUM(T13:U13*T26:U26)/T32</f>
        <v>0.33927940654945049</v>
      </c>
      <c r="U78" s="129"/>
      <c r="V78" s="183">
        <f t="array" ref="V78">SUM(V13:W13*V26:W26)/V32</f>
        <v>0.33771108424514024</v>
      </c>
      <c r="W78" s="129"/>
      <c r="X78" s="183">
        <f t="array" ref="X78">SUM(X13:Y13*X26:Y26)/X32</f>
        <v>0.3358398823447617</v>
      </c>
      <c r="Y78" s="129"/>
      <c r="Z78" s="183">
        <f t="array" ref="Z78">SUM(Z13:AA13*Z26:AA26)/Z32</f>
        <v>0.33354220172720805</v>
      </c>
      <c r="AA78" s="129"/>
      <c r="AB78" s="183">
        <f t="array" ref="AB78">SUM(AB13:AC13*AB26:AC26)/AB32</f>
        <v>0.330609424404471</v>
      </c>
      <c r="AC78" s="129"/>
      <c r="AD78" s="183">
        <f t="array" ref="AD78">SUM(AD13:AE13*AD26:AE26)/AD32</f>
        <v>0.32667557738035274</v>
      </c>
      <c r="AE78" s="129"/>
      <c r="AF78" s="183">
        <f t="array" ref="AF78">SUM(AF13:AG13*AF26:AG26)/AF32</f>
        <v>0.32108287418656006</v>
      </c>
      <c r="AG78" s="129"/>
      <c r="AH78" s="183">
        <f t="array" ref="AH78">SUM(AH13:AI13*AH26:AI26)/AH32</f>
        <v>0.31265924708467757</v>
      </c>
      <c r="AI78" s="129"/>
      <c r="AJ78" s="183">
        <f t="array" ref="AJ78">SUM(AJ13:AK13*AJ26:AK26)/AJ32</f>
        <v>0.29937606291304669</v>
      </c>
      <c r="AK78" s="129"/>
      <c r="AL78" s="183">
        <f t="array" ref="AL78">SUM(AL13:AM13*AL26:AM26)/AL32</f>
        <v>0.27719053492667417</v>
      </c>
      <c r="AM78" s="129"/>
      <c r="AN78" s="183">
        <f t="array" ref="AN78">SUM(AN13:AO13*AN26:AO26)/AN32</f>
        <v>0.23240295144342751</v>
      </c>
      <c r="AO78" s="129"/>
      <c r="AP78" s="183">
        <f t="array" ref="AP78">SUM(AP13:AQ13*AP26:AQ26)/AP32</f>
        <v>0.21645006091962338</v>
      </c>
      <c r="AQ78" s="129"/>
      <c r="AR78" s="183">
        <f t="array" ref="AR78">SUM(AR13:AS13*AR26:AS26)/AR32</f>
        <v>0.19508764102108611</v>
      </c>
      <c r="AS78" s="129"/>
      <c r="AT78" s="183">
        <f t="array" ref="AT78">SUM(AT13:AU13*AT26:AU26)/AT32</f>
        <v>0.16419693978712868</v>
      </c>
      <c r="AU78" s="129"/>
      <c r="AV78" s="183">
        <f t="array" ref="AV78">SUM(AV13:AW13*AV26:AW26)/AV32</f>
        <v>0.11317218164897973</v>
      </c>
      <c r="XFD78" s="183"/>
    </row>
    <row r="79" spans="1:48 16384:16384" x14ac:dyDescent="0.2">
      <c r="A79" t="s">
        <v>174</v>
      </c>
      <c r="B79" s="183">
        <f t="array" ref="B79">SUM(B15:C15*B27:C27)/B32</f>
        <v>0.45460968782440875</v>
      </c>
      <c r="D79" s="183">
        <f t="array" ref="D79">SUM(D15:E15*D27:E27)/D32</f>
        <v>0.45120659112558265</v>
      </c>
      <c r="F79" s="183">
        <f t="array" ref="F79">SUM(F15:G15*F27:G27)/F32</f>
        <v>0.44776282218723951</v>
      </c>
      <c r="H79" s="183">
        <f t="array" ref="H79">SUM(H15:I15*H27:I27)/H32</f>
        <v>0.4442686296725612</v>
      </c>
      <c r="J79" s="183">
        <f t="array" ref="J79">SUM(J15:K15*J27:K27)/J32</f>
        <v>0.44071242193341098</v>
      </c>
      <c r="L79" s="183">
        <f t="array" ref="L79">SUM(L15:M15*L27:M27)/L32</f>
        <v>0.4370804396842789</v>
      </c>
      <c r="N79" s="183">
        <f t="array" ref="N79">SUM(N15:O15*N27:O27)/N32</f>
        <v>0.43335570044952704</v>
      </c>
      <c r="P79" s="183">
        <f t="array" ref="P79">SUM(P15:Q15*P27:Q27)/P32</f>
        <v>0.42951724738418484</v>
      </c>
      <c r="R79" s="183">
        <f t="array" ref="R79">SUM(R15:S15*R27:S27)/R32</f>
        <v>0.42553815843117593</v>
      </c>
      <c r="T79" s="183">
        <f t="array" ref="T79">SUM(T15:U15*T27:U27)/T32</f>
        <v>0.42138257771386478</v>
      </c>
      <c r="V79" s="183">
        <f t="array" ref="V79">SUM(V15:W15*V27:W27)/V32</f>
        <v>0.41700046661475332</v>
      </c>
      <c r="X79" s="183">
        <f t="array" ref="X79">SUM(X15:Y15*X27:Y27)/X32</f>
        <v>0.41231784942769512</v>
      </c>
      <c r="Z79" s="183">
        <f t="array" ref="Z79">SUM(Z15:AA15*Z27:AA27)/Z32</f>
        <v>0.4072183018419504</v>
      </c>
      <c r="AB79" s="183">
        <f t="array" ref="AB79">SUM(AB15:AC15*AB27:AC27)/AB32</f>
        <v>0.40150598536448256</v>
      </c>
      <c r="AD79" s="183">
        <f t="array" ref="AD79">SUM(AD15:AE15*AD27:AE27)/AD32</f>
        <v>0.39483014670879918</v>
      </c>
      <c r="AF79" s="183">
        <f t="array" ref="AF79">SUM(AF15:AG15*AF27:AG27)/AF32</f>
        <v>0.38653089610623287</v>
      </c>
      <c r="AH79" s="183">
        <f t="array" ref="AH79">SUM(AH15:AI15*AH27:AI27)/AH32</f>
        <v>0.37534609156043014</v>
      </c>
      <c r="AJ79" s="183">
        <f t="array" ref="AJ79">SUM(AJ15:AK15*AJ27:AK27)/AJ32</f>
        <v>0.35889068453448736</v>
      </c>
      <c r="AL79" s="183">
        <f t="array" ref="AL79">SUM(AL15:AM15*AL27:AM27)/AL32</f>
        <v>0.33215278338847171</v>
      </c>
      <c r="AN79" s="183">
        <f t="array" ref="AN79">SUM(AN15:AO15*AN27:AO27)/AN32</f>
        <v>0.27846904623914792</v>
      </c>
      <c r="AP79" s="183">
        <f t="array" ref="AP79">SUM(AP15:AQ15*AP27:AQ27)/AP32</f>
        <v>0.25935377496259054</v>
      </c>
      <c r="AR79" s="183">
        <f t="array" ref="AR79">SUM(AR15:AS15*AR27:AS27)/AR32</f>
        <v>0.23375691254675368</v>
      </c>
      <c r="AT79" s="183">
        <f t="array" ref="AT79">SUM(AT15:AU15*AT27:AU27)/AT32</f>
        <v>0.19674319452848818</v>
      </c>
      <c r="AV79" s="183">
        <f t="array" ref="AV79">SUM(AV15:AW15*AV27:AW27)/AV32</f>
        <v>0.13560457409631363</v>
      </c>
      <c r="XFD79" s="183"/>
    </row>
    <row r="80" spans="1:48 16384:16384" x14ac:dyDescent="0.2">
      <c r="A80" t="s">
        <v>153</v>
      </c>
      <c r="B80" s="195">
        <f>B55</f>
        <v>0.19850271905982084</v>
      </c>
      <c r="D80" s="195">
        <f>D55</f>
        <v>0.20239779553733789</v>
      </c>
      <c r="F80" s="195">
        <f>F55</f>
        <v>0.20639770400475324</v>
      </c>
      <c r="H80" s="195">
        <f>H55</f>
        <v>0.21051931706309454</v>
      </c>
      <c r="J80" s="195">
        <f>J55</f>
        <v>0.2147827253145724</v>
      </c>
      <c r="L80" s="195">
        <f>L55</f>
        <v>0.2192119972568333</v>
      </c>
      <c r="N80" s="195">
        <f>N55</f>
        <v>0.22383728041496614</v>
      </c>
      <c r="P80" s="195">
        <f>P55</f>
        <v>0.22869670356928121</v>
      </c>
      <c r="R80" s="195">
        <f>R55</f>
        <v>0.23384056274914408</v>
      </c>
      <c r="T80" s="195">
        <f>T55</f>
        <v>0.23933801894535195</v>
      </c>
      <c r="V80" s="195">
        <f>V55</f>
        <v>0.24528845227954507</v>
      </c>
      <c r="X80" s="195">
        <f>X55</f>
        <v>0.2518422754710708</v>
      </c>
      <c r="Z80" s="195">
        <f>Z55</f>
        <v>0.25923950569435456</v>
      </c>
      <c r="AB80" s="195">
        <f>AB55</f>
        <v>0.26788459608737114</v>
      </c>
      <c r="AD80" s="195">
        <f>AD55</f>
        <v>0.27849427503079621</v>
      </c>
      <c r="AF80" s="195">
        <f>AF55</f>
        <v>0.29238623205643544</v>
      </c>
      <c r="AH80" s="195">
        <f>AH55</f>
        <v>0.31199466117292168</v>
      </c>
      <c r="AJ80" s="195">
        <f>AJ55</f>
        <v>0.34173325275896693</v>
      </c>
      <c r="AL80" s="195">
        <f>AL55</f>
        <v>0.39065668161471973</v>
      </c>
      <c r="AN80" s="195">
        <f>AN55</f>
        <v>0.48912800232220754</v>
      </c>
      <c r="AP80" s="195">
        <f>AP55</f>
        <v>0.52419616412747083</v>
      </c>
      <c r="AR80" s="195">
        <f>AR55</f>
        <v>0.57115544644106797</v>
      </c>
      <c r="AT80" s="195">
        <f>AT55</f>
        <v>0.63905986568474415</v>
      </c>
      <c r="AV80" s="195">
        <f>AV55</f>
        <v>0.75122324425893194</v>
      </c>
      <c r="XFD80" s="195"/>
    </row>
    <row r="81" spans="1:48 16384:16384" x14ac:dyDescent="0.2">
      <c r="A81" t="s">
        <v>175</v>
      </c>
      <c r="B81" s="195">
        <f>B51/B$32</f>
        <v>-2.7543485504603994E-2</v>
      </c>
      <c r="D81" s="195">
        <f>D51/D$32</f>
        <v>-2.3648409027086953E-2</v>
      </c>
      <c r="F81" s="195">
        <f>F51/F$32</f>
        <v>-1.9648500559671586E-2</v>
      </c>
      <c r="H81" s="195">
        <f>H51/H$32</f>
        <v>-1.5526887501330282E-2</v>
      </c>
      <c r="J81" s="195">
        <f>J51/J$32</f>
        <v>-1.1263479249852439E-2</v>
      </c>
      <c r="L81" s="195">
        <f>L51/L$32</f>
        <v>-6.8342073075915574E-3</v>
      </c>
      <c r="N81" s="195">
        <f>N51/N$32</f>
        <v>-2.2089241494586864E-3</v>
      </c>
      <c r="P81" s="195">
        <f>P51/P$32</f>
        <v>2.6504990048563859E-3</v>
      </c>
      <c r="R81" s="195">
        <f>R51/R$32</f>
        <v>7.7943581847192446E-3</v>
      </c>
      <c r="T81" s="195">
        <f>T51/T$32</f>
        <v>1.3291814380927096E-2</v>
      </c>
      <c r="V81" s="195">
        <f>V51/V$32</f>
        <v>1.9242247715120255E-2</v>
      </c>
      <c r="X81" s="195">
        <f>X51/X$32</f>
        <v>2.5796070906645981E-2</v>
      </c>
      <c r="Z81" s="195">
        <f>Z51/Z$32</f>
        <v>3.319330112992968E-2</v>
      </c>
      <c r="AB81" s="195">
        <f>AB51/AB$32</f>
        <v>4.1838391522946293E-2</v>
      </c>
      <c r="AD81" s="195">
        <f>AD51/AD$32</f>
        <v>5.2448070466371406E-2</v>
      </c>
      <c r="AF81" s="195">
        <f>AF51/AF$32</f>
        <v>6.6340027492010595E-2</v>
      </c>
      <c r="AH81" s="195">
        <f>AH51/AH$32</f>
        <v>8.5948456608496857E-2</v>
      </c>
      <c r="AJ81" s="195">
        <f>AJ51/AJ$32</f>
        <v>0.11568704819454208</v>
      </c>
      <c r="AL81" s="195">
        <f>AL51/AL$32</f>
        <v>0.16461047705029486</v>
      </c>
      <c r="AN81" s="195">
        <f>AN51/AN$32</f>
        <v>0.26308179775778273</v>
      </c>
      <c r="AP81" s="195">
        <f>AP51/AP$32</f>
        <v>0.29814995956304602</v>
      </c>
      <c r="AR81" s="195">
        <f>AR51/AR$32</f>
        <v>0.34510924187664316</v>
      </c>
      <c r="AT81" s="195">
        <f>AT51/AT$32</f>
        <v>0.41301366112031934</v>
      </c>
      <c r="AV81" s="195">
        <f>AV51/AV$32</f>
        <v>0.52517703969450713</v>
      </c>
      <c r="XFD81" s="195"/>
    </row>
    <row r="82" spans="1:48 16384:16384" x14ac:dyDescent="0.2">
      <c r="A82" t="s">
        <v>176</v>
      </c>
      <c r="B82" s="195">
        <f>B52/B$32</f>
        <v>0.14069693704202227</v>
      </c>
      <c r="D82" s="195">
        <f>D52/D$32</f>
        <v>0.14049739047436438</v>
      </c>
      <c r="F82" s="195">
        <f>F52/F$32</f>
        <v>0.14027182123855508</v>
      </c>
      <c r="H82" s="195">
        <f>H52/H$32</f>
        <v>0.14001734041494901</v>
      </c>
      <c r="J82" s="195">
        <f>J52/J$32</f>
        <v>0.13973050648578864</v>
      </c>
      <c r="L82" s="195">
        <f>L52/L$32</f>
        <v>0.13940712164814203</v>
      </c>
      <c r="N82" s="195">
        <f>N52/N$32</f>
        <v>0.13904186149667444</v>
      </c>
      <c r="P82" s="195">
        <f>P52/P$32</f>
        <v>0.13862776318871425</v>
      </c>
      <c r="R82" s="195">
        <f>R52/R$32</f>
        <v>0.13815533239749608</v>
      </c>
      <c r="T82" s="195">
        <f>T52/T$32</f>
        <v>0.13761107128155795</v>
      </c>
      <c r="V82" s="195">
        <f>V52/V$32</f>
        <v>0.13697496278736487</v>
      </c>
      <c r="X82" s="195">
        <f>X52/X$32</f>
        <v>0.13621600691464039</v>
      </c>
      <c r="Z82" s="195">
        <f>Z52/Z$32</f>
        <v>0.13528407209884913</v>
      </c>
      <c r="AB82" s="195">
        <f>AB52/AB$32</f>
        <v>0.13409454328742898</v>
      </c>
      <c r="AD82" s="195">
        <f>AD52/AD$32</f>
        <v>0.13249898254075046</v>
      </c>
      <c r="AF82" s="195">
        <f>AF52/AF$32</f>
        <v>0.13023059293913927</v>
      </c>
      <c r="AH82" s="195">
        <f>AH52/AH$32</f>
        <v>0.12681398607414976</v>
      </c>
      <c r="AJ82" s="195">
        <f>AJ52/AJ$32</f>
        <v>0.12142635225788412</v>
      </c>
      <c r="AL82" s="195">
        <f>AL52/AL$32</f>
        <v>0.11242794500351772</v>
      </c>
      <c r="AN82" s="195">
        <f>AN52/AN$32</f>
        <v>9.4262187741903647E-2</v>
      </c>
      <c r="AP82" s="195">
        <f>AP52/AP$32</f>
        <v>8.779172619121671E-2</v>
      </c>
      <c r="AR82" s="195">
        <f>AR52/AR$32</f>
        <v>7.9127169985752713E-2</v>
      </c>
      <c r="AT82" s="195">
        <f>AT52/AT$32</f>
        <v>6.6597961294084435E-2</v>
      </c>
      <c r="AV82" s="195">
        <f>AV52/AV$32</f>
        <v>4.5902418052353192E-2</v>
      </c>
    </row>
    <row r="83" spans="1:48 16384:16384" x14ac:dyDescent="0.2">
      <c r="A83" t="s">
        <v>177</v>
      </c>
      <c r="B83" s="195">
        <f>B53/B$32</f>
        <v>0.18438881036940691</v>
      </c>
      <c r="D83" s="195">
        <f>D53/D$32</f>
        <v>0.18300852092843273</v>
      </c>
      <c r="F83" s="195">
        <f>F53/F$32</f>
        <v>0.18161173490575236</v>
      </c>
      <c r="H83" s="195">
        <f>H53/H$32</f>
        <v>0.18019449717800717</v>
      </c>
      <c r="J83" s="195">
        <f>J53/J$32</f>
        <v>0.17875210619512591</v>
      </c>
      <c r="L83" s="195">
        <f>L53/L$32</f>
        <v>0.1772789812175101</v>
      </c>
      <c r="N83" s="195">
        <f>N53/N$32</f>
        <v>0.17576823418587748</v>
      </c>
      <c r="P83" s="195">
        <f>P53/P$32</f>
        <v>0.17421136504442924</v>
      </c>
      <c r="R83" s="195">
        <f>R53/R$32</f>
        <v>0.17259745425887035</v>
      </c>
      <c r="T83" s="195">
        <f>T53/T$32</f>
        <v>0.17091195875496679</v>
      </c>
      <c r="V83" s="195">
        <f>V53/V$32</f>
        <v>0.16913458296621361</v>
      </c>
      <c r="X83" s="195">
        <f>X53/X$32</f>
        <v>0.1672353224892339</v>
      </c>
      <c r="Z83" s="195">
        <f>Z53/Z$32</f>
        <v>0.16516695584870411</v>
      </c>
      <c r="AB83" s="195">
        <f>AB53/AB$32</f>
        <v>0.16285005133051295</v>
      </c>
      <c r="AD83" s="195">
        <f>AD53/AD$32</f>
        <v>0.16014234407985928</v>
      </c>
      <c r="AF83" s="195">
        <f>AF53/AF$32</f>
        <v>0.15677618408250379</v>
      </c>
      <c r="AH83" s="195">
        <f>AH53/AH$32</f>
        <v>0.15223964898514467</v>
      </c>
      <c r="AJ83" s="195">
        <f>AJ53/AJ$32</f>
        <v>0.14556536771283285</v>
      </c>
      <c r="AL83" s="195">
        <f>AL53/AL$32</f>
        <v>0.13472052670717247</v>
      </c>
      <c r="AN83" s="195">
        <f>AN53/AN$32</f>
        <v>0.11294650671978698</v>
      </c>
      <c r="AP83" s="195">
        <f>AP53/AP$32</f>
        <v>0.10519338965041583</v>
      </c>
      <c r="AR83" s="195">
        <f>AR53/AR$32</f>
        <v>9.481135174745646E-2</v>
      </c>
      <c r="AT83" s="195">
        <f>AT53/AT$32</f>
        <v>7.9798659287253645E-2</v>
      </c>
      <c r="AV83" s="195">
        <f>AV53/AV$32</f>
        <v>5.5000953054759903E-2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5"/>
  <dimension ref="A1:XFD83"/>
  <sheetViews>
    <sheetView showGridLines="0" workbookViewId="0">
      <pane ySplit="1" topLeftCell="A2" activePane="bottomLeft" state="frozen"/>
      <selection pane="bottomLeft" activeCell="H14"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5.3758747243408449E-2</v>
      </c>
      <c r="E2" s="189"/>
      <c r="F2" s="188">
        <v>0.10675926922623748</v>
      </c>
      <c r="G2" s="189"/>
      <c r="H2" s="188">
        <v>0.16560350234647006</v>
      </c>
      <c r="I2" s="189"/>
      <c r="J2" s="188">
        <v>0.23132727775937659</v>
      </c>
      <c r="K2" s="189"/>
      <c r="L2" s="188">
        <v>0.3052452195239112</v>
      </c>
      <c r="M2" s="189"/>
      <c r="N2" s="188">
        <v>0.38907246135784335</v>
      </c>
      <c r="O2" s="189"/>
      <c r="P2" s="188">
        <v>0.48510178334811738</v>
      </c>
      <c r="Q2" s="189"/>
      <c r="R2" s="188">
        <v>0.59650184928176475</v>
      </c>
      <c r="S2" s="189"/>
      <c r="T2" s="188">
        <v>0.72782586665063032</v>
      </c>
      <c r="U2" s="189"/>
      <c r="V2" s="188">
        <v>0.88590636436014902</v>
      </c>
      <c r="W2" s="189"/>
      <c r="X2" s="188">
        <v>1.0815433444357012</v>
      </c>
      <c r="Y2" s="189"/>
      <c r="Z2" s="188">
        <v>1.3328660402250474</v>
      </c>
      <c r="AA2" s="189"/>
      <c r="AB2" s="188">
        <v>1.6725227201803503</v>
      </c>
      <c r="AC2" s="189"/>
      <c r="AD2" s="188">
        <v>2.1642798767482949</v>
      </c>
      <c r="AE2" s="189"/>
      <c r="AF2" s="188">
        <v>2.9442865119199668</v>
      </c>
      <c r="AG2" s="189"/>
      <c r="AH2" s="188">
        <v>4.3305788267649961</v>
      </c>
      <c r="AI2" s="189"/>
      <c r="AJ2" s="188">
        <v>7.1441521389414833</v>
      </c>
      <c r="AK2" s="189"/>
      <c r="AL2" s="188">
        <v>13.965664321552758</v>
      </c>
      <c r="AM2" s="189"/>
      <c r="AN2" s="188">
        <v>37.630476620474006</v>
      </c>
      <c r="AO2" s="189"/>
      <c r="AP2" s="188">
        <v>49.516828687887546</v>
      </c>
      <c r="AQ2" s="189"/>
      <c r="AR2" s="188">
        <v>68.23373848483881</v>
      </c>
      <c r="AS2" s="189"/>
      <c r="AT2" s="188">
        <v>100.50669523022714</v>
      </c>
      <c r="AU2" s="189"/>
      <c r="AV2" s="188">
        <v>164.44118545266949</v>
      </c>
      <c r="AW2" s="189"/>
    </row>
    <row r="3" spans="1:49" x14ac:dyDescent="0.2">
      <c r="A3" t="s">
        <v>12</v>
      </c>
      <c r="B3" s="81">
        <v>1000</v>
      </c>
      <c r="C3" s="82">
        <v>1000</v>
      </c>
      <c r="D3" s="81">
        <v>998.89512317642698</v>
      </c>
      <c r="E3" s="82">
        <v>1021.9209649383043</v>
      </c>
      <c r="F3" s="81">
        <v>997.79577762706413</v>
      </c>
      <c r="G3" s="82">
        <v>1046.6416181465665</v>
      </c>
      <c r="H3" s="81">
        <v>996.69618528237004</v>
      </c>
      <c r="I3" s="82">
        <v>1074.6640674426101</v>
      </c>
      <c r="J3" s="81">
        <v>995.58930724522213</v>
      </c>
      <c r="K3" s="82">
        <v>1106.6166118583483</v>
      </c>
      <c r="L3" s="81">
        <v>994.46679582481499</v>
      </c>
      <c r="M3" s="82">
        <v>1143.2961082652375</v>
      </c>
      <c r="N3" s="81">
        <v>993.31918459938288</v>
      </c>
      <c r="O3" s="82">
        <v>1185.7359849561635</v>
      </c>
      <c r="P3" s="81">
        <v>992.13626786356963</v>
      </c>
      <c r="Q3" s="82">
        <v>1235.3022283834246</v>
      </c>
      <c r="R3" s="81">
        <v>990.90809218764582</v>
      </c>
      <c r="S3" s="82">
        <v>1293.8508997029739</v>
      </c>
      <c r="T3" s="81">
        <v>989.62693623972825</v>
      </c>
      <c r="U3" s="82">
        <v>1363.987338632352</v>
      </c>
      <c r="V3" s="81">
        <v>988.29108476972533</v>
      </c>
      <c r="W3" s="82">
        <v>1449.5106934035107</v>
      </c>
      <c r="X3" s="81">
        <v>986.91203164667706</v>
      </c>
      <c r="Y3" s="82">
        <v>1556.2272410075568</v>
      </c>
      <c r="Z3" s="81">
        <v>985.52807614565722</v>
      </c>
      <c r="AA3" s="82">
        <v>1693.523034443994</v>
      </c>
      <c r="AB3" s="81">
        <v>984.22978994299888</v>
      </c>
      <c r="AC3" s="82">
        <v>1877.6234405380239</v>
      </c>
      <c r="AD3" s="81">
        <v>983.2051579282587</v>
      </c>
      <c r="AE3" s="82">
        <v>2138.8678254513393</v>
      </c>
      <c r="AF3" s="81">
        <v>982.80254152623331</v>
      </c>
      <c r="AG3" s="82">
        <v>2539.1760217444548</v>
      </c>
      <c r="AH3" s="81">
        <v>983.53741773937816</v>
      </c>
      <c r="AI3" s="82">
        <v>3217.0654059385392</v>
      </c>
      <c r="AJ3" s="81">
        <v>985.79606622625852</v>
      </c>
      <c r="AK3" s="82">
        <v>4518.6554224141855</v>
      </c>
      <c r="AL3" s="81">
        <v>989.20155131133959</v>
      </c>
      <c r="AM3" s="82">
        <v>7516.5635021131393</v>
      </c>
      <c r="AN3" s="81">
        <v>992.38298281725588</v>
      </c>
      <c r="AO3" s="82">
        <v>17508.932709900924</v>
      </c>
      <c r="AP3" s="81">
        <v>992.77125727186933</v>
      </c>
      <c r="AQ3" s="82">
        <v>22454.394404717048</v>
      </c>
      <c r="AR3" s="81">
        <v>992.97369970943237</v>
      </c>
      <c r="AS3" s="82">
        <v>30202.080255671663</v>
      </c>
      <c r="AT3" s="81">
        <v>992.8867765711276</v>
      </c>
      <c r="AU3" s="82">
        <v>43500.304094755753</v>
      </c>
      <c r="AV3" s="81">
        <v>992.31016396261577</v>
      </c>
      <c r="AW3" s="82">
        <v>69744.532706732469</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998.84022460062806</v>
      </c>
      <c r="E5" s="40">
        <v>1019.0140507579513</v>
      </c>
      <c r="F5" s="39">
        <v>997.68538676464459</v>
      </c>
      <c r="G5" s="40">
        <v>1039.9116680917168</v>
      </c>
      <c r="H5" s="39">
        <v>996.52941735087404</v>
      </c>
      <c r="I5" s="40">
        <v>1062.9295945332842</v>
      </c>
      <c r="J5" s="39">
        <v>995.3649017587652</v>
      </c>
      <c r="K5" s="40">
        <v>1088.3386179039073</v>
      </c>
      <c r="L5" s="39">
        <v>994.18302396792342</v>
      </c>
      <c r="M5" s="40">
        <v>1116.4485787788892</v>
      </c>
      <c r="N5" s="39">
        <v>992.97376007339017</v>
      </c>
      <c r="O5" s="40">
        <v>1147.611055105956</v>
      </c>
      <c r="P5" s="39">
        <v>991.72627231097886</v>
      </c>
      <c r="Q5" s="40">
        <v>1182.2229855972828</v>
      </c>
      <c r="R5" s="39">
        <v>990.4299498312115</v>
      </c>
      <c r="S5" s="40">
        <v>1220.7269370687372</v>
      </c>
      <c r="T5" s="39">
        <v>989.07649846377876</v>
      </c>
      <c r="U5" s="40">
        <v>1263.6013639216649</v>
      </c>
      <c r="V5" s="39">
        <v>987.66394019983363</v>
      </c>
      <c r="W5" s="40">
        <v>1311.3388143338839</v>
      </c>
      <c r="X5" s="39">
        <v>986.20426904695876</v>
      </c>
      <c r="Y5" s="40">
        <v>1364.3853336049142</v>
      </c>
      <c r="Z5" s="39">
        <v>984.73793558465343</v>
      </c>
      <c r="AA5" s="40">
        <v>1423.0020858591847</v>
      </c>
      <c r="AB5" s="39">
        <v>983.36101776679686</v>
      </c>
      <c r="AC5" s="40">
        <v>1486.9516235022752</v>
      </c>
      <c r="AD5" s="39">
        <v>982.27339634818702</v>
      </c>
      <c r="AE5" s="40">
        <v>1554.8137063498266</v>
      </c>
      <c r="AF5" s="39">
        <v>981.84580279733086</v>
      </c>
      <c r="AG5" s="40">
        <v>1622.6792081617555</v>
      </c>
      <c r="AH5" s="39">
        <v>982.62617231691536</v>
      </c>
      <c r="AI5" s="40">
        <v>1682.642896810921</v>
      </c>
      <c r="AJ5" s="39">
        <v>985.0219932051001</v>
      </c>
      <c r="AK5" s="40">
        <v>1724.5026950491081</v>
      </c>
      <c r="AL5" s="39">
        <v>988.62683452513102</v>
      </c>
      <c r="AM5" s="40">
        <v>1744.3856909153519</v>
      </c>
      <c r="AN5" s="39">
        <v>991.98654048290155</v>
      </c>
      <c r="AO5" s="40">
        <v>1749.6168677035837</v>
      </c>
      <c r="AP5" s="39">
        <v>992.39605281373167</v>
      </c>
      <c r="AQ5" s="40">
        <v>1749.8547118774895</v>
      </c>
      <c r="AR5" s="39">
        <v>992.60952399157429</v>
      </c>
      <c r="AS5" s="40">
        <v>1749.9810686351079</v>
      </c>
      <c r="AT5" s="39">
        <v>992.51786915051457</v>
      </c>
      <c r="AU5" s="40">
        <v>1750.039731475792</v>
      </c>
      <c r="AV5" s="39">
        <v>991.90972607048923</v>
      </c>
      <c r="AW5" s="40">
        <v>1750.0620834555034</v>
      </c>
    </row>
    <row r="6" spans="1:49" x14ac:dyDescent="0.2">
      <c r="A6" t="s">
        <v>77</v>
      </c>
      <c r="B6" s="39">
        <v>1000.0000000000003</v>
      </c>
      <c r="C6" s="40">
        <v>1000.0000000000002</v>
      </c>
      <c r="D6" s="39">
        <v>998.7516241059036</v>
      </c>
      <c r="E6" s="40">
        <v>1023.5837122459145</v>
      </c>
      <c r="F6" s="39">
        <v>997.50878302527269</v>
      </c>
      <c r="G6" s="40">
        <v>1050.0090240064233</v>
      </c>
      <c r="H6" s="39">
        <v>996.26494396883913</v>
      </c>
      <c r="I6" s="40">
        <v>1079.7772717190571</v>
      </c>
      <c r="J6" s="39">
        <v>995.01213147064914</v>
      </c>
      <c r="K6" s="40">
        <v>1113.5169767157615</v>
      </c>
      <c r="L6" s="39">
        <v>993.74086835198125</v>
      </c>
      <c r="M6" s="40">
        <v>1152.0268797184576</v>
      </c>
      <c r="N6" s="39">
        <v>992.4403857338209</v>
      </c>
      <c r="O6" s="40">
        <v>1196.345250498571</v>
      </c>
      <c r="P6" s="39">
        <v>991.09904785327956</v>
      </c>
      <c r="Q6" s="40">
        <v>1247.8474331014888</v>
      </c>
      <c r="R6" s="39">
        <v>989.70547233729633</v>
      </c>
      <c r="S6" s="40">
        <v>1308.4060906027314</v>
      </c>
      <c r="T6" s="39">
        <v>988.25077666543996</v>
      </c>
      <c r="U6" s="40">
        <v>1380.6547244727253</v>
      </c>
      <c r="V6" s="39">
        <v>986.73287354003969</v>
      </c>
      <c r="W6" s="40">
        <v>1468.4393465666956</v>
      </c>
      <c r="X6" s="39">
        <v>985.16468820800424</v>
      </c>
      <c r="Y6" s="40">
        <v>1577.6446325382974</v>
      </c>
      <c r="Z6" s="39">
        <v>983.58969744160981</v>
      </c>
      <c r="AA6" s="40">
        <v>1717.7909685369714</v>
      </c>
      <c r="AB6" s="39">
        <v>982.11106938772321</v>
      </c>
      <c r="AC6" s="40">
        <v>1905.3442116924275</v>
      </c>
      <c r="AD6" s="39">
        <v>980.94332736887134</v>
      </c>
      <c r="AE6" s="40">
        <v>2171.1024219608494</v>
      </c>
      <c r="AF6" s="39">
        <v>980.48428789179604</v>
      </c>
      <c r="AG6" s="40">
        <v>2577.9322849395094</v>
      </c>
      <c r="AH6" s="39">
        <v>981.32206963259966</v>
      </c>
      <c r="AI6" s="40">
        <v>3266.4845966578509</v>
      </c>
      <c r="AJ6" s="39">
        <v>983.89477656520012</v>
      </c>
      <c r="AK6" s="40">
        <v>4588.2292267056655</v>
      </c>
      <c r="AL6" s="39">
        <v>987.76754241872425</v>
      </c>
      <c r="AM6" s="40">
        <v>7632.3510894393585</v>
      </c>
      <c r="AN6" s="39">
        <v>991.37887520590448</v>
      </c>
      <c r="AO6" s="40">
        <v>17778.656746876339</v>
      </c>
      <c r="AP6" s="39">
        <v>991.81918499837036</v>
      </c>
      <c r="AQ6" s="40">
        <v>22800.303121620338</v>
      </c>
      <c r="AR6" s="39">
        <v>992.04872125255508</v>
      </c>
      <c r="AS6" s="40">
        <v>30667.341710196648</v>
      </c>
      <c r="AT6" s="39">
        <v>991.95016787864279</v>
      </c>
      <c r="AU6" s="40">
        <v>44170.424008329253</v>
      </c>
      <c r="AV6" s="39">
        <v>991.29628701974639</v>
      </c>
      <c r="AW6" s="40">
        <v>70818.943598009602</v>
      </c>
    </row>
    <row r="7" spans="1:49" x14ac:dyDescent="0.2">
      <c r="A7" t="s">
        <v>13</v>
      </c>
      <c r="B7" s="31">
        <v>1015.9116825427475</v>
      </c>
      <c r="C7" s="32">
        <v>1015.9116825427475</v>
      </c>
      <c r="D7" s="31">
        <v>1014.7334531653999</v>
      </c>
      <c r="E7" s="32">
        <v>1014.7334531653999</v>
      </c>
      <c r="F7" s="31">
        <v>1013.5602399163818</v>
      </c>
      <c r="G7" s="32">
        <v>1013.5602399163818</v>
      </c>
      <c r="H7" s="31">
        <v>1012.3858770842702</v>
      </c>
      <c r="I7" s="32">
        <v>1012.3858770842702</v>
      </c>
      <c r="J7" s="31">
        <v>1011.2028320897437</v>
      </c>
      <c r="K7" s="32">
        <v>1011.2028320897437</v>
      </c>
      <c r="L7" s="31">
        <v>1010.0021486346897</v>
      </c>
      <c r="M7" s="32">
        <v>1010.0021486346897</v>
      </c>
      <c r="N7" s="31">
        <v>1008.7736433169562</v>
      </c>
      <c r="O7" s="32">
        <v>1008.7736433169562</v>
      </c>
      <c r="P7" s="31">
        <v>1007.5063059252934</v>
      </c>
      <c r="Q7" s="32">
        <v>1007.5063059252934</v>
      </c>
      <c r="R7" s="31">
        <v>1006.189356773755</v>
      </c>
      <c r="S7" s="32">
        <v>1006.189356773755</v>
      </c>
      <c r="T7" s="31">
        <v>1004.8143697178266</v>
      </c>
      <c r="U7" s="32">
        <v>1004.8143697178266</v>
      </c>
      <c r="V7" s="31">
        <v>1003.3793352752125</v>
      </c>
      <c r="W7" s="32">
        <v>1003.3793352752125</v>
      </c>
      <c r="X7" s="31">
        <v>1001.8964382983363</v>
      </c>
      <c r="Y7" s="32">
        <v>1001.8964382983363</v>
      </c>
      <c r="Z7" s="31">
        <v>1000.4067730034769</v>
      </c>
      <c r="AA7" s="32">
        <v>1000.4067730034769</v>
      </c>
      <c r="AB7" s="31">
        <v>999.00794610641515</v>
      </c>
      <c r="AC7" s="32">
        <v>999.00794610641515</v>
      </c>
      <c r="AD7" s="31">
        <v>997.90301880106574</v>
      </c>
      <c r="AE7" s="32">
        <v>997.90301880106574</v>
      </c>
      <c r="AF7" s="31">
        <v>997.46862151737105</v>
      </c>
      <c r="AG7" s="32">
        <v>997.46862151737105</v>
      </c>
      <c r="AH7" s="31">
        <v>998.26140802901716</v>
      </c>
      <c r="AI7" s="32">
        <v>998.26140802901716</v>
      </c>
      <c r="AJ7" s="31">
        <v>1000.695350458604</v>
      </c>
      <c r="AK7" s="32">
        <v>1000.695350458604</v>
      </c>
      <c r="AL7" s="31">
        <v>1004.3575508693363</v>
      </c>
      <c r="AM7" s="32">
        <v>1004.3575508693363</v>
      </c>
      <c r="AN7" s="31">
        <v>1007.7707154017438</v>
      </c>
      <c r="AO7" s="32">
        <v>1007.7707154017438</v>
      </c>
      <c r="AP7" s="31">
        <v>1008.1867437627794</v>
      </c>
      <c r="AQ7" s="32">
        <v>1008.1867437627794</v>
      </c>
      <c r="AR7" s="31">
        <v>1008.4036116262358</v>
      </c>
      <c r="AS7" s="32">
        <v>1008.4036116262358</v>
      </c>
      <c r="AT7" s="31">
        <v>1008.3104984024417</v>
      </c>
      <c r="AU7" s="32">
        <v>1008.3104984024417</v>
      </c>
      <c r="AV7" s="31">
        <v>1007.6926787427865</v>
      </c>
      <c r="AW7" s="32">
        <v>1007.6926787427865</v>
      </c>
    </row>
    <row r="8" spans="1:49" x14ac:dyDescent="0.2">
      <c r="B8" s="33">
        <v>1005.7716594496609</v>
      </c>
      <c r="C8" s="34">
        <v>1005.7716594496609</v>
      </c>
      <c r="D8" s="33">
        <v>1073.7949695501297</v>
      </c>
      <c r="E8" s="34">
        <v>1073.7949695501297</v>
      </c>
      <c r="F8" s="33">
        <v>1150.9318778370261</v>
      </c>
      <c r="G8" s="34">
        <v>1150.9318778370261</v>
      </c>
      <c r="H8" s="33">
        <v>1238.9544581357095</v>
      </c>
      <c r="I8" s="34">
        <v>1238.9544581357095</v>
      </c>
      <c r="J8" s="33">
        <v>1340.1010276640206</v>
      </c>
      <c r="K8" s="34">
        <v>1340.1010276640206</v>
      </c>
      <c r="L8" s="33">
        <v>1457.2391702954101</v>
      </c>
      <c r="M8" s="34">
        <v>1457.2391702954101</v>
      </c>
      <c r="N8" s="33">
        <v>1594.114912997502</v>
      </c>
      <c r="O8" s="34">
        <v>1594.114912997502</v>
      </c>
      <c r="P8" s="33">
        <v>1755.7214642256602</v>
      </c>
      <c r="Q8" s="34">
        <v>1755.7214642256602</v>
      </c>
      <c r="R8" s="33">
        <v>1948.8928124983036</v>
      </c>
      <c r="S8" s="34">
        <v>1948.8928124983036</v>
      </c>
      <c r="T8" s="33">
        <v>2183.2831217188691</v>
      </c>
      <c r="U8" s="34">
        <v>2183.2831217188691</v>
      </c>
      <c r="V8" s="33">
        <v>2473.0622157847633</v>
      </c>
      <c r="W8" s="34">
        <v>2473.0622157847633</v>
      </c>
      <c r="X8" s="33">
        <v>2840.0272104109931</v>
      </c>
      <c r="Y8" s="34">
        <v>2840.0272104109931</v>
      </c>
      <c r="Z8" s="33">
        <v>3319.6732412702991</v>
      </c>
      <c r="AA8" s="34">
        <v>3319.6732412702991</v>
      </c>
      <c r="AB8" s="33">
        <v>3973.9119976188886</v>
      </c>
      <c r="AC8" s="34">
        <v>3973.9119976188886</v>
      </c>
      <c r="AD8" s="33">
        <v>4919.8657230951885</v>
      </c>
      <c r="AE8" s="34">
        <v>4919.8657230951885</v>
      </c>
      <c r="AF8" s="33">
        <v>6400.3117139253845</v>
      </c>
      <c r="AG8" s="34">
        <v>6400.3117139253845</v>
      </c>
      <c r="AH8" s="33">
        <v>8969.460598746813</v>
      </c>
      <c r="AI8" s="34">
        <v>8969.460598746813</v>
      </c>
      <c r="AJ8" s="33">
        <v>14044.612312494544</v>
      </c>
      <c r="AK8" s="34">
        <v>14044.612312494544</v>
      </c>
      <c r="AL8" s="33">
        <v>26105.89069755904</v>
      </c>
      <c r="AM8" s="34">
        <v>26105.89069755904</v>
      </c>
      <c r="AN8" s="33">
        <v>67588.533502610255</v>
      </c>
      <c r="AO8" s="34">
        <v>67588.533502610255</v>
      </c>
      <c r="AP8" s="33">
        <v>88397.110708607957</v>
      </c>
      <c r="AQ8" s="34">
        <v>88397.110708607957</v>
      </c>
      <c r="AR8" s="33">
        <v>121157.73165930182</v>
      </c>
      <c r="AS8" s="34">
        <v>121157.73165930182</v>
      </c>
      <c r="AT8" s="33">
        <v>177640.74966370175</v>
      </c>
      <c r="AU8" s="34">
        <v>177640.74966370175</v>
      </c>
      <c r="AV8" s="33">
        <v>289532.34570264706</v>
      </c>
      <c r="AW8" s="34">
        <v>289532.34570264706</v>
      </c>
    </row>
    <row r="9" spans="1:49" x14ac:dyDescent="0.2">
      <c r="A9" t="s">
        <v>14</v>
      </c>
      <c r="B9" s="39">
        <v>1015.9116825427475</v>
      </c>
      <c r="C9" s="40">
        <v>1005.7716594496609</v>
      </c>
      <c r="D9" s="39">
        <v>1014.7334531653999</v>
      </c>
      <c r="E9" s="40">
        <v>1073.7949695501297</v>
      </c>
      <c r="F9" s="39">
        <v>1013.5602399163818</v>
      </c>
      <c r="G9" s="40">
        <v>1150.9318778370261</v>
      </c>
      <c r="H9" s="39">
        <v>1012.3858770842702</v>
      </c>
      <c r="I9" s="40">
        <v>1238.9544581357095</v>
      </c>
      <c r="J9" s="39">
        <v>1011.2028320897437</v>
      </c>
      <c r="K9" s="40">
        <v>1340.1010276640206</v>
      </c>
      <c r="L9" s="39">
        <v>1010.0021486346897</v>
      </c>
      <c r="M9" s="40">
        <v>1457.2391702954101</v>
      </c>
      <c r="N9" s="39">
        <v>1008.7736433169562</v>
      </c>
      <c r="O9" s="40">
        <v>1594.114912997502</v>
      </c>
      <c r="P9" s="39">
        <v>1007.5063059252934</v>
      </c>
      <c r="Q9" s="40">
        <v>1755.7214642256602</v>
      </c>
      <c r="R9" s="39">
        <v>1006.189356773755</v>
      </c>
      <c r="S9" s="40">
        <v>1948.8928124983036</v>
      </c>
      <c r="T9" s="39">
        <v>1004.8143697178266</v>
      </c>
      <c r="U9" s="40">
        <v>2183.2831217188691</v>
      </c>
      <c r="V9" s="39">
        <v>1003.3793352752125</v>
      </c>
      <c r="W9" s="40">
        <v>2473.0622157847633</v>
      </c>
      <c r="X9" s="39">
        <v>1001.8964382983363</v>
      </c>
      <c r="Y9" s="40">
        <v>2840.0272104109931</v>
      </c>
      <c r="Z9" s="39">
        <v>1000.4067730034769</v>
      </c>
      <c r="AA9" s="40">
        <v>3319.6732412702991</v>
      </c>
      <c r="AB9" s="39">
        <v>999.00794610641515</v>
      </c>
      <c r="AC9" s="40">
        <v>3973.9119976188886</v>
      </c>
      <c r="AD9" s="39">
        <v>997.90301880106574</v>
      </c>
      <c r="AE9" s="40">
        <v>4919.8657230951885</v>
      </c>
      <c r="AF9" s="39">
        <v>997.46862151737105</v>
      </c>
      <c r="AG9" s="40">
        <v>6400.3117139253845</v>
      </c>
      <c r="AH9" s="39">
        <v>998.26140802901716</v>
      </c>
      <c r="AI9" s="40">
        <v>8969.460598746813</v>
      </c>
      <c r="AJ9" s="39">
        <v>1000.695350458604</v>
      </c>
      <c r="AK9" s="40">
        <v>14044.612312494544</v>
      </c>
      <c r="AL9" s="39">
        <v>1004.3575508693363</v>
      </c>
      <c r="AM9" s="40">
        <v>26105.89069755904</v>
      </c>
      <c r="AN9" s="39">
        <v>1007.7707154017438</v>
      </c>
      <c r="AO9" s="40">
        <v>67588.533502610255</v>
      </c>
      <c r="AP9" s="39">
        <v>1008.1867437627794</v>
      </c>
      <c r="AQ9" s="40">
        <v>88397.110708607957</v>
      </c>
      <c r="AR9" s="39">
        <v>1008.4036116262358</v>
      </c>
      <c r="AS9" s="40">
        <v>121157.73165930182</v>
      </c>
      <c r="AT9" s="39">
        <v>1008.3104984024417</v>
      </c>
      <c r="AU9" s="40">
        <v>177640.74966370175</v>
      </c>
      <c r="AV9" s="39">
        <v>1007.6926787427865</v>
      </c>
      <c r="AW9" s="40">
        <v>289532.34570264706</v>
      </c>
    </row>
    <row r="10" spans="1:49" x14ac:dyDescent="0.2">
      <c r="A10" t="s">
        <v>15</v>
      </c>
      <c r="B10" s="39">
        <v>1015.9116825427475</v>
      </c>
      <c r="C10" s="40">
        <v>1005.7716594496609</v>
      </c>
      <c r="D10" s="39">
        <v>1014.7334531653999</v>
      </c>
      <c r="E10" s="40">
        <v>1073.7949695501297</v>
      </c>
      <c r="F10" s="39">
        <v>1013.5602399163818</v>
      </c>
      <c r="G10" s="40">
        <v>1150.9318778370261</v>
      </c>
      <c r="H10" s="39">
        <v>1012.3858770842702</v>
      </c>
      <c r="I10" s="40">
        <v>1238.9544581357095</v>
      </c>
      <c r="J10" s="39">
        <v>1011.2028320897437</v>
      </c>
      <c r="K10" s="40">
        <v>1340.1010276640206</v>
      </c>
      <c r="L10" s="39">
        <v>1010.0021486346897</v>
      </c>
      <c r="M10" s="40">
        <v>1457.2391702954101</v>
      </c>
      <c r="N10" s="39">
        <v>1008.7736433169562</v>
      </c>
      <c r="O10" s="40">
        <v>1594.114912997502</v>
      </c>
      <c r="P10" s="39">
        <v>1007.5063059252934</v>
      </c>
      <c r="Q10" s="40">
        <v>1755.7214642256602</v>
      </c>
      <c r="R10" s="39">
        <v>1006.189356773755</v>
      </c>
      <c r="S10" s="40">
        <v>1948.8928124983036</v>
      </c>
      <c r="T10" s="39">
        <v>1004.8143697178266</v>
      </c>
      <c r="U10" s="40">
        <v>2183.2831217188691</v>
      </c>
      <c r="V10" s="39">
        <v>1003.3793352752125</v>
      </c>
      <c r="W10" s="40">
        <v>2473.0622157847633</v>
      </c>
      <c r="X10" s="39">
        <v>1001.8964382983363</v>
      </c>
      <c r="Y10" s="40">
        <v>2840.0272104109931</v>
      </c>
      <c r="Z10" s="39">
        <v>1000.4067730034769</v>
      </c>
      <c r="AA10" s="40">
        <v>3319.6732412702991</v>
      </c>
      <c r="AB10" s="39">
        <v>999.00794610641515</v>
      </c>
      <c r="AC10" s="40">
        <v>3973.9119976188886</v>
      </c>
      <c r="AD10" s="39">
        <v>997.90301880106574</v>
      </c>
      <c r="AE10" s="40">
        <v>4919.8657230951885</v>
      </c>
      <c r="AF10" s="39">
        <v>997.46862151737105</v>
      </c>
      <c r="AG10" s="40">
        <v>6400.3117139253845</v>
      </c>
      <c r="AH10" s="39">
        <v>998.26140802901716</v>
      </c>
      <c r="AI10" s="40">
        <v>8969.460598746813</v>
      </c>
      <c r="AJ10" s="39">
        <v>1000.695350458604</v>
      </c>
      <c r="AK10" s="40">
        <v>14044.612312494544</v>
      </c>
      <c r="AL10" s="39">
        <v>1004.3575508693363</v>
      </c>
      <c r="AM10" s="40">
        <v>26105.89069755904</v>
      </c>
      <c r="AN10" s="39">
        <v>1007.7707154017438</v>
      </c>
      <c r="AO10" s="40">
        <v>67588.533502610255</v>
      </c>
      <c r="AP10" s="39">
        <v>1008.1867437627794</v>
      </c>
      <c r="AQ10" s="40">
        <v>88397.110708607957</v>
      </c>
      <c r="AR10" s="39">
        <v>1008.4036116262358</v>
      </c>
      <c r="AS10" s="40">
        <v>121157.73165930182</v>
      </c>
      <c r="AT10" s="39">
        <v>1008.3104984024417</v>
      </c>
      <c r="AU10" s="40">
        <v>177640.74966370175</v>
      </c>
      <c r="AV10" s="39">
        <v>1007.6926787427865</v>
      </c>
      <c r="AW10" s="40">
        <v>289532.34570264706</v>
      </c>
    </row>
    <row r="11" spans="1:49" x14ac:dyDescent="0.2">
      <c r="A11" t="s">
        <v>29</v>
      </c>
      <c r="B11" s="39">
        <v>1015.9116825427475</v>
      </c>
      <c r="C11" s="40">
        <v>1005.7716594496609</v>
      </c>
      <c r="D11" s="39">
        <v>1014.7334531653999</v>
      </c>
      <c r="E11" s="40">
        <v>1073.7949695501297</v>
      </c>
      <c r="F11" s="39">
        <v>1013.5602399163818</v>
      </c>
      <c r="G11" s="40">
        <v>1150.9318778370261</v>
      </c>
      <c r="H11" s="39">
        <v>1012.3858770842702</v>
      </c>
      <c r="I11" s="40">
        <v>1238.9544581357095</v>
      </c>
      <c r="J11" s="39">
        <v>1011.2028320897437</v>
      </c>
      <c r="K11" s="40">
        <v>1340.1010276640206</v>
      </c>
      <c r="L11" s="39">
        <v>1010.0021486346897</v>
      </c>
      <c r="M11" s="40">
        <v>1457.2391702954101</v>
      </c>
      <c r="N11" s="39">
        <v>1008.7736433169562</v>
      </c>
      <c r="O11" s="40">
        <v>1594.114912997502</v>
      </c>
      <c r="P11" s="39">
        <v>1007.5063059252934</v>
      </c>
      <c r="Q11" s="40">
        <v>1755.7214642256602</v>
      </c>
      <c r="R11" s="39">
        <v>1006.189356773755</v>
      </c>
      <c r="S11" s="40">
        <v>1948.8928124983036</v>
      </c>
      <c r="T11" s="39">
        <v>1004.8143697178266</v>
      </c>
      <c r="U11" s="40">
        <v>2183.2831217188691</v>
      </c>
      <c r="V11" s="39">
        <v>1003.3793352752125</v>
      </c>
      <c r="W11" s="40">
        <v>2473.0622157847633</v>
      </c>
      <c r="X11" s="39">
        <v>1001.8964382983363</v>
      </c>
      <c r="Y11" s="40">
        <v>2840.0272104109931</v>
      </c>
      <c r="Z11" s="39">
        <v>1000.4067730034769</v>
      </c>
      <c r="AA11" s="40">
        <v>3319.6732412702991</v>
      </c>
      <c r="AB11" s="39">
        <v>999.00794610641515</v>
      </c>
      <c r="AC11" s="40">
        <v>3973.9119976188886</v>
      </c>
      <c r="AD11" s="39">
        <v>997.90301880106574</v>
      </c>
      <c r="AE11" s="40">
        <v>4919.8657230951885</v>
      </c>
      <c r="AF11" s="39">
        <v>997.46862151737105</v>
      </c>
      <c r="AG11" s="40">
        <v>6400.3117139253845</v>
      </c>
      <c r="AH11" s="39">
        <v>998.26140802901716</v>
      </c>
      <c r="AI11" s="40">
        <v>8969.460598746813</v>
      </c>
      <c r="AJ11" s="39">
        <v>1000.695350458604</v>
      </c>
      <c r="AK11" s="40">
        <v>14044.612312494544</v>
      </c>
      <c r="AL11" s="39">
        <v>1004.3575508693363</v>
      </c>
      <c r="AM11" s="40">
        <v>26105.89069755904</v>
      </c>
      <c r="AN11" s="39">
        <v>1007.7707154017438</v>
      </c>
      <c r="AO11" s="40">
        <v>67588.533502610255</v>
      </c>
      <c r="AP11" s="39">
        <v>1008.1867437627794</v>
      </c>
      <c r="AQ11" s="40">
        <v>88397.110708607957</v>
      </c>
      <c r="AR11" s="39">
        <v>1008.4036116262358</v>
      </c>
      <c r="AS11" s="40">
        <v>121157.73165930182</v>
      </c>
      <c r="AT11" s="39">
        <v>1008.3104984024417</v>
      </c>
      <c r="AU11" s="40">
        <v>177640.74966370175</v>
      </c>
      <c r="AV11" s="39">
        <v>1007.6926787427865</v>
      </c>
      <c r="AW11" s="40">
        <v>289532.34570264706</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998.86742557538582</v>
      </c>
      <c r="E13" s="94">
        <v>998.86742557538582</v>
      </c>
      <c r="F13" s="93">
        <v>997.42853592458198</v>
      </c>
      <c r="G13" s="94">
        <v>997.42853592458198</v>
      </c>
      <c r="H13" s="93">
        <v>995.63743164120319</v>
      </c>
      <c r="I13" s="94">
        <v>995.63743164120319</v>
      </c>
      <c r="J13" s="93">
        <v>993.43850527014433</v>
      </c>
      <c r="K13" s="94">
        <v>993.43850527014433</v>
      </c>
      <c r="L13" s="93">
        <v>990.76346307311485</v>
      </c>
      <c r="M13" s="94">
        <v>990.76346307311485</v>
      </c>
      <c r="N13" s="93">
        <v>987.52735472412371</v>
      </c>
      <c r="O13" s="94">
        <v>987.52735472412371</v>
      </c>
      <c r="P13" s="93">
        <v>983.62248927061376</v>
      </c>
      <c r="Q13" s="94">
        <v>983.62248927061376</v>
      </c>
      <c r="R13" s="93">
        <v>978.90937636411547</v>
      </c>
      <c r="S13" s="94">
        <v>978.90937636411547</v>
      </c>
      <c r="T13" s="93">
        <v>973.20280837887981</v>
      </c>
      <c r="U13" s="94">
        <v>973.20280837887981</v>
      </c>
      <c r="V13" s="93">
        <v>966.248888211245</v>
      </c>
      <c r="W13" s="94">
        <v>966.248888211245</v>
      </c>
      <c r="X13" s="93">
        <v>957.6862045196284</v>
      </c>
      <c r="Y13" s="94">
        <v>957.6862045196284</v>
      </c>
      <c r="Z13" s="93">
        <v>946.97620311387448</v>
      </c>
      <c r="AA13" s="94">
        <v>946.97620311387448</v>
      </c>
      <c r="AB13" s="93">
        <v>933.27169706020061</v>
      </c>
      <c r="AC13" s="94">
        <v>933.27169706020061</v>
      </c>
      <c r="AD13" s="93">
        <v>915.15524710165096</v>
      </c>
      <c r="AE13" s="94">
        <v>915.15524710165096</v>
      </c>
      <c r="AF13" s="93">
        <v>890.09814122431021</v>
      </c>
      <c r="AG13" s="94">
        <v>890.09814122431021</v>
      </c>
      <c r="AH13" s="93">
        <v>853.32197408584375</v>
      </c>
      <c r="AI13" s="94">
        <v>853.32197408584375</v>
      </c>
      <c r="AJ13" s="93">
        <v>795.25995564245216</v>
      </c>
      <c r="AK13" s="94">
        <v>795.25995564245216</v>
      </c>
      <c r="AL13" s="93">
        <v>694.17830470504748</v>
      </c>
      <c r="AM13" s="94">
        <v>694.17830470504748</v>
      </c>
      <c r="AN13" s="93">
        <v>485.51501037919195</v>
      </c>
      <c r="AO13" s="94">
        <v>485.51501037919195</v>
      </c>
      <c r="AP13" s="93">
        <v>415.53710821343299</v>
      </c>
      <c r="AQ13" s="94">
        <v>415.53710821343299</v>
      </c>
      <c r="AR13" s="93">
        <v>328.94408800736221</v>
      </c>
      <c r="AS13" s="94">
        <v>328.94408800736221</v>
      </c>
      <c r="AT13" s="93">
        <v>221.42511941285252</v>
      </c>
      <c r="AU13" s="94">
        <v>221.42511941285252</v>
      </c>
      <c r="AV13" s="93">
        <v>94.084874010331859</v>
      </c>
      <c r="AW13" s="94">
        <v>94.084874010331859</v>
      </c>
    </row>
    <row r="14" spans="1:49" x14ac:dyDescent="0.2">
      <c r="A14" t="s">
        <v>36</v>
      </c>
      <c r="B14" s="39">
        <v>1457.0034251455234</v>
      </c>
      <c r="C14" s="40">
        <v>1457.0034251455236</v>
      </c>
      <c r="D14" s="39">
        <v>1455.3532603296283</v>
      </c>
      <c r="E14" s="40">
        <v>1455.3532603296285</v>
      </c>
      <c r="F14" s="39">
        <v>1453.2567931800006</v>
      </c>
      <c r="G14" s="40">
        <v>1453.2567931800008</v>
      </c>
      <c r="H14" s="39">
        <v>1450.6471481043247</v>
      </c>
      <c r="I14" s="40">
        <v>1450.647148104325</v>
      </c>
      <c r="J14" s="39">
        <v>1447.4433048500493</v>
      </c>
      <c r="K14" s="40">
        <v>1447.4433048500496</v>
      </c>
      <c r="L14" s="39">
        <v>1443.5457592065686</v>
      </c>
      <c r="M14" s="40">
        <v>1443.5457592065686</v>
      </c>
      <c r="N14" s="39">
        <v>1438.8307382579465</v>
      </c>
      <c r="O14" s="40">
        <v>1438.8307382579467</v>
      </c>
      <c r="P14" s="39">
        <v>1433.1413359174499</v>
      </c>
      <c r="Q14" s="40">
        <v>1433.1413359174501</v>
      </c>
      <c r="R14" s="39">
        <v>1426.2743142695845</v>
      </c>
      <c r="S14" s="40">
        <v>1426.2743142695847</v>
      </c>
      <c r="T14" s="39">
        <v>1417.9598251692703</v>
      </c>
      <c r="U14" s="40">
        <v>1417.9598251692705</v>
      </c>
      <c r="V14" s="39">
        <v>1407.8279396668379</v>
      </c>
      <c r="W14" s="40">
        <v>1407.8279396668381</v>
      </c>
      <c r="X14" s="39">
        <v>1395.3520801997147</v>
      </c>
      <c r="Y14" s="40">
        <v>1395.3520801997149</v>
      </c>
      <c r="Z14" s="39">
        <v>1379.7475714682178</v>
      </c>
      <c r="AA14" s="40">
        <v>1379.747571468218</v>
      </c>
      <c r="AB14" s="39">
        <v>1359.7800592080876</v>
      </c>
      <c r="AC14" s="40">
        <v>1359.7800592080878</v>
      </c>
      <c r="AD14" s="39">
        <v>1333.3843295670031</v>
      </c>
      <c r="AE14" s="40">
        <v>1333.3843295670033</v>
      </c>
      <c r="AF14" s="39">
        <v>1296.8760404794837</v>
      </c>
      <c r="AG14" s="40">
        <v>1296.8760404794839</v>
      </c>
      <c r="AH14" s="39">
        <v>1243.2930389950138</v>
      </c>
      <c r="AI14" s="40">
        <v>1243.2930389950141</v>
      </c>
      <c r="AJ14" s="39">
        <v>1158.6964792521296</v>
      </c>
      <c r="AK14" s="40">
        <v>1158.6964792521298</v>
      </c>
      <c r="AL14" s="39">
        <v>1011.4201676169669</v>
      </c>
      <c r="AM14" s="40">
        <v>1011.4201676169671</v>
      </c>
      <c r="AN14" s="39">
        <v>707.39703308204696</v>
      </c>
      <c r="AO14" s="40">
        <v>707.39703308204707</v>
      </c>
      <c r="AP14" s="39">
        <v>605.43898994203778</v>
      </c>
      <c r="AQ14" s="40">
        <v>605.43898994203789</v>
      </c>
      <c r="AR14" s="39">
        <v>479.27266290809717</v>
      </c>
      <c r="AS14" s="40">
        <v>479.27266290809729</v>
      </c>
      <c r="AT14" s="39">
        <v>322.61715739778265</v>
      </c>
      <c r="AU14" s="40">
        <v>322.61715739778265</v>
      </c>
      <c r="AV14" s="39">
        <v>137.08198368743854</v>
      </c>
      <c r="AW14" s="40">
        <v>137.08198368743857</v>
      </c>
    </row>
    <row r="15" spans="1:49" x14ac:dyDescent="0.2">
      <c r="A15" t="s">
        <v>18</v>
      </c>
      <c r="B15" s="144">
        <v>1000</v>
      </c>
      <c r="C15" s="145">
        <v>1000</v>
      </c>
      <c r="D15" s="144">
        <v>992.73972587614753</v>
      </c>
      <c r="E15" s="145">
        <v>992.73972587614753</v>
      </c>
      <c r="F15" s="144">
        <v>985.26866127713834</v>
      </c>
      <c r="G15" s="145">
        <v>985.26866127713834</v>
      </c>
      <c r="H15" s="144">
        <v>977.54193552511583</v>
      </c>
      <c r="I15" s="145">
        <v>977.54193552511583</v>
      </c>
      <c r="J15" s="144">
        <v>969.50551730337008</v>
      </c>
      <c r="K15" s="145">
        <v>969.50551730337008</v>
      </c>
      <c r="L15" s="144">
        <v>961.09420497707049</v>
      </c>
      <c r="M15" s="145">
        <v>961.09420497707049</v>
      </c>
      <c r="N15" s="144">
        <v>952.22844597719416</v>
      </c>
      <c r="O15" s="145">
        <v>952.22844597719416</v>
      </c>
      <c r="P15" s="144">
        <v>942.81051098719547</v>
      </c>
      <c r="Q15" s="145">
        <v>942.81051098719547</v>
      </c>
      <c r="R15" s="144">
        <v>932.718475851216</v>
      </c>
      <c r="S15" s="145">
        <v>932.718475851216</v>
      </c>
      <c r="T15" s="144">
        <v>921.79676462904251</v>
      </c>
      <c r="U15" s="145">
        <v>921.79676462904251</v>
      </c>
      <c r="V15" s="144">
        <v>909.84091147100048</v>
      </c>
      <c r="W15" s="145">
        <v>909.84091147100048</v>
      </c>
      <c r="X15" s="144">
        <v>896.57047939665335</v>
      </c>
      <c r="Y15" s="145">
        <v>896.57047939665335</v>
      </c>
      <c r="Z15" s="144">
        <v>881.5784787131845</v>
      </c>
      <c r="AA15" s="145">
        <v>881.5784787131845</v>
      </c>
      <c r="AB15" s="144">
        <v>864.22996265762299</v>
      </c>
      <c r="AC15" s="145">
        <v>864.22996265762299</v>
      </c>
      <c r="AD15" s="144">
        <v>843.44478332770177</v>
      </c>
      <c r="AE15" s="145">
        <v>843.44478332770177</v>
      </c>
      <c r="AF15" s="144">
        <v>817.20636910524843</v>
      </c>
      <c r="AG15" s="145">
        <v>817.20636910524843</v>
      </c>
      <c r="AH15" s="144">
        <v>781.43019990968628</v>
      </c>
      <c r="AI15" s="145">
        <v>781.43019990968628</v>
      </c>
      <c r="AJ15" s="144">
        <v>727.37113046150023</v>
      </c>
      <c r="AK15" s="145">
        <v>727.37113046150023</v>
      </c>
      <c r="AL15" s="144">
        <v>634.70663453314569</v>
      </c>
      <c r="AM15" s="145">
        <v>634.70663453314569</v>
      </c>
      <c r="AN15" s="144">
        <v>443.90270409433612</v>
      </c>
      <c r="AO15" s="145">
        <v>443.90270409433612</v>
      </c>
      <c r="AP15" s="144">
        <v>379.92220244003181</v>
      </c>
      <c r="AQ15" s="145">
        <v>379.92220244003181</v>
      </c>
      <c r="AR15" s="144">
        <v>300.75084083956563</v>
      </c>
      <c r="AS15" s="145">
        <v>300.75084083956563</v>
      </c>
      <c r="AT15" s="144">
        <v>202.44713016133383</v>
      </c>
      <c r="AU15" s="145">
        <v>202.44713016133383</v>
      </c>
      <c r="AV15" s="144">
        <v>86.021010332286693</v>
      </c>
      <c r="AW15" s="145">
        <v>86.021010332286693</v>
      </c>
    </row>
    <row r="16" spans="1:49" s="27" customFormat="1" x14ac:dyDescent="0.2">
      <c r="A16" t="s">
        <v>61</v>
      </c>
      <c r="B16" s="39">
        <v>1000</v>
      </c>
      <c r="C16" s="40">
        <v>1000</v>
      </c>
      <c r="D16" s="39">
        <v>996.00534754192472</v>
      </c>
      <c r="E16" s="40">
        <v>994.48815357181923</v>
      </c>
      <c r="F16" s="39">
        <v>991.74622197299993</v>
      </c>
      <c r="G16" s="40">
        <v>988.73712237636028</v>
      </c>
      <c r="H16" s="39">
        <v>987.17729538492722</v>
      </c>
      <c r="I16" s="40">
        <v>982.70177841700513</v>
      </c>
      <c r="J16" s="39">
        <v>982.24378361979518</v>
      </c>
      <c r="K16" s="40">
        <v>976.32767534390848</v>
      </c>
      <c r="L16" s="39">
        <v>976.87892155925636</v>
      </c>
      <c r="M16" s="40">
        <v>969.54876282458156</v>
      </c>
      <c r="N16" s="39">
        <v>971.00036518351044</v>
      </c>
      <c r="O16" s="40">
        <v>962.28398214817832</v>
      </c>
      <c r="P16" s="39">
        <v>964.50517037370832</v>
      </c>
      <c r="Q16" s="40">
        <v>954.4327993300011</v>
      </c>
      <c r="R16" s="39">
        <v>957.26216963091758</v>
      </c>
      <c r="S16" s="40">
        <v>945.86832555983597</v>
      </c>
      <c r="T16" s="39">
        <v>949.10016513859136</v>
      </c>
      <c r="U16" s="40">
        <v>936.42659906567485</v>
      </c>
      <c r="V16" s="39">
        <v>939.78861710939384</v>
      </c>
      <c r="W16" s="40">
        <v>925.88915966496927</v>
      </c>
      <c r="X16" s="39">
        <v>929.00438453445508</v>
      </c>
      <c r="Y16" s="40">
        <v>913.95265020802572</v>
      </c>
      <c r="Z16" s="39">
        <v>916.27112581115796</v>
      </c>
      <c r="AA16" s="40">
        <v>900.17285512797389</v>
      </c>
      <c r="AB16" s="39">
        <v>900.84206956180378</v>
      </c>
      <c r="AC16" s="40">
        <v>883.85479790776219</v>
      </c>
      <c r="AD16" s="39">
        <v>881.45940933638337</v>
      </c>
      <c r="AE16" s="40">
        <v>863.82295428054169</v>
      </c>
      <c r="AF16" s="39">
        <v>855.83678277627939</v>
      </c>
      <c r="AG16" s="40">
        <v>837.9159201671705</v>
      </c>
      <c r="AH16" s="39">
        <v>819.52375375541931</v>
      </c>
      <c r="AI16" s="40">
        <v>801.85278776592588</v>
      </c>
      <c r="AJ16" s="39">
        <v>763.34053659852975</v>
      </c>
      <c r="AK16" s="40">
        <v>746.65530589406467</v>
      </c>
      <c r="AL16" s="39">
        <v>666.21565558043517</v>
      </c>
      <c r="AM16" s="40">
        <v>651.59956699872555</v>
      </c>
      <c r="AN16" s="39">
        <v>465.94949454742533</v>
      </c>
      <c r="AO16" s="40">
        <v>455.722657944101</v>
      </c>
      <c r="AP16" s="39">
        <v>398.79148416385499</v>
      </c>
      <c r="AQ16" s="40">
        <v>390.03859743850143</v>
      </c>
      <c r="AR16" s="39">
        <v>315.68802244005218</v>
      </c>
      <c r="AS16" s="40">
        <v>308.75911759515543</v>
      </c>
      <c r="AT16" s="39">
        <v>212.50193757330413</v>
      </c>
      <c r="AU16" s="40">
        <v>207.8378178240886</v>
      </c>
      <c r="AV16" s="39">
        <v>90.29335948011979</v>
      </c>
      <c r="AW16" s="40">
        <v>88.31154648324231</v>
      </c>
    </row>
    <row r="17" spans="1:49" x14ac:dyDescent="0.2">
      <c r="A17" t="s">
        <v>62</v>
      </c>
      <c r="B17" s="33">
        <v>1000.0000000000002</v>
      </c>
      <c r="C17" s="34">
        <v>999.99999999999977</v>
      </c>
      <c r="D17" s="33">
        <v>998.94617771138712</v>
      </c>
      <c r="E17" s="34">
        <v>1033.2499443803008</v>
      </c>
      <c r="F17" s="33">
        <v>997.89844254579396</v>
      </c>
      <c r="G17" s="34">
        <v>1070.8261426409595</v>
      </c>
      <c r="H17" s="33">
        <v>996.85128752339074</v>
      </c>
      <c r="I17" s="34">
        <v>1113.5332835795575</v>
      </c>
      <c r="J17" s="33">
        <v>995.79802963095915</v>
      </c>
      <c r="K17" s="34">
        <v>1162.3830868269426</v>
      </c>
      <c r="L17" s="33">
        <v>994.73073836165622</v>
      </c>
      <c r="M17" s="34">
        <v>1218.6661411579805</v>
      </c>
      <c r="N17" s="33">
        <v>993.64048467656266</v>
      </c>
      <c r="O17" s="34">
        <v>1284.0621664205917</v>
      </c>
      <c r="P17" s="33">
        <v>992.5176491786325</v>
      </c>
      <c r="Q17" s="34">
        <v>1360.8025641371887</v>
      </c>
      <c r="R17" s="33">
        <v>991.35288148885411</v>
      </c>
      <c r="S17" s="34">
        <v>1451.9325395446685</v>
      </c>
      <c r="T17" s="33">
        <v>990.13900429883449</v>
      </c>
      <c r="U17" s="34">
        <v>1561.7430382360242</v>
      </c>
      <c r="V17" s="33">
        <v>988.87454318368441</v>
      </c>
      <c r="W17" s="34">
        <v>1696.5172577466817</v>
      </c>
      <c r="X17" s="33">
        <v>987.57052828686335</v>
      </c>
      <c r="Y17" s="34">
        <v>1865.8976529078211</v>
      </c>
      <c r="Z17" s="33">
        <v>986.2632614343305</v>
      </c>
      <c r="AA17" s="34">
        <v>2085.5442806513606</v>
      </c>
      <c r="AB17" s="33">
        <v>985.03817998786724</v>
      </c>
      <c r="AC17" s="34">
        <v>2382.680590672318</v>
      </c>
      <c r="AD17" s="33">
        <v>984.07219590593661</v>
      </c>
      <c r="AE17" s="34">
        <v>2808.5806492696643</v>
      </c>
      <c r="AF17" s="33">
        <v>983.6928374808341</v>
      </c>
      <c r="AG17" s="34">
        <v>3468.9110074534328</v>
      </c>
      <c r="AH17" s="33">
        <v>984.38535309782185</v>
      </c>
      <c r="AI17" s="34">
        <v>4603.1367259663339</v>
      </c>
      <c r="AJ17" s="33">
        <v>986.51629049930034</v>
      </c>
      <c r="AK17" s="34">
        <v>6819.0296777274798</v>
      </c>
      <c r="AL17" s="33">
        <v>989.73621376520782</v>
      </c>
      <c r="AM17" s="34">
        <v>12027.904642615697</v>
      </c>
      <c r="AN17" s="33">
        <v>992.75175027284945</v>
      </c>
      <c r="AO17" s="34">
        <v>29783.965544185197</v>
      </c>
      <c r="AP17" s="33">
        <v>993.12026447474159</v>
      </c>
      <c r="AQ17" s="34">
        <v>38665.873038760823</v>
      </c>
      <c r="AR17" s="33">
        <v>993.31244553059935</v>
      </c>
      <c r="AS17" s="34">
        <v>52640.9061989888</v>
      </c>
      <c r="AT17" s="33">
        <v>993.22992479245386</v>
      </c>
      <c r="AU17" s="34">
        <v>76730.815244871483</v>
      </c>
      <c r="AV17" s="33">
        <v>992.68264906619618</v>
      </c>
      <c r="AW17" s="34">
        <v>124473.70048212171</v>
      </c>
    </row>
    <row r="18" spans="1:49" x14ac:dyDescent="0.2">
      <c r="A18" t="s">
        <v>19</v>
      </c>
      <c r="B18" s="31">
        <v>27857.010133999996</v>
      </c>
      <c r="C18" s="32">
        <v>1236.7674480000003</v>
      </c>
      <c r="D18" s="31">
        <v>27869.172813989051</v>
      </c>
      <c r="E18" s="32">
        <v>1146.6071672379662</v>
      </c>
      <c r="F18" s="31">
        <v>27876.939860281615</v>
      </c>
      <c r="G18" s="32">
        <v>1057.2169521889668</v>
      </c>
      <c r="H18" s="31">
        <v>27879.736203764674</v>
      </c>
      <c r="I18" s="32">
        <v>968.59548952235104</v>
      </c>
      <c r="J18" s="31">
        <v>27876.863314542868</v>
      </c>
      <c r="K18" s="32">
        <v>880.74214917707945</v>
      </c>
      <c r="L18" s="31">
        <v>27867.454482681922</v>
      </c>
      <c r="M18" s="32">
        <v>793.66684472679572</v>
      </c>
      <c r="N18" s="31">
        <v>27850.409837292325</v>
      </c>
      <c r="O18" s="32">
        <v>707.39950807867751</v>
      </c>
      <c r="P18" s="31">
        <v>27824.295979729457</v>
      </c>
      <c r="Q18" s="32">
        <v>622.01420097937785</v>
      </c>
      <c r="R18" s="31">
        <v>27787.188561830964</v>
      </c>
      <c r="S18" s="32">
        <v>537.66268970833733</v>
      </c>
      <c r="T18" s="31">
        <v>27736.421922757963</v>
      </c>
      <c r="U18" s="32">
        <v>454.62349951354355</v>
      </c>
      <c r="V18" s="31">
        <v>27668.168149518613</v>
      </c>
      <c r="W18" s="32">
        <v>373.38374213967597</v>
      </c>
      <c r="X18" s="31">
        <v>27576.710893239935</v>
      </c>
      <c r="Y18" s="32">
        <v>294.75916553896036</v>
      </c>
      <c r="Z18" s="31">
        <v>27453.131405106411</v>
      </c>
      <c r="AA18" s="32">
        <v>220.07575770064915</v>
      </c>
      <c r="AB18" s="31">
        <v>27282.82577511857</v>
      </c>
      <c r="AC18" s="32">
        <v>151.42232841233698</v>
      </c>
      <c r="AD18" s="31">
        <v>27040.628593332571</v>
      </c>
      <c r="AE18" s="32">
        <v>91.921271896435201</v>
      </c>
      <c r="AF18" s="31">
        <v>26681.071716990529</v>
      </c>
      <c r="AG18" s="32">
        <v>45.683348740649244</v>
      </c>
      <c r="AH18" s="31">
        <v>26119.07236479389</v>
      </c>
      <c r="AI18" s="32">
        <v>16.386287079628215</v>
      </c>
      <c r="AJ18" s="31">
        <v>25187.543606431467</v>
      </c>
      <c r="AK18" s="32">
        <v>3.4826585639413414</v>
      </c>
      <c r="AL18" s="31">
        <v>23491.579413733009</v>
      </c>
      <c r="AM18" s="32">
        <v>0.31744503110705946</v>
      </c>
      <c r="AN18" s="31">
        <v>19614.053803322418</v>
      </c>
      <c r="AO18" s="32">
        <v>5.45603311273209E-3</v>
      </c>
      <c r="AP18" s="31">
        <v>18141.962883127704</v>
      </c>
      <c r="AQ18" s="32">
        <v>1.6144942146657077E-3</v>
      </c>
      <c r="AR18" s="31">
        <v>16139.691845118239</v>
      </c>
      <c r="AS18" s="32">
        <v>3.7006772172056067E-4</v>
      </c>
      <c r="AT18" s="31">
        <v>13242.410266394814</v>
      </c>
      <c r="AU18" s="32">
        <v>5.7335866932725266E-5</v>
      </c>
      <c r="AV18" s="31">
        <v>8634.6000713842841</v>
      </c>
      <c r="AW18" s="32">
        <v>4.3385737119972317E-6</v>
      </c>
    </row>
    <row r="19" spans="1:49" x14ac:dyDescent="0.2">
      <c r="A19" t="s">
        <v>3</v>
      </c>
      <c r="B19" s="39">
        <v>1886.3937399999966</v>
      </c>
      <c r="C19" s="40">
        <v>262.78711299999759</v>
      </c>
      <c r="D19" s="39">
        <v>1881.42687342404</v>
      </c>
      <c r="E19" s="40">
        <v>269.18346822154297</v>
      </c>
      <c r="F19" s="39">
        <v>1876.18934510329</v>
      </c>
      <c r="G19" s="40">
        <v>276.58741370941226</v>
      </c>
      <c r="H19" s="39">
        <v>1870.6150043484042</v>
      </c>
      <c r="I19" s="40">
        <v>285.1287709160232</v>
      </c>
      <c r="J19" s="39">
        <v>1864.6233167970038</v>
      </c>
      <c r="K19" s="40">
        <v>294.95170189605869</v>
      </c>
      <c r="L19" s="39">
        <v>1858.1163371700775</v>
      </c>
      <c r="M19" s="40">
        <v>306.21068033385029</v>
      </c>
      <c r="N19" s="39">
        <v>1850.9756885630688</v>
      </c>
      <c r="O19" s="40">
        <v>319.06633612780325</v>
      </c>
      <c r="P19" s="39">
        <v>1843.058327193231</v>
      </c>
      <c r="Q19" s="40">
        <v>333.66865329369347</v>
      </c>
      <c r="R19" s="39">
        <v>1834.1919449848613</v>
      </c>
      <c r="S19" s="40">
        <v>350.1301014184387</v>
      </c>
      <c r="T19" s="39">
        <v>1824.1696879409292</v>
      </c>
      <c r="U19" s="40">
        <v>368.47433029292239</v>
      </c>
      <c r="V19" s="39">
        <v>1812.7433610314438</v>
      </c>
      <c r="W19" s="40">
        <v>388.5383199201396</v>
      </c>
      <c r="X19" s="39">
        <v>1799.6148032689009</v>
      </c>
      <c r="Y19" s="40">
        <v>409.79319933440672</v>
      </c>
      <c r="Z19" s="39">
        <v>1784.4219431217684</v>
      </c>
      <c r="AA19" s="40">
        <v>431.00883822417461</v>
      </c>
      <c r="AB19" s="39">
        <v>1766.7081271856446</v>
      </c>
      <c r="AC19" s="40">
        <v>449.63424027103684</v>
      </c>
      <c r="AD19" s="39">
        <v>1745.8283384537453</v>
      </c>
      <c r="AE19" s="40">
        <v>460.7218206101262</v>
      </c>
      <c r="AF19" s="39">
        <v>1720.5997772293745</v>
      </c>
      <c r="AG19" s="40">
        <v>455.48571115714367</v>
      </c>
      <c r="AH19" s="39">
        <v>1687.9572453154717</v>
      </c>
      <c r="AI19" s="40">
        <v>421.31009841962617</v>
      </c>
      <c r="AJ19" s="39">
        <v>1638.4276413099831</v>
      </c>
      <c r="AK19" s="40">
        <v>348.61881928223488</v>
      </c>
      <c r="AL19" s="39">
        <v>1543.118983922705</v>
      </c>
      <c r="AM19" s="40">
        <v>243.31793969844927</v>
      </c>
      <c r="AN19" s="39">
        <v>1300.1274739808161</v>
      </c>
      <c r="AO19" s="40">
        <v>123.12490150481815</v>
      </c>
      <c r="AP19" s="39">
        <v>1203.8721472681373</v>
      </c>
      <c r="AQ19" s="40">
        <v>98.553492707105718</v>
      </c>
      <c r="AR19" s="39">
        <v>1071.6182710086086</v>
      </c>
      <c r="AS19" s="40">
        <v>73.936471445316101</v>
      </c>
      <c r="AT19" s="39">
        <v>879.03285509671605</v>
      </c>
      <c r="AU19" s="40">
        <v>49.297590626510249</v>
      </c>
      <c r="AV19" s="39">
        <v>572.23074702609642</v>
      </c>
      <c r="AW19" s="40">
        <v>24.650054622165232</v>
      </c>
    </row>
    <row r="20" spans="1:49" x14ac:dyDescent="0.2">
      <c r="A20" t="s">
        <v>114</v>
      </c>
      <c r="B20" s="79">
        <v>26548.356269999993</v>
      </c>
      <c r="C20" s="80">
        <v>1408.5418709999938</v>
      </c>
      <c r="D20" s="79">
        <v>26539.97969568519</v>
      </c>
      <c r="E20" s="80">
        <v>1338.1147774499941</v>
      </c>
      <c r="F20" s="79">
        <v>26527.402906488409</v>
      </c>
      <c r="G20" s="80">
        <v>1267.6876838999945</v>
      </c>
      <c r="H20" s="79">
        <v>26509.983477928829</v>
      </c>
      <c r="I20" s="80">
        <v>1197.2605903499943</v>
      </c>
      <c r="J20" s="79">
        <v>26486.938050169207</v>
      </c>
      <c r="K20" s="80">
        <v>1126.8334967999951</v>
      </c>
      <c r="L20" s="79">
        <v>26457.299041594983</v>
      </c>
      <c r="M20" s="80">
        <v>1056.4064032499953</v>
      </c>
      <c r="N20" s="79">
        <v>26419.85689118546</v>
      </c>
      <c r="O20" s="80">
        <v>985.9793096999955</v>
      </c>
      <c r="P20" s="79">
        <v>26373.072768615053</v>
      </c>
      <c r="Q20" s="80">
        <v>915.55221614999596</v>
      </c>
      <c r="R20" s="79">
        <v>26314.949639293052</v>
      </c>
      <c r="S20" s="80">
        <v>845.12512259999642</v>
      </c>
      <c r="T20" s="79">
        <v>26242.835614371706</v>
      </c>
      <c r="U20" s="80">
        <v>774.69802904999653</v>
      </c>
      <c r="V20" s="79">
        <v>26153.102627732704</v>
      </c>
      <c r="W20" s="80">
        <v>704.27093549999688</v>
      </c>
      <c r="X20" s="79">
        <v>26040.606271504894</v>
      </c>
      <c r="Y20" s="80">
        <v>633.84384194999711</v>
      </c>
      <c r="Z20" s="79">
        <v>25897.71863018168</v>
      </c>
      <c r="AA20" s="80">
        <v>563.41674839999746</v>
      </c>
      <c r="AB20" s="79">
        <v>25712.48914141838</v>
      </c>
      <c r="AC20" s="80">
        <v>492.98965484999781</v>
      </c>
      <c r="AD20" s="79">
        <v>25464.905304006817</v>
      </c>
      <c r="AE20" s="80">
        <v>422.56256129999804</v>
      </c>
      <c r="AF20" s="79">
        <v>25118.782011835036</v>
      </c>
      <c r="AG20" s="80">
        <v>352.13546774999827</v>
      </c>
      <c r="AH20" s="79">
        <v>24603.113934379016</v>
      </c>
      <c r="AI20" s="80">
        <v>281.70837419999856</v>
      </c>
      <c r="AJ20" s="79">
        <v>23765.157780347439</v>
      </c>
      <c r="AK20" s="80">
        <v>211.28128064999879</v>
      </c>
      <c r="AL20" s="79">
        <v>22219.788244854935</v>
      </c>
      <c r="AM20" s="80">
        <v>140.85418709999902</v>
      </c>
      <c r="AN20" s="79">
        <v>18594.292875813011</v>
      </c>
      <c r="AO20" s="80">
        <v>70.42709354999927</v>
      </c>
      <c r="AP20" s="79">
        <v>17203.452031318313</v>
      </c>
      <c r="AQ20" s="80">
        <v>56.341674839999328</v>
      </c>
      <c r="AR20" s="79">
        <v>15306.945096017709</v>
      </c>
      <c r="AS20" s="80">
        <v>42.256256129999379</v>
      </c>
      <c r="AT20" s="79">
        <v>12558.383158691378</v>
      </c>
      <c r="AU20" s="80">
        <v>28.170837419999433</v>
      </c>
      <c r="AV20" s="79">
        <v>8185.2544135543303</v>
      </c>
      <c r="AW20" s="80">
        <v>14.08541870999948</v>
      </c>
    </row>
    <row r="21" spans="1:49" x14ac:dyDescent="0.2">
      <c r="A21" t="s">
        <v>76</v>
      </c>
      <c r="B21" s="79">
        <v>24661.96252999999</v>
      </c>
      <c r="C21" s="80">
        <v>1145.7547579999939</v>
      </c>
      <c r="D21" s="79">
        <v>24658.555552829726</v>
      </c>
      <c r="E21" s="80">
        <v>1069.1595604660492</v>
      </c>
      <c r="F21" s="79">
        <v>24651.224432055158</v>
      </c>
      <c r="G21" s="80">
        <v>992.08273787057806</v>
      </c>
      <c r="H21" s="79">
        <v>24639.392897702088</v>
      </c>
      <c r="I21" s="80">
        <v>914.51728993748782</v>
      </c>
      <c r="J21" s="79">
        <v>24622.358259932771</v>
      </c>
      <c r="K21" s="80">
        <v>836.47148643379444</v>
      </c>
      <c r="L21" s="79">
        <v>24599.251181431726</v>
      </c>
      <c r="M21" s="80">
        <v>757.97955312502279</v>
      </c>
      <c r="N21" s="79">
        <v>24568.980968292781</v>
      </c>
      <c r="O21" s="80">
        <v>679.11366897157075</v>
      </c>
      <c r="P21" s="79">
        <v>24530.152533221797</v>
      </c>
      <c r="Q21" s="80">
        <v>600.00801840245231</v>
      </c>
      <c r="R21" s="79">
        <v>24480.942041142895</v>
      </c>
      <c r="S21" s="80">
        <v>520.89096783635068</v>
      </c>
      <c r="T21" s="79">
        <v>24418.90544501775</v>
      </c>
      <c r="U21" s="80">
        <v>442.13460790338632</v>
      </c>
      <c r="V21" s="79">
        <v>24340.663692085498</v>
      </c>
      <c r="W21" s="80">
        <v>364.3320792036692</v>
      </c>
      <c r="X21" s="79">
        <v>24241.370560774354</v>
      </c>
      <c r="Y21" s="80">
        <v>288.41352040633006</v>
      </c>
      <c r="Z21" s="79">
        <v>24113.758103204353</v>
      </c>
      <c r="AA21" s="80">
        <v>215.82041399432214</v>
      </c>
      <c r="AB21" s="79">
        <v>23946.325519832397</v>
      </c>
      <c r="AC21" s="80">
        <v>148.7487078450624</v>
      </c>
      <c r="AD21" s="79">
        <v>23719.689030978134</v>
      </c>
      <c r="AE21" s="80">
        <v>90.407641567844237</v>
      </c>
      <c r="AF21" s="79">
        <v>23398.81545863569</v>
      </c>
      <c r="AG21" s="80">
        <v>44.965180517449426</v>
      </c>
      <c r="AH21" s="79">
        <v>22915.724738077493</v>
      </c>
      <c r="AI21" s="80">
        <v>16.134927423437162</v>
      </c>
      <c r="AJ21" s="79">
        <v>22127.137944896869</v>
      </c>
      <c r="AK21" s="80">
        <v>3.4297147825954553</v>
      </c>
      <c r="AL21" s="79">
        <v>20676.889101250807</v>
      </c>
      <c r="AM21" s="80">
        <v>0.31262836331731469</v>
      </c>
      <c r="AN21" s="79">
        <v>17294.25673414905</v>
      </c>
      <c r="AO21" s="80">
        <v>5.3732583401546801E-3</v>
      </c>
      <c r="AP21" s="79">
        <v>15999.655968954239</v>
      </c>
      <c r="AQ21" s="80">
        <v>1.5900000667285899E-3</v>
      </c>
      <c r="AR21" s="79">
        <v>14235.390774642678</v>
      </c>
      <c r="AS21" s="80">
        <v>3.6445322427858972E-4</v>
      </c>
      <c r="AT21" s="79">
        <v>11679.404079662159</v>
      </c>
      <c r="AU21" s="80">
        <v>5.6466000391677458E-5</v>
      </c>
      <c r="AV21" s="79">
        <v>7613.0646457162657</v>
      </c>
      <c r="AW21" s="80">
        <v>4.2727522854869665E-6</v>
      </c>
    </row>
    <row r="22" spans="1:49" x14ac:dyDescent="0.2">
      <c r="A22" t="s">
        <v>28</v>
      </c>
      <c r="B22" s="39">
        <v>6533.6044688320717</v>
      </c>
      <c r="C22" s="40">
        <v>379.90788307663411</v>
      </c>
      <c r="D22" s="39">
        <v>6534.3851730852648</v>
      </c>
      <c r="E22" s="40">
        <v>365.06872390424269</v>
      </c>
      <c r="F22" s="39">
        <v>6533.6358040536816</v>
      </c>
      <c r="G22" s="40">
        <v>349.90199583950641</v>
      </c>
      <c r="H22" s="39">
        <v>6531.126715476712</v>
      </c>
      <c r="I22" s="40">
        <v>334.40601487042181</v>
      </c>
      <c r="J22" s="39">
        <v>6526.5790799605847</v>
      </c>
      <c r="K22" s="40">
        <v>318.57931639959827</v>
      </c>
      <c r="L22" s="39">
        <v>6519.6477676708564</v>
      </c>
      <c r="M22" s="40">
        <v>302.42002086799914</v>
      </c>
      <c r="N22" s="39">
        <v>6509.9067613987581</v>
      </c>
      <c r="O22" s="40">
        <v>285.92409745409356</v>
      </c>
      <c r="P22" s="39">
        <v>6496.8158535818256</v>
      </c>
      <c r="Q22" s="40">
        <v>269.08369283913879</v>
      </c>
      <c r="R22" s="39">
        <v>6479.6802403739057</v>
      </c>
      <c r="S22" s="40">
        <v>251.88375743414028</v>
      </c>
      <c r="T22" s="39">
        <v>6457.5897226639227</v>
      </c>
      <c r="U22" s="40">
        <v>234.29738755742579</v>
      </c>
      <c r="V22" s="39">
        <v>6429.3175345562149</v>
      </c>
      <c r="W22" s="40">
        <v>216.27905874621101</v>
      </c>
      <c r="X22" s="39">
        <v>6393.1588062768542</v>
      </c>
      <c r="Y22" s="40">
        <v>197.75488514851699</v>
      </c>
      <c r="Z22" s="39">
        <v>6346.6467233371541</v>
      </c>
      <c r="AA22" s="40">
        <v>178.60952900291937</v>
      </c>
      <c r="AB22" s="39">
        <v>6286.0259508838935</v>
      </c>
      <c r="AC22" s="40">
        <v>158.67120399607663</v>
      </c>
      <c r="AD22" s="39">
        <v>6205.2014176882103</v>
      </c>
      <c r="AE22" s="40">
        <v>137.70460514518916</v>
      </c>
      <c r="AF22" s="39">
        <v>6093.4650625151335</v>
      </c>
      <c r="AG22" s="40">
        <v>115.45020930402707</v>
      </c>
      <c r="AH22" s="39">
        <v>5930.1824519423817</v>
      </c>
      <c r="AI22" s="40">
        <v>91.805004861536048</v>
      </c>
      <c r="AJ22" s="39">
        <v>5671.2970683729827</v>
      </c>
      <c r="AK22" s="40">
        <v>67.184517389339476</v>
      </c>
      <c r="AL22" s="39">
        <v>5208.7267314957944</v>
      </c>
      <c r="AM22" s="40">
        <v>42.631734526059851</v>
      </c>
      <c r="AN22" s="39">
        <v>4189.0919368791519</v>
      </c>
      <c r="AO22" s="40">
        <v>19.414430138752493</v>
      </c>
      <c r="AP22" s="39">
        <v>3820.3602566381519</v>
      </c>
      <c r="AQ22" s="40">
        <v>15.075703771943303</v>
      </c>
      <c r="AR22" s="39">
        <v>3335.4843179672221</v>
      </c>
      <c r="AS22" s="40">
        <v>10.895329969707303</v>
      </c>
      <c r="AT22" s="39">
        <v>2665.9993368843748</v>
      </c>
      <c r="AU22" s="40">
        <v>6.9215375824179439</v>
      </c>
      <c r="AV22" s="39">
        <v>1671.4540693353399</v>
      </c>
      <c r="AW22" s="40">
        <v>3.2358217123630135</v>
      </c>
    </row>
    <row r="23" spans="1:49" x14ac:dyDescent="0.2">
      <c r="A23" t="s">
        <v>7</v>
      </c>
      <c r="B23" s="110">
        <v>3278.5018080150408</v>
      </c>
      <c r="C23" s="8">
        <v>0</v>
      </c>
      <c r="D23" s="110">
        <v>3283.7124737124882</v>
      </c>
      <c r="E23" s="8">
        <v>0</v>
      </c>
      <c r="F23" s="110">
        <v>3288.5801250537465</v>
      </c>
      <c r="G23" s="8">
        <v>0</v>
      </c>
      <c r="H23" s="110">
        <v>3293.0451132528124</v>
      </c>
      <c r="I23" s="8">
        <v>0</v>
      </c>
      <c r="J23" s="110">
        <v>3297.0333675493034</v>
      </c>
      <c r="K23" s="8">
        <v>0</v>
      </c>
      <c r="L23" s="110">
        <v>3300.4517459602807</v>
      </c>
      <c r="M23" s="8">
        <v>0</v>
      </c>
      <c r="N23" s="110">
        <v>3303.1831424103125</v>
      </c>
      <c r="O23" s="8">
        <v>0</v>
      </c>
      <c r="P23" s="110">
        <v>3305.0779479313569</v>
      </c>
      <c r="Q23" s="8">
        <v>0</v>
      </c>
      <c r="R23" s="110">
        <v>3305.9429967788897</v>
      </c>
      <c r="S23" s="8">
        <v>0</v>
      </c>
      <c r="T23" s="110">
        <v>3305.5260418180401</v>
      </c>
      <c r="U23" s="8">
        <v>0</v>
      </c>
      <c r="V23" s="110">
        <v>3303.491183858866</v>
      </c>
      <c r="W23" s="8">
        <v>0</v>
      </c>
      <c r="X23" s="110">
        <v>3299.3809524784529</v>
      </c>
      <c r="Y23" s="8">
        <v>0</v>
      </c>
      <c r="Z23" s="110">
        <v>3292.5512917241513</v>
      </c>
      <c r="AA23" s="8">
        <v>0</v>
      </c>
      <c r="AB23" s="110">
        <v>3282.0495176984241</v>
      </c>
      <c r="AC23" s="8">
        <v>0</v>
      </c>
      <c r="AD23" s="110">
        <v>3266.3518032754255</v>
      </c>
      <c r="AE23" s="8">
        <v>0</v>
      </c>
      <c r="AF23" s="110">
        <v>3242.6964637234955</v>
      </c>
      <c r="AG23" s="8">
        <v>0</v>
      </c>
      <c r="AH23" s="110">
        <v>3205.1180613408947</v>
      </c>
      <c r="AI23" s="8">
        <v>0</v>
      </c>
      <c r="AJ23" s="110">
        <v>3138.2946310485418</v>
      </c>
      <c r="AK23" s="8">
        <v>0</v>
      </c>
      <c r="AL23" s="110">
        <v>2997.1926321696119</v>
      </c>
      <c r="AM23" s="8">
        <v>0</v>
      </c>
      <c r="AN23" s="110">
        <v>2605.4310490001576</v>
      </c>
      <c r="AO23" s="8">
        <v>0</v>
      </c>
      <c r="AP23" s="110">
        <v>2439.8484813028836</v>
      </c>
      <c r="AQ23" s="8">
        <v>0</v>
      </c>
      <c r="AR23" s="110">
        <v>2203.7249094724552</v>
      </c>
      <c r="AS23" s="8">
        <v>0</v>
      </c>
      <c r="AT23" s="110">
        <v>1843.5379789626163</v>
      </c>
      <c r="AU23" s="8">
        <v>0</v>
      </c>
      <c r="AV23" s="110">
        <v>1234.1980837273663</v>
      </c>
      <c r="AW23" s="8">
        <v>0</v>
      </c>
    </row>
    <row r="24" spans="1:49" x14ac:dyDescent="0.2">
      <c r="A24" t="s">
        <v>8</v>
      </c>
      <c r="B24" s="93">
        <v>3196.3846373657216</v>
      </c>
      <c r="C24" s="8">
        <v>0</v>
      </c>
      <c r="D24" s="93">
        <v>3201.4647905602651</v>
      </c>
      <c r="E24" s="8">
        <v>0</v>
      </c>
      <c r="F24" s="93">
        <v>3206.2105210261739</v>
      </c>
      <c r="G24" s="8">
        <v>0</v>
      </c>
      <c r="H24" s="93">
        <v>3210.5636738928688</v>
      </c>
      <c r="I24" s="8">
        <v>0</v>
      </c>
      <c r="J24" s="93">
        <v>3214.4520327836253</v>
      </c>
      <c r="K24" s="8">
        <v>0</v>
      </c>
      <c r="L24" s="93">
        <v>3217.7847913934165</v>
      </c>
      <c r="M24" s="8">
        <v>0</v>
      </c>
      <c r="N24" s="93">
        <v>3220.447774412909</v>
      </c>
      <c r="O24" s="8">
        <v>0</v>
      </c>
      <c r="P24" s="93">
        <v>3222.2951199537265</v>
      </c>
      <c r="Q24" s="8">
        <v>0</v>
      </c>
      <c r="R24" s="93">
        <v>3223.138502168621</v>
      </c>
      <c r="S24" s="8">
        <v>0</v>
      </c>
      <c r="T24" s="93">
        <v>3222.731990653409</v>
      </c>
      <c r="U24" s="8">
        <v>0</v>
      </c>
      <c r="V24" s="93">
        <v>3220.7481001445544</v>
      </c>
      <c r="W24" s="8">
        <v>0</v>
      </c>
      <c r="X24" s="93">
        <v>3216.7408185016038</v>
      </c>
      <c r="Y24" s="8">
        <v>0</v>
      </c>
      <c r="Z24" s="93">
        <v>3210.0822215348053</v>
      </c>
      <c r="AA24" s="8">
        <v>0</v>
      </c>
      <c r="AB24" s="93">
        <v>3199.8434870536676</v>
      </c>
      <c r="AC24" s="8">
        <v>0</v>
      </c>
      <c r="AD24" s="93">
        <v>3184.5389557713247</v>
      </c>
      <c r="AE24" s="8">
        <v>0</v>
      </c>
      <c r="AF24" s="93">
        <v>3161.4761153856289</v>
      </c>
      <c r="AG24" s="8">
        <v>0</v>
      </c>
      <c r="AH24" s="93">
        <v>3124.8389453893842</v>
      </c>
      <c r="AI24" s="8">
        <v>0</v>
      </c>
      <c r="AJ24" s="93">
        <v>3059.6892524771047</v>
      </c>
      <c r="AK24" s="8">
        <v>0</v>
      </c>
      <c r="AL24" s="93">
        <v>2922.1214584277027</v>
      </c>
      <c r="AM24" s="8">
        <v>0</v>
      </c>
      <c r="AN24" s="93">
        <v>2540.1723916638311</v>
      </c>
      <c r="AO24" s="8">
        <v>0</v>
      </c>
      <c r="AP24" s="93">
        <v>2378.7371976040104</v>
      </c>
      <c r="AQ24" s="8">
        <v>0</v>
      </c>
      <c r="AR24" s="93">
        <v>2148.5278514708743</v>
      </c>
      <c r="AS24" s="8">
        <v>0</v>
      </c>
      <c r="AT24" s="93">
        <v>1797.3625818812798</v>
      </c>
      <c r="AU24" s="8">
        <v>0</v>
      </c>
      <c r="AV24" s="93">
        <v>1203.2849225971754</v>
      </c>
      <c r="AW24" s="8">
        <v>0</v>
      </c>
    </row>
    <row r="25" spans="1:49" x14ac:dyDescent="0.2">
      <c r="A25" t="s">
        <v>0</v>
      </c>
      <c r="B25" s="39">
        <v>3195.0476040000012</v>
      </c>
      <c r="C25" s="40">
        <v>91.012690000004255</v>
      </c>
      <c r="D25" s="39">
        <v>3210.6084056961645</v>
      </c>
      <c r="E25" s="40">
        <v>77.367634979275351</v>
      </c>
      <c r="F25" s="39">
        <v>3225.6800038197034</v>
      </c>
      <c r="G25" s="40">
        <v>64.831493101333578</v>
      </c>
      <c r="H25" s="39">
        <v>3240.2633378992696</v>
      </c>
      <c r="I25" s="40">
        <v>53.43987516758056</v>
      </c>
      <c r="J25" s="39">
        <v>3254.3618665965982</v>
      </c>
      <c r="K25" s="40">
        <v>43.218923392237372</v>
      </c>
      <c r="L25" s="39">
        <v>3267.9769388568675</v>
      </c>
      <c r="M25" s="40">
        <v>34.18355625269735</v>
      </c>
      <c r="N25" s="39">
        <v>3281.0974409663827</v>
      </c>
      <c r="O25" s="40">
        <v>26.334595846517747</v>
      </c>
      <c r="P25" s="39">
        <v>3293.6823514262164</v>
      </c>
      <c r="Q25" s="40">
        <v>19.657184110910045</v>
      </c>
      <c r="R25" s="39">
        <v>3305.6276990496472</v>
      </c>
      <c r="S25" s="40">
        <v>14.118445327611344</v>
      </c>
      <c r="T25" s="39">
        <v>3316.7079788260871</v>
      </c>
      <c r="U25" s="40">
        <v>9.6655023237666349</v>
      </c>
      <c r="V25" s="39">
        <v>3326.4708857647888</v>
      </c>
      <c r="W25" s="40">
        <v>6.2242010756724424</v>
      </c>
      <c r="X25" s="39">
        <v>3334.0455035586383</v>
      </c>
      <c r="Y25" s="40">
        <v>3.698189578575096</v>
      </c>
      <c r="Z25" s="39">
        <v>3337.7877409689982</v>
      </c>
      <c r="AA25" s="40">
        <v>1.9688910199401337</v>
      </c>
      <c r="AB25" s="39">
        <v>3334.6185173628733</v>
      </c>
      <c r="AC25" s="40">
        <v>0.89654033078610829</v>
      </c>
      <c r="AD25" s="39">
        <v>3318.8148244215263</v>
      </c>
      <c r="AE25" s="40">
        <v>0.32321695879166773</v>
      </c>
      <c r="AF25" s="39">
        <v>3280.0541816236337</v>
      </c>
      <c r="AG25" s="40">
        <v>8.0872450604962537E-2</v>
      </c>
      <c r="AH25" s="39">
        <v>3201.3785603022366</v>
      </c>
      <c r="AI25" s="40">
        <v>1.1257835579533205E-2</v>
      </c>
      <c r="AJ25" s="39">
        <v>3059.0059608004949</v>
      </c>
      <c r="AK25" s="40">
        <v>6.1473494916403494E-4</v>
      </c>
      <c r="AL25" s="39">
        <v>2813.9468664080323</v>
      </c>
      <c r="AM25" s="40">
        <v>7.3182141651411861E-6</v>
      </c>
      <c r="AN25" s="39">
        <v>2319.4924298564601</v>
      </c>
      <c r="AO25" s="40">
        <v>4.2722062153171603E-9</v>
      </c>
      <c r="AP25" s="39">
        <v>2142.0535574784794</v>
      </c>
      <c r="AQ25" s="40">
        <v>4.6735297468902689E-10</v>
      </c>
      <c r="AR25" s="39">
        <v>1904.0883091025064</v>
      </c>
      <c r="AS25" s="40">
        <v>3.2730126364989194E-11</v>
      </c>
      <c r="AT25" s="39">
        <v>1562.8272058897776</v>
      </c>
      <c r="AU25" s="40">
        <v>1.1783413454550551E-12</v>
      </c>
      <c r="AV25" s="39">
        <v>1021.3986964474736</v>
      </c>
      <c r="AW25" s="40">
        <v>1.3493363185363965E-14</v>
      </c>
    </row>
    <row r="26" spans="1:49" x14ac:dyDescent="0.2">
      <c r="A26" t="s">
        <v>27</v>
      </c>
      <c r="B26" s="31">
        <v>5036.2953101960647</v>
      </c>
      <c r="C26" s="32">
        <v>74.905331803938267</v>
      </c>
      <c r="D26" s="31">
        <v>5041.4049329385816</v>
      </c>
      <c r="E26" s="32">
        <v>69.79570906142807</v>
      </c>
      <c r="F26" s="31">
        <v>5046.4855067505177</v>
      </c>
      <c r="G26" s="32">
        <v>64.715135249483211</v>
      </c>
      <c r="H26" s="31">
        <v>5051.5404125525984</v>
      </c>
      <c r="I26" s="32">
        <v>59.660229447411005</v>
      </c>
      <c r="J26" s="31">
        <v>5056.5737027753948</v>
      </c>
      <c r="K26" s="32">
        <v>54.626939224608506</v>
      </c>
      <c r="L26" s="31">
        <v>5061.589689217989</v>
      </c>
      <c r="M26" s="32">
        <v>49.610952782015325</v>
      </c>
      <c r="N26" s="31">
        <v>5066.5925210226324</v>
      </c>
      <c r="O26" s="32">
        <v>44.608120977374632</v>
      </c>
      <c r="P26" s="31">
        <v>5071.5849436915832</v>
      </c>
      <c r="Q26" s="32">
        <v>39.615698308417294</v>
      </c>
      <c r="R26" s="31">
        <v>5076.5664561468293</v>
      </c>
      <c r="S26" s="32">
        <v>34.634185853172625</v>
      </c>
      <c r="T26" s="31">
        <v>5081.5303816061205</v>
      </c>
      <c r="U26" s="32">
        <v>29.670260393883332</v>
      </c>
      <c r="V26" s="31">
        <v>5086.4587722176557</v>
      </c>
      <c r="W26" s="32">
        <v>24.741869782350001</v>
      </c>
      <c r="X26" s="31">
        <v>5091.3143908660204</v>
      </c>
      <c r="Y26" s="32">
        <v>19.886251133987322</v>
      </c>
      <c r="Z26" s="31">
        <v>5096.0277507129595</v>
      </c>
      <c r="AA26" s="32">
        <v>15.172891287042676</v>
      </c>
      <c r="AB26" s="31">
        <v>5100.4772634935998</v>
      </c>
      <c r="AC26" s="32">
        <v>10.723378506405075</v>
      </c>
      <c r="AD26" s="31">
        <v>5104.4632822755138</v>
      </c>
      <c r="AE26" s="32">
        <v>6.737359724491391</v>
      </c>
      <c r="AF26" s="31">
        <v>5107.6941725799034</v>
      </c>
      <c r="AG26" s="32">
        <v>3.5064694200992501</v>
      </c>
      <c r="AH26" s="31">
        <v>5109.8580798710391</v>
      </c>
      <c r="AI26" s="32">
        <v>1.342562128970455</v>
      </c>
      <c r="AJ26" s="31">
        <v>5110.8861365673038</v>
      </c>
      <c r="AK26" s="32">
        <v>0.31450543270524384</v>
      </c>
      <c r="AL26" s="31">
        <v>5111.1671560740415</v>
      </c>
      <c r="AM26" s="32">
        <v>3.3485925962374694E-2</v>
      </c>
      <c r="AN26" s="31">
        <v>5111.1998692413772</v>
      </c>
      <c r="AO26" s="32">
        <v>7.7275862532441629E-4</v>
      </c>
      <c r="AP26" s="31">
        <v>5111.2003893137507</v>
      </c>
      <c r="AQ26" s="32">
        <v>2.5268625272123452E-4</v>
      </c>
      <c r="AR26" s="31">
        <v>5111.2005759525537</v>
      </c>
      <c r="AS26" s="32">
        <v>6.6047457120639314E-5</v>
      </c>
      <c r="AT26" s="31">
        <v>5111.200629638538</v>
      </c>
      <c r="AU26" s="32">
        <v>1.2361462092671301E-5</v>
      </c>
      <c r="AV26" s="31">
        <v>5111.2006406978444</v>
      </c>
      <c r="AW26" s="32">
        <v>1.3021552050013576E-6</v>
      </c>
    </row>
    <row r="27" spans="1:49" x14ac:dyDescent="0.2">
      <c r="A27" t="s">
        <v>2</v>
      </c>
      <c r="B27" s="33">
        <v>6425.1981590000414</v>
      </c>
      <c r="C27" s="34">
        <v>273.22915400000028</v>
      </c>
      <c r="D27" s="33">
        <v>6443.6012248561592</v>
      </c>
      <c r="E27" s="34">
        <v>254.82608866502846</v>
      </c>
      <c r="F27" s="33">
        <v>6461.9338047796082</v>
      </c>
      <c r="G27" s="34">
        <v>236.49350877889523</v>
      </c>
      <c r="H27" s="33">
        <v>6480.2075514734515</v>
      </c>
      <c r="I27" s="34">
        <v>218.21976215385837</v>
      </c>
      <c r="J27" s="33">
        <v>6498.436677331867</v>
      </c>
      <c r="K27" s="34">
        <v>199.99066038829883</v>
      </c>
      <c r="L27" s="33">
        <v>6516.6362892001034</v>
      </c>
      <c r="M27" s="34">
        <v>181.79102416541102</v>
      </c>
      <c r="N27" s="33">
        <v>6534.8212318039641</v>
      </c>
      <c r="O27" s="34">
        <v>163.60608246964884</v>
      </c>
      <c r="P27" s="33">
        <v>6553.0012781273272</v>
      </c>
      <c r="Q27" s="34">
        <v>145.42604376075138</v>
      </c>
      <c r="R27" s="33">
        <v>6571.1743008470048</v>
      </c>
      <c r="S27" s="34">
        <v>127.25301265936798</v>
      </c>
      <c r="T27" s="33">
        <v>6589.3157278040126</v>
      </c>
      <c r="U27" s="34">
        <v>109.11158755351816</v>
      </c>
      <c r="V27" s="33">
        <v>6607.3594110318127</v>
      </c>
      <c r="W27" s="34">
        <v>91.067903806189136</v>
      </c>
      <c r="X27" s="33">
        <v>6625.1679658864177</v>
      </c>
      <c r="Y27" s="34">
        <v>73.259348010109107</v>
      </c>
      <c r="Z27" s="33">
        <v>6642.4844941539095</v>
      </c>
      <c r="AA27" s="34">
        <v>55.942829171806984</v>
      </c>
      <c r="AB27" s="33">
        <v>6658.8585212103317</v>
      </c>
      <c r="AC27" s="34">
        <v>39.568796292947127</v>
      </c>
      <c r="AD27" s="33">
        <v>6673.5490679923896</v>
      </c>
      <c r="AE27" s="34">
        <v>24.878244123096948</v>
      </c>
      <c r="AF27" s="33">
        <v>6685.4719292748487</v>
      </c>
      <c r="AG27" s="34">
        <v>12.955383843584789</v>
      </c>
      <c r="AH27" s="33">
        <v>6693.4650238223876</v>
      </c>
      <c r="AI27" s="34">
        <v>4.9622900127292366</v>
      </c>
      <c r="AJ27" s="33">
        <v>6697.2646459947173</v>
      </c>
      <c r="AK27" s="34">
        <v>1.1626672660656105</v>
      </c>
      <c r="AL27" s="33">
        <v>6698.3035155578946</v>
      </c>
      <c r="AM27" s="34">
        <v>0.12379731720711649</v>
      </c>
      <c r="AN27" s="33">
        <v>6698.424456100086</v>
      </c>
      <c r="AO27" s="34">
        <v>2.8569023049534125E-3</v>
      </c>
      <c r="AP27" s="33">
        <v>6698.4263790939485</v>
      </c>
      <c r="AQ27" s="34">
        <v>9.3418571917585887E-4</v>
      </c>
      <c r="AR27" s="33">
        <v>6698.4270688420165</v>
      </c>
      <c r="AS27" s="34">
        <v>2.4417870319309046E-4</v>
      </c>
      <c r="AT27" s="33">
        <v>6698.4272673008963</v>
      </c>
      <c r="AU27" s="34">
        <v>4.5700559871940834E-5</v>
      </c>
      <c r="AV27" s="33">
        <v>6698.4273086205276</v>
      </c>
      <c r="AW27" s="34">
        <v>4.8140914777682509E-6</v>
      </c>
    </row>
    <row r="28" spans="1:49" x14ac:dyDescent="0.2">
      <c r="A28" t="s">
        <v>35</v>
      </c>
      <c r="B28" s="39">
        <v>13763.097676000029</v>
      </c>
      <c r="C28" s="40">
        <v>382.36647899999997</v>
      </c>
      <c r="D28" s="39">
        <v>13788.925986887371</v>
      </c>
      <c r="E28" s="40">
        <v>356.51846920229417</v>
      </c>
      <c r="F28" s="39">
        <v>13814.602879626529</v>
      </c>
      <c r="G28" s="40">
        <v>330.7829202739353</v>
      </c>
      <c r="H28" s="39">
        <v>13840.145422692603</v>
      </c>
      <c r="I28" s="40">
        <v>305.14334761648155</v>
      </c>
      <c r="J28" s="39">
        <v>13865.574099749007</v>
      </c>
      <c r="K28" s="40">
        <v>279.57974869656908</v>
      </c>
      <c r="L28" s="39">
        <v>13890.91053722652</v>
      </c>
      <c r="M28" s="40">
        <v>254.07074898450972</v>
      </c>
      <c r="N28" s="39">
        <v>13916.175737988699</v>
      </c>
      <c r="O28" s="40">
        <v>228.59561769699749</v>
      </c>
      <c r="P28" s="39">
        <v>13941.38353872343</v>
      </c>
      <c r="Q28" s="40">
        <v>203.14064811205819</v>
      </c>
      <c r="R28" s="39">
        <v>13966.531263516132</v>
      </c>
      <c r="S28" s="40">
        <v>177.70875834510491</v>
      </c>
      <c r="T28" s="39">
        <v>13991.585228125887</v>
      </c>
      <c r="U28" s="40">
        <v>152.33435890827585</v>
      </c>
      <c r="V28" s="39">
        <v>14016.454809805506</v>
      </c>
      <c r="W28" s="40">
        <v>127.10981539931848</v>
      </c>
      <c r="X28" s="39">
        <v>14040.952187778375</v>
      </c>
      <c r="Y28" s="40">
        <v>102.22683924744931</v>
      </c>
      <c r="Z28" s="39">
        <v>14064.727049934179</v>
      </c>
      <c r="AA28" s="40">
        <v>78.04362655574208</v>
      </c>
      <c r="AB28" s="39">
        <v>14087.166613533451</v>
      </c>
      <c r="AC28" s="40">
        <v>55.187770342355996</v>
      </c>
      <c r="AD28" s="39">
        <v>14107.265028219805</v>
      </c>
      <c r="AE28" s="40">
        <v>34.691038198031876</v>
      </c>
      <c r="AF28" s="39">
        <v>14123.553320975834</v>
      </c>
      <c r="AG28" s="40">
        <v>18.062287640690567</v>
      </c>
      <c r="AH28" s="39">
        <v>14134.461191062273</v>
      </c>
      <c r="AI28" s="40">
        <v>6.917580771253216</v>
      </c>
      <c r="AJ28" s="39">
        <v>14139.643070642616</v>
      </c>
      <c r="AK28" s="40">
        <v>1.6207035986987306</v>
      </c>
      <c r="AL28" s="39">
        <v>14141.059496640135</v>
      </c>
      <c r="AM28" s="40">
        <v>0.17256506160240034</v>
      </c>
      <c r="AN28" s="39">
        <v>14141.22438017692</v>
      </c>
      <c r="AO28" s="40">
        <v>3.9823207947007923E-3</v>
      </c>
      <c r="AP28" s="39">
        <v>14141.227001747993</v>
      </c>
      <c r="AQ28" s="40">
        <v>1.3021890880340998E-3</v>
      </c>
      <c r="AR28" s="39">
        <v>14141.227942211935</v>
      </c>
      <c r="AS28" s="40">
        <v>3.4036789511262595E-4</v>
      </c>
      <c r="AT28" s="39">
        <v>14141.228212785678</v>
      </c>
      <c r="AU28" s="40">
        <v>6.370335819089453E-5</v>
      </c>
      <c r="AV28" s="39">
        <v>14141.228268940326</v>
      </c>
      <c r="AW28" s="40">
        <v>6.7105045142332996E-6</v>
      </c>
    </row>
    <row r="29" spans="1:49" x14ac:dyDescent="0.2">
      <c r="A29" t="s">
        <v>53</v>
      </c>
      <c r="B29" s="33">
        <v>14362.768558000025</v>
      </c>
      <c r="C29" s="34">
        <v>817.26650999999993</v>
      </c>
      <c r="D29" s="33">
        <v>14368.525434430961</v>
      </c>
      <c r="E29" s="34">
        <v>754.76973931381792</v>
      </c>
      <c r="F29" s="33">
        <v>14372.008990965702</v>
      </c>
      <c r="G29" s="34">
        <v>693.05457789133573</v>
      </c>
      <c r="H29" s="33">
        <v>14372.920245469639</v>
      </c>
      <c r="I29" s="34">
        <v>632.14605512767139</v>
      </c>
      <c r="J29" s="33">
        <v>14370.895770270883</v>
      </c>
      <c r="K29" s="34">
        <v>572.07264377925435</v>
      </c>
      <c r="L29" s="33">
        <v>14365.484727440804</v>
      </c>
      <c r="M29" s="34">
        <v>512.87294115107488</v>
      </c>
      <c r="N29" s="33">
        <v>14356.115125321337</v>
      </c>
      <c r="O29" s="34">
        <v>454.60173927877355</v>
      </c>
      <c r="P29" s="33">
        <v>14342.042540010441</v>
      </c>
      <c r="Q29" s="34">
        <v>397.34548608488041</v>
      </c>
      <c r="R29" s="33">
        <v>14322.269436114359</v>
      </c>
      <c r="S29" s="34">
        <v>341.24302589512121</v>
      </c>
      <c r="T29" s="33">
        <v>14295.417138805955</v>
      </c>
      <c r="U29" s="34">
        <v>286.51528833867053</v>
      </c>
      <c r="V29" s="33">
        <v>14259.511349291284</v>
      </c>
      <c r="W29" s="34">
        <v>233.51412637815821</v>
      </c>
      <c r="X29" s="33">
        <v>14211.612329547128</v>
      </c>
      <c r="Y29" s="34">
        <v>182.79225622445193</v>
      </c>
      <c r="Z29" s="33">
        <v>14147.146510063732</v>
      </c>
      <c r="AA29" s="34">
        <v>135.20662037122727</v>
      </c>
      <c r="AB29" s="33">
        <v>14058.643533181506</v>
      </c>
      <c r="AC29" s="34">
        <v>92.056723508389737</v>
      </c>
      <c r="AD29" s="33">
        <v>13933.251423724156</v>
      </c>
      <c r="AE29" s="34">
        <v>55.218632654295654</v>
      </c>
      <c r="AF29" s="33">
        <v>13747.751188226519</v>
      </c>
      <c r="AG29" s="34">
        <v>27.065027071864741</v>
      </c>
      <c r="AH29" s="33">
        <v>13458.585859389874</v>
      </c>
      <c r="AI29" s="34">
        <v>9.5520881529499402</v>
      </c>
      <c r="AJ29" s="33">
        <v>12979.783518306165</v>
      </c>
      <c r="AK29" s="34">
        <v>1.9926768759844697</v>
      </c>
      <c r="AL29" s="33">
        <v>12107.419947920544</v>
      </c>
      <c r="AM29" s="34">
        <v>0.1779444570533586</v>
      </c>
      <c r="AN29" s="33">
        <v>10110.161086883252</v>
      </c>
      <c r="AO29" s="34">
        <v>2.9936405827791328E-3</v>
      </c>
      <c r="AP29" s="33">
        <v>9351.4957347297986</v>
      </c>
      <c r="AQ29" s="34">
        <v>8.8206965959991654E-4</v>
      </c>
      <c r="AR29" s="33">
        <v>8319.4613178751642</v>
      </c>
      <c r="AS29" s="34">
        <v>2.0132911677504066E-4</v>
      </c>
      <c r="AT29" s="33">
        <v>6825.9900436162725</v>
      </c>
      <c r="AU29" s="34">
        <v>3.1062392883115501E-5</v>
      </c>
      <c r="AV29" s="33">
        <v>4450.7355796496995</v>
      </c>
      <c r="AW29" s="34">
        <v>2.3408524291839239E-6</v>
      </c>
    </row>
    <row r="30" spans="1:49" x14ac:dyDescent="0.2">
      <c r="A30" t="s">
        <v>48</v>
      </c>
      <c r="B30" s="112">
        <v>2924829.9599999995</v>
      </c>
      <c r="D30" s="112">
        <v>2985553.4662941522</v>
      </c>
      <c r="F30" s="112">
        <v>3047735.2278586868</v>
      </c>
      <c r="H30" s="112">
        <v>3111559.0794556024</v>
      </c>
      <c r="J30" s="112">
        <v>3177236.2967414679</v>
      </c>
      <c r="L30" s="112">
        <v>3245012.3660569838</v>
      </c>
      <c r="N30" s="112">
        <v>3315191.718372873</v>
      </c>
      <c r="P30" s="112">
        <v>3388161.5679122652</v>
      </c>
      <c r="R30" s="112">
        <v>3464447.0109002045</v>
      </c>
      <c r="T30" s="112">
        <v>3544810.0176163646</v>
      </c>
      <c r="V30" s="112">
        <v>3630421.0892878324</v>
      </c>
      <c r="X30" s="112">
        <v>3723188.6591352322</v>
      </c>
      <c r="Z30" s="112">
        <v>3826383.5023365738</v>
      </c>
      <c r="AB30" s="112">
        <v>3945850.1584672173</v>
      </c>
      <c r="AD30" s="112">
        <v>4092332.9682704811</v>
      </c>
      <c r="AF30" s="112">
        <v>4285500.6304840436</v>
      </c>
      <c r="AH30" s="112">
        <v>4558534.7184755821</v>
      </c>
      <c r="AJ30" s="112">
        <v>4956099.0361711457</v>
      </c>
      <c r="AL30" s="112">
        <v>5517360.3250870351</v>
      </c>
      <c r="AN30" s="112">
        <v>6160650.924843438</v>
      </c>
      <c r="AP30" s="112">
        <v>6213172.5556641687</v>
      </c>
      <c r="AR30" s="112">
        <v>6135071.9866683343</v>
      </c>
      <c r="AT30" s="112">
        <v>5735531.6657815007</v>
      </c>
      <c r="AV30" s="112">
        <v>4444846.6003681086</v>
      </c>
    </row>
    <row r="31" spans="1:49" x14ac:dyDescent="0.2">
      <c r="A31" t="s">
        <v>47</v>
      </c>
      <c r="B31" s="77">
        <v>1</v>
      </c>
      <c r="D31" s="77">
        <v>0.99791875169437938</v>
      </c>
      <c r="F31" s="77">
        <v>0.9954184942629225</v>
      </c>
      <c r="H31" s="77">
        <v>0.99244122160564707</v>
      </c>
      <c r="J31" s="77">
        <v>0.98891734595324843</v>
      </c>
      <c r="L31" s="77">
        <v>0.98476202195981488</v>
      </c>
      <c r="N31" s="77">
        <v>0.97987117640739563</v>
      </c>
      <c r="P31" s="77">
        <v>0.97411416950903518</v>
      </c>
      <c r="R31" s="77">
        <v>0.96732394190828463</v>
      </c>
      <c r="T31" s="77">
        <v>0.95928197894094536</v>
      </c>
      <c r="V31" s="77">
        <v>0.94969357303173152</v>
      </c>
      <c r="X31" s="77">
        <v>0.93814739900828448</v>
      </c>
      <c r="Z31" s="77">
        <v>0.92404480180828841</v>
      </c>
      <c r="AB31" s="77">
        <v>0.90647070404248087</v>
      </c>
      <c r="AD31" s="77">
        <v>0.88394717379243593</v>
      </c>
      <c r="AF31" s="77">
        <v>0.85394993294998855</v>
      </c>
      <c r="AH31" s="77">
        <v>0.81196093194935004</v>
      </c>
      <c r="AJ31" s="77">
        <v>0.74954284552923645</v>
      </c>
      <c r="AL31" s="77">
        <v>0.64921417122243641</v>
      </c>
      <c r="AN31" s="77">
        <v>0.46463443725027942</v>
      </c>
      <c r="AP31" s="77">
        <v>0.40723730350908688</v>
      </c>
      <c r="AR31" s="77">
        <v>0.33790314114581682</v>
      </c>
      <c r="AT31" s="77">
        <v>0.25223363655971076</v>
      </c>
      <c r="AV31" s="77">
        <v>0.14331440924314767</v>
      </c>
    </row>
    <row r="32" spans="1:49" x14ac:dyDescent="0.2">
      <c r="A32" t="s">
        <v>64</v>
      </c>
      <c r="B32" s="83">
        <v>14734457.915000005</v>
      </c>
      <c r="D32" s="83">
        <v>14740760.20906115</v>
      </c>
      <c r="F32" s="83">
        <v>14745543.137769166</v>
      </c>
      <c r="H32" s="83">
        <v>14748455.395137375</v>
      </c>
      <c r="J32" s="83">
        <v>14749061.968036868</v>
      </c>
      <c r="L32" s="83">
        <v>14746822.939621333</v>
      </c>
      <c r="N32" s="83">
        <v>14741075.168827759</v>
      </c>
      <c r="P32" s="83">
        <v>14731001.038181238</v>
      </c>
      <c r="R32" s="83">
        <v>14715596.149333272</v>
      </c>
      <c r="T32" s="83">
        <v>14693633.421960955</v>
      </c>
      <c r="V32" s="83">
        <v>14663616.204195689</v>
      </c>
      <c r="X32" s="83">
        <v>14623727.176694987</v>
      </c>
      <c r="Z32" s="83">
        <v>14571758.101620346</v>
      </c>
      <c r="AB32" s="83">
        <v>14504970.583396692</v>
      </c>
      <c r="AD32" s="83">
        <v>14419628.638470989</v>
      </c>
      <c r="AF32" s="83">
        <v>14308968.283285977</v>
      </c>
      <c r="AH32" s="83">
        <v>14154387.926922707</v>
      </c>
      <c r="AJ32" s="83">
        <v>13893074.876930378</v>
      </c>
      <c r="AL32" s="83">
        <v>13316981.177941196</v>
      </c>
      <c r="AN32" s="83">
        <v>11615665.554926259</v>
      </c>
      <c r="AP32" s="83">
        <v>10881947.345142214</v>
      </c>
      <c r="AR32" s="83">
        <v>9830928.8670642879</v>
      </c>
      <c r="AT32" s="83">
        <v>8223357.2643854637</v>
      </c>
      <c r="AV32" s="83">
        <v>5501938.7540124888</v>
      </c>
    </row>
    <row r="33" spans="1:49 16319:16384" x14ac:dyDescent="0.2">
      <c r="A33" t="s">
        <v>54</v>
      </c>
      <c r="B33" s="111">
        <v>7019665.6909999941</v>
      </c>
      <c r="D33" s="111">
        <v>7022668.1902660597</v>
      </c>
      <c r="F33" s="111">
        <v>7024946.8342133947</v>
      </c>
      <c r="H33" s="111">
        <v>7026334.2711475054</v>
      </c>
      <c r="J33" s="111">
        <v>7026623.7188134193</v>
      </c>
      <c r="L33" s="111">
        <v>7025556.5539793223</v>
      </c>
      <c r="N33" s="111">
        <v>7022818.229086834</v>
      </c>
      <c r="P33" s="111">
        <v>7018018.9561098861</v>
      </c>
      <c r="R33" s="111">
        <v>7010679.737609894</v>
      </c>
      <c r="T33" s="111">
        <v>7000216.4787918162</v>
      </c>
      <c r="V33" s="111">
        <v>6985915.9223470315</v>
      </c>
      <c r="X33" s="111">
        <v>6966912.2922979146</v>
      </c>
      <c r="Z33" s="111">
        <v>6942153.6419536965</v>
      </c>
      <c r="AB33" s="111">
        <v>6910335.2756007873</v>
      </c>
      <c r="AD33" s="111">
        <v>6869677.3937458908</v>
      </c>
      <c r="AF33" s="111">
        <v>6816957.5231549311</v>
      </c>
      <c r="AH33" s="111">
        <v>6743313.6582182776</v>
      </c>
      <c r="AJ33" s="111">
        <v>6618821.1075256765</v>
      </c>
      <c r="AL33" s="111">
        <v>6344363.424977432</v>
      </c>
      <c r="AN33" s="111">
        <v>5533837.0399795389</v>
      </c>
      <c r="AP33" s="111">
        <v>5184285.2224794058</v>
      </c>
      <c r="AR33" s="111">
        <v>4683567.8975701639</v>
      </c>
      <c r="AT33" s="111">
        <v>3917702.2450806731</v>
      </c>
      <c r="AV33" s="111">
        <v>2621187.0791800786</v>
      </c>
    </row>
    <row r="34" spans="1:49 16319:16384" x14ac:dyDescent="0.2">
      <c r="A34" t="s">
        <v>75</v>
      </c>
      <c r="B34" s="111">
        <v>1136879.4410000113</v>
      </c>
      <c r="D34" s="111">
        <v>1137365.6990298568</v>
      </c>
      <c r="F34" s="111">
        <v>1137734.7381083351</v>
      </c>
      <c r="H34" s="111">
        <v>1137959.4378024228</v>
      </c>
      <c r="J34" s="111">
        <v>1138005.7712957731</v>
      </c>
      <c r="L34" s="111">
        <v>1137833.4776056372</v>
      </c>
      <c r="N34" s="111">
        <v>1137390.0121220283</v>
      </c>
      <c r="P34" s="111">
        <v>1136612.5550502017</v>
      </c>
      <c r="R34" s="111">
        <v>1135424.0979739584</v>
      </c>
      <c r="T34" s="111">
        <v>1133729.4629160021</v>
      </c>
      <c r="V34" s="111">
        <v>1131413.4058888778</v>
      </c>
      <c r="X34" s="111">
        <v>1128335.690533906</v>
      </c>
      <c r="Z34" s="111">
        <v>1124325.850642995</v>
      </c>
      <c r="AB34" s="111">
        <v>1119172.6902369778</v>
      </c>
      <c r="AD34" s="111">
        <v>1112587.8823164466</v>
      </c>
      <c r="AF34" s="111">
        <v>1104049.5656877202</v>
      </c>
      <c r="AH34" s="111">
        <v>1092122.4744027182</v>
      </c>
      <c r="AJ34" s="111">
        <v>1071960.1149432261</v>
      </c>
      <c r="AL34" s="111">
        <v>1027509.9501050923</v>
      </c>
      <c r="AN34" s="111">
        <v>896240.05437509809</v>
      </c>
      <c r="AP34" s="111">
        <v>839627.91750370397</v>
      </c>
      <c r="AR34" s="111">
        <v>758533.56664861436</v>
      </c>
      <c r="AT34" s="111">
        <v>634496.76016655238</v>
      </c>
      <c r="AV34" s="111">
        <v>424517.89479921194</v>
      </c>
    </row>
    <row r="35" spans="1:49 16319:16384" x14ac:dyDescent="0.2">
      <c r="A35" t="s">
        <v>78</v>
      </c>
      <c r="B35" s="192">
        <v>1</v>
      </c>
      <c r="D35" s="192">
        <v>1.0025153060369429</v>
      </c>
      <c r="F35" s="192">
        <v>1.0053681103280965</v>
      </c>
      <c r="H35" s="192">
        <v>1.0086100178022737</v>
      </c>
      <c r="J35" s="192">
        <v>1.0123056372676729</v>
      </c>
      <c r="L35" s="192">
        <v>1.0165373858446873</v>
      </c>
      <c r="N35" s="192">
        <v>1.0214132019338427</v>
      </c>
      <c r="P35" s="192">
        <v>1.0270778010079833</v>
      </c>
      <c r="R35" s="192">
        <v>1.0337312095361109</v>
      </c>
      <c r="T35" s="192">
        <v>1.0416593707205843</v>
      </c>
      <c r="V35" s="192">
        <v>1.0512868339532229</v>
      </c>
      <c r="X35" s="192">
        <v>1.0632723748455062</v>
      </c>
      <c r="Z35" s="192">
        <v>1.0786915341917227</v>
      </c>
      <c r="AB35" s="192">
        <v>1.0994063188623879</v>
      </c>
      <c r="AD35" s="192">
        <v>1.1288597324575476</v>
      </c>
      <c r="AF35" s="192">
        <v>1.1738671516954966</v>
      </c>
      <c r="AH35" s="192">
        <v>1.2487749142886695</v>
      </c>
      <c r="AJ35" s="192">
        <v>1.3858811715521375</v>
      </c>
      <c r="AL35" s="192">
        <v>1.6709636332650935</v>
      </c>
      <c r="AN35" s="192">
        <v>2.4390305402018111</v>
      </c>
      <c r="AP35" s="192">
        <v>2.7593673554734215</v>
      </c>
      <c r="AR35" s="192">
        <v>3.213556194200351</v>
      </c>
      <c r="AT35" s="192">
        <v>3.9019165756699934</v>
      </c>
      <c r="AV35" s="192">
        <v>5.0583732672468411</v>
      </c>
    </row>
    <row r="36" spans="1:49 16319:16384" x14ac:dyDescent="0.2">
      <c r="A36" t="s">
        <v>21</v>
      </c>
      <c r="B36" s="35">
        <v>0.47195767671988198</v>
      </c>
      <c r="C36" s="36">
        <v>0.31738834428178964</v>
      </c>
      <c r="D36" s="35">
        <v>0.47197583452805203</v>
      </c>
      <c r="E36" s="36">
        <v>0.31993623014021555</v>
      </c>
      <c r="F36" s="35">
        <v>0.47199423063922785</v>
      </c>
      <c r="G36" s="36">
        <v>0.32275465093716349</v>
      </c>
      <c r="H36" s="35">
        <v>0.47201296246143482</v>
      </c>
      <c r="I36" s="36">
        <v>0.32588538530109723</v>
      </c>
      <c r="J36" s="35">
        <v>0.47203215752156341</v>
      </c>
      <c r="K36" s="36">
        <v>0.32937918658994697</v>
      </c>
      <c r="L36" s="35">
        <v>0.47205197113298253</v>
      </c>
      <c r="M36" s="36">
        <v>0.33329845932783947</v>
      </c>
      <c r="N36" s="35">
        <v>0.47207259628416548</v>
      </c>
      <c r="O36" s="36">
        <v>0.337721378894902</v>
      </c>
      <c r="P36" s="35">
        <v>0.47209424922103643</v>
      </c>
      <c r="Q36" s="36">
        <v>0.34274762637714362</v>
      </c>
      <c r="R36" s="35">
        <v>0.472117155606326</v>
      </c>
      <c r="S36" s="36">
        <v>0.34850750653380774</v>
      </c>
      <c r="T36" s="35">
        <v>0.47214151825332568</v>
      </c>
      <c r="U36" s="36">
        <v>0.3551764242374349</v>
      </c>
      <c r="V36" s="35">
        <v>0.47216743472367617</v>
      </c>
      <c r="W36" s="36">
        <v>0.36299885122706543</v>
      </c>
      <c r="X36" s="35">
        <v>0.47219474593880228</v>
      </c>
      <c r="Y36" s="36">
        <v>0.37233007785756406</v>
      </c>
      <c r="Z36" s="35">
        <v>0.47222273013998423</v>
      </c>
      <c r="AA36" s="36">
        <v>0.3837122195632377</v>
      </c>
      <c r="AB36" s="35">
        <v>0.47224951133456233</v>
      </c>
      <c r="AC36" s="36">
        <v>0.39801954969513009</v>
      </c>
      <c r="AD36" s="35">
        <v>0.47227101371675678</v>
      </c>
      <c r="AE36" s="36">
        <v>0.41674847701821166</v>
      </c>
      <c r="AF36" s="35">
        <v>0.47227955206735683</v>
      </c>
      <c r="AG36" s="36">
        <v>0.44260702824700759</v>
      </c>
      <c r="AH36" s="35">
        <v>0.47226400550523739</v>
      </c>
      <c r="AI36" s="36">
        <v>0.48069103349775227</v>
      </c>
      <c r="AJ36" s="35">
        <v>0.4722172655180607</v>
      </c>
      <c r="AK36" s="36">
        <v>0.54092633789554623</v>
      </c>
      <c r="AL36" s="35">
        <v>0.47214971363112634</v>
      </c>
      <c r="AM36" s="36">
        <v>0.64555968567383615</v>
      </c>
      <c r="AN36" s="35">
        <v>0.47208969963296499</v>
      </c>
      <c r="AO36" s="36">
        <v>0.86687172300188742</v>
      </c>
      <c r="AP36" s="35">
        <v>0.47208257587770974</v>
      </c>
      <c r="AQ36" s="36">
        <v>0.94559830530722355</v>
      </c>
      <c r="AR36" s="35">
        <v>0.47207887870934911</v>
      </c>
      <c r="AS36" s="36">
        <v>1.0488935638621233</v>
      </c>
      <c r="AT36" s="35">
        <v>0.47208046472441223</v>
      </c>
      <c r="AU36" s="36">
        <v>1.1918040563222387</v>
      </c>
      <c r="AV36" s="35">
        <v>0.47209104047486555</v>
      </c>
      <c r="AW36" s="36">
        <v>1.4062232715528287</v>
      </c>
    </row>
    <row r="37" spans="1:49 16319:16384" x14ac:dyDescent="0.2">
      <c r="B37" s="37">
        <v>2.1403217525954466E-2</v>
      </c>
      <c r="C37" s="38">
        <v>0.3496246130199252</v>
      </c>
      <c r="D37" s="37">
        <v>2.0702537829097881E-2</v>
      </c>
      <c r="E37" s="38">
        <v>0.3454395223697786</v>
      </c>
      <c r="F37" s="37">
        <v>1.9985538156441301E-2</v>
      </c>
      <c r="G37" s="38">
        <v>0.34113151674849507</v>
      </c>
      <c r="H37" s="37">
        <v>1.9251695034981649E-2</v>
      </c>
      <c r="I37" s="38">
        <v>0.33669614593495706</v>
      </c>
      <c r="J37" s="37">
        <v>1.8500433176211143E-2</v>
      </c>
      <c r="K37" s="38">
        <v>0.33212879193150996</v>
      </c>
      <c r="L37" s="37">
        <v>1.7731090132369055E-2</v>
      </c>
      <c r="M37" s="38">
        <v>0.32742453244779002</v>
      </c>
      <c r="N37" s="37">
        <v>1.6942803374812139E-2</v>
      </c>
      <c r="O37" s="38">
        <v>0.32257754792895121</v>
      </c>
      <c r="P37" s="37">
        <v>1.6134415389302333E-2</v>
      </c>
      <c r="Q37" s="38">
        <v>0.31758066167445109</v>
      </c>
      <c r="R37" s="37">
        <v>1.5304265570583741E-2</v>
      </c>
      <c r="S37" s="38">
        <v>0.31242422094313005</v>
      </c>
      <c r="T37" s="37">
        <v>1.4449890477235067E-2</v>
      </c>
      <c r="U37" s="38">
        <v>0.30709446633135384</v>
      </c>
      <c r="V37" s="37">
        <v>1.3567580790878119E-2</v>
      </c>
      <c r="W37" s="38">
        <v>0.30157112392965102</v>
      </c>
      <c r="X37" s="37">
        <v>1.2651697461667402E-2</v>
      </c>
      <c r="Y37" s="38">
        <v>0.29582372052796418</v>
      </c>
      <c r="Z37" s="37">
        <v>1.1693669726986218E-2</v>
      </c>
      <c r="AA37" s="38">
        <v>0.28980639283182069</v>
      </c>
      <c r="AB37" s="37">
        <v>1.0680622883600525E-2</v>
      </c>
      <c r="AC37" s="38">
        <v>0.28345144754017426</v>
      </c>
      <c r="AD37" s="37">
        <v>9.5939543757764395E-3</v>
      </c>
      <c r="AE37" s="38">
        <v>0.27666500297895763</v>
      </c>
      <c r="AF37" s="37">
        <v>8.4097422855577419E-3</v>
      </c>
      <c r="AG37" s="38">
        <v>0.26933930353035718</v>
      </c>
      <c r="AH37" s="37">
        <v>7.1066706874807501E-3</v>
      </c>
      <c r="AI37" s="38">
        <v>0.26142122179808797</v>
      </c>
      <c r="AJ37" s="37">
        <v>5.6859624713778856E-3</v>
      </c>
      <c r="AK37" s="38">
        <v>0.25306400620725339</v>
      </c>
      <c r="AL37" s="37">
        <v>4.1778704075410723E-3</v>
      </c>
      <c r="AM37" s="38">
        <v>0.24469775588072301</v>
      </c>
      <c r="AN37" s="37">
        <v>2.6007561505470289E-3</v>
      </c>
      <c r="AO37" s="38">
        <v>0.23686518129469544</v>
      </c>
      <c r="AP37" s="37">
        <v>2.2745935065188465E-3</v>
      </c>
      <c r="AQ37" s="38">
        <v>0.2354181913904945</v>
      </c>
      <c r="AR37" s="37">
        <v>1.9430878764113934E-3</v>
      </c>
      <c r="AS37" s="38">
        <v>0.23402897369352707</v>
      </c>
      <c r="AT37" s="37">
        <v>1.6046388887994588E-3</v>
      </c>
      <c r="AU37" s="38">
        <v>0.23271078927131228</v>
      </c>
      <c r="AV37" s="37">
        <v>1.2565255951400753E-3</v>
      </c>
      <c r="AW37" s="38">
        <v>0.23148527691952764</v>
      </c>
    </row>
    <row r="38" spans="1:49 16319:16384" x14ac:dyDescent="0.2">
      <c r="A38" t="s">
        <v>22</v>
      </c>
      <c r="B38" s="35">
        <v>0.18079094942242827</v>
      </c>
      <c r="C38" s="36">
        <v>6.0565413429233668E-2</v>
      </c>
      <c r="D38" s="35">
        <v>0.1808953917142466</v>
      </c>
      <c r="E38" s="36">
        <v>6.087150948965131E-2</v>
      </c>
      <c r="F38" s="35">
        <v>0.18102724086802036</v>
      </c>
      <c r="G38" s="36">
        <v>6.1212729435988114E-2</v>
      </c>
      <c r="H38" s="35">
        <v>0.18119039490303626</v>
      </c>
      <c r="I38" s="36">
        <v>6.1594576985725583E-2</v>
      </c>
      <c r="J38" s="35">
        <v>0.18138962212931142</v>
      </c>
      <c r="K38" s="36">
        <v>6.2023759480171504E-2</v>
      </c>
      <c r="L38" s="35">
        <v>0.18163085876262888</v>
      </c>
      <c r="M38" s="36">
        <v>6.250853631046277E-2</v>
      </c>
      <c r="N38" s="35">
        <v>0.18192165036790053</v>
      </c>
      <c r="O38" s="36">
        <v>6.305930449192973E-2</v>
      </c>
      <c r="P38" s="35">
        <v>0.18227181551642249</v>
      </c>
      <c r="Q38" s="36">
        <v>6.3689379191088122E-2</v>
      </c>
      <c r="R38" s="35">
        <v>0.18269449767653365</v>
      </c>
      <c r="S38" s="36">
        <v>6.4416197210858034E-2</v>
      </c>
      <c r="T38" s="35">
        <v>0.1832078555683018</v>
      </c>
      <c r="U38" s="36">
        <v>6.5263367216237433E-2</v>
      </c>
      <c r="V38" s="35">
        <v>0.18383793045966987</v>
      </c>
      <c r="W38" s="36">
        <v>6.6263918296406502E-2</v>
      </c>
      <c r="X38" s="35">
        <v>0.18462369970720796</v>
      </c>
      <c r="Y38" s="36">
        <v>6.7466099307296412E-2</v>
      </c>
      <c r="Z38" s="35">
        <v>0.18562646553919435</v>
      </c>
      <c r="AA38" s="36">
        <v>6.8943946600793282E-2</v>
      </c>
      <c r="AB38" s="35">
        <v>0.18694827674870615</v>
      </c>
      <c r="AC38" s="36">
        <v>7.0817683355154371E-2</v>
      </c>
      <c r="AD38" s="35">
        <v>0.18877014136920342</v>
      </c>
      <c r="AE38" s="36">
        <v>7.3294892308302287E-2</v>
      </c>
      <c r="AF38" s="35">
        <v>0.19143512025145973</v>
      </c>
      <c r="AG38" s="36">
        <v>7.6755962878421347E-2</v>
      </c>
      <c r="AH38" s="35">
        <v>0.19563704286675426</v>
      </c>
      <c r="AI38" s="36">
        <v>8.1932052236504335E-2</v>
      </c>
      <c r="AJ38" s="35">
        <v>0.20291324221319756</v>
      </c>
      <c r="AK38" s="36">
        <v>9.0306134503554819E-2</v>
      </c>
      <c r="AL38" s="35">
        <v>0.2175744366122139</v>
      </c>
      <c r="AM38" s="36">
        <v>0.10548574613247434</v>
      </c>
      <c r="AN38" s="35">
        <v>0.26058865344682558</v>
      </c>
      <c r="AO38" s="36">
        <v>0.14163378582162967</v>
      </c>
      <c r="AP38" s="35">
        <v>0.28173359312002799</v>
      </c>
      <c r="AQ38" s="36">
        <v>0.15651109209676231</v>
      </c>
      <c r="AR38" s="35">
        <v>0.31668514027413325</v>
      </c>
      <c r="AS38" s="36">
        <v>0.17847397447570951</v>
      </c>
      <c r="AT38" s="35">
        <v>0.3859720796152345</v>
      </c>
      <c r="AU38" s="36">
        <v>0.21559736956930567</v>
      </c>
      <c r="AV38" s="35">
        <v>0.59194410840598732</v>
      </c>
      <c r="AW38" s="36">
        <v>0.30013439702558831</v>
      </c>
    </row>
    <row r="39" spans="1:49 16319:16384" x14ac:dyDescent="0.2">
      <c r="A39" t="s">
        <v>23</v>
      </c>
      <c r="B39" s="37">
        <v>0.23064923795098771</v>
      </c>
      <c r="C39" s="38">
        <v>0.22092201281804777</v>
      </c>
      <c r="D39" s="37">
        <v>0.23120891559514697</v>
      </c>
      <c r="E39" s="38">
        <v>0.22224358607392344</v>
      </c>
      <c r="F39" s="37">
        <v>0.23180212165204023</v>
      </c>
      <c r="G39" s="38">
        <v>0.22369439715210357</v>
      </c>
      <c r="H39" s="37">
        <v>0.23243432090287899</v>
      </c>
      <c r="I39" s="38">
        <v>0.22529504268233821</v>
      </c>
      <c r="J39" s="37">
        <v>0.23311219070840539</v>
      </c>
      <c r="K39" s="38">
        <v>0.22707061377176044</v>
      </c>
      <c r="L39" s="37">
        <v>0.23384397355882761</v>
      </c>
      <c r="M39" s="38">
        <v>0.22905205801810838</v>
      </c>
      <c r="N39" s="37">
        <v>0.23464003833271033</v>
      </c>
      <c r="O39" s="38">
        <v>0.23127819655120888</v>
      </c>
      <c r="P39" s="37">
        <v>0.23551364185103971</v>
      </c>
      <c r="Q39" s="38">
        <v>0.23379859098357275</v>
      </c>
      <c r="R39" s="37">
        <v>0.23648215745990583</v>
      </c>
      <c r="S39" s="38">
        <v>0.23667815359923555</v>
      </c>
      <c r="T39" s="37">
        <v>0.23756906158099017</v>
      </c>
      <c r="U39" s="38">
        <v>0.24000428413900687</v>
      </c>
      <c r="V39" s="37">
        <v>0.23880725949494316</v>
      </c>
      <c r="W39" s="38">
        <v>0.24389895308329282</v>
      </c>
      <c r="X39" s="37">
        <v>0.24024503834177302</v>
      </c>
      <c r="Y39" s="38">
        <v>0.24853967772692012</v>
      </c>
      <c r="Z39" s="37">
        <v>0.24195726149179383</v>
      </c>
      <c r="AA39" s="38">
        <v>0.25419805323538358</v>
      </c>
      <c r="AB39" s="37">
        <v>0.24406777274819849</v>
      </c>
      <c r="AC39" s="38">
        <v>0.26131414506582967</v>
      </c>
      <c r="AD39" s="37">
        <v>0.24679711290579584</v>
      </c>
      <c r="AE39" s="38">
        <v>0.27064730078067761</v>
      </c>
      <c r="AF39" s="37">
        <v>0.25056984217832351</v>
      </c>
      <c r="AG39" s="38">
        <v>0.28359094069776525</v>
      </c>
      <c r="AH39" s="37">
        <v>0.25626733332400287</v>
      </c>
      <c r="AI39" s="38">
        <v>0.30283187329840344</v>
      </c>
      <c r="AJ39" s="37">
        <v>0.2658959027780945</v>
      </c>
      <c r="AK39" s="38">
        <v>0.33384474668392827</v>
      </c>
      <c r="AL39" s="37">
        <v>0.28513636301704409</v>
      </c>
      <c r="AM39" s="38">
        <v>0.38998032754012585</v>
      </c>
      <c r="AN39" s="37">
        <v>0.34151147556072481</v>
      </c>
      <c r="AO39" s="38">
        <v>0.52362261113969455</v>
      </c>
      <c r="AP39" s="37">
        <v>0.36922280252946527</v>
      </c>
      <c r="AQ39" s="38">
        <v>0.57862438322164478</v>
      </c>
      <c r="AR39" s="37">
        <v>0.41502818846371498</v>
      </c>
      <c r="AS39" s="38">
        <v>0.65982167279498805</v>
      </c>
      <c r="AT39" s="37">
        <v>0.50583142589226793</v>
      </c>
      <c r="AU39" s="38">
        <v>0.79706756550072477</v>
      </c>
      <c r="AV39" s="37">
        <v>0.77576578570438037</v>
      </c>
      <c r="AW39" s="38">
        <v>1.1096023249428941</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6.099999999999875E-2</v>
      </c>
      <c r="E42" s="126"/>
      <c r="F42" s="167">
        <f>6.1%+(1-6.1%)*(1-SUM(F26:G26)/SUM($B$26:$C$26))</f>
        <v>6.1000000000000519E-2</v>
      </c>
      <c r="G42" s="126"/>
      <c r="H42" s="167">
        <f>6.1%+(1-6.1%)*(1-SUM(H26:I26)/SUM($B$26:$C$26))</f>
        <v>6.099999999999875E-2</v>
      </c>
      <c r="I42" s="126"/>
      <c r="J42" s="167">
        <f>6.1%+(1-6.1%)*(1-SUM(J26:K26)/SUM($B$26:$C$26))</f>
        <v>6.0999999999999999E-2</v>
      </c>
      <c r="K42" s="126"/>
      <c r="L42" s="167">
        <f>6.1%+(1-6.1%)*(1-SUM(L26:M26)/SUM($B$26:$C$26))</f>
        <v>6.0999999999999791E-2</v>
      </c>
      <c r="M42" s="126"/>
      <c r="N42" s="167">
        <f>6.1%+(1-6.1%)*(1-SUM(N26:O26)/SUM($B$26:$C$26))</f>
        <v>6.0999999999999374E-2</v>
      </c>
      <c r="O42" s="126"/>
      <c r="P42" s="167">
        <f>6.1%+(1-6.1%)*(1-SUM(P26:Q26)/SUM($B$26:$C$26))</f>
        <v>6.1000000000000519E-2</v>
      </c>
      <c r="Q42" s="126"/>
      <c r="R42" s="167">
        <f>6.1%+(1-6.1%)*(1-SUM(R26:S26)/SUM($B$26:$C$26))</f>
        <v>6.1000000000000311E-2</v>
      </c>
      <c r="S42" s="126"/>
      <c r="T42" s="167">
        <f>6.1%+(1-6.1%)*(1-SUM(T26:U26)/SUM($B$26:$C$26))</f>
        <v>6.0999999999999999E-2</v>
      </c>
      <c r="U42" s="126"/>
      <c r="V42" s="167">
        <f>6.1%+(1-6.1%)*(1-SUM(V26:W26)/SUM($B$26:$C$26))</f>
        <v>6.0999999999999582E-2</v>
      </c>
      <c r="W42" s="126"/>
      <c r="X42" s="167">
        <f>6.1%+(1-6.1%)*(1-SUM(X26:Y26)/SUM($B$26:$C$26))</f>
        <v>6.0999999999999166E-2</v>
      </c>
      <c r="Y42" s="152"/>
      <c r="Z42" s="167">
        <f>6.1%+(1-6.1%)*(1-SUM(Z26:AA26)/SUM($B$26:$C$26))</f>
        <v>6.1000000000000207E-2</v>
      </c>
      <c r="AA42" s="126"/>
      <c r="AB42" s="167">
        <f>6.1%+(1-6.1%)*(1-SUM(AB26:AC26)/SUM($B$26:$C$26))</f>
        <v>6.0999999999999582E-2</v>
      </c>
      <c r="AC42" s="126"/>
      <c r="AD42" s="167">
        <f>6.1%+(1-6.1%)*(1-SUM(AD26:AE26)/SUM($B$26:$C$26))</f>
        <v>6.0999999999999582E-2</v>
      </c>
      <c r="AE42" s="126"/>
      <c r="AF42" s="167">
        <f>6.1%+(1-6.1%)*(1-SUM(AF26:AG26)/SUM($B$26:$C$26))</f>
        <v>6.1000000000000207E-2</v>
      </c>
      <c r="AG42" s="126"/>
      <c r="AH42" s="167">
        <f>6.1%+(1-6.1%)*(1-SUM(AH26:AI26)/SUM($B$26:$C$26))</f>
        <v>6.099999999999875E-2</v>
      </c>
      <c r="AI42" s="126"/>
      <c r="AJ42" s="167">
        <f>6.1%+(1-6.1%)*(1-SUM(AJ26:AK26)/SUM($B$26:$C$26))</f>
        <v>6.0999999999998958E-2</v>
      </c>
      <c r="AK42" s="126"/>
      <c r="AL42" s="167">
        <f>6.1%+(1-6.1%)*(1-SUM(AL26:AM26)/SUM($B$26:$C$26))</f>
        <v>6.0999999999999999E-2</v>
      </c>
      <c r="AM42" s="126"/>
      <c r="AN42" s="167">
        <f>6.1%+(1-6.1%)*(1-SUM(AN26:AO26)/SUM($B$26:$C$26))</f>
        <v>6.1000000000000207E-2</v>
      </c>
      <c r="AO42" s="126"/>
      <c r="AP42" s="167">
        <f>6.1%+(1-6.1%)*(1-SUM(AP26:AQ26)/SUM($B$26:$C$26))</f>
        <v>6.0999999999999999E-2</v>
      </c>
      <c r="AQ42" s="126"/>
      <c r="AR42" s="167">
        <f>6.1%+(1-6.1%)*(1-SUM(AR26:AS26)/SUM($B$26:$C$26))</f>
        <v>6.099999999999875E-2</v>
      </c>
      <c r="AS42" s="126"/>
      <c r="AT42" s="167">
        <f>6.1%+(1-6.1%)*(1-SUM(AT26:AU26)/SUM($B$26:$C$26))</f>
        <v>6.1000000000000623E-2</v>
      </c>
      <c r="AU42" s="126"/>
      <c r="AV42" s="167">
        <f>6.1%+(1-6.1%)*(1-SUM(AV26:AW26)/SUM($B$26:$C$26))</f>
        <v>6.1000000000000623E-2</v>
      </c>
      <c r="XFD42" s="167"/>
    </row>
    <row r="43" spans="1:49 16319:16384" x14ac:dyDescent="0.2">
      <c r="A43" t="s">
        <v>95</v>
      </c>
      <c r="B43" s="152">
        <f>SUM(B15:C15*B27:C27)/SUM(B15:C15*B27:C27,B13:C13*B26:C26)</f>
        <v>0.56058995943839207</v>
      </c>
      <c r="C43" s="126"/>
      <c r="D43" s="152">
        <f t="array" ref="D43">SUM(D15:E15*D27:E27)/SUM(D15:E15*D27:E27,D13:E13*D26:E26)</f>
        <v>0.56568931983455917</v>
      </c>
      <c r="E43" s="126"/>
      <c r="F43" s="152">
        <f t="array" ref="F43">SUM(F15:G15*F27:G27)/SUM(F15:G15*F27:G27,F13:G13*F26:G26)</f>
        <v>0.5641869465407795</v>
      </c>
      <c r="G43" s="126"/>
      <c r="H43" s="152">
        <f t="array" ref="H43">SUM(H15:I15*H27:I27)/SUM(H15:I15*H27:I27,H13:I13*H26:I26)</f>
        <v>0.56269244333317026</v>
      </c>
      <c r="I43" s="126"/>
      <c r="J43" s="152">
        <f t="array" ref="J43">SUM(J15:K15*J27:K27)/SUM(J15:K15*J27:K27,J13:K13*J26:K26)</f>
        <v>0.56120463448517588</v>
      </c>
      <c r="K43" s="126"/>
      <c r="L43" s="152">
        <f t="array" ref="L43">SUM(L15:M15*L27:M27)/SUM(L15:M15*L27:M27,L13:M13*L26:M26)</f>
        <v>0.55972228555646064</v>
      </c>
      <c r="M43" s="126"/>
      <c r="N43" s="152">
        <f t="array" ref="N43">SUM(N15:O15*N27:O27)/SUM(N15:O15*N27:O27,N13:O13*N26:O26)</f>
        <v>0.55824418674791065</v>
      </c>
      <c r="O43" s="126"/>
      <c r="P43" s="152">
        <f t="array" ref="P43">SUM(P15:Q15*P27:Q27)/SUM(P15:Q15*P27:Q27,P13:Q13*P26:Q26)</f>
        <v>0.55676954954205038</v>
      </c>
      <c r="Q43" s="126"/>
      <c r="R43" s="152">
        <f t="array" ref="R43">SUM(R15:S15*R27:S27)/SUM(R15:S15*R27:S27,R13:S13*R26:S26)</f>
        <v>0.55529855951695573</v>
      </c>
      <c r="S43" s="126"/>
      <c r="T43" s="152">
        <f t="array" ref="T43">SUM(T15:U15*T27:U27)/SUM(T15:U15*T27:U27,T13:U13*T26:U26)</f>
        <v>0.5538332055480979</v>
      </c>
      <c r="U43" s="126"/>
      <c r="V43" s="152">
        <f t="array" ref="V43">SUM(V15:W15*V27:W27)/SUM(V15:W15*V27:W27,V13:W13*V26:W26)</f>
        <v>0.55237881048718473</v>
      </c>
      <c r="W43" s="126"/>
      <c r="X43" s="152">
        <f t="array" ref="X43">SUM(X15:Y15*X27:Y27)/SUM(X15:Y15*X27:Y27,X13:Y13*X26:Y26)</f>
        <v>0.55094637487171982</v>
      </c>
      <c r="Y43" s="126"/>
      <c r="Z43" s="152">
        <f t="array" ref="Z43">SUM(Z15:AA15*Z27:AA27)/SUM(Z15:AA15*Z27:AA27,Z13:AA13*Z26:AA26)</f>
        <v>0.54955639134283485</v>
      </c>
      <c r="AA43" s="126"/>
      <c r="AB43" s="152">
        <f t="array" ref="AB43">SUM(AB15:AC15*AB27:AC27)/SUM(AB15:AC15*AB27:AC27,AB13:AC13*AB26:AC26)</f>
        <v>0.54824467598831916</v>
      </c>
      <c r="AC43" s="126"/>
      <c r="AD43" s="152">
        <f t="array" ref="AD43">SUM(AD15:AE15*AD27:AE27)/SUM(AD15:AE15*AD27:AE27,AD13:AE13*AD26:AE26)</f>
        <v>0.54706999385174226</v>
      </c>
      <c r="AE43" s="126"/>
      <c r="AF43" s="152">
        <f t="array" ref="AF43">SUM(AF15:AG15*AF27:AG27)/SUM(AF15:AG15*AF27:AG27,AF13:AG13*AF26:AG26)</f>
        <v>0.54611813517543473</v>
      </c>
      <c r="AG43" s="126"/>
      <c r="AH43" s="152">
        <f t="array" ref="AH43">SUM(AH15:AI15*AH27:AI27)/SUM(AH15:AI15*AH27:AI27,AH13:AI13*AH26:AI26)</f>
        <v>0.54548076931972789</v>
      </c>
      <c r="AI43" s="126"/>
      <c r="AJ43" s="152">
        <f t="array" ref="AJ43">SUM(AJ15:AK15*AJ27:AK27)/SUM(AJ15:AK15*AJ27:AK27,AJ13:AK13*AJ26:AK26)</f>
        <v>0.54517800347176848</v>
      </c>
      <c r="AK43" s="126"/>
      <c r="AL43" s="152">
        <f t="array" ref="AL43">SUM(AL15:AM15*AL27:AM27)/SUM(AL15:AM15*AL27:AM27,AL13:AM13*AL26:AM26)</f>
        <v>0.5450952471279541</v>
      </c>
      <c r="AM43" s="126"/>
      <c r="AN43" s="152">
        <f t="array" ref="AN43">SUM(AN15:AO15*AN27:AO27)/SUM(AN15:AO15*AN27:AO27,AN13:AO13*AN26:AO26)</f>
        <v>0.54508561369842345</v>
      </c>
      <c r="AO43" s="126"/>
      <c r="AP43" s="152">
        <f t="array" ref="AP43">SUM(AP15:AQ15*AP27:AQ27)/SUM(AP15:AQ15*AP27:AQ27,AP13:AQ13*AP26:AQ26)</f>
        <v>0.54508546055699947</v>
      </c>
      <c r="AQ43" s="126"/>
      <c r="AR43" s="152">
        <f t="array" ref="AR43">SUM(AR15:AS15*AR27:AS27)/SUM(AR15:AS15*AR27:AS27,AR13:AS13*AR26:AS26)</f>
        <v>0.54508540558574847</v>
      </c>
      <c r="AS43" s="126"/>
      <c r="AT43" s="152">
        <f t="array" ref="AT43">SUM(AT15:AU15*AT27:AU27)/SUM(AT15:AU15*AT27:AU27,AT13:AU13*AT26:AU26)</f>
        <v>0.54508538977550069</v>
      </c>
      <c r="AU43" s="126"/>
      <c r="AV43" s="152">
        <f t="array" ref="AV43">SUM(AV15:AW15*AV27:AW27)/SUM(AV15:AW15*AV27:AW27,AV13:AW13*AV26:AW26)</f>
        <v>0.54508538653505278</v>
      </c>
    </row>
    <row r="44" spans="1:49 16319:16384" x14ac:dyDescent="0.2">
      <c r="A44" t="s">
        <v>129</v>
      </c>
      <c r="B44" s="183">
        <f>(SUM(B11:C11*B24:C24)+B34)/B32</f>
        <v>0.29754226190682431</v>
      </c>
      <c r="D44" s="183">
        <f>(SUM(D11:E11*D24:E24)+D34)/D32</f>
        <v>0.29754226097826642</v>
      </c>
      <c r="F44" s="183">
        <f>(SUM(F11:G11*F24:G24)+F34)/F32</f>
        <v>0.29754226087366886</v>
      </c>
      <c r="H44" s="183">
        <f>(SUM(H11:I11*H24:I24)+H34)/H32</f>
        <v>0.29754226060704558</v>
      </c>
      <c r="J44" s="183">
        <f>(SUM(J11:K11*J24:K24)+J34)/J32</f>
        <v>0.2975422287853689</v>
      </c>
      <c r="L44" s="183">
        <f>(SUM(L11:M11*L24:M24)+L34)/L32</f>
        <v>0.29754226037175735</v>
      </c>
      <c r="N44" s="183">
        <f>(SUM(N11:O11*N24:O24)+N34)/N32</f>
        <v>0.29754226176823118</v>
      </c>
      <c r="P44" s="183">
        <f>(SUM(P11:Q11*P24:Q24)+P34)/P32</f>
        <v>0.29754225097095233</v>
      </c>
      <c r="R44" s="183">
        <f>(SUM(R11:S11*R24:S24)+R34)/R32</f>
        <v>0.29754226127373756</v>
      </c>
      <c r="T44" s="183">
        <f>(SUM(T11:U11*T24:U24)+T34)/T32</f>
        <v>0.29754225869957884</v>
      </c>
      <c r="V44" s="183">
        <f>(SUM(V11:W11*V24:W24)+V34)/V32</f>
        <v>0.29754225921791583</v>
      </c>
      <c r="X44" s="183">
        <f>(SUM(X11:Y11*X24:Y24)+X34)/X32</f>
        <v>0.2975422617603099</v>
      </c>
      <c r="Z44" s="183">
        <f>(SUM(Z11:AA11*Z24:AA24)+Z34)/Z32</f>
        <v>0.29754226063376255</v>
      </c>
      <c r="AB44" s="183">
        <f>(SUM(AB11:AC11*AB24:AC24)+AB34)/AB32</f>
        <v>0.297542262170503</v>
      </c>
      <c r="AD44" s="183">
        <f>(SUM(AD11:AE11*AD24:AE24)+AD34)/AD32</f>
        <v>0.29754226182521099</v>
      </c>
      <c r="AF44" s="183">
        <f>(SUM(AF11:AG11*AF24:AG24)+AF34)/AF32</f>
        <v>0.29754226189980759</v>
      </c>
      <c r="AH44" s="183">
        <f>(SUM(AH11:AI11*AH24:AI24)+AH34)/AH32</f>
        <v>0.29754226192150568</v>
      </c>
      <c r="AJ44" s="183">
        <f>(SUM(AJ11:AK11*AJ24:AK24)+AJ34)/AJ32</f>
        <v>0.29754226190844285</v>
      </c>
      <c r="AL44" s="183">
        <f>(SUM(AL11:AM11*AL24:AM24)+AL34)/AL32</f>
        <v>0.29754226190525063</v>
      </c>
      <c r="AN44" s="183">
        <f>(SUM(AN11:AO11*AN24:AO24)+AN34)/AN32</f>
        <v>0.29754226190682165</v>
      </c>
      <c r="AP44" s="183">
        <f>(SUM(AP11:AQ11*AP24:AQ24)+AP34)/AP32</f>
        <v>0.29754226190672456</v>
      </c>
      <c r="AR44" s="183">
        <f>(SUM(AR11:AS11*AR24:AS24)+AR34)/AR32</f>
        <v>0.2975422619068242</v>
      </c>
      <c r="AT44" s="183">
        <f>(SUM(AT11:AU11*AT24:AU24)+AT34)/AT32</f>
        <v>0.2975422619068242</v>
      </c>
      <c r="AV44" s="183">
        <f>(SUM(AV11:AW11*AV24:AW24)+AV34)/AV32</f>
        <v>0.29754226190687444</v>
      </c>
    </row>
    <row r="45" spans="1:49 16319:16384" x14ac:dyDescent="0.2">
      <c r="A45" t="s">
        <v>82</v>
      </c>
      <c r="B45" s="183">
        <f>SUM(B11:C11*B24:C24)/B32</f>
        <v>0.22038438833194082</v>
      </c>
      <c r="D45" s="183">
        <f>SUM(D11:E11*D24:E24)/D32</f>
        <v>0.2203843883245401</v>
      </c>
      <c r="F45" s="183">
        <f>SUM(F11:G11*F24:G24)/F32</f>
        <v>0.22038438832341017</v>
      </c>
      <c r="H45" s="183">
        <f>SUM(H11:I11*H24:I24)/H32</f>
        <v>0.22038438832045934</v>
      </c>
      <c r="J45" s="183">
        <f>SUM(J11:K11*J24:K24)/J32</f>
        <v>0.22038438825544368</v>
      </c>
      <c r="L45" s="183">
        <f>SUM(L11:M11*L24:M24)/L32</f>
        <v>0.22038438831590323</v>
      </c>
      <c r="N45" s="183">
        <f>SUM(N11:O11*N24:O24)/N32</f>
        <v>0.22038438833663695</v>
      </c>
      <c r="P45" s="183">
        <f>SUM(P11:Q11*P24:Q24)/P32</f>
        <v>0.22038438830403517</v>
      </c>
      <c r="R45" s="183">
        <f>SUM(R11:S11*R24:S24)/R32</f>
        <v>0.22038438833052001</v>
      </c>
      <c r="T45" s="183">
        <f>SUM(T11:U11*T24:U24)/T32</f>
        <v>0.2203843883241316</v>
      </c>
      <c r="V45" s="183">
        <f>SUM(V11:W11*V24:W24)/V32</f>
        <v>0.22038438832620852</v>
      </c>
      <c r="X45" s="183">
        <f>SUM(X11:Y11*X24:Y24)/X32</f>
        <v>0.22038438833307097</v>
      </c>
      <c r="Z45" s="183">
        <f>SUM(Z11:AA11*Z24:AA24)/Z32</f>
        <v>0.220384388343941</v>
      </c>
      <c r="AB45" s="183">
        <f>SUM(AB11:AC11*AB24:AC24)/AB32</f>
        <v>0.22038438833668397</v>
      </c>
      <c r="AD45" s="183">
        <f>SUM(AD11:AE11*AD24:AE24)/AD32</f>
        <v>0.22038438833129123</v>
      </c>
      <c r="AF45" s="183">
        <f>SUM(AF11:AG11*AF24:AG24)/AF32</f>
        <v>0.22038438833198801</v>
      </c>
      <c r="AH45" s="183">
        <f>SUM(AH11:AI11*AH24:AI24)/AH32</f>
        <v>0.22038438833197241</v>
      </c>
      <c r="AJ45" s="183">
        <f>SUM(AJ11:AK11*AJ24:AK24)/AJ32</f>
        <v>0.22038438833192964</v>
      </c>
      <c r="AL45" s="183">
        <f>SUM(AL11:AM11*AL24:AM24)/AL32</f>
        <v>0.22038438833198898</v>
      </c>
      <c r="AN45" s="183">
        <f>SUM(AN11:AO11*AN24:AO24)/AN32</f>
        <v>0.22038438833194082</v>
      </c>
      <c r="AP45" s="183">
        <f>SUM(AP11:AQ11*AP24:AQ24)/AP32</f>
        <v>0.22038438833196217</v>
      </c>
      <c r="AR45" s="183">
        <f>SUM(AR11:AS11*AR24:AS24)/AR32</f>
        <v>0.22038438833194116</v>
      </c>
      <c r="AT45" s="183">
        <f>SUM(AT11:AU11*AT24:AU24)/AT32</f>
        <v>0.22038438833194082</v>
      </c>
      <c r="AV45" s="183">
        <f>SUM(AV11:AW11*AV24:AW24)/AV32</f>
        <v>0.2203843883319247</v>
      </c>
      <c r="XCQ45" s="183"/>
    </row>
    <row r="46" spans="1:49 16319:16384" x14ac:dyDescent="0.2">
      <c r="A46" t="s">
        <v>126</v>
      </c>
      <c r="B46" s="183">
        <f>B34/B32</f>
        <v>7.7157873574883462E-2</v>
      </c>
      <c r="D46" s="183">
        <f>D34/D32</f>
        <v>7.7157872653726353E-2</v>
      </c>
      <c r="F46" s="183">
        <f>F34/F32</f>
        <v>7.7157872550258702E-2</v>
      </c>
      <c r="H46" s="183">
        <f>H34/H32</f>
        <v>7.7157872286586202E-2</v>
      </c>
      <c r="J46" s="183">
        <f>J34/J32</f>
        <v>7.7157840529925178E-2</v>
      </c>
      <c r="L46" s="183">
        <f>L34/L32</f>
        <v>7.7157872055854101E-2</v>
      </c>
      <c r="N46" s="183">
        <f>N34/N32</f>
        <v>7.7157873431594193E-2</v>
      </c>
      <c r="P46" s="183">
        <f>P34/P32</f>
        <v>7.715786266691714E-2</v>
      </c>
      <c r="R46" s="183">
        <f>R34/R32</f>
        <v>7.7157872943217576E-2</v>
      </c>
      <c r="T46" s="183">
        <f>T34/T32</f>
        <v>7.7157870375447205E-2</v>
      </c>
      <c r="V46" s="183">
        <f>V34/V32</f>
        <v>7.7157870891707281E-2</v>
      </c>
      <c r="X46" s="183">
        <f>X34/X32</f>
        <v>7.7157873427238927E-2</v>
      </c>
      <c r="Z46" s="183">
        <f>Z34/Z32</f>
        <v>7.715787228982153E-2</v>
      </c>
      <c r="AB46" s="183">
        <f>AB34/AB32</f>
        <v>7.7157873833818988E-2</v>
      </c>
      <c r="AD46" s="183">
        <f>AD34/AD32</f>
        <v>7.715787349391974E-2</v>
      </c>
      <c r="AF46" s="183">
        <f>AF34/AF32</f>
        <v>7.7157873567819613E-2</v>
      </c>
      <c r="AH46" s="183">
        <f>AH34/AH32</f>
        <v>7.7157873589533285E-2</v>
      </c>
      <c r="AJ46" s="183">
        <f>AJ34/AJ32</f>
        <v>7.7157873576513214E-2</v>
      </c>
      <c r="AL46" s="183">
        <f>AL34/AL32</f>
        <v>7.715787357326169E-2</v>
      </c>
      <c r="AN46" s="183">
        <f>AN34/AN32</f>
        <v>7.7157873574880811E-2</v>
      </c>
      <c r="AP46" s="183">
        <f>AP34/AP32</f>
        <v>7.7157873574762378E-2</v>
      </c>
      <c r="AR46" s="183">
        <f>AR34/AR32</f>
        <v>7.7157873574883032E-2</v>
      </c>
      <c r="AT46" s="183">
        <f>AT34/AT32</f>
        <v>7.7157873574883379E-2</v>
      </c>
      <c r="AV46" s="183">
        <f>AV34/AV32</f>
        <v>7.7157873574949715E-2</v>
      </c>
      <c r="XCS46" s="183"/>
    </row>
    <row r="48" spans="1:49 16319:16384" x14ac:dyDescent="0.2">
      <c r="A48" t="s">
        <v>143</v>
      </c>
      <c r="B48" s="181">
        <f>B24/$B$24</f>
        <v>1</v>
      </c>
      <c r="C48" s="181"/>
      <c r="D48" s="181">
        <f>D24/$B$24</f>
        <v>1.0015893435149064</v>
      </c>
      <c r="E48" s="181"/>
      <c r="F48" s="181">
        <f>F24/$B$24</f>
        <v>1.0030740617213547</v>
      </c>
      <c r="G48" s="181"/>
      <c r="H48" s="181">
        <f>H24/$B$24</f>
        <v>1.0044359606667466</v>
      </c>
      <c r="I48" s="181"/>
      <c r="J48" s="181">
        <f>J24/$B$24</f>
        <v>1.0056524472076032</v>
      </c>
      <c r="K48" s="181"/>
      <c r="L48" s="181">
        <f>L24/$B$24</f>
        <v>1.0066951122770167</v>
      </c>
      <c r="M48" s="181"/>
      <c r="N48" s="181">
        <f>N24/$B$24</f>
        <v>1.0075282357341759</v>
      </c>
      <c r="O48" s="181"/>
      <c r="P48" s="181">
        <f>P24/$B$24</f>
        <v>1.0081061841823138</v>
      </c>
      <c r="Q48" s="181"/>
      <c r="R48" s="181">
        <f>R24/$B$24</f>
        <v>1.0083700392281163</v>
      </c>
      <c r="S48" s="181"/>
      <c r="T48" s="181">
        <f>T24/$B$24</f>
        <v>1.008242860693199</v>
      </c>
      <c r="U48" s="181"/>
      <c r="V48" s="181">
        <f>V24/$B$24</f>
        <v>1.0076221936790786</v>
      </c>
      <c r="W48" s="181"/>
      <c r="X48" s="181">
        <f>X24/$B$24</f>
        <v>1.0063685017434756</v>
      </c>
      <c r="Y48" s="181"/>
      <c r="Z48" s="181">
        <f>Z24/$B$24</f>
        <v>1.0042853366296907</v>
      </c>
      <c r="AA48" s="181"/>
      <c r="AB48" s="181">
        <f>AB24/$B$24</f>
        <v>1.001082113099754</v>
      </c>
      <c r="AC48" s="181"/>
      <c r="AD48" s="181">
        <f>AD24/$B$24</f>
        <v>0.9962940375022703</v>
      </c>
      <c r="AE48" s="181"/>
      <c r="AF48" s="181">
        <f>AF24/$B$24</f>
        <v>0.9890787480417681</v>
      </c>
      <c r="AG48" s="181"/>
      <c r="AH48" s="181">
        <f>AH24/$B$24</f>
        <v>0.97761668256693246</v>
      </c>
      <c r="AI48" s="181"/>
      <c r="AJ48" s="181">
        <f>AJ24/$B$24</f>
        <v>0.95723437558463753</v>
      </c>
      <c r="AK48" s="181"/>
      <c r="AL48" s="181">
        <f>AL24/$B$24</f>
        <v>0.91419581494295665</v>
      </c>
      <c r="AM48" s="181"/>
      <c r="AN48" s="181">
        <f>AN24/$B$24</f>
        <v>0.79470172706038811</v>
      </c>
      <c r="AO48" s="181"/>
      <c r="AP48" s="181">
        <f>AP24/$B$24</f>
        <v>0.74419616769414532</v>
      </c>
      <c r="AQ48" s="181"/>
      <c r="AR48" s="181">
        <f>AR24/$B$24</f>
        <v>0.67217437674884106</v>
      </c>
      <c r="AS48" s="181"/>
      <c r="AT48" s="181">
        <f>AT24/$B$24</f>
        <v>0.56231110638879922</v>
      </c>
      <c r="AU48" s="181"/>
      <c r="AV48" s="181">
        <f>AV24/$B$24</f>
        <v>0.37645185392608271</v>
      </c>
    </row>
    <row r="49" spans="1:48 16321:16384" x14ac:dyDescent="0.2">
      <c r="A49" t="s">
        <v>144</v>
      </c>
      <c r="B49" s="181">
        <f>B13/B35/$B$13*$B$35</f>
        <v>1</v>
      </c>
      <c r="C49" s="181"/>
      <c r="D49" s="181">
        <f>D13/D35/$B$13*$B$35</f>
        <v>0.99636127205281522</v>
      </c>
      <c r="E49" s="181"/>
      <c r="F49" s="181">
        <f>F13/F35/$B$13*$B$35</f>
        <v>0.99210281853785531</v>
      </c>
      <c r="G49" s="181"/>
      <c r="H49" s="181">
        <f>H13/H35/$B$13*$B$35</f>
        <v>0.98713815455716247</v>
      </c>
      <c r="I49" s="181"/>
      <c r="J49" s="181">
        <f>J13/J35/$B$13*$B$35</f>
        <v>0.9813622177898238</v>
      </c>
      <c r="K49" s="181"/>
      <c r="L49" s="181">
        <f>L13/L35/$B$13*$B$35</f>
        <v>0.97464537642149207</v>
      </c>
      <c r="M49" s="181"/>
      <c r="N49" s="181">
        <f>N13/N35/$B$13*$B$35</f>
        <v>0.96682454549680497</v>
      </c>
      <c r="O49" s="181"/>
      <c r="P49" s="181">
        <f>P13/P35/$B$13*$B$35</f>
        <v>0.95769034079529114</v>
      </c>
      <c r="Q49" s="181"/>
      <c r="R49" s="181">
        <f>R13/R35/$B$13*$B$35</f>
        <v>0.94696703295182816</v>
      </c>
      <c r="S49" s="181"/>
      <c r="T49" s="181">
        <f>T13/T35/$B$13*$B$35</f>
        <v>0.93428123985065414</v>
      </c>
      <c r="U49" s="181"/>
      <c r="V49" s="181">
        <f>V13/V35/$B$13*$B$35</f>
        <v>0.91911061472899447</v>
      </c>
      <c r="W49" s="181"/>
      <c r="X49" s="181">
        <f>X13/X35/$B$13*$B$35</f>
        <v>0.90069696831800083</v>
      </c>
      <c r="Y49" s="181"/>
      <c r="Z49" s="181">
        <f>Z13/Z35/$B$13*$B$35</f>
        <v>0.8778934228156855</v>
      </c>
      <c r="AA49" s="181"/>
      <c r="AB49" s="181">
        <f>AB13/AB35/$B$13*$B$35</f>
        <v>0.84888696840118638</v>
      </c>
      <c r="AC49" s="181"/>
      <c r="AD49" s="181">
        <f>AD13/AD35/$B$13*$B$35</f>
        <v>0.81068995623516649</v>
      </c>
      <c r="AE49" s="181"/>
      <c r="AF49" s="181">
        <f>AF13/AF35/$B$13*$B$35</f>
        <v>0.75826139264454295</v>
      </c>
      <c r="AG49" s="181"/>
      <c r="AH49" s="181">
        <f>AH13/AH35/$B$13*$B$35</f>
        <v>0.68332728686491528</v>
      </c>
      <c r="AI49" s="181"/>
      <c r="AJ49" s="181">
        <f>AJ13/AJ35/$B$13*$B$35</f>
        <v>0.57382982896851786</v>
      </c>
      <c r="AK49" s="181"/>
      <c r="AL49" s="181">
        <f>AL13/AL35/$B$13*$B$35</f>
        <v>0.41543591427457366</v>
      </c>
      <c r="AM49" s="181"/>
      <c r="AN49" s="181">
        <f>AN13/AN35/$B$13*$B$35</f>
        <v>0.19906065232746914</v>
      </c>
      <c r="AO49" s="181"/>
      <c r="AP49" s="181">
        <f>AP13/AP35/$B$13*$B$35</f>
        <v>0.15059144169013328</v>
      </c>
      <c r="AQ49" s="181"/>
      <c r="AR49" s="181">
        <f>AR13/AR35/$B$13*$B$35</f>
        <v>0.10236139283981477</v>
      </c>
      <c r="AS49" s="181"/>
      <c r="AT49" s="181">
        <f>AT13/AT35/$B$13*$B$35</f>
        <v>5.6747784100133383E-2</v>
      </c>
      <c r="AU49" s="181"/>
      <c r="AV49" s="181">
        <f>AV13/AV35/$B$13*$B$35</f>
        <v>1.8599828252994891E-2</v>
      </c>
    </row>
    <row r="51" spans="1:48 16321:16384" x14ac:dyDescent="0.2">
      <c r="A51" t="s">
        <v>150</v>
      </c>
      <c r="B51" s="27">
        <f>B30-B10*B23</f>
        <v>-405838.32800000021</v>
      </c>
      <c r="D51" s="27">
        <f>D30-D10*D23</f>
        <v>-346539.43135841843</v>
      </c>
      <c r="F51" s="27">
        <f>F30-F10*F23</f>
        <v>-285438.83267503325</v>
      </c>
      <c r="H51" s="27">
        <f>H30-H10*H23</f>
        <v>-222273.28580291569</v>
      </c>
      <c r="J51" s="27">
        <f>J30-J10*J23</f>
        <v>-156733.18201877223</v>
      </c>
      <c r="L51" s="27">
        <f>L30-L10*L23</f>
        <v>-88450.98882801272</v>
      </c>
      <c r="N51" s="27">
        <f>N30-N10*N23</f>
        <v>-16972.374739530031</v>
      </c>
      <c r="P51" s="27">
        <f>P30-P10*P23</f>
        <v>58274.693796794396</v>
      </c>
      <c r="R51" s="27">
        <f>R30-R10*R23</f>
        <v>138042.35344055342</v>
      </c>
      <c r="T51" s="27">
        <f>T30-T10*T23</f>
        <v>223369.95132110873</v>
      </c>
      <c r="V51" s="27">
        <f>V30-V10*V23</f>
        <v>315766.30113999872</v>
      </c>
      <c r="X51" s="27">
        <f>X30-X10*X23</f>
        <v>417550.63425769797</v>
      </c>
      <c r="Z51" s="27">
        <f>Z30-Z10*Z23</f>
        <v>532492.88963438617</v>
      </c>
      <c r="AB51" s="27">
        <f>AB30-AB10*AB23</f>
        <v>667056.61077176407</v>
      </c>
      <c r="AD51" s="27">
        <f>AD30-AD10*AD23</f>
        <v>832830.6433156291</v>
      </c>
      <c r="AF51" s="27">
        <f>AF30-AF10*AF23</f>
        <v>1051012.6588145145</v>
      </c>
      <c r="AH51" s="27">
        <f>AH30-AH10*AH23</f>
        <v>1358989.0496621868</v>
      </c>
      <c r="AJ51" s="27">
        <f>AJ30-AJ10*AJ23</f>
        <v>1815622.19051167</v>
      </c>
      <c r="AL51" s="27">
        <f>AL30-AL10*AL23</f>
        <v>2507107.2735575442</v>
      </c>
      <c r="AN51" s="27">
        <f>AN30-AN10*AN23</f>
        <v>3534973.8126626331</v>
      </c>
      <c r="AP51" s="27">
        <f>AP30-AP10*AP23</f>
        <v>3753349.660024852</v>
      </c>
      <c r="AQ51" s="27"/>
      <c r="AR51" s="27">
        <f>AR30-AR10*AR23</f>
        <v>3912827.828925611</v>
      </c>
      <c r="AT51" s="27">
        <f>AT30-AT10*AT23</f>
        <v>3876672.9673898751</v>
      </c>
      <c r="AV51" s="27">
        <f>AV30-AV10*AV23</f>
        <v>3201154.2272776649</v>
      </c>
      <c r="XFD51" s="27"/>
    </row>
    <row r="52" spans="1:48 16321:16384" x14ac:dyDescent="0.2">
      <c r="A52" t="s">
        <v>151</v>
      </c>
      <c r="B52" s="27">
        <f t="array" ref="B52">Calibration!sL*SUM(B13:C13*B26:C26)</f>
        <v>2073093.0976150823</v>
      </c>
      <c r="D52" s="27">
        <f t="array" ref="D52">Calibration!sL*SUM(D13:E13*D26:E26)</f>
        <v>2070745.1653928822</v>
      </c>
      <c r="F52" s="27">
        <f t="array" ref="F52">Calibration!sL*SUM(F13:G13*F26:G26)</f>
        <v>2067762.2131895672</v>
      </c>
      <c r="H52" s="27">
        <f t="array" ref="H52">Calibration!sL*SUM(H13:I13*H26:I26)</f>
        <v>2064049.0872625893</v>
      </c>
      <c r="J52" s="27">
        <f t="array" ref="J52">Calibration!sL*SUM(J13:K13*J26:K26)</f>
        <v>2059490.5081805808</v>
      </c>
      <c r="L52" s="27">
        <f t="array" ref="L52">Calibration!sL*SUM(L13:M13*L26:M26)</f>
        <v>2053944.8966660907</v>
      </c>
      <c r="N52" s="27">
        <f t="array" ref="N52">Calibration!sL*SUM(N13:O13*N26:O26)</f>
        <v>2047236.1427846635</v>
      </c>
      <c r="P52" s="27">
        <f t="array" ref="P52">Calibration!sL*SUM(P13:Q13*P26:Q26)</f>
        <v>2039140.9931658737</v>
      </c>
      <c r="R52" s="27">
        <f t="array" ref="R52">Calibration!sL*SUM(R13:S13*R26:S26)</f>
        <v>2029370.2713311322</v>
      </c>
      <c r="T52" s="27">
        <f t="array" ref="T52">Calibration!sL*SUM(T13:U13*T26:U26)</f>
        <v>2017540.02462987</v>
      </c>
      <c r="V52" s="27">
        <f t="array" ref="V52">Calibration!sL*SUM(V13:W13*V26:W26)</f>
        <v>2003123.9007289805</v>
      </c>
      <c r="X52" s="27">
        <f t="array" ref="X52">Calibration!sL*SUM(X13:Y13*X26:Y26)</f>
        <v>1985372.6602708299</v>
      </c>
      <c r="Z52" s="27">
        <f t="array" ref="Z52">Calibration!sL*SUM(Z13:AA13*Z26:AA26)</f>
        <v>1963169.8302811114</v>
      </c>
      <c r="AB52" s="27">
        <f t="array" ref="AB52">Calibration!sL*SUM(AB13:AC13*AB26:AC26)</f>
        <v>1934759.113375017</v>
      </c>
      <c r="AD52" s="27">
        <f t="array" ref="AD52">Calibration!sL*SUM(AD13:AE13*AD26:AE26)</f>
        <v>1897202.0260126586</v>
      </c>
      <c r="AF52" s="27">
        <f t="array" ref="AF52">Calibration!sL*SUM(AF13:AG13*AF26:AG26)</f>
        <v>1845256.312772132</v>
      </c>
      <c r="AH52" s="27">
        <f t="array" ref="AH52">Calibration!sL*SUM(AH13:AI13*AH26:AI26)</f>
        <v>1769015.8945206413</v>
      </c>
      <c r="AJ52" s="27">
        <f t="array" ref="AJ52">Calibration!sL*SUM(AJ13:AK13*AJ26:AK26)</f>
        <v>1648647.9248520462</v>
      </c>
      <c r="AL52" s="27">
        <f t="array" ref="AL52">Calibration!sL*SUM(AL13:AM13*AL26:AM26)</f>
        <v>1439096.2519981738</v>
      </c>
      <c r="AN52" s="27">
        <f t="array" ref="AN52">Calibration!sL*SUM(AN13:AO13*AN26:AO26)</f>
        <v>1006517.816805618</v>
      </c>
      <c r="AP52" s="27">
        <f t="array" ref="AP52">Calibration!sL*SUM(AP13:AQ13*AP26:AQ26)</f>
        <v>861447.11084019963</v>
      </c>
      <c r="AQ52" s="27"/>
      <c r="AR52" s="27">
        <f t="array" ref="AR52">Calibration!sL*SUM(AR13:AS13*AR26:AS26)</f>
        <v>681931.71834935178</v>
      </c>
      <c r="AT52" s="27">
        <f t="array" ref="AT52">Calibration!sL*SUM(AT13:AU13*AT26:AU26)</f>
        <v>459034.88669337967</v>
      </c>
      <c r="AV52" s="27">
        <f t="array" ref="AV52">Calibration!sL*SUM(AV13:AW13*AV26:AW26)</f>
        <v>195046.7029008035</v>
      </c>
    </row>
    <row r="53" spans="1:48 16321:16384" x14ac:dyDescent="0.2">
      <c r="A53" t="s">
        <v>152</v>
      </c>
      <c r="B53" s="27">
        <f t="array" ref="B53">Calibration!sK*SUM(B15:C15*B27:C27)</f>
        <v>2716869.1663849424</v>
      </c>
      <c r="D53" s="27">
        <f t="array" ref="D53">Calibration!sK*SUM(D15:E15*D27:E27)</f>
        <v>2697143.9516881867</v>
      </c>
      <c r="F53" s="27">
        <f t="array" ref="F53">Calibration!sK*SUM(F15:G15*F27:G27)</f>
        <v>2676846.0466524013</v>
      </c>
      <c r="H53" s="27">
        <f t="array" ref="H53">Calibration!sK*SUM(H15:I15*H27:I27)</f>
        <v>2655853.5437251502</v>
      </c>
      <c r="J53" s="27">
        <f t="array" ref="J53">Calibration!sK*SUM(J15:K15*J27:K27)</f>
        <v>2634019.6563222934</v>
      </c>
      <c r="L53" s="27">
        <f t="array" ref="L53">Calibration!sK*SUM(L15:M15*L27:M27)</f>
        <v>2611167.2116359207</v>
      </c>
      <c r="N53" s="27">
        <f t="array" ref="N53">Calibration!sK*SUM(N15:O15*N27:O27)</f>
        <v>2587080.1047219699</v>
      </c>
      <c r="P53" s="27">
        <f t="array" ref="P53">Calibration!sK*SUM(P15:Q15*P27:Q27)</f>
        <v>2561492.8104435476</v>
      </c>
      <c r="R53" s="27">
        <f t="array" ref="R53">Calibration!sK*SUM(R15:S15*R27:S27)</f>
        <v>2534074.068149277</v>
      </c>
      <c r="T53" s="27">
        <f t="array" ref="T53">Calibration!sK*SUM(T15:U15*T27:U27)</f>
        <v>2504401.20837546</v>
      </c>
      <c r="V53" s="27">
        <f t="array" ref="V53">Calibration!sK*SUM(V15:W15*V27:W27)</f>
        <v>2471918.7193693952</v>
      </c>
      <c r="X53" s="27">
        <f t="array" ref="X53">Calibration!sK*SUM(X15:Y15*X27:Y27)</f>
        <v>2435864.6912897383</v>
      </c>
      <c r="Z53" s="27">
        <f t="array" ref="Z53">Calibration!sK*SUM(Z15:AA15*Z27:AA27)</f>
        <v>2395133.390256511</v>
      </c>
      <c r="AB53" s="27">
        <f t="array" ref="AB53">Calibration!sK*SUM(AB15:AC15*AB27:AC27)</f>
        <v>2347999.7397890259</v>
      </c>
      <c r="AD53" s="27">
        <f t="array" ref="AD53">Calibration!sK*SUM(AD15:AE15*AD27:AE27)</f>
        <v>2291529.1250686557</v>
      </c>
      <c r="AF53" s="27">
        <f t="array" ref="AF53">Calibration!sK*SUM(AF15:AG15*AF27:AG27)</f>
        <v>2220242.7868346842</v>
      </c>
      <c r="AH53" s="27">
        <f t="array" ref="AH53">Calibration!sK*SUM(AH15:AI15*AH27:AI27)</f>
        <v>2123043.6160813225</v>
      </c>
      <c r="AJ53" s="27">
        <f t="array" ref="AJ53">Calibration!sK*SUM(AJ15:AK15*AJ27:AK27)</f>
        <v>1976172.1969463336</v>
      </c>
      <c r="AL53" s="27">
        <f t="array" ref="AL53">Calibration!sK*SUM(AL15:AM15*AL27:AM27)</f>
        <v>1724414.8850308959</v>
      </c>
      <c r="AN53" s="27">
        <f t="array" ref="AN53">Calibration!sK*SUM(AN15:AO15*AN27:AO27)</f>
        <v>1206025.5696292238</v>
      </c>
      <c r="AP53" s="27">
        <f t="array" ref="AP53">Calibration!sK*SUM(AP15:AQ15*AP27:AQ27)</f>
        <v>1032198.9174774698</v>
      </c>
      <c r="AQ53" s="27"/>
      <c r="AR53" s="27">
        <f t="array" ref="AR53">Calibration!sK*SUM(AR15:AS15*AR27:AS27)</f>
        <v>817100.68624388357</v>
      </c>
      <c r="AT53" s="27">
        <f t="array" ref="AT53">Calibration!sK*SUM(AT15:AU15*AT27:AU27)</f>
        <v>550022.36575856316</v>
      </c>
      <c r="AV53" s="27">
        <f t="array" ref="AV53">Calibration!sK*SUM(AV15:AW15*AV27:AW27)</f>
        <v>233707.83064823272</v>
      </c>
      <c r="XFD53" s="27"/>
    </row>
    <row r="55" spans="1:48 16321:16384" x14ac:dyDescent="0.2">
      <c r="A55" t="s">
        <v>153</v>
      </c>
      <c r="B55" s="183">
        <f>B30/B32</f>
        <v>0.19850271905982084</v>
      </c>
      <c r="D55" s="183">
        <f>D30/D32</f>
        <v>0.20253727921433332</v>
      </c>
      <c r="F55" s="183">
        <f>F30/F32</f>
        <v>0.2066885701925914</v>
      </c>
      <c r="H55" s="183">
        <f>H30/H32</f>
        <v>0.21097525104096637</v>
      </c>
      <c r="J55" s="183">
        <f>J30/J32</f>
        <v>0.21541955031628124</v>
      </c>
      <c r="L55" s="183">
        <f>L30/L32</f>
        <v>0.22004823542963817</v>
      </c>
      <c r="N55" s="183">
        <f>N30/N32</f>
        <v>0.22489483842965194</v>
      </c>
      <c r="P55" s="183">
        <f>P30/P32</f>
        <v>0.23000212674824333</v>
      </c>
      <c r="R55" s="183">
        <f>R30/R32</f>
        <v>0.23542688829885905</v>
      </c>
      <c r="T55" s="183">
        <f>T30/T32</f>
        <v>0.24124802326416606</v>
      </c>
      <c r="V55" s="183">
        <f>V30/V32</f>
        <v>0.2475802038687471</v>
      </c>
      <c r="X55" s="183">
        <f>X30/X32</f>
        <v>0.25459916026528923</v>
      </c>
      <c r="Z55" s="183">
        <f>Z30/Z32</f>
        <v>0.26258900783640438</v>
      </c>
      <c r="AB55" s="183">
        <f>AB30/AB32</f>
        <v>0.27203434407401605</v>
      </c>
      <c r="AD55" s="183">
        <f>AD30/AD32</f>
        <v>0.2838029377089713</v>
      </c>
      <c r="AF55" s="183">
        <f>AF30/AF32</f>
        <v>0.29949752809850394</v>
      </c>
      <c r="AH55" s="183">
        <f>AH30/AH32</f>
        <v>0.32205806015849736</v>
      </c>
      <c r="AJ55" s="183">
        <f>AJ30/AJ32</f>
        <v>0.35673161485660809</v>
      </c>
      <c r="AL55" s="183">
        <f>AL30/AL32</f>
        <v>0.41431013916473963</v>
      </c>
      <c r="AN55" s="183">
        <f>AN30/AN32</f>
        <v>0.53037433763153385</v>
      </c>
      <c r="AP55" s="183">
        <f>AP30/AP32</f>
        <v>0.57096146108791612</v>
      </c>
      <c r="AR55" s="183">
        <f>AR30/AR32</f>
        <v>0.62405822172329373</v>
      </c>
      <c r="AT55" s="183">
        <f>AT30/AT32</f>
        <v>0.69746837956579044</v>
      </c>
      <c r="AV55" s="183">
        <f>AV30/AV32</f>
        <v>0.80786915287389249</v>
      </c>
      <c r="XCS55" s="183"/>
      <c r="XFD55" s="183"/>
    </row>
    <row r="56" spans="1:48 16321:16384" x14ac:dyDescent="0.2">
      <c r="A56" t="s">
        <v>154</v>
      </c>
      <c r="B56" s="183">
        <f>(Model!$C$52*B5*B20+B2*C5*C20)/B32</f>
        <v>2.9221206744340551E-2</v>
      </c>
      <c r="D56" s="183">
        <f>(Model!$C$52*D5*D20+D2*E5*E20)/D32</f>
        <v>3.3587760288081074E-2</v>
      </c>
      <c r="F56" s="183">
        <f>(Model!$C$52*F5*F20+F2*G5*G20)/F32</f>
        <v>3.8103552574910299E-2</v>
      </c>
      <c r="H56" s="183">
        <f>(Model!$C$52*H5*H20+H2*I5*I20)/H32</f>
        <v>4.2791065284827852E-2</v>
      </c>
      <c r="J56" s="183">
        <f>(Model!$C$52*J5*J20+J2*K5*K20)/J32</f>
        <v>4.7677106354032231E-2</v>
      </c>
      <c r="L56" s="183">
        <f>(Model!$C$52*L5*L20+L2*M5*M20)/L32</f>
        <v>5.2794061345820001E-2</v>
      </c>
      <c r="N56" s="183">
        <f>(Model!$C$52*N5*N20+N2*O5*O20)/N32</f>
        <v>5.8182609473997483E-2</v>
      </c>
      <c r="P56" s="183">
        <f>(Model!$C$52*P5*P20+P2*Q5*Q20)/P32</f>
        <v>6.3894895902103871E-2</v>
      </c>
      <c r="R56" s="183">
        <f>(Model!$C$52*R5*R20+R2*S5*S20)/R32</f>
        <v>7.0000512675823634E-2</v>
      </c>
      <c r="T56" s="183">
        <f>(Model!$C$52*T5*T20+T2*U5*U20)/T32</f>
        <v>7.6596576288389118E-2</v>
      </c>
      <c r="V56" s="183">
        <f>(Model!$C$52*V5*V20+V2*W5*W20)/V32</f>
        <v>8.382477758945274E-2</v>
      </c>
      <c r="X56" s="183">
        <f>(Model!$C$52*X5*X20+X2*Y5*Y20)/X32</f>
        <v>9.1902707245510015E-2</v>
      </c>
      <c r="Z56" s="183">
        <f>(Model!$C$52*Z5*Z20+Z2*AA5*AA20)/Z32</f>
        <v>0.10118226144150722</v>
      </c>
      <c r="AB56" s="183">
        <f>(Model!$C$52*AB5*AB20+AB2*AC5*AC20)/AB32</f>
        <v>0.11226270347313159</v>
      </c>
      <c r="AD56" s="183">
        <f>(Model!$C$52*AD5*AD20+AD2*AE5*AE20)/AD32</f>
        <v>0.12621350385876248</v>
      </c>
      <c r="AF56" s="183">
        <f>(Model!$C$52*AF5*AF20+AF2*AG5*AG20)/AF32</f>
        <v>0.14499997441585707</v>
      </c>
      <c r="AH56" s="183">
        <f>(Model!$C$52*AH5*AH20+AH2*AI5*AI20)/AH32</f>
        <v>0.17220335249422292</v>
      </c>
      <c r="AJ56" s="183">
        <f>(Model!$C$52*AJ5*AJ20+AJ2*AK5*AK20)/AJ32</f>
        <v>0.21417061177294511</v>
      </c>
      <c r="AL56" s="183">
        <f>(Model!$C$52*AL5*AL20+AL2*AM5*AM20)/AL32</f>
        <v>0.28391969019333008</v>
      </c>
      <c r="AN56" s="183">
        <f>(Model!$C$52*AN5*AN20+AN2*AO5*AO20)/AN32</f>
        <v>0.42445601494011764</v>
      </c>
      <c r="AP56" s="183">
        <f>(Model!$C$52*AP5*AP20+AP2*AQ5*AQ20)/AP32</f>
        <v>0.47358305953666019</v>
      </c>
      <c r="AR56" s="183">
        <f>(Model!$C$52*AR5*AR20+AR2*AS5*AS20)/AR32</f>
        <v>0.53784172346582171</v>
      </c>
      <c r="AT56" s="183">
        <f>(Model!$C$52*AT5*AT20+AT2*AU5*AU20)/AT32</f>
        <v>0.62666844170037239</v>
      </c>
      <c r="AV56" s="183">
        <f>(Model!$C$52*AV5*AV20+AV2*AW5*AW20)/AV32</f>
        <v>0.76022682769152539</v>
      </c>
      <c r="XFD56" s="183"/>
    </row>
    <row r="57" spans="1:48 16321:16384" x14ac:dyDescent="0.2">
      <c r="A57" t="s">
        <v>155</v>
      </c>
      <c r="B57" s="183">
        <f t="array" ref="B57">SUM(Model!tauL*B13:C13*B26:C26)/B32</f>
        <v>0.15852881819439493</v>
      </c>
      <c r="D57" s="183">
        <f t="array" ref="D57">SUM(Model!tauL*D13:E13*D26:E26)/D32</f>
        <v>0.15828157154510805</v>
      </c>
      <c r="F57" s="183">
        <f t="array" ref="F57">SUM(Model!tauL*F13:G13*F26:G26)/F32</f>
        <v>0.15800229665043825</v>
      </c>
      <c r="H57" s="183">
        <f t="array" ref="H57">SUM(Model!tauL*H13:I13*H26:I26)/H32</f>
        <v>0.15768742506210681</v>
      </c>
      <c r="J57" s="183">
        <f t="array" ref="J57">SUM(Model!tauL*J13:K13*J26:K26)/J32</f>
        <v>0.15733269194425645</v>
      </c>
      <c r="L57" s="183">
        <f t="array" ref="L57">SUM(Model!tauL*L13:M13*L26:M26)/L32</f>
        <v>0.15693286426228495</v>
      </c>
      <c r="N57" s="183">
        <f t="array" ref="N57">SUM(Model!tauL*N13:O13*N26:O26)/N32</f>
        <v>0.1564812686480781</v>
      </c>
      <c r="P57" s="183">
        <f t="array" ref="P57">SUM(Model!tauL*P13:Q13*P26:Q26)/P32</f>
        <v>0.15596910295622926</v>
      </c>
      <c r="R57" s="183">
        <f t="array" ref="R57">SUM(Model!tauL*R13:S13*R26:S26)/R32</f>
        <v>0.15538425590283159</v>
      </c>
      <c r="T57" s="183">
        <f t="array" ref="T57">SUM(Model!tauL*T13:U13*T26:U26)/T32</f>
        <v>0.15470934141826934</v>
      </c>
      <c r="V57" s="183">
        <f t="array" ref="V57">SUM(Model!tauL*V13:W13*V26:W26)/V32</f>
        <v>0.15391831727345578</v>
      </c>
      <c r="X57" s="183">
        <f t="array" ref="X57">SUM(Model!tauL*X13:Y13*X26:Y26)/X32</f>
        <v>0.15297044848611038</v>
      </c>
      <c r="Y57" s="183"/>
      <c r="Z57" s="183">
        <f t="array" ref="Z57">SUM(Model!tauL*Z13:AA13*Z26:AA26)/Z32</f>
        <v>0.151799205033878</v>
      </c>
      <c r="AB57" s="183">
        <f t="array" ref="AB57">SUM(Model!tauL*AB13:AC13*AB26:AC26)/AB32</f>
        <v>0.15029122616242888</v>
      </c>
      <c r="AD57" s="183">
        <f t="array" ref="AD57">SUM(Model!tauL*AD13:AE13*AD26:AE26)/AD32</f>
        <v>0.14824603381926288</v>
      </c>
      <c r="AF57" s="183">
        <f t="array" ref="AF57">SUM(Model!tauL*AF13:AG13*AF26:AG26)/AF32</f>
        <v>0.14530212232373443</v>
      </c>
      <c r="AH57" s="183">
        <f t="array" ref="AH57">SUM(Model!tauL*AH13:AI13*AH26:AI26)/AH32</f>
        <v>0.14081996110435288</v>
      </c>
      <c r="AJ57" s="183">
        <f t="array" ref="AJ57">SUM(Model!tauL*AJ13:AK13*AJ26:AK26)/AJ32</f>
        <v>0.13370668547137812</v>
      </c>
      <c r="AL57" s="183">
        <f t="array" ref="AL57">SUM(Model!tauL*AL13:AM13*AL26:AM26)/AL32</f>
        <v>0.12176083991697596</v>
      </c>
      <c r="AN57" s="183">
        <f t="array" ref="AN57">SUM(Model!tauL*AN13:AO13*AN26:AO26)/AN32</f>
        <v>9.7633969532302994E-2</v>
      </c>
      <c r="AP57" s="183">
        <f t="array" ref="AP57">SUM(Model!tauL*AP13:AQ13*AP26:AQ26)/AP32</f>
        <v>8.9196040839284993E-2</v>
      </c>
      <c r="AR57" s="183">
        <f t="array" ref="AR57">SUM(Model!tauL*AR13:AS13*AR26:AS26)/AR32</f>
        <v>7.8157366301138828E-2</v>
      </c>
      <c r="AT57" s="183">
        <f t="array" ref="AT57">SUM(Model!tauL*AT13:AU13*AT26:AU26)/AT32</f>
        <v>6.2895578154418763E-2</v>
      </c>
      <c r="AV57" s="183">
        <f t="array" ref="AV57">SUM(Model!tauL*AV13:AW13*AV26:AW26)/AV32</f>
        <v>3.9943529801290345E-2</v>
      </c>
      <c r="XFD57" s="183"/>
    </row>
    <row r="58" spans="1:48 16321:16384" x14ac:dyDescent="0.2">
      <c r="A58" t="s">
        <v>156</v>
      </c>
      <c r="B58" s="183">
        <f t="array" ref="B58">SUM(Model!tauY/(1+Model!tauY)*B3:C3*B18:C18)/B32</f>
        <v>1.075269412108535E-2</v>
      </c>
      <c r="D58" s="183">
        <f t="array" ref="D58">SUM(Model!tauY/(1+Model!tauY)*D3:E3*D18:E18)/D32</f>
        <v>1.0667947381144179E-2</v>
      </c>
      <c r="F58" s="183">
        <f t="array" ref="F58">SUM(Model!tauY/(1+Model!tauY)*F3:G3*F18:G18)/F32</f>
        <v>1.0582720967242918E-2</v>
      </c>
      <c r="H58" s="183">
        <f t="array" ref="H58">SUM(Model!tauY/(1+Model!tauY)*H3:I3*H18:I18)/H32</f>
        <v>1.049676069403171E-2</v>
      </c>
      <c r="J58" s="183">
        <f t="array" ref="J58">SUM(Model!tauY/(1+Model!tauY)*J3:K3*J18:K18)/J32</f>
        <v>1.0409752017992555E-2</v>
      </c>
      <c r="L58" s="183">
        <f t="array" ref="L58">SUM(Model!tauY/(1+Model!tauY)*L3:M3*L18:M18)/L32</f>
        <v>1.0321309821533205E-2</v>
      </c>
      <c r="N58" s="183">
        <f t="array" ref="N58">SUM(Model!tauY/(1+Model!tauY)*N3:O3*N18:O18)/N32</f>
        <v>1.0230960307576337E-2</v>
      </c>
      <c r="P58" s="183">
        <f t="array" ref="P58">SUM(Model!tauY/(1+Model!tauY)*P3:Q3*P18:Q18)/P32</f>
        <v>1.0138127889910219E-2</v>
      </c>
      <c r="R58" s="183">
        <f t="array" ref="R58">SUM(Model!tauY/(1+Model!tauY)*R3:S3*R18:S18)/R32</f>
        <v>1.0042119720203808E-2</v>
      </c>
      <c r="T58" s="183">
        <f t="array" ref="T58">SUM(Model!tauY/(1+Model!tauY)*T3:U3*T18:U18)/T32</f>
        <v>9.9421055575076231E-3</v>
      </c>
      <c r="V58" s="183">
        <f t="array" ref="V58">SUM(Model!tauY/(1+Model!tauY)*V3:W3*V18:W18)/V32</f>
        <v>9.8371090058385537E-3</v>
      </c>
      <c r="X58" s="183">
        <f t="array" ref="X58">SUM(Model!tauY/(1+Model!tauY)*X3:Y3*X18:Y18)/X32</f>
        <v>9.7260045336688191E-3</v>
      </c>
      <c r="Y58" s="183"/>
      <c r="Z58" s="183">
        <f t="array" ref="Z58">SUM(Model!tauY/(1+Model!tauY)*Z3:AA3*Z18:AA18)/Z32</f>
        <v>9.6075413610191528E-3</v>
      </c>
      <c r="AB58" s="183">
        <f t="array" ref="AB58">SUM(Model!tauY/(1+Model!tauY)*AB3:AC3*AB18:AC18)/AB32</f>
        <v>9.4804144384556272E-3</v>
      </c>
      <c r="AD58" s="183">
        <f t="array" ref="AD58">SUM(Model!tauY/(1+Model!tauY)*AD3:AE3*AD18:AE18)/AD32</f>
        <v>9.3434000309459819E-3</v>
      </c>
      <c r="AF58" s="183">
        <f t="array" ref="AF58">SUM(Model!tauY/(1+Model!tauY)*AF3:AG3*AF18:AG18)/AF32</f>
        <v>9.1954313589124714E-3</v>
      </c>
      <c r="AH58" s="183">
        <f t="array" ref="AH58">SUM(Model!tauY/(1+Model!tauY)*AH3:AI3*AH18:AI18)/AH32</f>
        <v>9.0347465599216158E-3</v>
      </c>
      <c r="AJ58" s="183">
        <f t="array" ref="AJ58">SUM(Model!tauY/(1+Model!tauY)*AJ3:AK3*AJ18:AK18)/AJ32</f>
        <v>8.8543176122849229E-3</v>
      </c>
      <c r="AL58" s="183">
        <f t="array" ref="AL58">SUM(Model!tauY/(1+Model!tauY)*AL3:AM3*AL18:AM18)/AL32</f>
        <v>8.6296090544335513E-3</v>
      </c>
      <c r="AN58" s="183">
        <f t="array" ref="AN58">SUM(Model!tauY/(1+Model!tauY)*AN3:AO3*AN18:AO18)/AN32</f>
        <v>8.2843531591132342E-3</v>
      </c>
      <c r="AP58" s="183">
        <f t="array" ref="AP58">SUM(Model!tauY/(1+Model!tauY)*AP3:AQ3*AP18:AQ18)/AP32</f>
        <v>8.1823607119710304E-3</v>
      </c>
      <c r="AR58" s="183">
        <f t="array" ref="AR58">SUM(Model!tauY/(1+Model!tauY)*AR3:AS3*AR18:AS18)/AR32</f>
        <v>8.059131956333199E-3</v>
      </c>
      <c r="AT58" s="183">
        <f t="array" ref="AT58">SUM(Model!tauY/(1+Model!tauY)*AT3:AU3*AT18:AU18)/AT32</f>
        <v>7.9043597109992193E-3</v>
      </c>
      <c r="AV58" s="183">
        <f t="array" ref="AV58">SUM(Model!tauY/(1+Model!tauY)*AV3:AW3*AV18:AW18)/AV32</f>
        <v>7.6987953810766837E-3</v>
      </c>
      <c r="XFD58" s="183"/>
    </row>
    <row r="59" spans="1:48 16321:16384" x14ac:dyDescent="0.2">
      <c r="A59" t="s">
        <v>157</v>
      </c>
      <c r="B59" s="183">
        <f>(B2*C5*C20)/B32</f>
        <v>5.5174232040962052E-4</v>
      </c>
      <c r="D59" s="183">
        <f>(D2*E5*E20)/D32</f>
        <v>4.9728206631461684E-3</v>
      </c>
      <c r="F59" s="183">
        <f>(F2*G5*G20)/F32</f>
        <v>9.5445078721878105E-3</v>
      </c>
      <c r="H59" s="183">
        <f>(H2*I5*I20)/H32</f>
        <v>1.4289471437286996E-2</v>
      </c>
      <c r="J59" s="183">
        <f>(J2*K5*K20)/J32</f>
        <v>1.9234736227129831E-2</v>
      </c>
      <c r="L59" s="183">
        <f>(L2*M5*M20)/L32</f>
        <v>2.4412944030007478E-2</v>
      </c>
      <c r="N59" s="183">
        <f>(N2*O5*O20)/N32</f>
        <v>2.9865091965154151E-2</v>
      </c>
      <c r="P59" s="183">
        <f>(P2*Q5*Q20)/P32</f>
        <v>3.5643728603775161E-2</v>
      </c>
      <c r="R59" s="183">
        <f>(R2*S5*S20)/R32</f>
        <v>4.1818983648408137E-2</v>
      </c>
      <c r="T59" s="183">
        <f>(T2*U5*U20)/T32</f>
        <v>4.8488731456568901E-2</v>
      </c>
      <c r="V59" s="183">
        <f>(V2*W5*W20)/V32</f>
        <v>5.5795788387993102E-2</v>
      </c>
      <c r="X59" s="183">
        <f>(X2*Y5*Y20)/X32</f>
        <v>6.3959516287177928E-2</v>
      </c>
      <c r="Z59" s="183">
        <f>(Z2*AA5*AA20)/Z32</f>
        <v>7.3334753961292326E-2</v>
      </c>
      <c r="AB59" s="183">
        <f>(AB2*AC5*AC20)/AB32</f>
        <v>8.452590299388682E-2</v>
      </c>
      <c r="AD59" s="183">
        <f>(AD2*AE5*AE20)/AD32</f>
        <v>9.8611762809893186E-2</v>
      </c>
      <c r="AF59" s="183">
        <f>(AF2*AG5*AG20)/AF32</f>
        <v>0.11757478413868729</v>
      </c>
      <c r="AH59" s="183">
        <f>(AH2*AI5*AI20)/AH32</f>
        <v>0.14502623345511334</v>
      </c>
      <c r="AJ59" s="183">
        <f>(AJ2*AK5*AK20)/AJ32</f>
        <v>0.18736014602818893</v>
      </c>
      <c r="AL59" s="183">
        <f>(AL2*AM5*AM20)/AL32</f>
        <v>0.25767251138924041</v>
      </c>
      <c r="AN59" s="183">
        <f>(AN2*AO5*AO20)/AN32</f>
        <v>0.39918879543761204</v>
      </c>
      <c r="AP59" s="183">
        <f>(AP2*AQ5*AQ20)/AP32</f>
        <v>0.4486192928809995</v>
      </c>
      <c r="AR59" s="183">
        <f>(AR2*AS5*AS20)/AR32</f>
        <v>0.51325002561767608</v>
      </c>
      <c r="AT59" s="183">
        <f>(AT2*AU5*AU20)/AT32</f>
        <v>0.602550568324275</v>
      </c>
      <c r="AV59" s="183">
        <f>(AV2*AW5*AW20)/AV32</f>
        <v>0.73674647125796355</v>
      </c>
      <c r="XFD59" s="183"/>
    </row>
    <row r="60" spans="1:48 16321:16384" x14ac:dyDescent="0.2">
      <c r="A60" t="s">
        <v>158</v>
      </c>
      <c r="B60" s="183">
        <f>Model!$C$52*B5*B20/B32</f>
        <v>2.8669464423930927E-2</v>
      </c>
      <c r="D60" s="183">
        <f>Model!$C$52*D5*D20/D32</f>
        <v>2.8614939624934908E-2</v>
      </c>
      <c r="F60" s="183">
        <f>Model!$C$52*F5*F20/F32</f>
        <v>2.8559044702722483E-2</v>
      </c>
      <c r="H60" s="183">
        <f>Model!$C$52*H5*H20/H32</f>
        <v>2.8501593847540856E-2</v>
      </c>
      <c r="J60" s="183">
        <f>Model!$C$52*J5*J20/J32</f>
        <v>2.84423701269024E-2</v>
      </c>
      <c r="L60" s="183">
        <f>Model!$C$52*L5*L20/L32</f>
        <v>2.8381117315812523E-2</v>
      </c>
      <c r="N60" s="183">
        <f>Model!$C$52*N5*N20/N32</f>
        <v>2.8317517508843336E-2</v>
      </c>
      <c r="P60" s="183">
        <f>Model!$C$52*P5*P20/P32</f>
        <v>2.8251167298328713E-2</v>
      </c>
      <c r="R60" s="183">
        <f>Model!$C$52*R5*R20/R32</f>
        <v>2.8181529027415504E-2</v>
      </c>
      <c r="T60" s="183">
        <f>Model!$C$52*T5*T20/T32</f>
        <v>2.8107844831820206E-2</v>
      </c>
      <c r="V60" s="183">
        <f>Model!$C$52*V5*V20/V32</f>
        <v>2.8028989201459645E-2</v>
      </c>
      <c r="X60" s="183">
        <f>Model!$C$52*X5*X20/X32</f>
        <v>2.7943190958332087E-2</v>
      </c>
      <c r="Z60" s="183">
        <f>Model!$C$52*Z5*Z20/Z32</f>
        <v>2.7847507480214879E-2</v>
      </c>
      <c r="AB60" s="183">
        <f>Model!$C$52*AB5*AB20/AB32</f>
        <v>2.7736800479244768E-2</v>
      </c>
      <c r="AD60" s="183">
        <f>Model!$C$52*AD5*AD20/AD32</f>
        <v>2.7601741048869297E-2</v>
      </c>
      <c r="AF60" s="183">
        <f>Model!$C$52*AF5*AF20/AF32</f>
        <v>2.7425190277169782E-2</v>
      </c>
      <c r="AH60" s="183">
        <f>Model!$C$52*AH5*AH20/AH32</f>
        <v>2.7177119039109573E-2</v>
      </c>
      <c r="AJ60" s="183">
        <f>Model!$C$52*AJ5*AJ20/AJ32</f>
        <v>2.6810465744756148E-2</v>
      </c>
      <c r="AL60" s="183">
        <f>Model!$C$52*AL5*AL20/AL32</f>
        <v>2.6247178804089673E-2</v>
      </c>
      <c r="AN60" s="183">
        <f>Model!$C$52*AN5*AN20/AN32</f>
        <v>2.52672195025056E-2</v>
      </c>
      <c r="AP60" s="183">
        <f>Model!$C$52*AP5*AP20/AP32</f>
        <v>2.4963766655660621E-2</v>
      </c>
      <c r="AR60" s="183">
        <f>Model!$C$52*AR5*AR20/AR32</f>
        <v>2.4591697848145664E-2</v>
      </c>
      <c r="AT60" s="183">
        <f>Model!$C$52*AT5*AT20/AT32</f>
        <v>2.4117873376097394E-2</v>
      </c>
      <c r="AV60" s="183">
        <f>Model!$C$52*AV5*AV20/AV32</f>
        <v>2.3480356433561823E-2</v>
      </c>
      <c r="XFD60" s="183"/>
    </row>
    <row r="62" spans="1:48 16321:16384" x14ac:dyDescent="0.2">
      <c r="A62" t="s">
        <v>159</v>
      </c>
      <c r="B62">
        <f>B13/B15</f>
        <v>1</v>
      </c>
      <c r="D62">
        <f>D13/D15</f>
        <v>1.0061725138417628</v>
      </c>
      <c r="F62">
        <f>F13/F15</f>
        <v>1.0123416841774726</v>
      </c>
      <c r="H62">
        <f>H13/H15</f>
        <v>1.0185112223409289</v>
      </c>
      <c r="J62">
        <f>J13/J15</f>
        <v>1.0246857676822125</v>
      </c>
      <c r="L62">
        <f>L13/L15</f>
        <v>1.0308702913225372</v>
      </c>
      <c r="N62">
        <f>N13/N15</f>
        <v>1.0370697902336925</v>
      </c>
      <c r="P62">
        <f>P13/P15</f>
        <v>1.0432875724313733</v>
      </c>
      <c r="R62">
        <f>R13/R15</f>
        <v>1.0495228750247976</v>
      </c>
      <c r="T62">
        <f>T13/T15</f>
        <v>1.0557672208477804</v>
      </c>
      <c r="V62">
        <f>V13/V15</f>
        <v>1.0619976262103294</v>
      </c>
      <c r="X62">
        <f>X13/X15</f>
        <v>1.0681661135710188</v>
      </c>
      <c r="Z62">
        <f>Z13/Z15</f>
        <v>1.074182532786133</v>
      </c>
      <c r="AB62">
        <f>AB13/AB15</f>
        <v>1.079888151748714</v>
      </c>
      <c r="AD62">
        <f>AD13/AD15</f>
        <v>1.0850209346141486</v>
      </c>
      <c r="AF62">
        <f>AF13/AF15</f>
        <v>1.0891962848978654</v>
      </c>
      <c r="AH62">
        <f>AH13/AH15</f>
        <v>1.0920002505463269</v>
      </c>
      <c r="AJ62">
        <f>AJ13/AJ15</f>
        <v>1.0933345060559085</v>
      </c>
      <c r="AL62">
        <f>AL13/AL15</f>
        <v>1.0936994619815905</v>
      </c>
      <c r="AN62">
        <f>AN13/AN15</f>
        <v>1.0937419526870298</v>
      </c>
      <c r="AP62">
        <f>AP13/AP15</f>
        <v>1.0937426282135294</v>
      </c>
      <c r="AR62">
        <f>AR13/AR15</f>
        <v>1.0937428706403389</v>
      </c>
      <c r="AT62">
        <f>AT13/AT15</f>
        <v>1.0937429403735919</v>
      </c>
      <c r="AV62">
        <f>AV13/AV15</f>
        <v>1.0937429547374022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0.99894542646246898</v>
      </c>
      <c r="E65" s="181"/>
      <c r="F65" s="181">
        <f t="array" ref="F65">SQRT((F9:G9*$B$22:$C$22+F10:G10*$B$23:$C$23+F11:G11*$B$24:$C$24+F4:G4*($B$25:$C$25-$B$19:$C$19))/($B$9:$C$9*$B$22:$C$22+$B$10:$C$10*$B$23:$C$23+$B$11:$C$11*$B$24:$C$24+$B$4:$C$4*($B$25:$C$25-$B$19:$C$19))*(F9:G9*F22:G22+F10:G10*F23:G23+F11:G11*F24:G24+F4:G4*(F25:G25-F19:G19))/($B$9:$C$9*F22:G22+$B$10:$C$10*F23:G23+$B$11:$C$11*F24:G24+$B$4:$C$4*(F25:G25-F19:G19)))</f>
        <v>0.99789674168896292</v>
      </c>
      <c r="G65" s="181"/>
      <c r="H65" s="181">
        <f t="array" ref="H65">SQRT((H9:I9*$B$22:$C$22+H10:I10*$B$23:$C$23+H11:I11*$B$24:$C$24+H4:I4*($B$25:$C$25-$B$19:$C$19))/($B$9:$C$9*$B$22:$C$22+$B$10:$C$10*$B$23:$C$23+$B$11:$C$11*$B$24:$C$24+$B$4:$C$4*($B$25:$C$25-$B$19:$C$19))*(H9:I9*H22:I22+H10:I10*H23:I23+H11:I11*H24:I24+H4:I4*(H25:I25-H19:I19))/($B$9:$C$9*H22:I22+$B$10:$C$10*H23:I23+$B$11:$C$11*H24:I24+$B$4:$C$4*(H25:I25-H19:I19)))</f>
        <v>0.99684842961354503</v>
      </c>
      <c r="I65" s="181"/>
      <c r="J65" s="181">
        <f t="array" ref="J65">SQRT((J9:K9*$B$22:$C$22+J10:K10*$B$23:$C$23+J11:K11*$B$24:$C$24+J4:K4*($B$25:$C$25-$B$19:$C$19))/($B$9:$C$9*$B$22:$C$22+$B$10:$C$10*$B$23:$C$23+$B$11:$C$11*$B$24:$C$24+$B$4:$C$4*($B$25:$C$25-$B$19:$C$19))*(J9:K9*J22:K22+J10:K10*J23:K23+J11:K11*J24:K24+J4:K4*(J25:K25-J19:K19))/($B$9:$C$9*J22:K22+$B$10:$C$10*J23:K23+$B$11:$C$11*J24:K24+$B$4:$C$4*(J25:K25-J19:K19)))</f>
        <v>0.9957937879727996</v>
      </c>
      <c r="K65" s="181"/>
      <c r="L65" s="181">
        <f t="array" ref="L65">SQRT((L9:M9*$B$22:$C$22+L10:M10*$B$23:$C$23+L11:M11*$B$24:$C$24+L4:M4*($B$25:$C$25-$B$19:$C$19))/($B$9:$C$9*$B$22:$C$22+$B$10:$C$10*$B$23:$C$23+$B$11:$C$11*$B$24:$C$24+$B$4:$C$4*($B$25:$C$25-$B$19:$C$19))*(L9:M9*L22:M22+L10:M10*L23:M23+L11:M11*L24:M24+L4:M4*(L25:M25-L19:M19))/($B$9:$C$9*L22:M22+$B$10:$C$10*L23:M23+$B$11:$C$11*L24:M24+$B$4:$C$4*(L25:M25-L19:M19)))</f>
        <v>0.99472488708668783</v>
      </c>
      <c r="M65" s="181"/>
      <c r="N65" s="181">
        <f t="array" ref="N65">SQRT((N9:O9*$B$22:$C$22+N10:O10*$B$23:$C$23+N11:O11*$B$24:$C$24+N4:O4*($B$25:$C$25-$B$19:$C$19))/($B$9:$C$9*$B$22:$C$22+$B$10:$C$10*$B$23:$C$23+$B$11:$C$11*$B$24:$C$24+$B$4:$C$4*($B$25:$C$25-$B$19:$C$19))*(N9:O9*N22:O22+N10:O10*N23:O23+N11:O11*N24:O24+N4:O4*(N25:O25-N19:O19))/($B$9:$C$9*N22:O22+$B$10:$C$10*N23:O23+$B$11:$C$11*N24:O24+$B$4:$C$4*(N25:O25-N19:O19)))</f>
        <v>0.99363275513228155</v>
      </c>
      <c r="O65" s="181"/>
      <c r="P65" s="181">
        <f t="array" ref="P65">SQRT((P9:Q9*$B$22:$C$22+P10:Q10*$B$23:$C$23+P11:Q11*$B$24:$C$24+P4:Q4*($B$25:$C$25-$B$19:$C$19))/($B$9:$C$9*$B$22:$C$22+$B$10:$C$10*$B$23:$C$23+$B$11:$C$11*$B$24:$C$24+$B$4:$C$4*($B$25:$C$25-$B$19:$C$19))*(P9:Q9*P22:Q22+P10:Q10*P23:Q23+P11:Q11*P24:Q24+P4:Q4*(P25:Q25-P19:Q19))/($B$9:$C$9*P22:Q22+$B$10:$C$10*P23:Q23+$B$11:$C$11*P24:Q24+$B$4:$C$4*(P25:Q25-P19:Q19)))</f>
        <v>0.99250774423728694</v>
      </c>
      <c r="Q65" s="181"/>
      <c r="R65" s="181">
        <f t="array" ref="R65">SQRT((R9:S9*$B$22:$C$22+R10:S10*$B$23:$C$23+R11:S11*$B$24:$C$24+R4:S4*($B$25:$C$25-$B$19:$C$19))/($B$9:$C$9*$B$22:$C$22+$B$10:$C$10*$B$23:$C$23+$B$11:$C$11*$B$24:$C$24+$B$4:$C$4*($B$25:$C$25-$B$19:$C$19))*(R9:S9*R22:S22+R10:S10*R23:S23+R11:S11*R24:S24+R4:S4*(R25:S25-R19:S19))/($B$9:$C$9*R22:S22+$B$10:$C$10*R23:S23+$B$11:$C$11*R24:S24+$B$4:$C$4*(R25:S25-R19:S19)))</f>
        <v>0.99134047682205817</v>
      </c>
      <c r="S65" s="181"/>
      <c r="T65" s="181">
        <f t="array" ref="T65">SQRT((T9:U9*$B$22:$C$22+T10:U10*$B$23:$C$23+T11:U11*$B$24:$C$24+T4:U4*($B$25:$C$25-$B$19:$C$19))/($B$9:$C$9*$B$22:$C$22+$B$10:$C$10*$B$23:$C$23+$B$11:$C$11*$B$24:$C$24+$B$4:$C$4*($B$25:$C$25-$B$19:$C$19))*(T9:U9*T22:U22+T10:U10*T23:U23+T11:U11*T24:U24+T4:U4*(T25:U25-T19:U19))/($B$9:$C$9*T22:U22+$B$10:$C$10*T23:U23+$B$11:$C$11*T24:U24+$B$4:$C$4*(T25:U25-T19:U19)))</f>
        <v>0.99012372642137947</v>
      </c>
      <c r="U65" s="181"/>
      <c r="V65" s="181">
        <f t="array" ref="V65">SQRT((V9:W9*$B$22:$C$22+V10:W10*$B$23:$C$23+V11:W11*$B$24:$C$24+V4:W4*($B$25:$C$25-$B$19:$C$19))/($B$9:$C$9*$B$22:$C$22+$B$10:$C$10*$B$23:$C$23+$B$11:$C$11*$B$24:$C$24+$B$4:$C$4*($B$25:$C$25-$B$19:$C$19))*(V9:W9*V22:W22+V10:W10*V23:W23+V11:W11*V24:W24+V4:W4*(V25:W25-V19:W19))/($B$9:$C$9*V22:W22+$B$10:$C$10*V23:W23+$B$11:$C$11*V24:W24+$B$4:$C$4*(V25:W25-V19:W19)))</f>
        <v>0.98885599129598623</v>
      </c>
      <c r="W65" s="181"/>
      <c r="X65" s="181">
        <f t="array" ref="X65">SQRT((X9:Y9*$B$22:$C$22+X10:Y10*$B$23:$C$23+X11:Y11*$B$24:$C$24+X4:Y4*($B$25:$C$25-$B$19:$C$19))/($B$9:$C$9*$B$22:$C$22+$B$10:$C$10*$B$23:$C$23+$B$11:$C$11*$B$24:$C$24+$B$4:$C$4*($B$25:$C$25-$B$19:$C$19))*(X9:Y9*X22:Y22+X10:Y10*X23:Y23+X11:Y11*X24:Y24+X4:Y4*(X25:Y25-X19:Y19))/($B$9:$C$9*X22:Y22+$B$10:$C$10*X23:Y23+$B$11:$C$11*X24:Y24+$B$4:$C$4*(X25:Y25-X19:Y19)))</f>
        <v>0.98754829661317001</v>
      </c>
      <c r="Y65" s="181"/>
      <c r="Z65" s="181">
        <f t="array" ref="Z65">SQRT((Z9:AA9*$B$22:$C$22+Z10:AA10*$B$23:$C$23+Z11:AA11*$B$24:$C$24+Z4:AA4*($B$25:$C$25-$B$19:$C$19))/($B$9:$C$9*$B$22:$C$22+$B$10:$C$10*$B$23:$C$23+$B$11:$C$11*$B$24:$C$24+$B$4:$C$4*($B$25:$C$25-$B$19:$C$19))*(Z9:AA9*Z22:AA22+Z10:AA10*Z23:AA23+Z11:AA11*Z24:AA24+Z4:AA4*(Z25:AA25-Z19:AA19))/($B$9:$C$9*Z22:AA22+$B$10:$C$10*Z23:AA23+$B$11:$C$11*Z24:AA24+$B$4:$C$4*(Z25:AA25-Z19:AA19)))</f>
        <v>0.98623700776965328</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0.98500779854129161</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0.98403812439670568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0.98365659355199209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0.98435004503119572</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0.98648605824457081</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0.98971384787051231</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0.99273644149044327</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0.99310579176648417</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0.99329840665647862</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0.99321569986554237</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0.99266718262320375</v>
      </c>
    </row>
    <row r="66" spans="1:48 16384:16384" x14ac:dyDescent="0.2">
      <c r="A66" t="s">
        <v>166</v>
      </c>
      <c r="B66" s="181">
        <f t="array" ref="B66">SQRT((B9:C9*$B$22:$C$22)/($B$9:$C$9*$B$22:$C$22)*(B9:C9*B22:C22)/($B$9:$C$9*B22:C22))</f>
        <v>1</v>
      </c>
      <c r="C66" s="181"/>
      <c r="D66" s="181">
        <f t="array" ref="D66">SQRT((D9:E9*$B$22:$C$22)/($B$9:$C$9*$B$22:$C$22)*(D9:E9*D22:E22)/($B$9:$C$9*D22:E22))</f>
        <v>0.99884022460062805</v>
      </c>
      <c r="E66" s="181"/>
      <c r="F66" s="181">
        <f t="array" ref="F66">SQRT((F9:G9*$B$22:$C$22)/($B$9:$C$9*$B$22:$C$22)*(F9:G9*F22:G22)/($B$9:$C$9*F22:G22))</f>
        <v>0.99768538676464458</v>
      </c>
      <c r="G66" s="181"/>
      <c r="H66" s="181">
        <f t="array" ref="H66">SQRT((H9:I9*$B$22:$C$22)/($B$9:$C$9*$B$22:$C$22)*(H9:I9*H22:I22)/($B$9:$C$9*H22:I22))</f>
        <v>0.99652941735087397</v>
      </c>
      <c r="I66" s="181"/>
      <c r="J66" s="181">
        <f t="array" ref="J66">SQRT((J9:K9*$B$22:$C$22)/($B$9:$C$9*$B$22:$C$22)*(J9:K9*J22:K22)/($B$9:$C$9*J22:K22))</f>
        <v>0.99536490175876524</v>
      </c>
      <c r="K66" s="181"/>
      <c r="L66" s="181">
        <f t="array" ref="L66">SQRT((L9:M9*$B$22:$C$22)/($B$9:$C$9*$B$22:$C$22)*(L9:M9*L22:M22)/($B$9:$C$9*L22:M22))</f>
        <v>0.99418302396792335</v>
      </c>
      <c r="M66" s="181"/>
      <c r="N66" s="181">
        <f t="array" ref="N66">SQRT((N9:O9*$B$22:$C$22)/($B$9:$C$9*$B$22:$C$22)*(N9:O9*N22:O22)/($B$9:$C$9*N22:O22))</f>
        <v>0.99297376007339011</v>
      </c>
      <c r="O66" s="181"/>
      <c r="P66" s="181">
        <f t="array" ref="P66">SQRT((P9:Q9*$B$22:$C$22)/($B$9:$C$9*$B$22:$C$22)*(P9:Q9*P22:Q22)/($B$9:$C$9*P22:Q22))</f>
        <v>0.99172627231097865</v>
      </c>
      <c r="Q66" s="181"/>
      <c r="R66" s="181">
        <f t="array" ref="R66">SQRT((R9:S9*$B$22:$C$22)/($B$9:$C$9*$B$22:$C$22)*(R9:S9*R22:S22)/($B$9:$C$9*R22:S22))</f>
        <v>0.99042994983121135</v>
      </c>
      <c r="S66" s="181"/>
      <c r="T66" s="181">
        <f t="array" ref="T66">SQRT((T9:U9*$B$22:$C$22)/($B$9:$C$9*$B$22:$C$22)*(T9:U9*T22:U22)/($B$9:$C$9*T22:U22))</f>
        <v>0.98907649846377876</v>
      </c>
      <c r="U66" s="181"/>
      <c r="V66" s="181">
        <f t="array" ref="V66">SQRT((V9:W9*$B$22:$C$22)/($B$9:$C$9*$B$22:$C$22)*(V9:W9*V22:W22)/($B$9:$C$9*V22:W22))</f>
        <v>0.98766394019983361</v>
      </c>
      <c r="W66" s="181"/>
      <c r="X66" s="181">
        <f t="array" ref="X66">SQRT((X9:Y9*$B$22:$C$22)/($B$9:$C$9*$B$22:$C$22)*(X9:Y9*X22:Y22)/($B$9:$C$9*X22:Y22))</f>
        <v>0.98620426904695879</v>
      </c>
      <c r="Y66" s="181"/>
      <c r="Z66" s="181">
        <f t="array" ref="Z66">SQRT((Z9:AA9*$B$22:$C$22)/($B$9:$C$9*$B$22:$C$22)*(Z9:AA9*Z22:AA22)/($B$9:$C$9*Z22:AA22))</f>
        <v>0.9847379355846535</v>
      </c>
      <c r="AA66" s="181"/>
      <c r="AB66" s="181">
        <f t="array" ref="AB66">SQRT((AB9:AC9*$B$22:$C$22)/($B$9:$C$9*$B$22:$C$22)*(AB9:AC9*AB22:AC22)/($B$9:$C$9*AB22:AC22))</f>
        <v>0.98336101776679685</v>
      </c>
      <c r="AC66" s="181"/>
      <c r="AD66" s="181">
        <f t="array" ref="AD66">SQRT((AD9:AE9*$B$22:$C$22)/($B$9:$C$9*$B$22:$C$22)*(AD9:AE9*AD22:AE22)/($B$9:$C$9*AD22:AE22))</f>
        <v>0.982273396348187</v>
      </c>
      <c r="AE66" s="181"/>
      <c r="AF66" s="181">
        <f t="array" ref="AF66">SQRT((AF9:AG9*$B$22:$C$22)/($B$9:$C$9*$B$22:$C$22)*(AF9:AG9*AF22:AG22)/($B$9:$C$9*AF22:AG22))</f>
        <v>0.98184580279733091</v>
      </c>
      <c r="AG66" s="181"/>
      <c r="AH66" s="181">
        <f t="array" ref="AH66">SQRT((AH9:AI9*$B$22:$C$22)/($B$9:$C$9*$B$22:$C$22)*(AH9:AI9*AH22:AI22)/($B$9:$C$9*AH22:AI22))</f>
        <v>0.98262617231691529</v>
      </c>
      <c r="AI66" s="181"/>
      <c r="AJ66" s="181">
        <f t="array" ref="AJ66">SQRT((AJ9:AK9*$B$22:$C$22)/($B$9:$C$9*$B$22:$C$22)*(AJ9:AK9*AJ22:AK22)/($B$9:$C$9*AJ22:AK22))</f>
        <v>0.98502199320509998</v>
      </c>
      <c r="AK66" s="181"/>
      <c r="AL66" s="181">
        <f t="array" ref="AL66">SQRT((AL9:AM9*$B$22:$C$22)/($B$9:$C$9*$B$22:$C$22)*(AL9:AM9*AL22:AM22)/($B$9:$C$9*AL22:AM22))</f>
        <v>0.988626834525131</v>
      </c>
      <c r="AM66" s="181"/>
      <c r="AN66" s="181">
        <f t="array" ref="AN66">SQRT((AN9:AO9*$B$22:$C$22)/($B$9:$C$9*$B$22:$C$22)*(AN9:AO9*AN22:AO22)/($B$9:$C$9*AN22:AO22))</f>
        <v>0.99198654048290158</v>
      </c>
      <c r="AO66" s="181"/>
      <c r="AP66" s="181">
        <f t="array" ref="AP66">SQRT((AP9:AQ9*$B$22:$C$22)/($B$9:$C$9*$B$22:$C$22)*(AP9:AQ9*AP22:AQ22)/($B$9:$C$9*AP22:AQ22))</f>
        <v>0.99239605281373167</v>
      </c>
      <c r="AQ66" s="181"/>
      <c r="AR66" s="181">
        <f t="array" ref="AR66">SQRT((AR9:AS9*$B$22:$C$22)/($B$9:$C$9*$B$22:$C$22)*(AR9:AS9*AR22:AS22)/($B$9:$C$9*AR22:AS22))</f>
        <v>0.99260952399157421</v>
      </c>
      <c r="AS66" s="181"/>
      <c r="AT66" s="181">
        <f t="array" ref="AT66">SQRT((AT9:AU9*$B$22:$C$22)/($B$9:$C$9*$B$22:$C$22)*(AT9:AU9*AT22:AU22)/($B$9:$C$9*AT22:AU22))</f>
        <v>0.99251786915051443</v>
      </c>
      <c r="AU66" s="181"/>
      <c r="AV66" s="181">
        <f t="array" ref="AV66">SQRT((AV9:AW9*$B$22:$C$22)/($B$9:$C$9*$B$22:$C$22)*(AV9:AW9*AV22:AW22)/($B$9:$C$9*AV22:AW22))</f>
        <v>0.99190972607048922</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0.99884022460062805</v>
      </c>
      <c r="E68" s="181"/>
      <c r="F68" s="181">
        <f>F66/F67</f>
        <v>0.99768538676464458</v>
      </c>
      <c r="G68" s="181"/>
      <c r="H68" s="181">
        <f>H66/H67</f>
        <v>0.99652941735087397</v>
      </c>
      <c r="I68" s="181"/>
      <c r="J68" s="181">
        <f>J66/J67</f>
        <v>0.99536490175876524</v>
      </c>
      <c r="K68" s="181"/>
      <c r="L68" s="181">
        <f>L66/L67</f>
        <v>0.99418302396792335</v>
      </c>
      <c r="M68" s="181"/>
      <c r="N68" s="181">
        <f>N66/N67</f>
        <v>0.99297376007339011</v>
      </c>
      <c r="O68" s="181"/>
      <c r="P68" s="181">
        <f>P66/P67</f>
        <v>0.99172627231097865</v>
      </c>
      <c r="Q68" s="181"/>
      <c r="R68" s="181">
        <f>R66/R67</f>
        <v>0.99042994983121135</v>
      </c>
      <c r="S68" s="181"/>
      <c r="T68" s="181">
        <f>T66/T67</f>
        <v>0.98907649846377876</v>
      </c>
      <c r="U68" s="181"/>
      <c r="V68" s="181">
        <f>V66/V67</f>
        <v>0.98766394019983361</v>
      </c>
      <c r="W68" s="181"/>
      <c r="X68" s="181">
        <f>X66/X67</f>
        <v>0.98620426904695879</v>
      </c>
      <c r="Y68" s="181"/>
      <c r="Z68" s="181">
        <f>Z66/Z67</f>
        <v>0.9847379355846535</v>
      </c>
      <c r="AA68" s="181"/>
      <c r="AB68" s="181">
        <f>AB66/AB67</f>
        <v>0.98336101776679685</v>
      </c>
      <c r="AC68" s="181"/>
      <c r="AD68" s="181">
        <f>AD66/AD67</f>
        <v>0.982273396348187</v>
      </c>
      <c r="AE68" s="181"/>
      <c r="AF68" s="181">
        <f>AF66/AF67</f>
        <v>0.98184580279733091</v>
      </c>
      <c r="AG68" s="181"/>
      <c r="AH68" s="181">
        <f>AH66/AH67</f>
        <v>0.98262617231691529</v>
      </c>
      <c r="AI68" s="181"/>
      <c r="AJ68" s="181">
        <f>AJ66/AJ67</f>
        <v>0.98502199320509998</v>
      </c>
      <c r="AK68" s="181"/>
      <c r="AL68" s="181">
        <f>AL66/AL67</f>
        <v>0.988626834525131</v>
      </c>
      <c r="AM68" s="181"/>
      <c r="AN68" s="181">
        <f>AN66/AN67</f>
        <v>0.99198654048290158</v>
      </c>
      <c r="AO68" s="181"/>
      <c r="AP68" s="181">
        <f>AP66/AP67</f>
        <v>0.99239605281373167</v>
      </c>
      <c r="AQ68" s="181"/>
      <c r="AR68" s="181">
        <f>AR66/AR67</f>
        <v>0.99260952399157421</v>
      </c>
      <c r="AS68" s="181"/>
      <c r="AT68" s="181">
        <f>AT66/AT67</f>
        <v>0.99251786915051443</v>
      </c>
      <c r="AU68" s="181"/>
      <c r="AV68" s="181">
        <f>AV66/AV67</f>
        <v>0.99190972607048922</v>
      </c>
      <c r="XFD68" s="181"/>
    </row>
    <row r="69" spans="1:48 16384:16384" x14ac:dyDescent="0.2">
      <c r="A69" t="s">
        <v>161</v>
      </c>
      <c r="B69" s="181">
        <f>B32/B65/($B$32)</f>
        <v>1</v>
      </c>
      <c r="C69" s="181"/>
      <c r="D69" s="181">
        <f>D32/D65/($B$32)</f>
        <v>1.0014838632480656</v>
      </c>
      <c r="E69" s="181"/>
      <c r="F69" s="181">
        <f>F32/F65/($B$32)</f>
        <v>1.0028616102774259</v>
      </c>
      <c r="G69" s="181"/>
      <c r="H69" s="181">
        <f>H32/H65/($B$32)</f>
        <v>1.0041145202883957</v>
      </c>
      <c r="I69" s="181"/>
      <c r="J69" s="181">
        <f>J32/J65/($B$32)</f>
        <v>1.0052193152394437</v>
      </c>
      <c r="K69" s="181"/>
      <c r="L69" s="181">
        <f>L32/L65/($B$32)</f>
        <v>1.0061467286109069</v>
      </c>
      <c r="M69" s="181"/>
      <c r="N69" s="181">
        <f>N32/N65/($B$32)</f>
        <v>1.0068600249219501</v>
      </c>
      <c r="O69" s="181"/>
      <c r="P69" s="181">
        <f>P32/P65/($B$32)</f>
        <v>1.0073124306225483</v>
      </c>
      <c r="Q69" s="181"/>
      <c r="R69" s="181">
        <f>R32/R65/($B$32)</f>
        <v>1.0074438709211557</v>
      </c>
      <c r="S69" s="181"/>
      <c r="T69" s="181">
        <f>T32/T65/($B$32)</f>
        <v>1.0071764686370779</v>
      </c>
      <c r="U69" s="181"/>
      <c r="V69" s="181">
        <f>V32/V65/($B$32)</f>
        <v>1.0064075202330256</v>
      </c>
      <c r="W69" s="181"/>
      <c r="X69" s="181">
        <f>X32/X65/($B$32)</f>
        <v>1.0049988603620481</v>
      </c>
      <c r="Y69" s="181"/>
      <c r="Z69" s="181">
        <f>Z32/Z65/($B$32)</f>
        <v>1.0027588310778464</v>
      </c>
      <c r="AA69" s="181"/>
      <c r="AB69" s="181">
        <f>AB32/AB65/($B$32)</f>
        <v>0.99940845853461091</v>
      </c>
      <c r="AC69" s="181"/>
      <c r="AD69" s="181">
        <f>AD32/AD65/($B$32)</f>
        <v>0.99450733027408678</v>
      </c>
      <c r="AE69" s="181"/>
      <c r="AF69" s="181">
        <f>AF32/AF65/($B$32)</f>
        <v>0.98725797576764918</v>
      </c>
      <c r="AG69" s="181"/>
      <c r="AH69" s="181">
        <f>AH32/AH65/($B$32)</f>
        <v>0.97590460185667383</v>
      </c>
      <c r="AI69" s="181"/>
      <c r="AJ69" s="181">
        <f>AJ32/AJ65/($B$32)</f>
        <v>0.95581372359253614</v>
      </c>
      <c r="AK69" s="181"/>
      <c r="AL69" s="181">
        <f>AL32/AL65/($B$32)</f>
        <v>0.9131917438637549</v>
      </c>
      <c r="AM69" s="181"/>
      <c r="AN69" s="181">
        <f>AN32/AN65/($B$32)</f>
        <v>0.79410141906230247</v>
      </c>
      <c r="AO69" s="181"/>
      <c r="AP69" s="181">
        <f>AP32/AP65/($B$32)</f>
        <v>0.74366431598896721</v>
      </c>
      <c r="AQ69" s="181"/>
      <c r="AR69" s="181">
        <f>AR32/AR65/($B$32)</f>
        <v>0.67170820336848203</v>
      </c>
      <c r="AS69" s="181"/>
      <c r="AT69" s="181">
        <f>AT32/AT65/($B$32)</f>
        <v>0.56191602809765606</v>
      </c>
      <c r="AU69" s="181"/>
      <c r="AV69" s="181">
        <f>AV32/AV65/($B$32)</f>
        <v>0.37616460163397308</v>
      </c>
    </row>
    <row r="70" spans="1:48 16384:16384" x14ac:dyDescent="0.2">
      <c r="A70" t="s">
        <v>162</v>
      </c>
      <c r="B70" s="129">
        <f>B18/$B$18</f>
        <v>1</v>
      </c>
      <c r="C70" s="129"/>
      <c r="D70" s="129">
        <f>D18/$B$18</f>
        <v>1.000436611105447</v>
      </c>
      <c r="E70" s="129"/>
      <c r="F70" s="129">
        <f>F18/$B$18</f>
        <v>1.0007154294802547</v>
      </c>
      <c r="G70" s="129"/>
      <c r="H70" s="129">
        <f>H18/$B$18</f>
        <v>1.0008158115194474</v>
      </c>
      <c r="I70" s="129"/>
      <c r="J70" s="129">
        <f>J18/$B$18</f>
        <v>1.0007126816714131</v>
      </c>
      <c r="K70" s="129"/>
      <c r="L70" s="129">
        <f>L18/$B$18</f>
        <v>1.0003749271236104</v>
      </c>
      <c r="M70" s="129"/>
      <c r="N70" s="129">
        <f>N18/$B$18</f>
        <v>0.99976306514317503</v>
      </c>
      <c r="O70" s="129"/>
      <c r="P70" s="129">
        <f>P18/$B$18</f>
        <v>0.99882564014899033</v>
      </c>
      <c r="Q70" s="129"/>
      <c r="R70" s="129">
        <f>R18/$B$18</f>
        <v>0.99749357264713012</v>
      </c>
      <c r="S70" s="129"/>
      <c r="T70" s="129">
        <f>T18/$B$18</f>
        <v>0.99567117179259479</v>
      </c>
      <c r="U70" s="129"/>
      <c r="V70" s="129">
        <f>V18/$B$18</f>
        <v>0.99322102466944584</v>
      </c>
      <c r="W70" s="129"/>
      <c r="X70" s="129">
        <f>X18/$B$18</f>
        <v>0.9899379280327737</v>
      </c>
      <c r="Y70" s="129"/>
      <c r="Z70" s="129">
        <f>Z18/$B$18</f>
        <v>0.98550172014330262</v>
      </c>
      <c r="AA70" s="129"/>
      <c r="AB70" s="129">
        <f>AB18/$B$18</f>
        <v>0.97938815558024928</v>
      </c>
      <c r="AC70" s="129"/>
      <c r="AD70" s="129">
        <f>AD18/$B$18</f>
        <v>0.97069385634924921</v>
      </c>
      <c r="AE70" s="129"/>
      <c r="AF70" s="129">
        <f>AF18/$B$18</f>
        <v>0.95778662493380029</v>
      </c>
      <c r="AG70" s="129"/>
      <c r="AH70" s="129">
        <f>AH18/$B$18</f>
        <v>0.9376121930944441</v>
      </c>
      <c r="AI70" s="129"/>
      <c r="AJ70" s="129">
        <f>AJ18/$B$18</f>
        <v>0.9041725398839412</v>
      </c>
      <c r="AK70" s="129"/>
      <c r="AL70" s="129">
        <f>AL18/$B$18</f>
        <v>0.84329148392924991</v>
      </c>
      <c r="AM70" s="129"/>
      <c r="AN70" s="129">
        <f>AN18/$B$18</f>
        <v>0.70409759371064384</v>
      </c>
      <c r="AO70" s="129"/>
      <c r="AP70" s="129">
        <f>AP18/$B$18</f>
        <v>0.65125305249414056</v>
      </c>
      <c r="AQ70" s="129"/>
      <c r="AR70" s="129">
        <f>AR18/$B$18</f>
        <v>0.57937631380689514</v>
      </c>
      <c r="AS70" s="129"/>
      <c r="AT70" s="129">
        <f>AT18/$B$18</f>
        <v>0.47537083853202922</v>
      </c>
      <c r="AU70" s="129"/>
      <c r="AV70" s="129">
        <f>AV18/$B$18</f>
        <v>0.30996147934934321</v>
      </c>
    </row>
    <row r="71" spans="1:48 16384:16384" x14ac:dyDescent="0.2">
      <c r="A71" t="s">
        <v>163</v>
      </c>
      <c r="B71" s="129">
        <f>C18/$C$18</f>
        <v>1</v>
      </c>
      <c r="D71" s="129">
        <f>E18/$C$18</f>
        <v>0.92710005352434366</v>
      </c>
      <c r="E71" s="129"/>
      <c r="F71" s="129">
        <f>G18/$C$18</f>
        <v>0.85482275095339233</v>
      </c>
      <c r="G71" s="129"/>
      <c r="H71" s="129">
        <f>I18/$C$18</f>
        <v>0.78316703038124502</v>
      </c>
      <c r="I71" s="129"/>
      <c r="J71" s="129">
        <f>K18/$C$18</f>
        <v>0.71213238236609799</v>
      </c>
      <c r="K71" s="129"/>
      <c r="L71" s="129">
        <f>M18/$C$18</f>
        <v>0.6417268226215439</v>
      </c>
      <c r="M71" s="129"/>
      <c r="N71" s="129">
        <f>O18/$C$18</f>
        <v>0.57197455287380539</v>
      </c>
      <c r="O71" s="129"/>
      <c r="P71" s="129">
        <f>Q18/$C$18</f>
        <v>0.50293545644757109</v>
      </c>
      <c r="Q71" s="129"/>
      <c r="R71" s="129">
        <f>S18/$C$18</f>
        <v>0.43473224540134986</v>
      </c>
      <c r="S71" s="129"/>
      <c r="T71" s="129">
        <f>U18/$C$18</f>
        <v>0.36759012395476909</v>
      </c>
      <c r="U71" s="129"/>
      <c r="V71" s="129">
        <f>W18/$C$18</f>
        <v>0.30190295090922858</v>
      </c>
      <c r="W71" s="129"/>
      <c r="X71" s="129">
        <f>Y18/$C$18</f>
        <v>0.23833030697535007</v>
      </c>
      <c r="Y71" s="129"/>
      <c r="Z71" s="129">
        <f>AA18/$C$18</f>
        <v>0.17794433226435394</v>
      </c>
      <c r="AA71" s="129"/>
      <c r="AB71" s="129">
        <f>AC18/$C$18</f>
        <v>0.12243395365653005</v>
      </c>
      <c r="AC71" s="129"/>
      <c r="AD71" s="129">
        <f>AE18/$C$18</f>
        <v>7.4323812488016894E-2</v>
      </c>
      <c r="AE71" s="129"/>
      <c r="AF71" s="129">
        <f>AG18/$C$18</f>
        <v>3.6937703053653813E-2</v>
      </c>
      <c r="AG71" s="129"/>
      <c r="AH71" s="129">
        <f>AI18/$C$18</f>
        <v>1.3249287168842279E-2</v>
      </c>
      <c r="AI71" s="129"/>
      <c r="AJ71" s="129">
        <f>AK18/$C$18</f>
        <v>2.8159364717863602E-3</v>
      </c>
      <c r="AK71" s="129"/>
      <c r="AL71" s="129">
        <f>AM18/$C$18</f>
        <v>2.5667317782369334E-4</v>
      </c>
      <c r="AM71" s="129"/>
      <c r="AN71" s="129">
        <f>AO18/$C$18</f>
        <v>4.4115270995813663E-6</v>
      </c>
      <c r="AO71" s="129"/>
      <c r="AP71" s="129">
        <f>AQ18/$C$18</f>
        <v>1.305414544404881E-6</v>
      </c>
      <c r="AQ71" s="129"/>
      <c r="AR71" s="129">
        <f>AS18/$C$18</f>
        <v>2.9922175128315682E-7</v>
      </c>
      <c r="AS71" s="129"/>
      <c r="AT71" s="129">
        <f>AU18/$C$18</f>
        <v>4.6359456683181761E-8</v>
      </c>
      <c r="AU71" s="129"/>
      <c r="AV71" s="129">
        <f>AW18/$C$18</f>
        <v>3.5079947479319739E-9</v>
      </c>
      <c r="XFD71" s="129"/>
    </row>
    <row r="72" spans="1:48 16384:16384" x14ac:dyDescent="0.2">
      <c r="A72" t="s">
        <v>164</v>
      </c>
      <c r="B72" s="129">
        <f>C19/$C$19</f>
        <v>1</v>
      </c>
      <c r="D72" s="129">
        <f>E19/$C$19</f>
        <v>1.0243404448130051</v>
      </c>
      <c r="E72" s="129"/>
      <c r="F72" s="129">
        <f>G19/$C$19</f>
        <v>1.0525151349770139</v>
      </c>
      <c r="G72" s="129"/>
      <c r="H72" s="129">
        <f>I19/$C$19</f>
        <v>1.0850180880674534</v>
      </c>
      <c r="I72" s="129"/>
      <c r="J72" s="129">
        <f>K19/$C$19</f>
        <v>1.1223978928375433</v>
      </c>
      <c r="K72" s="129"/>
      <c r="L72" s="129">
        <f>M19/$C$19</f>
        <v>1.1652423775204421</v>
      </c>
      <c r="M72" s="129"/>
      <c r="N72" s="129">
        <f>O19/$C$19</f>
        <v>1.2141627969702082</v>
      </c>
      <c r="O72" s="129"/>
      <c r="P72" s="129">
        <f>Q19/$C$19</f>
        <v>1.2697298946074898</v>
      </c>
      <c r="Q72" s="129"/>
      <c r="R72" s="129">
        <f>S19/$C$19</f>
        <v>1.3323716578843114</v>
      </c>
      <c r="S72" s="129"/>
      <c r="T72" s="129">
        <f>U19/$C$19</f>
        <v>1.4021780828077584</v>
      </c>
      <c r="U72" s="129"/>
      <c r="V72" s="129">
        <f>W19/$C$19</f>
        <v>1.4785288193342387</v>
      </c>
      <c r="W72" s="129"/>
      <c r="X72" s="129">
        <f>Y19/$C$19</f>
        <v>1.5594113221770143</v>
      </c>
      <c r="Y72" s="129"/>
      <c r="Z72" s="129">
        <f>AA19/$C$19</f>
        <v>1.6401445006330222</v>
      </c>
      <c r="AA72" s="129"/>
      <c r="AB72" s="129">
        <f>AC19/$C$19</f>
        <v>1.7110208911615881</v>
      </c>
      <c r="AC72" s="129"/>
      <c r="AD72" s="129">
        <f>AE19/$C$19</f>
        <v>1.7532131440940577</v>
      </c>
      <c r="AE72" s="129"/>
      <c r="AF72" s="129">
        <f>AG19/$C$19</f>
        <v>1.7332878540248198</v>
      </c>
      <c r="AG72" s="129"/>
      <c r="AH72" s="129">
        <f>AI19/$C$19</f>
        <v>1.6032372881984895</v>
      </c>
      <c r="AI72" s="129"/>
      <c r="AJ72" s="129">
        <f>AK19/$C$19</f>
        <v>1.3266206828119387</v>
      </c>
      <c r="AK72" s="129"/>
      <c r="AL72" s="129">
        <f>AM19/$C$19</f>
        <v>0.92591275470365819</v>
      </c>
      <c r="AM72" s="129"/>
      <c r="AN72" s="129">
        <f>AO19/$C$19</f>
        <v>0.46853477744481054</v>
      </c>
      <c r="AO72" s="129"/>
      <c r="AP72" s="129">
        <f>AQ19/$C$19</f>
        <v>0.3750316808994611</v>
      </c>
      <c r="AQ72" s="129"/>
      <c r="AR72" s="129">
        <f>AS19/$C$19</f>
        <v>0.28135501243288435</v>
      </c>
      <c r="AS72" s="129"/>
      <c r="AT72" s="129">
        <f>AU19/$C$19</f>
        <v>0.18759516044651209</v>
      </c>
      <c r="AU72" s="129"/>
      <c r="AV72" s="129">
        <f>AW19/$C$19</f>
        <v>9.3802372349078844E-2</v>
      </c>
      <c r="XFD72" s="129"/>
    </row>
    <row r="73" spans="1:48 16384:16384" x14ac:dyDescent="0.2">
      <c r="A73" t="s">
        <v>168</v>
      </c>
      <c r="B73" s="183">
        <f t="array" ref="B73">SUM(B9:C9*B22:C22)/B32</f>
        <v>0.47641153352875115</v>
      </c>
      <c r="D73" s="183">
        <f t="array" ref="D73">SUM(D9:E9*D22:E22)/D32</f>
        <v>0.47641153445730866</v>
      </c>
      <c r="E73" s="129"/>
      <c r="F73" s="183">
        <f t="array" ref="F73">SUM(F9:G9*F22:G22)/F32</f>
        <v>0.47641153456190644</v>
      </c>
      <c r="G73" s="129"/>
      <c r="H73" s="183">
        <f t="array" ref="H73">SUM(H9:I9*H22:I22)/H32</f>
        <v>0.4764115348285296</v>
      </c>
      <c r="I73" s="129"/>
      <c r="J73" s="183">
        <f t="array" ref="J73">SUM(J9:K9*J22:K22)/J32</f>
        <v>0.4764115666502064</v>
      </c>
      <c r="K73" s="129"/>
      <c r="L73" s="183">
        <f t="array" ref="L73">SUM(L9:M9*L22:M22)/L32</f>
        <v>0.47641153506381817</v>
      </c>
      <c r="M73" s="129"/>
      <c r="N73" s="183">
        <f t="array" ref="N73">SUM(N9:O9*N22:O22)/N32</f>
        <v>0.47641153366734396</v>
      </c>
      <c r="O73" s="129"/>
      <c r="P73" s="183">
        <f t="array" ref="P73">SUM(P9:Q9*P22:Q22)/P32</f>
        <v>0.47641154446462292</v>
      </c>
      <c r="Q73" s="129"/>
      <c r="R73" s="183">
        <f t="array" ref="R73">SUM(R9:S9*R22:S22)/R32</f>
        <v>0.47641153416183746</v>
      </c>
      <c r="S73" s="129"/>
      <c r="T73" s="183">
        <f t="array" ref="T73">SUM(T9:U9*T22:U22)/T32</f>
        <v>0.4764115367359964</v>
      </c>
      <c r="U73" s="129"/>
      <c r="V73" s="183">
        <f t="array" ref="V73">SUM(V9:W9*V22:W22)/V32</f>
        <v>0.4764115362176593</v>
      </c>
      <c r="W73" s="129"/>
      <c r="X73" s="183">
        <f t="array" ref="X73">SUM(X9:Y9*X22:Y22)/X32</f>
        <v>0.47641153367526506</v>
      </c>
      <c r="Y73" s="129"/>
      <c r="Z73" s="183">
        <f t="array" ref="Z73">SUM(Z9:AA9*Z22:AA22)/Z32</f>
        <v>0.47641153480181259</v>
      </c>
      <c r="AA73" s="129"/>
      <c r="AB73" s="183">
        <f t="array" ref="AB73">SUM(AB9:AC9*AB22:AC22)/AB32</f>
        <v>0.47641153326507224</v>
      </c>
      <c r="AC73" s="129"/>
      <c r="AD73" s="183">
        <f t="array" ref="AD73">SUM(AD9:AE9*AD22:AE22)/AD32</f>
        <v>0.47641153361036415</v>
      </c>
      <c r="AE73" s="129"/>
      <c r="AF73" s="183">
        <f t="array" ref="AF73">SUM(AF9:AG9*AF22:AG22)/AF32</f>
        <v>0.47641153353576765</v>
      </c>
      <c r="AG73" s="129"/>
      <c r="AH73" s="183">
        <f t="array" ref="AH73">SUM(AH9:AI9*AH22:AI22)/AH32</f>
        <v>0.47641153351406956</v>
      </c>
      <c r="AI73" s="129"/>
      <c r="AJ73" s="183">
        <f t="array" ref="AJ73">SUM(AJ9:AK9*AJ22:AK22)/AJ32</f>
        <v>0.47641153352713228</v>
      </c>
      <c r="AK73" s="129"/>
      <c r="AL73" s="183">
        <f t="array" ref="AL73">SUM(AL9:AM9*AL22:AM22)/AL32</f>
        <v>0.47641153353032439</v>
      </c>
      <c r="AM73" s="129"/>
      <c r="AN73" s="183">
        <f t="array" ref="AN73">SUM(AN9:AO9*AN22:AO22)/AN32</f>
        <v>0.47641153352875343</v>
      </c>
      <c r="AO73" s="129"/>
      <c r="AP73" s="183">
        <f t="array" ref="AP73">SUM(AP9:AQ9*AP22:AQ22)/AP32</f>
        <v>0.47641153352885052</v>
      </c>
      <c r="AQ73" s="129"/>
      <c r="AR73" s="183">
        <f t="array" ref="AR73">SUM(AR9:AS9*AR22:AS22)/AR32</f>
        <v>0.4764115335287511</v>
      </c>
      <c r="AS73" s="129"/>
      <c r="AT73" s="183">
        <f t="array" ref="AT73">SUM(AT9:AU9*AT22:AU22)/AT32</f>
        <v>0.47641153352875087</v>
      </c>
      <c r="AU73" s="129"/>
      <c r="AV73" s="183">
        <f t="array" ref="AV73">SUM(AV9:AW9*AV22:AW22)/AV32</f>
        <v>0.4764115335287008</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0.22604620456442487</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f t="array" ref="AN74">SUM(AN10:AO10*AN23:AO23)/AN32</f>
        <v>0.22604620456442487</v>
      </c>
      <c r="AO74" s="129"/>
      <c r="AP74" s="183">
        <f t="array" ref="AP74">SUM(AP10:AQ10*AP23:AQ23)/AP32</f>
        <v>0.22604620456442484</v>
      </c>
      <c r="AQ74" s="129"/>
      <c r="AR74" s="183">
        <f t="array" ref="AR74">SUM(AR10:AS10*AR23:AS23)/AR32</f>
        <v>0.22604620456442484</v>
      </c>
      <c r="AS74" s="129"/>
      <c r="AT74" s="183">
        <f t="array" ref="AT74">SUM(AT10:AU10*AT23:AU23)/AT32</f>
        <v>0.22604620456442484</v>
      </c>
      <c r="AU74" s="129"/>
      <c r="AV74" s="183">
        <f t="array" ref="AV74">SUM(AV10:AW10*AV23:AW23)/AV32</f>
        <v>0.22604620456442481</v>
      </c>
      <c r="XFD74" s="183"/>
    </row>
    <row r="75" spans="1:48 16384:16384" x14ac:dyDescent="0.2">
      <c r="A75" t="s">
        <v>170</v>
      </c>
      <c r="B75" s="183">
        <f t="array" ref="B75">SUM(B11:C11*B24:C24)/B32</f>
        <v>0.22038438833194082</v>
      </c>
      <c r="D75" s="183">
        <f t="array" ref="D75">SUM(D11:E11*D24:E24)/D32</f>
        <v>0.2203843883245401</v>
      </c>
      <c r="E75" s="129"/>
      <c r="F75" s="183">
        <f t="array" ref="F75">SUM(F11:G11*F24:G24)/F32</f>
        <v>0.22038438832341017</v>
      </c>
      <c r="G75" s="129"/>
      <c r="H75" s="183">
        <f t="array" ref="H75">SUM(H11:I11*H24:I24)/H32</f>
        <v>0.22038438832045934</v>
      </c>
      <c r="I75" s="129"/>
      <c r="J75" s="183">
        <f t="array" ref="J75">SUM(J11:K11*J24:K24)/J32</f>
        <v>0.22038438825544368</v>
      </c>
      <c r="K75" s="129"/>
      <c r="L75" s="183">
        <f t="array" ref="L75">SUM(L11:M11*L24:M24)/L32</f>
        <v>0.22038438831590323</v>
      </c>
      <c r="M75" s="129"/>
      <c r="N75" s="183">
        <f t="array" ref="N75">SUM(N11:O11*N24:O24)/N32</f>
        <v>0.22038438833663695</v>
      </c>
      <c r="O75" s="129"/>
      <c r="P75" s="183">
        <f t="array" ref="P75">SUM(P11:Q11*P24:Q24)/P32</f>
        <v>0.22038438830403517</v>
      </c>
      <c r="Q75" s="129"/>
      <c r="R75" s="183">
        <f t="array" ref="R75">SUM(R11:S11*R24:S24)/R32</f>
        <v>0.22038438833052001</v>
      </c>
      <c r="S75" s="129"/>
      <c r="T75" s="183">
        <f t="array" ref="T75">SUM(T11:U11*T24:U24)/T32</f>
        <v>0.2203843883241316</v>
      </c>
      <c r="U75" s="129"/>
      <c r="V75" s="183">
        <f t="array" ref="V75">SUM(V11:W11*V24:W24)/V32</f>
        <v>0.22038438832620852</v>
      </c>
      <c r="W75" s="129"/>
      <c r="X75" s="183">
        <f t="array" ref="X75">SUM(X11:Y11*X24:Y24)/X32</f>
        <v>0.22038438833307097</v>
      </c>
      <c r="Y75" s="129"/>
      <c r="Z75" s="183">
        <f t="array" ref="Z75">SUM(Z11:AA11*Z24:AA24)/Z32</f>
        <v>0.220384388343941</v>
      </c>
      <c r="AA75" s="129"/>
      <c r="AB75" s="183">
        <f t="array" ref="AB75">SUM(AB11:AC11*AB24:AC24)/AB32</f>
        <v>0.22038438833668397</v>
      </c>
      <c r="AC75" s="129"/>
      <c r="AD75" s="183">
        <f t="array" ref="AD75">SUM(AD11:AE11*AD24:AE24)/AD32</f>
        <v>0.22038438833129123</v>
      </c>
      <c r="AE75" s="129"/>
      <c r="AF75" s="183">
        <f t="array" ref="AF75">SUM(AF11:AG11*AF24:AG24)/AF32</f>
        <v>0.22038438833198801</v>
      </c>
      <c r="AG75" s="129"/>
      <c r="AH75" s="183">
        <f t="array" ref="AH75">SUM(AH11:AI11*AH24:AI24)/AH32</f>
        <v>0.22038438833197241</v>
      </c>
      <c r="AI75" s="129"/>
      <c r="AJ75" s="183">
        <f t="array" ref="AJ75">SUM(AJ11:AK11*AJ24:AK24)/AJ32</f>
        <v>0.22038438833192964</v>
      </c>
      <c r="AK75" s="129"/>
      <c r="AL75" s="183">
        <f t="array" ref="AL75">SUM(AL11:AM11*AL24:AM24)/AL32</f>
        <v>0.22038438833198898</v>
      </c>
      <c r="AM75" s="129"/>
      <c r="AN75" s="183">
        <f t="array" ref="AN75">SUM(AN11:AO11*AN24:AO24)/AN32</f>
        <v>0.22038438833194082</v>
      </c>
      <c r="AO75" s="129"/>
      <c r="AP75" s="183">
        <f t="array" ref="AP75">SUM(AP11:AQ11*AP24:AQ24)/AP32</f>
        <v>0.22038438833196217</v>
      </c>
      <c r="AQ75" s="129"/>
      <c r="AR75" s="183">
        <f t="array" ref="AR75">SUM(AR11:AS11*AR24:AS24)/AR32</f>
        <v>0.22038438833194116</v>
      </c>
      <c r="AS75" s="129"/>
      <c r="AT75" s="183">
        <f t="array" ref="AT75">SUM(AT11:AU11*AT24:AU24)/AT32</f>
        <v>0.22038438833194082</v>
      </c>
      <c r="AU75" s="129"/>
      <c r="AV75" s="183">
        <f t="array" ref="AV75">SUM(AV11:AW11*AV24:AW24)/AV32</f>
        <v>0.2203843883319247</v>
      </c>
      <c r="XFD75" s="183"/>
    </row>
    <row r="76" spans="1:48 16384:16384" x14ac:dyDescent="0.2">
      <c r="A76" t="s">
        <v>171</v>
      </c>
      <c r="B76" s="183">
        <f t="array" ref="B76">SUM(B12:C12*B25:C25)/B32</f>
        <v>0.22301874374724862</v>
      </c>
      <c r="D76" s="183">
        <f t="array" ref="D76">SUM(D12:E12*D25:E25)/D32</f>
        <v>0.22305335641063614</v>
      </c>
      <c r="E76" s="129"/>
      <c r="F76" s="183">
        <f t="array" ref="F76">SUM(F12:G12*F25:G25)/F32</f>
        <v>0.2231529531450582</v>
      </c>
      <c r="G76" s="129"/>
      <c r="H76" s="183">
        <f t="array" ref="H76">SUM(H12:I12*H25:I25)/H32</f>
        <v>0.22332529914643112</v>
      </c>
      <c r="I76" s="129"/>
      <c r="J76" s="183">
        <f t="array" ref="J76">SUM(J12:K12*J25:K25)/J32</f>
        <v>0.2235790179155204</v>
      </c>
      <c r="K76" s="129"/>
      <c r="L76" s="183">
        <f t="array" ref="L76">SUM(L12:M12*L25:M25)/L32</f>
        <v>0.22392351956958925</v>
      </c>
      <c r="M76" s="129"/>
      <c r="N76" s="183">
        <f t="array" ref="N76">SUM(N12:O12*N25:O25)/N32</f>
        <v>0.22436843981414378</v>
      </c>
      <c r="O76" s="129"/>
      <c r="P76" s="183">
        <f t="array" ref="P76">SUM(P12:Q12*P25:Q25)/P32</f>
        <v>0.22492290421739103</v>
      </c>
      <c r="Q76" s="129"/>
      <c r="R76" s="183">
        <f t="array" ref="R76">SUM(R12:S12*R25:S25)/R32</f>
        <v>0.22559372455513246</v>
      </c>
      <c r="S76" s="129"/>
      <c r="T76" s="183">
        <f t="array" ref="T76">SUM(T12:U12*T25:U25)/T32</f>
        <v>0.22638195643143577</v>
      </c>
      <c r="U76" s="129"/>
      <c r="V76" s="183">
        <f t="array" ref="V76">SUM(V12:W12*V25:W25)/V32</f>
        <v>0.22727648081016194</v>
      </c>
      <c r="W76" s="129"/>
      <c r="X76" s="183">
        <f t="array" ref="X76">SUM(X12:Y12*X25:Y25)/X32</f>
        <v>0.22824165500409418</v>
      </c>
      <c r="Y76" s="129"/>
      <c r="Z76" s="183">
        <f t="array" ref="Z76">SUM(Z12:AA12*Z25:AA25)/Z32</f>
        <v>0.22919380137236595</v>
      </c>
      <c r="AA76" s="129"/>
      <c r="AB76" s="183">
        <f t="array" ref="AB76">SUM(AB12:AC12*AB25:AC25)/AB32</f>
        <v>0.22995669232943505</v>
      </c>
      <c r="AC76" s="129"/>
      <c r="AD76" s="183">
        <f t="array" ref="AD76">SUM(AD12:AE12*AD25:AE25)/AD32</f>
        <v>0.23018193634508666</v>
      </c>
      <c r="AE76" s="129"/>
      <c r="AF76" s="183">
        <f t="array" ref="AF76">SUM(AF12:AG12*AF25:AG25)/AF32</f>
        <v>0.22923630754746305</v>
      </c>
      <c r="AG76" s="129"/>
      <c r="AH76" s="183">
        <f t="array" ref="AH76">SUM(AH12:AI12*AH25:AI25)/AH32</f>
        <v>0.22617649273611704</v>
      </c>
      <c r="AI76" s="129"/>
      <c r="AJ76" s="183">
        <f t="array" ref="AJ76">SUM(AJ12:AK12*AJ25:AK25)/AJ32</f>
        <v>0.22018211250088071</v>
      </c>
      <c r="AK76" s="129"/>
      <c r="AL76" s="183">
        <f t="array" ref="AL76">SUM(AL12:AM12*AL25:AM25)/AL32</f>
        <v>0.21130516264357163</v>
      </c>
      <c r="AM76" s="129"/>
      <c r="AN76" s="183">
        <f t="array" ref="AN76">SUM(AN12:AO12*AN25:AO25)/AN32</f>
        <v>0.19968657145754548</v>
      </c>
      <c r="AO76" s="129"/>
      <c r="AP76" s="183">
        <f t="array" ref="AP76">SUM(AP12:AQ12*AP25:AQ25)/AP32</f>
        <v>0.19684469052638603</v>
      </c>
      <c r="AQ76" s="129"/>
      <c r="AR76" s="183">
        <f t="array" ref="AR76">SUM(AR12:AS12*AR25:AS25)/AR32</f>
        <v>0.19368345909628559</v>
      </c>
      <c r="AS76" s="129"/>
      <c r="AT76" s="183">
        <f t="array" ref="AT76">SUM(AT12:AU12*AT25:AU25)/AT32</f>
        <v>0.19004734388206951</v>
      </c>
      <c r="AU76" s="129"/>
      <c r="AV76" s="183">
        <f t="array" ref="AV76">SUM(AV12:AW12*AV25:AW25)/AV32</f>
        <v>0.18564341446050839</v>
      </c>
      <c r="XFD76" s="183"/>
    </row>
    <row r="77" spans="1:48 16384:16384" x14ac:dyDescent="0.2">
      <c r="A77" t="s">
        <v>172</v>
      </c>
      <c r="B77" s="183">
        <f t="array" ref="B77">SUM(B4:C4*B19:C19)/B32</f>
        <v>0.14586087017236518</v>
      </c>
      <c r="D77" s="183">
        <f t="array" ref="D77">SUM(D4:E4*D19:E19)/D32</f>
        <v>0.14589548375690978</v>
      </c>
      <c r="E77" s="129"/>
      <c r="F77" s="183">
        <f t="array" ref="F77">SUM(F4:G4*F19:G19)/F32</f>
        <v>0.14599508059479951</v>
      </c>
      <c r="G77" s="129"/>
      <c r="H77" s="183">
        <f t="array" ref="H77">SUM(H4:I4*H19:I19)/H32</f>
        <v>0.14616742685984493</v>
      </c>
      <c r="I77" s="129"/>
      <c r="J77" s="183">
        <f t="array" ref="J77">SUM(J4:K4*J19:K19)/J32</f>
        <v>0.14642117738559524</v>
      </c>
      <c r="K77" s="129"/>
      <c r="L77" s="183">
        <f t="array" ref="L77">SUM(L4:M4*L19:M19)/L32</f>
        <v>0.14676564751373514</v>
      </c>
      <c r="M77" s="129"/>
      <c r="N77" s="183">
        <f t="array" ref="N77">SUM(N4:O4*N19:O19)/N32</f>
        <v>0.14721056638254959</v>
      </c>
      <c r="O77" s="129"/>
      <c r="P77" s="183">
        <f t="array" ref="P77">SUM(P4:Q4*P19:Q19)/P32</f>
        <v>0.1477650415504739</v>
      </c>
      <c r="Q77" s="129"/>
      <c r="R77" s="183">
        <f t="array" ref="R77">SUM(R4:S4*R19:S19)/R32</f>
        <v>0.14843585161191492</v>
      </c>
      <c r="S77" s="129"/>
      <c r="T77" s="183">
        <f t="array" ref="T77">SUM(T4:U4*T19:U19)/T32</f>
        <v>0.14922408605598858</v>
      </c>
      <c r="U77" s="129"/>
      <c r="V77" s="183">
        <f t="array" ref="V77">SUM(V4:W4*V19:W19)/V32</f>
        <v>0.15011860991845463</v>
      </c>
      <c r="W77" s="129"/>
      <c r="X77" s="183">
        <f t="array" ref="X77">SUM(X4:Y4*X19:Y19)/X32</f>
        <v>0.15108378157685523</v>
      </c>
      <c r="Y77" s="129"/>
      <c r="Z77" s="183">
        <f t="array" ref="Z77">SUM(Z4:AA4*Z19:AA19)/Z32</f>
        <v>0.1520359290825444</v>
      </c>
      <c r="AA77" s="129"/>
      <c r="AB77" s="183">
        <f t="array" ref="AB77">SUM(AB4:AC4*AB19:AC19)/AB32</f>
        <v>0.15279881849561608</v>
      </c>
      <c r="AC77" s="129"/>
      <c r="AD77" s="183">
        <f t="array" ref="AD77">SUM(AD4:AE4*AD19:AE19)/AD32</f>
        <v>0.15302406285116696</v>
      </c>
      <c r="AE77" s="129"/>
      <c r="AF77" s="183">
        <f t="array" ref="AF77">SUM(AF4:AG4*AF19:AG19)/AF32</f>
        <v>0.15207843397964343</v>
      </c>
      <c r="AG77" s="129"/>
      <c r="AH77" s="183">
        <f t="array" ref="AH77">SUM(AH4:AI4*AH19:AI19)/AH32</f>
        <v>0.14901861914658374</v>
      </c>
      <c r="AI77" s="129"/>
      <c r="AJ77" s="183">
        <f t="array" ref="AJ77">SUM(AJ4:AK4*AJ19:AK19)/AJ32</f>
        <v>0.1430242389243675</v>
      </c>
      <c r="AK77" s="129"/>
      <c r="AL77" s="183">
        <f t="array" ref="AL77">SUM(AL4:AM4*AL19:AM19)/AL32</f>
        <v>0.13414728907030996</v>
      </c>
      <c r="AM77" s="129"/>
      <c r="AN77" s="183">
        <f t="array" ref="AN77">SUM(AN4:AO4*AN19:AO19)/AN32</f>
        <v>0.12252869788266468</v>
      </c>
      <c r="AO77" s="129"/>
      <c r="AP77" s="183">
        <f t="array" ref="AP77">SUM(AP4:AQ4*AP19:AQ19)/AP32</f>
        <v>0.11968681695162364</v>
      </c>
      <c r="AQ77" s="129"/>
      <c r="AR77" s="183">
        <f t="array" ref="AR77">SUM(AR4:AS4*AR19:AS19)/AR32</f>
        <v>0.11652558552140256</v>
      </c>
      <c r="AS77" s="129"/>
      <c r="AT77" s="183">
        <f t="array" ref="AT77">SUM(AT4:AU4*AT19:AU19)/AT32</f>
        <v>0.11288947030718614</v>
      </c>
      <c r="AU77" s="129"/>
      <c r="AV77" s="183">
        <f t="array" ref="AV77">SUM(AV4:AW4*AV19:AW19)/AV32</f>
        <v>0.1084855408855587</v>
      </c>
      <c r="XFD77" s="183"/>
    </row>
    <row r="78" spans="1:48 16384:16384" x14ac:dyDescent="0.2">
      <c r="A78" t="s">
        <v>173</v>
      </c>
      <c r="B78" s="183">
        <f t="array" ref="B78">SUM(B13:C13*B26:C26)/B32</f>
        <v>0.346887593115773</v>
      </c>
      <c r="D78" s="183">
        <f t="array" ref="D78">SUM(D13:E13*D26:E26)/D32</f>
        <v>0.34634657605620034</v>
      </c>
      <c r="E78" s="129"/>
      <c r="F78" s="183">
        <f t="array" ref="F78">SUM(F13:G13*F26:G26)/F32</f>
        <v>0.34573547583396258</v>
      </c>
      <c r="G78" s="129"/>
      <c r="H78" s="183">
        <f t="array" ref="H78">SUM(H13:I13*H26:I26)/H32</f>
        <v>0.34504648408684135</v>
      </c>
      <c r="I78" s="129"/>
      <c r="J78" s="183">
        <f t="array" ref="J78">SUM(J13:K13*J26:K26)/J32</f>
        <v>0.34427026864001531</v>
      </c>
      <c r="K78" s="129"/>
      <c r="L78" s="183">
        <f t="array" ref="L78">SUM(L13:M13*L26:M26)/L32</f>
        <v>0.34339537873772591</v>
      </c>
      <c r="M78" s="129"/>
      <c r="N78" s="183">
        <f t="array" ref="N78">SUM(N13:O13*N26:O26)/N32</f>
        <v>0.34240721193336765</v>
      </c>
      <c r="O78" s="129"/>
      <c r="P78" s="183">
        <f t="array" ref="P78">SUM(P13:Q13*P26:Q26)/P32</f>
        <v>0.34128650765924584</v>
      </c>
      <c r="Q78" s="129"/>
      <c r="R78" s="183">
        <f t="array" ref="R78">SUM(R13:S13*R26:S26)/R32</f>
        <v>0.34000676439865335</v>
      </c>
      <c r="S78" s="129"/>
      <c r="T78" s="183">
        <f t="array" ref="T78">SUM(T13:U13*T26:U26)/T32</f>
        <v>0.33852993852071311</v>
      </c>
      <c r="U78" s="129"/>
      <c r="V78" s="183">
        <f t="array" ref="V78">SUM(V13:W13*V26:W26)/V32</f>
        <v>0.33679904526852</v>
      </c>
      <c r="W78" s="129"/>
      <c r="X78" s="183">
        <f t="array" ref="X78">SUM(X13:Y13*X26:Y26)/X32</f>
        <v>0.33472494968150424</v>
      </c>
      <c r="Y78" s="129"/>
      <c r="Z78" s="183">
        <f t="array" ref="Z78">SUM(Z13:AA13*Z26:AA26)/Z32</f>
        <v>0.33216207293313099</v>
      </c>
      <c r="AA78" s="129"/>
      <c r="AB78" s="183">
        <f t="array" ref="AB78">SUM(AB13:AC13*AB26:AC26)/AB32</f>
        <v>0.32886236271549113</v>
      </c>
      <c r="AC78" s="129"/>
      <c r="AD78" s="183">
        <f t="array" ref="AD78">SUM(AD13:AE13*AD26:AE26)/AD32</f>
        <v>0.32438713948819303</v>
      </c>
      <c r="AE78" s="129"/>
      <c r="AF78" s="183">
        <f t="array" ref="AF78">SUM(AF13:AG13*AF26:AG26)/AF32</f>
        <v>0.31794536830323739</v>
      </c>
      <c r="AG78" s="129"/>
      <c r="AH78" s="183">
        <f t="array" ref="AH78">SUM(AH13:AI13*AH26:AI26)/AH32</f>
        <v>0.30813764920801562</v>
      </c>
      <c r="AI78" s="129"/>
      <c r="AJ78" s="183">
        <f t="array" ref="AJ78">SUM(AJ13:AK13*AJ26:AK26)/AJ32</f>
        <v>0.29257261130767676</v>
      </c>
      <c r="AK78" s="129"/>
      <c r="AL78" s="183">
        <f t="array" ref="AL78">SUM(AL13:AM13*AL26:AM26)/AL32</f>
        <v>0.26643310141100962</v>
      </c>
      <c r="AM78" s="129"/>
      <c r="AN78" s="183">
        <f t="array" ref="AN78">SUM(AN13:AO13*AN26:AO26)/AN32</f>
        <v>0.2136394699913102</v>
      </c>
      <c r="AO78" s="129"/>
      <c r="AP78" s="183">
        <f t="array" ref="AP78">SUM(AP13:AQ13*AP26:AQ26)/AP32</f>
        <v>0.19517586943879547</v>
      </c>
      <c r="AQ78" s="129"/>
      <c r="AR78" s="183">
        <f t="array" ref="AR78">SUM(AR13:AS13*AR26:AS26)/AR32</f>
        <v>0.17102140159289012</v>
      </c>
      <c r="AS78" s="129"/>
      <c r="AT78" s="183">
        <f t="array" ref="AT78">SUM(AT13:AU13*AT26:AU26)/AT32</f>
        <v>0.13762605419071192</v>
      </c>
      <c r="AU78" s="129"/>
      <c r="AV78" s="183">
        <f t="array" ref="AV78">SUM(AV13:AW13*AV26:AW26)/AV32</f>
        <v>8.7403130050001596E-2</v>
      </c>
      <c r="XFD78" s="183"/>
    </row>
    <row r="79" spans="1:48 16384:16384" x14ac:dyDescent="0.2">
      <c r="A79" t="s">
        <v>174</v>
      </c>
      <c r="B79" s="183">
        <f t="array" ref="B79">SUM(B15:C15*B27:C27)/B32</f>
        <v>0.45460968782440875</v>
      </c>
      <c r="D79" s="183">
        <f t="array" ref="D79">SUM(D15:E15*D27:E27)/D32</f>
        <v>0.45111614331387689</v>
      </c>
      <c r="F79" s="183">
        <f t="array" ref="F79">SUM(F15:G15*F27:G27)/F32</f>
        <v>0.44757595228808045</v>
      </c>
      <c r="H79" s="183">
        <f t="array" ref="H79">SUM(H15:I15*H27:I27)/H32</f>
        <v>0.44397826251665939</v>
      </c>
      <c r="J79" s="183">
        <f t="array" ref="J79">SUM(J15:K15*J27:K27)/J32</f>
        <v>0.44031018889534251</v>
      </c>
      <c r="L79" s="183">
        <f t="array" ref="L79">SUM(L15:M15*L27:M27)/L32</f>
        <v>0.43655638232685212</v>
      </c>
      <c r="N79" s="183">
        <f t="array" ref="N79">SUM(N15:O15*N27:O27)/N32</f>
        <v>0.43269795173761255</v>
      </c>
      <c r="P79" s="183">
        <f t="array" ref="P79">SUM(P15:Q15*P27:Q27)/P32</f>
        <v>0.42871137336771337</v>
      </c>
      <c r="R79" s="183">
        <f t="array" ref="R79">SUM(R15:S15*R27:S27)/R32</f>
        <v>0.42456634791087888</v>
      </c>
      <c r="T79" s="183">
        <f t="array" ref="T79">SUM(T15:U15*T27:U27)/T32</f>
        <v>0.42022204107602806</v>
      </c>
      <c r="V79" s="183">
        <f t="array" ref="V79">SUM(V15:W15*V27:W27)/V32</f>
        <v>0.41562075334531995</v>
      </c>
      <c r="X79" s="183">
        <f t="array" ref="X79">SUM(X15:Y15*X27:Y27)/X32</f>
        <v>0.41067589099957036</v>
      </c>
      <c r="Z79" s="183">
        <f t="array" ref="Z79">SUM(Z15:AA15*Z27:AA27)/Z32</f>
        <v>0.40524892935270934</v>
      </c>
      <c r="AB79" s="183">
        <f t="array" ref="AB79">SUM(AB15:AC15*AB27:AC27)/AB32</f>
        <v>0.39910329753423252</v>
      </c>
      <c r="AD79" s="183">
        <f t="array" ref="AD79">SUM(AD15:AE15*AD27:AE27)/AD32</f>
        <v>0.39180992205515552</v>
      </c>
      <c r="AF79" s="183">
        <f t="array" ref="AF79">SUM(AF15:AG15*AF27:AG27)/AF32</f>
        <v>0.38255710369160634</v>
      </c>
      <c r="AH79" s="183">
        <f t="array" ref="AH79">SUM(AH15:AI15*AH27:AI27)/AH32</f>
        <v>0.3698042912173225</v>
      </c>
      <c r="AJ79" s="183">
        <f t="array" ref="AJ79">SUM(AJ15:AK15*AJ27:AK27)/AJ32</f>
        <v>0.35069577399680646</v>
      </c>
      <c r="AL79" s="183">
        <f t="array" ref="AL79">SUM(AL15:AM15*AL27:AM27)/AL32</f>
        <v>0.31925675944201831</v>
      </c>
      <c r="AN79" s="183">
        <f t="array" ref="AN79">SUM(AN15:AO15*AN27:AO27)/AN32</f>
        <v>0.25598619238482334</v>
      </c>
      <c r="AP79" s="183">
        <f t="array" ref="AP79">SUM(AP15:AQ15*AP27:AQ27)/AP32</f>
        <v>0.233862669706974</v>
      </c>
      <c r="AR79" s="183">
        <f t="array" ref="AR79">SUM(AR15:AS15*AR27:AS27)/AR32</f>
        <v>0.20492037669430122</v>
      </c>
      <c r="AT79" s="183">
        <f t="array" ref="AT79">SUM(AT15:AU15*AT27:AU27)/AT32</f>
        <v>0.16490556624415126</v>
      </c>
      <c r="AV79" s="183">
        <f t="array" ref="AV79">SUM(AV15:AW15*AV27:AW27)/AV32</f>
        <v>0.10472771706497315</v>
      </c>
      <c r="XFD79" s="183"/>
    </row>
    <row r="80" spans="1:48 16384:16384" x14ac:dyDescent="0.2">
      <c r="A80" t="s">
        <v>153</v>
      </c>
      <c r="B80" s="195">
        <f>B55</f>
        <v>0.19850271905982084</v>
      </c>
      <c r="D80" s="195">
        <f>D55</f>
        <v>0.20253727921433332</v>
      </c>
      <c r="F80" s="195">
        <f>F55</f>
        <v>0.2066885701925914</v>
      </c>
      <c r="H80" s="195">
        <f>H55</f>
        <v>0.21097525104096637</v>
      </c>
      <c r="J80" s="195">
        <f>J55</f>
        <v>0.21541955031628124</v>
      </c>
      <c r="L80" s="195">
        <f>L55</f>
        <v>0.22004823542963817</v>
      </c>
      <c r="N80" s="195">
        <f>N55</f>
        <v>0.22489483842965194</v>
      </c>
      <c r="P80" s="195">
        <f>P55</f>
        <v>0.23000212674824333</v>
      </c>
      <c r="R80" s="195">
        <f>R55</f>
        <v>0.23542688829885905</v>
      </c>
      <c r="T80" s="195">
        <f>T55</f>
        <v>0.24124802326416606</v>
      </c>
      <c r="V80" s="195">
        <f>V55</f>
        <v>0.2475802038687471</v>
      </c>
      <c r="X80" s="195">
        <f>X55</f>
        <v>0.25459916026528923</v>
      </c>
      <c r="Z80" s="195">
        <f>Z55</f>
        <v>0.26258900783640438</v>
      </c>
      <c r="AB80" s="195">
        <f>AB55</f>
        <v>0.27203434407401605</v>
      </c>
      <c r="AD80" s="195">
        <f>AD55</f>
        <v>0.2838029377089713</v>
      </c>
      <c r="AF80" s="195">
        <f>AF55</f>
        <v>0.29949752809850394</v>
      </c>
      <c r="AH80" s="195">
        <f>AH55</f>
        <v>0.32205806015849736</v>
      </c>
      <c r="AJ80" s="195">
        <f>AJ55</f>
        <v>0.35673161485660809</v>
      </c>
      <c r="AL80" s="195">
        <f>AL55</f>
        <v>0.41431013916473963</v>
      </c>
      <c r="AN80" s="195">
        <f>AN55</f>
        <v>0.53037433763153385</v>
      </c>
      <c r="AP80" s="195">
        <f>AP55</f>
        <v>0.57096146108791612</v>
      </c>
      <c r="AR80" s="195">
        <f>AR55</f>
        <v>0.62405822172329373</v>
      </c>
      <c r="AT80" s="195">
        <f>AT55</f>
        <v>0.69746837956579044</v>
      </c>
      <c r="AV80" s="195">
        <f>AV55</f>
        <v>0.80786915287389249</v>
      </c>
      <c r="XFD80" s="195"/>
    </row>
    <row r="81" spans="1:48 16384:16384" x14ac:dyDescent="0.2">
      <c r="A81" t="s">
        <v>175</v>
      </c>
      <c r="B81" s="195">
        <f>B51/B$32</f>
        <v>-2.7543485504603994E-2</v>
      </c>
      <c r="D81" s="195">
        <f>D51/D$32</f>
        <v>-2.3508925350091546E-2</v>
      </c>
      <c r="F81" s="195">
        <f>F51/F$32</f>
        <v>-1.9357634371833448E-2</v>
      </c>
      <c r="H81" s="195">
        <f>H51/H$32</f>
        <v>-1.5070953523458469E-2</v>
      </c>
      <c r="J81" s="195">
        <f>J51/J$32</f>
        <v>-1.0626654248143604E-2</v>
      </c>
      <c r="L81" s="195">
        <f>L51/L$32</f>
        <v>-5.9979691347866659E-3</v>
      </c>
      <c r="N81" s="195">
        <f>N51/N$32</f>
        <v>-1.1513661347729027E-3</v>
      </c>
      <c r="P81" s="195">
        <f>P51/P$32</f>
        <v>3.9559221838184923E-3</v>
      </c>
      <c r="R81" s="195">
        <f>R51/R$32</f>
        <v>9.3806837344342173E-3</v>
      </c>
      <c r="T81" s="195">
        <f>T51/T$32</f>
        <v>1.5201818699741227E-2</v>
      </c>
      <c r="V81" s="195">
        <f>V51/V$32</f>
        <v>2.1533999304322267E-2</v>
      </c>
      <c r="X81" s="195">
        <f>X51/X$32</f>
        <v>2.8552955700864344E-2</v>
      </c>
      <c r="Z81" s="195">
        <f>Z51/Z$32</f>
        <v>3.6542803271979528E-2</v>
      </c>
      <c r="AB81" s="195">
        <f>AB51/AB$32</f>
        <v>4.5988139509591235E-2</v>
      </c>
      <c r="AD81" s="195">
        <f>AD51/AD$32</f>
        <v>5.775673314454649E-2</v>
      </c>
      <c r="AF81" s="195">
        <f>AF51/AF$32</f>
        <v>7.3451323534079085E-2</v>
      </c>
      <c r="AH81" s="195">
        <f>AH51/AH$32</f>
        <v>9.6011855594072548E-2</v>
      </c>
      <c r="AJ81" s="195">
        <f>AJ51/AJ$32</f>
        <v>0.13068541029218325</v>
      </c>
      <c r="AL81" s="195">
        <f>AL51/AL$32</f>
        <v>0.18826393460031479</v>
      </c>
      <c r="AN81" s="195">
        <f>AN51/AN$32</f>
        <v>0.30432813306710899</v>
      </c>
      <c r="AP81" s="195">
        <f>AP51/AP$32</f>
        <v>0.34491525652349131</v>
      </c>
      <c r="AR81" s="195">
        <f>AR51/AR$32</f>
        <v>0.39801201715886891</v>
      </c>
      <c r="AT81" s="195">
        <f>AT51/AT$32</f>
        <v>0.47142217500136557</v>
      </c>
      <c r="AV81" s="195">
        <f>AV51/AV$32</f>
        <v>0.58182294830946757</v>
      </c>
      <c r="XFD81" s="195"/>
    </row>
    <row r="82" spans="1:48 16384:16384" x14ac:dyDescent="0.2">
      <c r="A82" t="s">
        <v>176</v>
      </c>
      <c r="B82" s="195">
        <f>B52/B$32</f>
        <v>0.14069693704202227</v>
      </c>
      <c r="D82" s="195">
        <f>D52/D$32</f>
        <v>0.14047750156874506</v>
      </c>
      <c r="F82" s="195">
        <f>F52/F$32</f>
        <v>0.1402296405002004</v>
      </c>
      <c r="H82" s="195">
        <f>H52/H$32</f>
        <v>0.13995018677977047</v>
      </c>
      <c r="J82" s="195">
        <f>J52/J$32</f>
        <v>0.13963535529539195</v>
      </c>
      <c r="L82" s="195">
        <f>L52/L$32</f>
        <v>0.13928050164266986</v>
      </c>
      <c r="N82" s="195">
        <f>N52/N$32</f>
        <v>0.13887970309749556</v>
      </c>
      <c r="P82" s="195">
        <f>P52/P$32</f>
        <v>0.13842514761085348</v>
      </c>
      <c r="R82" s="195">
        <f>R52/R$32</f>
        <v>0.13790608621880929</v>
      </c>
      <c r="T82" s="195">
        <f>T52/T$32</f>
        <v>0.13730708849823864</v>
      </c>
      <c r="V82" s="195">
        <f>V52/V$32</f>
        <v>0.13660504154192391</v>
      </c>
      <c r="X82" s="195">
        <f>X52/X$32</f>
        <v>0.13576379238220518</v>
      </c>
      <c r="Z82" s="195">
        <f>Z52/Z$32</f>
        <v>0.13472429452852441</v>
      </c>
      <c r="AB82" s="195">
        <f>AB52/AB$32</f>
        <v>0.13338593844441607</v>
      </c>
      <c r="AD82" s="195">
        <f>AD52/AD$32</f>
        <v>0.13157079655650769</v>
      </c>
      <c r="AF82" s="195">
        <f>AF52/AF$32</f>
        <v>0.1289580266193992</v>
      </c>
      <c r="AH82" s="195">
        <f>AH52/AH$32</f>
        <v>0.12498003471812727</v>
      </c>
      <c r="AJ82" s="195">
        <f>AJ52/AJ$32</f>
        <v>0.11866688544158402</v>
      </c>
      <c r="AL82" s="195">
        <f>AL52/AL$32</f>
        <v>0.10806475076963787</v>
      </c>
      <c r="AN82" s="195">
        <f>AN52/AN$32</f>
        <v>8.6651755945120937E-2</v>
      </c>
      <c r="AP82" s="195">
        <f>AP52/AP$32</f>
        <v>7.9162955261381257E-2</v>
      </c>
      <c r="AR82" s="195">
        <f>AR52/AR$32</f>
        <v>6.936594980703896E-2</v>
      </c>
      <c r="AT82" s="195">
        <f>AT52/AT$32</f>
        <v>5.5820861472407841E-2</v>
      </c>
      <c r="AV82" s="195">
        <f>AV52/AV$32</f>
        <v>3.5450540549648725E-2</v>
      </c>
    </row>
    <row r="83" spans="1:48 16384:16384" x14ac:dyDescent="0.2">
      <c r="A83" t="s">
        <v>177</v>
      </c>
      <c r="B83" s="195">
        <f>B53/B$32</f>
        <v>0.18438881036940691</v>
      </c>
      <c r="D83" s="195">
        <f>D53/D$32</f>
        <v>0.18297183547089055</v>
      </c>
      <c r="F83" s="195">
        <f>F53/F$32</f>
        <v>0.18153594083597641</v>
      </c>
      <c r="H83" s="195">
        <f>H53/H$32</f>
        <v>0.18007672482101386</v>
      </c>
      <c r="J83" s="195">
        <f>J53/J$32</f>
        <v>0.17858896125262447</v>
      </c>
      <c r="L83" s="195">
        <f>L53/L$32</f>
        <v>0.17706642456663074</v>
      </c>
      <c r="N83" s="195">
        <f>N53/N$32</f>
        <v>0.17550145258011732</v>
      </c>
      <c r="P83" s="195">
        <f>P53/P$32</f>
        <v>0.17388450410154896</v>
      </c>
      <c r="R83" s="195">
        <f>R53/R$32</f>
        <v>0.17220328979088556</v>
      </c>
      <c r="T83" s="195">
        <f>T53/T$32</f>
        <v>0.17044124733861996</v>
      </c>
      <c r="V83" s="195">
        <f>V53/V$32</f>
        <v>0.16857497393188092</v>
      </c>
      <c r="X83" s="195">
        <f>X53/X$32</f>
        <v>0.16656934732560102</v>
      </c>
      <c r="Z83" s="195">
        <f>Z53/Z$32</f>
        <v>0.16436818217495511</v>
      </c>
      <c r="AB83" s="195">
        <f>AB53/AB$32</f>
        <v>0.16187552579228909</v>
      </c>
      <c r="AD83" s="195">
        <f>AD53/AD$32</f>
        <v>0.15891734680010747</v>
      </c>
      <c r="AF83" s="195">
        <f>AF53/AF$32</f>
        <v>0.15516442156267171</v>
      </c>
      <c r="AH83" s="195">
        <f>AH53/AH$32</f>
        <v>0.14999190548134791</v>
      </c>
      <c r="AJ83" s="195">
        <f>AJ53/AJ$32</f>
        <v>0.14224152784404781</v>
      </c>
      <c r="AL83" s="195">
        <f>AL53/AL$32</f>
        <v>0.12948992432964379</v>
      </c>
      <c r="AN83" s="195">
        <f>AN53/AN$32</f>
        <v>0.1038275046682747</v>
      </c>
      <c r="AP83" s="195">
        <f>AP53/AP$32</f>
        <v>9.4854246647154694E-2</v>
      </c>
      <c r="AR83" s="195">
        <f>AR53/AR$32</f>
        <v>8.3115308562687853E-2</v>
      </c>
      <c r="AT83" s="195">
        <f>AT53/AT$32</f>
        <v>6.6885378814885613E-2</v>
      </c>
      <c r="AV83" s="195">
        <f>AV53/AV$32</f>
        <v>4.2477359544904565E-2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4"/>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5.533144761672236E-2</v>
      </c>
      <c r="E2" s="189"/>
      <c r="F2" s="188">
        <v>0.11000373572638772</v>
      </c>
      <c r="G2" s="189"/>
      <c r="H2" s="188">
        <v>0.17063138141135584</v>
      </c>
      <c r="I2" s="189"/>
      <c r="J2" s="188">
        <v>0.23826507870596722</v>
      </c>
      <c r="K2" s="189"/>
      <c r="L2" s="188">
        <v>0.31423216926757364</v>
      </c>
      <c r="M2" s="189"/>
      <c r="N2" s="188">
        <v>0.40026026658351638</v>
      </c>
      <c r="O2" s="189"/>
      <c r="P2" s="188">
        <v>0.49864959921024532</v>
      </c>
      <c r="Q2" s="189"/>
      <c r="R2" s="188">
        <v>0.61256978996400946</v>
      </c>
      <c r="S2" s="189"/>
      <c r="T2" s="188">
        <v>0.74655913810925589</v>
      </c>
      <c r="U2" s="189"/>
      <c r="V2" s="188">
        <v>0.90740972998436953</v>
      </c>
      <c r="W2" s="189"/>
      <c r="X2" s="188">
        <v>1.105833113273669</v>
      </c>
      <c r="Y2" s="189"/>
      <c r="Z2" s="188">
        <v>1.3597788848184509</v>
      </c>
      <c r="AA2" s="189"/>
      <c r="AB2" s="188">
        <v>1.7015340605575562</v>
      </c>
      <c r="AC2" s="189"/>
      <c r="AD2" s="188">
        <v>2.1941433292834507</v>
      </c>
      <c r="AE2" s="189"/>
      <c r="AF2" s="188">
        <v>2.9724417853267013</v>
      </c>
      <c r="AG2" s="189"/>
      <c r="AH2" s="188">
        <v>4.3528660876856611</v>
      </c>
      <c r="AI2" s="189"/>
      <c r="AJ2" s="188">
        <v>7.1569693782349395</v>
      </c>
      <c r="AK2" s="189"/>
      <c r="AL2" s="188">
        <v>13.970118200724537</v>
      </c>
      <c r="AM2" s="189"/>
      <c r="AN2" s="188"/>
      <c r="AO2" s="189"/>
      <c r="AP2" s="188"/>
      <c r="AQ2" s="189"/>
      <c r="AR2" s="188"/>
      <c r="AS2" s="189"/>
      <c r="AT2" s="188"/>
      <c r="AU2" s="189"/>
      <c r="AV2" s="188"/>
      <c r="AW2" s="189"/>
    </row>
    <row r="3" spans="1:49" x14ac:dyDescent="0.2">
      <c r="A3" t="s">
        <v>12</v>
      </c>
      <c r="B3" s="81">
        <v>1000</v>
      </c>
      <c r="C3" s="82">
        <v>1000</v>
      </c>
      <c r="D3" s="81">
        <v>998.96008574560585</v>
      </c>
      <c r="E3" s="82">
        <v>1020.8773053243134</v>
      </c>
      <c r="F3" s="81">
        <v>997.92025717059164</v>
      </c>
      <c r="G3" s="82">
        <v>1044.4842618477217</v>
      </c>
      <c r="H3" s="81">
        <v>996.87540844980163</v>
      </c>
      <c r="I3" s="82">
        <v>1071.3161643684821</v>
      </c>
      <c r="J3" s="81">
        <v>995.81914375380472</v>
      </c>
      <c r="K3" s="82">
        <v>1101.9939743387472</v>
      </c>
      <c r="L3" s="81">
        <v>994.74361384430858</v>
      </c>
      <c r="M3" s="82">
        <v>1137.3039404367778</v>
      </c>
      <c r="N3" s="81">
        <v>993.63967693783832</v>
      </c>
      <c r="O3" s="82">
        <v>1178.2657093714777</v>
      </c>
      <c r="P3" s="81">
        <v>992.4971466840185</v>
      </c>
      <c r="Q3" s="82">
        <v>1226.2246419509625</v>
      </c>
      <c r="R3" s="81">
        <v>991.30565318992831</v>
      </c>
      <c r="S3" s="82">
        <v>1283.0054197781726</v>
      </c>
      <c r="T3" s="81">
        <v>990.05642220101004</v>
      </c>
      <c r="U3" s="82">
        <v>1351.161147139522</v>
      </c>
      <c r="V3" s="81">
        <v>988.74580554323506</v>
      </c>
      <c r="W3" s="82">
        <v>1434.403294595664</v>
      </c>
      <c r="X3" s="81">
        <v>987.38214066242324</v>
      </c>
      <c r="Y3" s="82">
        <v>1538.3843036548153</v>
      </c>
      <c r="Z3" s="81">
        <v>985.99887531744946</v>
      </c>
      <c r="AA3" s="82">
        <v>1672.2117576542009</v>
      </c>
      <c r="AB3" s="81">
        <v>984.67947087282357</v>
      </c>
      <c r="AC3" s="82">
        <v>1851.5883452422572</v>
      </c>
      <c r="AD3" s="81">
        <v>983.60240573680665</v>
      </c>
      <c r="AE3" s="82">
        <v>2105.844213467612</v>
      </c>
      <c r="AF3" s="81">
        <v>983.10742601095353</v>
      </c>
      <c r="AG3" s="82">
        <v>2494.939759136892</v>
      </c>
      <c r="AH3" s="81">
        <v>983.71704745485022</v>
      </c>
      <c r="AI3" s="82">
        <v>3153.7776251046321</v>
      </c>
      <c r="AJ3" s="81">
        <v>985.86203082136149</v>
      </c>
      <c r="AK3" s="82">
        <v>4422.0209929127759</v>
      </c>
      <c r="AL3" s="81">
        <v>989.21276665970879</v>
      </c>
      <c r="AM3" s="82">
        <v>7356.2475302913554</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998.90843927169851</v>
      </c>
      <c r="E5" s="40">
        <v>1018.1191066656398</v>
      </c>
      <c r="F5" s="39">
        <v>997.81619351690722</v>
      </c>
      <c r="G5" s="40">
        <v>1038.1102090689842</v>
      </c>
      <c r="H5" s="39">
        <v>996.71788919637436</v>
      </c>
      <c r="I5" s="40">
        <v>1060.2162054417754</v>
      </c>
      <c r="J5" s="39">
        <v>995.60677983028859</v>
      </c>
      <c r="K5" s="40">
        <v>1084.7164897301252</v>
      </c>
      <c r="L5" s="39">
        <v>994.47456800881139</v>
      </c>
      <c r="M5" s="40">
        <v>1111.9321263708835</v>
      </c>
      <c r="N5" s="39">
        <v>993.31156804351997</v>
      </c>
      <c r="O5" s="40">
        <v>1142.229398035227</v>
      </c>
      <c r="P5" s="39">
        <v>992.10696055252617</v>
      </c>
      <c r="Q5" s="40">
        <v>1176.0246881722653</v>
      </c>
      <c r="R5" s="39">
        <v>990.84969374334185</v>
      </c>
      <c r="S5" s="40">
        <v>1213.7845281291445</v>
      </c>
      <c r="T5" s="39">
        <v>989.53035837532639</v>
      </c>
      <c r="U5" s="40">
        <v>1256.0178707642563</v>
      </c>
      <c r="V5" s="39">
        <v>988.14492430680582</v>
      </c>
      <c r="W5" s="40">
        <v>1303.255972583961</v>
      </c>
      <c r="X5" s="39">
        <v>986.70202416536074</v>
      </c>
      <c r="Y5" s="40">
        <v>1355.994713550094</v>
      </c>
      <c r="Z5" s="39">
        <v>985.23692483337095</v>
      </c>
      <c r="AA5" s="40">
        <v>1414.5624705237374</v>
      </c>
      <c r="AB5" s="39">
        <v>983.83808287880652</v>
      </c>
      <c r="AC5" s="40">
        <v>1478.8160110097626</v>
      </c>
      <c r="AD5" s="39">
        <v>982.69516298873884</v>
      </c>
      <c r="AE5" s="40">
        <v>1547.4715215293252</v>
      </c>
      <c r="AF5" s="39">
        <v>982.16961318658036</v>
      </c>
      <c r="AG5" s="40">
        <v>1616.7770936877725</v>
      </c>
      <c r="AH5" s="39">
        <v>982.81685750196266</v>
      </c>
      <c r="AI5" s="40">
        <v>1678.8291497427128</v>
      </c>
      <c r="AJ5" s="39">
        <v>985.09190420754499</v>
      </c>
      <c r="AK5" s="40">
        <v>1722.8423532635181</v>
      </c>
      <c r="AL5" s="39">
        <v>988.63869175716934</v>
      </c>
      <c r="AM5" s="40">
        <v>1744.0085700294799</v>
      </c>
      <c r="AN5" s="39"/>
      <c r="AO5" s="40"/>
      <c r="AP5" s="39"/>
      <c r="AQ5" s="40"/>
      <c r="AR5" s="39"/>
      <c r="AS5" s="40"/>
      <c r="AT5" s="39"/>
      <c r="AU5" s="40"/>
      <c r="AV5" s="39"/>
      <c r="AW5" s="40"/>
    </row>
    <row r="6" spans="1:49" x14ac:dyDescent="0.2">
      <c r="A6" t="s">
        <v>77</v>
      </c>
      <c r="B6" s="39">
        <v>1000.0000000000003</v>
      </c>
      <c r="C6" s="40">
        <v>1000.0000000000002</v>
      </c>
      <c r="D6" s="39">
        <v>998.82504375001076</v>
      </c>
      <c r="E6" s="40">
        <v>1022.4642901547853</v>
      </c>
      <c r="F6" s="39">
        <v>997.64954662969728</v>
      </c>
      <c r="G6" s="40">
        <v>1047.709435962704</v>
      </c>
      <c r="H6" s="39">
        <v>996.46772727401833</v>
      </c>
      <c r="I6" s="40">
        <v>1076.2301928643255</v>
      </c>
      <c r="J6" s="39">
        <v>995.2723310881513</v>
      </c>
      <c r="K6" s="40">
        <v>1108.6477787921581</v>
      </c>
      <c r="L6" s="39">
        <v>994.05444049107064</v>
      </c>
      <c r="M6" s="40">
        <v>1145.7499832052069</v>
      </c>
      <c r="N6" s="39">
        <v>992.8036514519747</v>
      </c>
      <c r="O6" s="40">
        <v>1188.5606094787968</v>
      </c>
      <c r="P6" s="39">
        <v>991.50834862472345</v>
      </c>
      <c r="Q6" s="40">
        <v>1238.4332238401378</v>
      </c>
      <c r="R6" s="39">
        <v>990.15667614670986</v>
      </c>
      <c r="S6" s="40">
        <v>1297.2074502247528</v>
      </c>
      <c r="T6" s="39">
        <v>988.73855382064846</v>
      </c>
      <c r="U6" s="40">
        <v>1367.4622288756925</v>
      </c>
      <c r="V6" s="39">
        <v>987.24969137500159</v>
      </c>
      <c r="W6" s="40">
        <v>1452.9527745290891</v>
      </c>
      <c r="X6" s="39">
        <v>985.69940789852558</v>
      </c>
      <c r="Y6" s="40">
        <v>1559.4056379466806</v>
      </c>
      <c r="Z6" s="39">
        <v>984.12562285251749</v>
      </c>
      <c r="AA6" s="40">
        <v>1696.056522827304</v>
      </c>
      <c r="AB6" s="39">
        <v>982.62333915731847</v>
      </c>
      <c r="AC6" s="40">
        <v>1878.8387760352023</v>
      </c>
      <c r="AD6" s="39">
        <v>981.39614079107582</v>
      </c>
      <c r="AE6" s="40">
        <v>2137.5241550075634</v>
      </c>
      <c r="AF6" s="39">
        <v>980.83190906862296</v>
      </c>
      <c r="AG6" s="40">
        <v>2532.9883645866075</v>
      </c>
      <c r="AH6" s="39">
        <v>981.52679881852578</v>
      </c>
      <c r="AI6" s="40">
        <v>3202.2103275414729</v>
      </c>
      <c r="AJ6" s="39">
        <v>983.96986331530411</v>
      </c>
      <c r="AK6" s="40">
        <v>4490.102911106037</v>
      </c>
      <c r="AL6" s="39">
        <v>987.78028444304266</v>
      </c>
      <c r="AM6" s="40">
        <v>7469.5650367698981</v>
      </c>
      <c r="AN6" s="39"/>
      <c r="AO6" s="40"/>
      <c r="AP6" s="39"/>
      <c r="AQ6" s="40"/>
      <c r="AR6" s="39"/>
      <c r="AS6" s="40"/>
      <c r="AT6" s="39"/>
      <c r="AU6" s="40"/>
      <c r="AV6" s="39"/>
      <c r="AW6" s="40"/>
    </row>
    <row r="7" spans="1:49" x14ac:dyDescent="0.2">
      <c r="A7" t="s">
        <v>13</v>
      </c>
      <c r="B7" s="31">
        <v>1015.9116825427475</v>
      </c>
      <c r="C7" s="32">
        <v>1015.9116825427475</v>
      </c>
      <c r="D7" s="31">
        <v>1014.802753246661</v>
      </c>
      <c r="E7" s="32">
        <v>1014.802753246661</v>
      </c>
      <c r="F7" s="31">
        <v>1013.6931280241608</v>
      </c>
      <c r="G7" s="32">
        <v>1013.6931280241608</v>
      </c>
      <c r="H7" s="31">
        <v>1012.5773478339444</v>
      </c>
      <c r="I7" s="32">
        <v>1012.5773478339444</v>
      </c>
      <c r="J7" s="31">
        <v>1011.4485588483552</v>
      </c>
      <c r="K7" s="32">
        <v>1011.4485588483552</v>
      </c>
      <c r="L7" s="31">
        <v>1010.2983316318035</v>
      </c>
      <c r="M7" s="32">
        <v>1010.2983316318035</v>
      </c>
      <c r="N7" s="31">
        <v>1009.1168263802672</v>
      </c>
      <c r="O7" s="32">
        <v>1009.1168263802672</v>
      </c>
      <c r="P7" s="31">
        <v>1007.893051557288</v>
      </c>
      <c r="Q7" s="32">
        <v>1007.893051557288</v>
      </c>
      <c r="R7" s="31">
        <v>1006.6157795177644</v>
      </c>
      <c r="S7" s="32">
        <v>1006.6157795177644</v>
      </c>
      <c r="T7" s="31">
        <v>1005.2754513042057</v>
      </c>
      <c r="U7" s="32">
        <v>1005.2754513042057</v>
      </c>
      <c r="V7" s="31">
        <v>1003.8679726486029</v>
      </c>
      <c r="W7" s="32">
        <v>1003.8679726486029</v>
      </c>
      <c r="X7" s="31">
        <v>1002.4021135381663</v>
      </c>
      <c r="Y7" s="32">
        <v>1002.4021135381663</v>
      </c>
      <c r="Z7" s="31">
        <v>1000.9137020107123</v>
      </c>
      <c r="AA7" s="32">
        <v>1000.9137020107123</v>
      </c>
      <c r="AB7" s="31">
        <v>999.49260212703928</v>
      </c>
      <c r="AC7" s="32">
        <v>999.49260212703928</v>
      </c>
      <c r="AD7" s="31">
        <v>998.33149645850915</v>
      </c>
      <c r="AE7" s="32">
        <v>998.33149645850915</v>
      </c>
      <c r="AF7" s="31">
        <v>997.79758427473826</v>
      </c>
      <c r="AG7" s="32">
        <v>997.79758427473826</v>
      </c>
      <c r="AH7" s="31">
        <v>998.45512733619455</v>
      </c>
      <c r="AI7" s="32">
        <v>998.45512733619455</v>
      </c>
      <c r="AJ7" s="31">
        <v>1000.766373862726</v>
      </c>
      <c r="AK7" s="32">
        <v>1000.766373862726</v>
      </c>
      <c r="AL7" s="31">
        <v>1004.3695967698866</v>
      </c>
      <c r="AM7" s="32">
        <v>1004.3695967698866</v>
      </c>
      <c r="AN7" s="31"/>
      <c r="AO7" s="32"/>
      <c r="AP7" s="31"/>
      <c r="AQ7" s="32"/>
      <c r="AR7" s="31"/>
      <c r="AS7" s="32"/>
      <c r="AT7" s="31"/>
      <c r="AU7" s="32"/>
      <c r="AV7" s="31"/>
      <c r="AW7" s="32"/>
    </row>
    <row r="8" spans="1:49" x14ac:dyDescent="0.2">
      <c r="B8" s="33">
        <v>1005.7716594496609</v>
      </c>
      <c r="C8" s="34">
        <v>1005.7716594496609</v>
      </c>
      <c r="D8" s="33">
        <v>1074.4531106836939</v>
      </c>
      <c r="E8" s="34">
        <v>1074.4531106836939</v>
      </c>
      <c r="F8" s="33">
        <v>1152.3062101622738</v>
      </c>
      <c r="G8" s="34">
        <v>1152.3062101622738</v>
      </c>
      <c r="H8" s="33">
        <v>1241.1223611710113</v>
      </c>
      <c r="I8" s="34">
        <v>1241.1223611710113</v>
      </c>
      <c r="J8" s="33">
        <v>1343.1665495293339</v>
      </c>
      <c r="K8" s="34">
        <v>1343.1665495293339</v>
      </c>
      <c r="L8" s="33">
        <v>1461.336970518712</v>
      </c>
      <c r="M8" s="34">
        <v>1461.336970518712</v>
      </c>
      <c r="N8" s="33">
        <v>1599.4184413923365</v>
      </c>
      <c r="O8" s="34">
        <v>1599.4184413923365</v>
      </c>
      <c r="P8" s="33">
        <v>1762.4489275907192</v>
      </c>
      <c r="Q8" s="34">
        <v>1762.4489275907192</v>
      </c>
      <c r="R8" s="33">
        <v>1957.312261586779</v>
      </c>
      <c r="S8" s="34">
        <v>1957.312261586779</v>
      </c>
      <c r="T8" s="33">
        <v>2193.7094898118421</v>
      </c>
      <c r="U8" s="34">
        <v>2193.7094898118421</v>
      </c>
      <c r="V8" s="33">
        <v>2485.8431227668898</v>
      </c>
      <c r="W8" s="34">
        <v>2485.8431227668898</v>
      </c>
      <c r="X8" s="33">
        <v>2855.4985692178316</v>
      </c>
      <c r="Y8" s="34">
        <v>2855.4985692178316</v>
      </c>
      <c r="Z8" s="33">
        <v>3338.0546491985378</v>
      </c>
      <c r="AA8" s="34">
        <v>3338.0546491985378</v>
      </c>
      <c r="AB8" s="33">
        <v>3995.0718230407315</v>
      </c>
      <c r="AC8" s="34">
        <v>3995.0718230407315</v>
      </c>
      <c r="AD8" s="33">
        <v>4942.845837749006</v>
      </c>
      <c r="AE8" s="34">
        <v>4942.845837749006</v>
      </c>
      <c r="AF8" s="33">
        <v>6422.5528845243707</v>
      </c>
      <c r="AG8" s="34">
        <v>6422.5528845243707</v>
      </c>
      <c r="AH8" s="33">
        <v>8986.5476226759201</v>
      </c>
      <c r="AI8" s="34">
        <v>8986.5476226759201</v>
      </c>
      <c r="AJ8" s="33">
        <v>14053.17231909674</v>
      </c>
      <c r="AK8" s="34">
        <v>14053.17231909674</v>
      </c>
      <c r="AL8" s="33">
        <v>26108.014436417889</v>
      </c>
      <c r="AM8" s="34">
        <v>26108.014436417889</v>
      </c>
      <c r="AN8" s="33"/>
      <c r="AO8" s="34"/>
      <c r="AP8" s="33"/>
      <c r="AQ8" s="34"/>
      <c r="AR8" s="33"/>
      <c r="AS8" s="34"/>
      <c r="AT8" s="33"/>
      <c r="AU8" s="34"/>
      <c r="AV8" s="33"/>
      <c r="AW8" s="34"/>
    </row>
    <row r="9" spans="1:49" x14ac:dyDescent="0.2">
      <c r="A9" t="s">
        <v>14</v>
      </c>
      <c r="B9" s="39">
        <v>1015.9116825427475</v>
      </c>
      <c r="C9" s="40">
        <v>1005.7716594496609</v>
      </c>
      <c r="D9" s="39">
        <v>1014.802753246661</v>
      </c>
      <c r="E9" s="40">
        <v>1074.4531106836939</v>
      </c>
      <c r="F9" s="39">
        <v>1013.6931280241608</v>
      </c>
      <c r="G9" s="40">
        <v>1152.3062101622738</v>
      </c>
      <c r="H9" s="39">
        <v>1012.5773478339444</v>
      </c>
      <c r="I9" s="40">
        <v>1241.1223611710113</v>
      </c>
      <c r="J9" s="39">
        <v>1011.4485588483552</v>
      </c>
      <c r="K9" s="40">
        <v>1343.1665495293339</v>
      </c>
      <c r="L9" s="39">
        <v>1010.2983316318035</v>
      </c>
      <c r="M9" s="40">
        <v>1461.336970518712</v>
      </c>
      <c r="N9" s="39">
        <v>1009.1168263802672</v>
      </c>
      <c r="O9" s="40">
        <v>1599.4184413923365</v>
      </c>
      <c r="P9" s="39">
        <v>1007.893051557288</v>
      </c>
      <c r="Q9" s="40">
        <v>1762.4489275907192</v>
      </c>
      <c r="R9" s="39">
        <v>1006.6157795177644</v>
      </c>
      <c r="S9" s="40">
        <v>1957.312261586779</v>
      </c>
      <c r="T9" s="39">
        <v>1005.2754513042057</v>
      </c>
      <c r="U9" s="40">
        <v>2193.7094898118421</v>
      </c>
      <c r="V9" s="39">
        <v>1003.8679726486029</v>
      </c>
      <c r="W9" s="40">
        <v>2485.8431227668898</v>
      </c>
      <c r="X9" s="39">
        <v>1002.4021135381663</v>
      </c>
      <c r="Y9" s="40">
        <v>2855.4985692178316</v>
      </c>
      <c r="Z9" s="39">
        <v>1000.9137020107123</v>
      </c>
      <c r="AA9" s="40">
        <v>3338.0546491985378</v>
      </c>
      <c r="AB9" s="39">
        <v>999.49260212703928</v>
      </c>
      <c r="AC9" s="40">
        <v>3995.0718230407315</v>
      </c>
      <c r="AD9" s="39">
        <v>998.33149645850915</v>
      </c>
      <c r="AE9" s="40">
        <v>4942.845837749006</v>
      </c>
      <c r="AF9" s="39">
        <v>997.79758427473826</v>
      </c>
      <c r="AG9" s="40">
        <v>6422.5528845243707</v>
      </c>
      <c r="AH9" s="39">
        <v>998.45512733619455</v>
      </c>
      <c r="AI9" s="40">
        <v>8986.5476226759201</v>
      </c>
      <c r="AJ9" s="39">
        <v>1000.766373862726</v>
      </c>
      <c r="AK9" s="40">
        <v>14053.17231909674</v>
      </c>
      <c r="AL9" s="39">
        <v>1004.3695967698866</v>
      </c>
      <c r="AM9" s="40">
        <v>26108.014436417889</v>
      </c>
      <c r="AN9" s="39"/>
      <c r="AO9" s="40"/>
      <c r="AP9" s="39"/>
      <c r="AQ9" s="40"/>
      <c r="AR9" s="39"/>
      <c r="AS9" s="40"/>
      <c r="AT9" s="39"/>
      <c r="AU9" s="40"/>
      <c r="AV9" s="39"/>
      <c r="AW9" s="40"/>
    </row>
    <row r="10" spans="1:49" x14ac:dyDescent="0.2">
      <c r="A10" t="s">
        <v>15</v>
      </c>
      <c r="B10" s="39">
        <v>1015.9116825427475</v>
      </c>
      <c r="C10" s="40">
        <v>1005.7716594496609</v>
      </c>
      <c r="D10" s="39">
        <v>1014.802753246661</v>
      </c>
      <c r="E10" s="40">
        <v>1074.4531106836939</v>
      </c>
      <c r="F10" s="39">
        <v>1013.6931280241608</v>
      </c>
      <c r="G10" s="40">
        <v>1152.3062101622738</v>
      </c>
      <c r="H10" s="39">
        <v>1012.5773478339444</v>
      </c>
      <c r="I10" s="40">
        <v>1241.1223611710113</v>
      </c>
      <c r="J10" s="39">
        <v>1011.4485588483552</v>
      </c>
      <c r="K10" s="40">
        <v>1343.1665495293339</v>
      </c>
      <c r="L10" s="39">
        <v>1010.2983316318035</v>
      </c>
      <c r="M10" s="40">
        <v>1461.336970518712</v>
      </c>
      <c r="N10" s="39">
        <v>1009.1168263802672</v>
      </c>
      <c r="O10" s="40">
        <v>1599.4184413923365</v>
      </c>
      <c r="P10" s="39">
        <v>1007.893051557288</v>
      </c>
      <c r="Q10" s="40">
        <v>1762.4489275907192</v>
      </c>
      <c r="R10" s="39">
        <v>1006.6157795177644</v>
      </c>
      <c r="S10" s="40">
        <v>1957.312261586779</v>
      </c>
      <c r="T10" s="39">
        <v>1005.2754513042057</v>
      </c>
      <c r="U10" s="40">
        <v>2193.7094898118421</v>
      </c>
      <c r="V10" s="39">
        <v>1003.8679726486029</v>
      </c>
      <c r="W10" s="40">
        <v>2485.8431227668898</v>
      </c>
      <c r="X10" s="39">
        <v>1002.4021135381663</v>
      </c>
      <c r="Y10" s="40">
        <v>2855.4985692178316</v>
      </c>
      <c r="Z10" s="39">
        <v>1000.9137020107123</v>
      </c>
      <c r="AA10" s="40">
        <v>3338.0546491985378</v>
      </c>
      <c r="AB10" s="39">
        <v>999.49260212703928</v>
      </c>
      <c r="AC10" s="40">
        <v>3995.0718230407315</v>
      </c>
      <c r="AD10" s="39">
        <v>998.33149645850915</v>
      </c>
      <c r="AE10" s="40">
        <v>4942.845837749006</v>
      </c>
      <c r="AF10" s="39">
        <v>997.79758427473826</v>
      </c>
      <c r="AG10" s="40">
        <v>6422.5528845243707</v>
      </c>
      <c r="AH10" s="39">
        <v>998.45512733619455</v>
      </c>
      <c r="AI10" s="40">
        <v>8986.5476226759201</v>
      </c>
      <c r="AJ10" s="39">
        <v>1000.766373862726</v>
      </c>
      <c r="AK10" s="40">
        <v>14053.17231909674</v>
      </c>
      <c r="AL10" s="39">
        <v>1004.3695967698866</v>
      </c>
      <c r="AM10" s="40">
        <v>26108.014436417889</v>
      </c>
      <c r="AN10" s="39"/>
      <c r="AO10" s="40"/>
      <c r="AP10" s="39"/>
      <c r="AQ10" s="40"/>
      <c r="AR10" s="39"/>
      <c r="AS10" s="40"/>
      <c r="AT10" s="39"/>
      <c r="AU10" s="40"/>
      <c r="AV10" s="39"/>
      <c r="AW10" s="40"/>
    </row>
    <row r="11" spans="1:49" x14ac:dyDescent="0.2">
      <c r="A11" t="s">
        <v>29</v>
      </c>
      <c r="B11" s="39">
        <v>1015.9116825427475</v>
      </c>
      <c r="C11" s="40">
        <v>1005.7716594496609</v>
      </c>
      <c r="D11" s="39">
        <v>1014.802753246661</v>
      </c>
      <c r="E11" s="40">
        <v>1074.4531106836939</v>
      </c>
      <c r="F11" s="39">
        <v>1013.6931280241608</v>
      </c>
      <c r="G11" s="40">
        <v>1152.3062101622738</v>
      </c>
      <c r="H11" s="39">
        <v>1012.5773478339444</v>
      </c>
      <c r="I11" s="40">
        <v>1241.1223611710113</v>
      </c>
      <c r="J11" s="39">
        <v>1011.4485588483552</v>
      </c>
      <c r="K11" s="40">
        <v>1343.1665495293339</v>
      </c>
      <c r="L11" s="39">
        <v>1010.2983316318035</v>
      </c>
      <c r="M11" s="40">
        <v>1461.336970518712</v>
      </c>
      <c r="N11" s="39">
        <v>1009.1168263802672</v>
      </c>
      <c r="O11" s="40">
        <v>1599.4184413923365</v>
      </c>
      <c r="P11" s="39">
        <v>1007.893051557288</v>
      </c>
      <c r="Q11" s="40">
        <v>1762.4489275907192</v>
      </c>
      <c r="R11" s="39">
        <v>1006.6157795177644</v>
      </c>
      <c r="S11" s="40">
        <v>1957.312261586779</v>
      </c>
      <c r="T11" s="39">
        <v>1005.2754513042057</v>
      </c>
      <c r="U11" s="40">
        <v>2193.7094898118421</v>
      </c>
      <c r="V11" s="39">
        <v>1003.8679726486029</v>
      </c>
      <c r="W11" s="40">
        <v>2485.8431227668898</v>
      </c>
      <c r="X11" s="39">
        <v>1002.4021135381663</v>
      </c>
      <c r="Y11" s="40">
        <v>2855.4985692178316</v>
      </c>
      <c r="Z11" s="39">
        <v>1000.9137020107123</v>
      </c>
      <c r="AA11" s="40">
        <v>3338.0546491985378</v>
      </c>
      <c r="AB11" s="39">
        <v>999.49260212703928</v>
      </c>
      <c r="AC11" s="40">
        <v>3995.0718230407315</v>
      </c>
      <c r="AD11" s="39">
        <v>998.33149645850915</v>
      </c>
      <c r="AE11" s="40">
        <v>4942.845837749006</v>
      </c>
      <c r="AF11" s="39">
        <v>997.79758427473826</v>
      </c>
      <c r="AG11" s="40">
        <v>6422.5528845243707</v>
      </c>
      <c r="AH11" s="39">
        <v>998.45512733619455</v>
      </c>
      <c r="AI11" s="40">
        <v>8986.5476226759201</v>
      </c>
      <c r="AJ11" s="39">
        <v>1000.766373862726</v>
      </c>
      <c r="AK11" s="40">
        <v>14053.17231909674</v>
      </c>
      <c r="AL11" s="39">
        <v>1004.3695967698866</v>
      </c>
      <c r="AM11" s="40">
        <v>26108.014436417889</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1006.7166668957443</v>
      </c>
      <c r="E13" s="94">
        <v>1006.7166668957443</v>
      </c>
      <c r="F13" s="93">
        <v>1013.5257694576512</v>
      </c>
      <c r="G13" s="94">
        <v>1013.5257694576512</v>
      </c>
      <c r="H13" s="93">
        <v>1020.4334987596707</v>
      </c>
      <c r="I13" s="94">
        <v>1020.4334987596707</v>
      </c>
      <c r="J13" s="93">
        <v>1027.4454394930146</v>
      </c>
      <c r="K13" s="94">
        <v>1027.4454394930146</v>
      </c>
      <c r="L13" s="93">
        <v>1034.5665177104875</v>
      </c>
      <c r="M13" s="94">
        <v>1034.5665177104875</v>
      </c>
      <c r="N13" s="93">
        <v>1041.8023095003703</v>
      </c>
      <c r="O13" s="94">
        <v>1041.8023095003703</v>
      </c>
      <c r="P13" s="93">
        <v>1049.1608253630877</v>
      </c>
      <c r="Q13" s="94">
        <v>1049.1608253630877</v>
      </c>
      <c r="R13" s="93">
        <v>1056.6571515728406</v>
      </c>
      <c r="S13" s="94">
        <v>1056.6571515728406</v>
      </c>
      <c r="T13" s="93">
        <v>1064.3223052469873</v>
      </c>
      <c r="U13" s="94">
        <v>1064.3223052469873</v>
      </c>
      <c r="V13" s="93">
        <v>1072.2211836489594</v>
      </c>
      <c r="W13" s="94">
        <v>1072.2211836489594</v>
      </c>
      <c r="X13" s="93">
        <v>1080.4871505771164</v>
      </c>
      <c r="Y13" s="94">
        <v>1080.4871505771164</v>
      </c>
      <c r="Z13" s="93">
        <v>1089.3899574100558</v>
      </c>
      <c r="AA13" s="94">
        <v>1089.3899574100558</v>
      </c>
      <c r="AB13" s="93">
        <v>1099.468081931899</v>
      </c>
      <c r="AC13" s="94">
        <v>1099.468081931899</v>
      </c>
      <c r="AD13" s="93">
        <v>1111.7763684340034</v>
      </c>
      <c r="AE13" s="94">
        <v>1111.7763684340034</v>
      </c>
      <c r="AF13" s="93">
        <v>1128.2732678426032</v>
      </c>
      <c r="AG13" s="94">
        <v>1128.2732678426032</v>
      </c>
      <c r="AH13" s="93">
        <v>1152.0164005742336</v>
      </c>
      <c r="AI13" s="94">
        <v>1152.0164005742336</v>
      </c>
      <c r="AJ13" s="93">
        <v>1185.5719050683563</v>
      </c>
      <c r="AK13" s="94">
        <v>1185.5719050683563</v>
      </c>
      <c r="AL13" s="93">
        <v>1224.4124250632958</v>
      </c>
      <c r="AM13" s="94">
        <v>1224.4124250632958</v>
      </c>
      <c r="AN13" s="93"/>
      <c r="AO13" s="94"/>
      <c r="AP13" s="93"/>
      <c r="AQ13" s="94"/>
      <c r="AR13" s="93"/>
      <c r="AS13" s="94"/>
      <c r="AT13" s="93"/>
      <c r="AU13" s="94"/>
      <c r="AV13" s="93"/>
      <c r="AW13" s="94"/>
    </row>
    <row r="14" spans="1:49" x14ac:dyDescent="0.2">
      <c r="A14" t="s">
        <v>36</v>
      </c>
      <c r="B14" s="39">
        <v>1457.0034251455234</v>
      </c>
      <c r="C14" s="40">
        <v>1457.0034251455236</v>
      </c>
      <c r="D14" s="39">
        <v>1466.7896318181843</v>
      </c>
      <c r="E14" s="40">
        <v>1466.7896318181845</v>
      </c>
      <c r="F14" s="39">
        <v>1476.7105175730499</v>
      </c>
      <c r="G14" s="40">
        <v>1476.7105175730501</v>
      </c>
      <c r="H14" s="39">
        <v>1486.7751028260702</v>
      </c>
      <c r="I14" s="40">
        <v>1486.7751028260705</v>
      </c>
      <c r="J14" s="39">
        <v>1496.9915244914698</v>
      </c>
      <c r="K14" s="40">
        <v>1496.99152449147</v>
      </c>
      <c r="L14" s="39">
        <v>1507.366959845057</v>
      </c>
      <c r="M14" s="40">
        <v>1507.3669598450572</v>
      </c>
      <c r="N14" s="39">
        <v>1517.9095332665561</v>
      </c>
      <c r="O14" s="40">
        <v>1517.9095332665563</v>
      </c>
      <c r="P14" s="39">
        <v>1528.6309160825231</v>
      </c>
      <c r="Q14" s="40">
        <v>1528.6309160825233</v>
      </c>
      <c r="R14" s="39">
        <v>1539.5530890461412</v>
      </c>
      <c r="S14" s="40">
        <v>1539.5530890461414</v>
      </c>
      <c r="T14" s="39">
        <v>1550.7212442036396</v>
      </c>
      <c r="U14" s="40">
        <v>1550.7212442036398</v>
      </c>
      <c r="V14" s="39">
        <v>1562.229937090121</v>
      </c>
      <c r="W14" s="40">
        <v>1562.2299370901212</v>
      </c>
      <c r="X14" s="39">
        <v>1574.2734792165854</v>
      </c>
      <c r="Y14" s="40">
        <v>1574.2734792165857</v>
      </c>
      <c r="Z14" s="39">
        <v>1587.244899265587</v>
      </c>
      <c r="AA14" s="40">
        <v>1587.2448992655873</v>
      </c>
      <c r="AB14" s="39">
        <v>1601.9287612129556</v>
      </c>
      <c r="AC14" s="40">
        <v>1601.9287612129558</v>
      </c>
      <c r="AD14" s="39">
        <v>1619.8619768041942</v>
      </c>
      <c r="AE14" s="40">
        <v>1619.8619768041945</v>
      </c>
      <c r="AF14" s="39">
        <v>1643.8980157468052</v>
      </c>
      <c r="AG14" s="40">
        <v>1643.8980157468054</v>
      </c>
      <c r="AH14" s="39">
        <v>1678.4918414604754</v>
      </c>
      <c r="AI14" s="40">
        <v>1678.4918414604758</v>
      </c>
      <c r="AJ14" s="39">
        <v>1727.3823264408982</v>
      </c>
      <c r="AK14" s="40">
        <v>1727.3823264408986</v>
      </c>
      <c r="AL14" s="39">
        <v>1783.9730971079584</v>
      </c>
      <c r="AM14" s="40">
        <v>1783.9730971079587</v>
      </c>
      <c r="AN14" s="39"/>
      <c r="AO14" s="40"/>
      <c r="AP14" s="39"/>
      <c r="AQ14" s="40"/>
      <c r="AR14" s="39"/>
      <c r="AS14" s="40"/>
      <c r="AT14" s="39"/>
      <c r="AU14" s="40"/>
      <c r="AV14" s="39"/>
      <c r="AW14" s="40"/>
    </row>
    <row r="15" spans="1:49" x14ac:dyDescent="0.2">
      <c r="A15" t="s">
        <v>18</v>
      </c>
      <c r="B15" s="144">
        <v>1000</v>
      </c>
      <c r="C15" s="145">
        <v>1000</v>
      </c>
      <c r="D15" s="144">
        <v>983.870736766871</v>
      </c>
      <c r="E15" s="145">
        <v>983.870736766871</v>
      </c>
      <c r="F15" s="144">
        <v>967.09570423394314</v>
      </c>
      <c r="G15" s="145">
        <v>967.09570423394314</v>
      </c>
      <c r="H15" s="144">
        <v>949.57363431166334</v>
      </c>
      <c r="I15" s="145">
        <v>949.57363431166334</v>
      </c>
      <c r="J15" s="144">
        <v>931.18392283111802</v>
      </c>
      <c r="K15" s="145">
        <v>931.18392283111802</v>
      </c>
      <c r="L15" s="144">
        <v>911.78141855544334</v>
      </c>
      <c r="M15" s="145">
        <v>911.78141855544334</v>
      </c>
      <c r="N15" s="144">
        <v>891.1872834833141</v>
      </c>
      <c r="O15" s="145">
        <v>891.1872834833141</v>
      </c>
      <c r="P15" s="144">
        <v>869.17642712181828</v>
      </c>
      <c r="Q15" s="145">
        <v>869.17642712181828</v>
      </c>
      <c r="R15" s="144">
        <v>845.45628125449207</v>
      </c>
      <c r="S15" s="145">
        <v>845.45628125449207</v>
      </c>
      <c r="T15" s="144">
        <v>819.63219254727358</v>
      </c>
      <c r="U15" s="145">
        <v>819.63219254727358</v>
      </c>
      <c r="V15" s="144">
        <v>791.14681320649254</v>
      </c>
      <c r="W15" s="145">
        <v>791.14681320649254</v>
      </c>
      <c r="X15" s="144">
        <v>759.17189526363029</v>
      </c>
      <c r="Y15" s="145">
        <v>759.17189526363029</v>
      </c>
      <c r="Z15" s="144">
        <v>722.40549114948931</v>
      </c>
      <c r="AA15" s="145">
        <v>722.40549114948931</v>
      </c>
      <c r="AB15" s="144">
        <v>678.67849818464924</v>
      </c>
      <c r="AC15" s="145">
        <v>678.67849818464924</v>
      </c>
      <c r="AD15" s="144">
        <v>624.17232714317231</v>
      </c>
      <c r="AE15" s="145">
        <v>624.17232714317231</v>
      </c>
      <c r="AF15" s="144">
        <v>551.89372106318444</v>
      </c>
      <c r="AG15" s="145">
        <v>551.89372106318444</v>
      </c>
      <c r="AH15" s="144">
        <v>449.04116603192881</v>
      </c>
      <c r="AI15" s="145">
        <v>449.04116603192881</v>
      </c>
      <c r="AJ15" s="144">
        <v>293.31896016287857</v>
      </c>
      <c r="AK15" s="145">
        <v>293.31896016287857</v>
      </c>
      <c r="AL15" s="144">
        <v>45.193391699954041</v>
      </c>
      <c r="AM15" s="145">
        <v>45.193391699954041</v>
      </c>
      <c r="AN15" s="144"/>
      <c r="AO15" s="145"/>
      <c r="AP15" s="144"/>
      <c r="AQ15" s="145"/>
      <c r="AR15" s="144"/>
      <c r="AS15" s="145"/>
      <c r="AT15" s="144"/>
      <c r="AU15" s="145"/>
      <c r="AV15" s="144"/>
      <c r="AW15" s="145"/>
    </row>
    <row r="16" spans="1:49" s="27" customFormat="1" x14ac:dyDescent="0.2">
      <c r="A16" t="s">
        <v>61</v>
      </c>
      <c r="B16" s="39">
        <v>1000</v>
      </c>
      <c r="C16" s="40">
        <v>1000</v>
      </c>
      <c r="D16" s="39">
        <v>996.04236106735641</v>
      </c>
      <c r="E16" s="40">
        <v>990.38704076867828</v>
      </c>
      <c r="F16" s="39">
        <v>991.81419815249171</v>
      </c>
      <c r="G16" s="40">
        <v>980.32960864999984</v>
      </c>
      <c r="H16" s="39">
        <v>987.27044229834883</v>
      </c>
      <c r="I16" s="40">
        <v>969.75648670161945</v>
      </c>
      <c r="J16" s="39">
        <v>982.35642153594597</v>
      </c>
      <c r="K16" s="40">
        <v>958.58235658388821</v>
      </c>
      <c r="L16" s="39">
        <v>977.0053530062761</v>
      </c>
      <c r="M16" s="40">
        <v>946.70402091407107</v>
      </c>
      <c r="N16" s="39">
        <v>971.13467135138671</v>
      </c>
      <c r="O16" s="40">
        <v>933.99410872069029</v>
      </c>
      <c r="P16" s="39">
        <v>964.64100698222626</v>
      </c>
      <c r="Q16" s="40">
        <v>920.29267399831394</v>
      </c>
      <c r="R16" s="39">
        <v>957.39257204289345</v>
      </c>
      <c r="S16" s="40">
        <v>905.39320343849977</v>
      </c>
      <c r="T16" s="39">
        <v>949.2174560510399</v>
      </c>
      <c r="U16" s="40">
        <v>889.02019381866626</v>
      </c>
      <c r="V16" s="39">
        <v>939.88445206153608</v>
      </c>
      <c r="W16" s="40">
        <v>870.79083860885646</v>
      </c>
      <c r="X16" s="39">
        <v>929.07019746352944</v>
      </c>
      <c r="Y16" s="40">
        <v>850.14705502397373</v>
      </c>
      <c r="Z16" s="39">
        <v>916.29926156209228</v>
      </c>
      <c r="AA16" s="40">
        <v>826.22920888512317</v>
      </c>
      <c r="AB16" s="39">
        <v>900.82823214193297</v>
      </c>
      <c r="AC16" s="40">
        <v>797.63109575522799</v>
      </c>
      <c r="AD16" s="39">
        <v>881.40707349132208</v>
      </c>
      <c r="AE16" s="40">
        <v>761.90880091175472</v>
      </c>
      <c r="AF16" s="39">
        <v>855.76334121888874</v>
      </c>
      <c r="AG16" s="40">
        <v>714.59553473299729</v>
      </c>
      <c r="AH16" s="39">
        <v>819.46069946269847</v>
      </c>
      <c r="AI16" s="40">
        <v>647.36719580669103</v>
      </c>
      <c r="AJ16" s="39">
        <v>763.31102857527947</v>
      </c>
      <c r="AK16" s="40">
        <v>544.94401244751748</v>
      </c>
      <c r="AL16" s="39">
        <v>666.21000722855729</v>
      </c>
      <c r="AM16" s="40">
        <v>377.65700399450748</v>
      </c>
      <c r="AN16" s="39"/>
      <c r="AO16" s="40"/>
      <c r="AP16" s="39"/>
      <c r="AQ16" s="40"/>
      <c r="AR16" s="39"/>
      <c r="AS16" s="40"/>
      <c r="AT16" s="39"/>
      <c r="AU16" s="40"/>
      <c r="AV16" s="39"/>
      <c r="AW16" s="40"/>
    </row>
    <row r="17" spans="1:49" x14ac:dyDescent="0.2">
      <c r="A17" t="s">
        <v>62</v>
      </c>
      <c r="B17" s="33">
        <v>1000.0000000000002</v>
      </c>
      <c r="C17" s="34">
        <v>999.99999999999977</v>
      </c>
      <c r="D17" s="33">
        <v>999.00812216622751</v>
      </c>
      <c r="E17" s="34">
        <v>1031.6574230666058</v>
      </c>
      <c r="F17" s="33">
        <v>998.01704528011123</v>
      </c>
      <c r="G17" s="34">
        <v>1067.5254402269015</v>
      </c>
      <c r="H17" s="33">
        <v>997.02190811140554</v>
      </c>
      <c r="I17" s="34">
        <v>1108.3952525520654</v>
      </c>
      <c r="J17" s="33">
        <v>996.01666651929816</v>
      </c>
      <c r="K17" s="34">
        <v>1155.2633730525806</v>
      </c>
      <c r="L17" s="33">
        <v>994.99385694779528</v>
      </c>
      <c r="M17" s="34">
        <v>1209.3998902576268</v>
      </c>
      <c r="N17" s="33">
        <v>993.94486816655444</v>
      </c>
      <c r="O17" s="34">
        <v>1272.4579336901879</v>
      </c>
      <c r="P17" s="33">
        <v>992.86009491292111</v>
      </c>
      <c r="Q17" s="34">
        <v>1346.6308659410549</v>
      </c>
      <c r="R17" s="33">
        <v>991.72980064816466</v>
      </c>
      <c r="S17" s="34">
        <v>1434.9069151600943</v>
      </c>
      <c r="T17" s="33">
        <v>990.54580747669581</v>
      </c>
      <c r="U17" s="34">
        <v>1541.4855804581214</v>
      </c>
      <c r="V17" s="33">
        <v>989.30482037276408</v>
      </c>
      <c r="W17" s="34">
        <v>1672.4983228132955</v>
      </c>
      <c r="X17" s="33">
        <v>988.0149025792216</v>
      </c>
      <c r="Y17" s="34">
        <v>1837.3237372725685</v>
      </c>
      <c r="Z17" s="33">
        <v>986.70781928610404</v>
      </c>
      <c r="AA17" s="34">
        <v>2051.1449927457711</v>
      </c>
      <c r="AB17" s="33">
        <v>985.46236363884964</v>
      </c>
      <c r="AC17" s="34">
        <v>2340.2863262951987</v>
      </c>
      <c r="AD17" s="33">
        <v>984.44661506127647</v>
      </c>
      <c r="AE17" s="34">
        <v>2754.2690708332448</v>
      </c>
      <c r="AF17" s="33">
        <v>983.98009733282845</v>
      </c>
      <c r="AG17" s="34">
        <v>3395.2996335156108</v>
      </c>
      <c r="AH17" s="33">
        <v>984.55468891542353</v>
      </c>
      <c r="AI17" s="34">
        <v>4496.2955228585843</v>
      </c>
      <c r="AJ17" s="33">
        <v>986.57858075858189</v>
      </c>
      <c r="AK17" s="34">
        <v>6652.9890142928516</v>
      </c>
      <c r="AL17" s="33">
        <v>989.74683172745654</v>
      </c>
      <c r="AM17" s="34">
        <v>11746.787723627695</v>
      </c>
      <c r="AN17" s="33"/>
      <c r="AO17" s="34"/>
      <c r="AP17" s="33"/>
      <c r="AQ17" s="34"/>
      <c r="AR17" s="33"/>
      <c r="AS17" s="34"/>
      <c r="AT17" s="33"/>
      <c r="AU17" s="34"/>
      <c r="AV17" s="33"/>
      <c r="AW17" s="34"/>
    </row>
    <row r="18" spans="1:49" x14ac:dyDescent="0.2">
      <c r="A18" t="s">
        <v>19</v>
      </c>
      <c r="B18" s="31">
        <v>27857.010133999996</v>
      </c>
      <c r="C18" s="32">
        <v>1236.7674480000003</v>
      </c>
      <c r="D18" s="31">
        <v>27867.339371268808</v>
      </c>
      <c r="E18" s="32">
        <v>1147.9304146935062</v>
      </c>
      <c r="F18" s="31">
        <v>27873.406673161538</v>
      </c>
      <c r="G18" s="32">
        <v>1059.7071209542873</v>
      </c>
      <c r="H18" s="31">
        <v>27874.626760431056</v>
      </c>
      <c r="I18" s="32">
        <v>972.10683664111707</v>
      </c>
      <c r="J18" s="31">
        <v>27870.290044604972</v>
      </c>
      <c r="K18" s="32">
        <v>885.13966737148849</v>
      </c>
      <c r="L18" s="31">
        <v>27859.522929619132</v>
      </c>
      <c r="M18" s="32">
        <v>798.82150356583122</v>
      </c>
      <c r="N18" s="31">
        <v>27841.222110490176</v>
      </c>
      <c r="O18" s="32">
        <v>713.18428246465442</v>
      </c>
      <c r="P18" s="31">
        <v>27813.956818077564</v>
      </c>
      <c r="Q18" s="32">
        <v>628.29938967123121</v>
      </c>
      <c r="R18" s="31">
        <v>27775.816167313922</v>
      </c>
      <c r="S18" s="32">
        <v>544.30736211106455</v>
      </c>
      <c r="T18" s="31">
        <v>27724.163826071675</v>
      </c>
      <c r="U18" s="32">
        <v>461.46633697930088</v>
      </c>
      <c r="V18" s="31">
        <v>27655.223076952239</v>
      </c>
      <c r="W18" s="32">
        <v>380.23333254343964</v>
      </c>
      <c r="X18" s="31">
        <v>27563.361807074274</v>
      </c>
      <c r="Y18" s="32">
        <v>301.38323161766584</v>
      </c>
      <c r="Z18" s="31">
        <v>27439.792536971407</v>
      </c>
      <c r="AA18" s="32">
        <v>226.19304874982205</v>
      </c>
      <c r="AB18" s="31">
        <v>27270.109044780718</v>
      </c>
      <c r="AC18" s="32">
        <v>156.70191089973227</v>
      </c>
      <c r="AD18" s="31">
        <v>27029.414024388414</v>
      </c>
      <c r="AE18" s="32">
        <v>96.010056166034502</v>
      </c>
      <c r="AF18" s="31">
        <v>26672.48720818451</v>
      </c>
      <c r="AG18" s="32">
        <v>48.306230081036858</v>
      </c>
      <c r="AH18" s="31">
        <v>26114.042177357594</v>
      </c>
      <c r="AI18" s="32">
        <v>17.582050315061625</v>
      </c>
      <c r="AJ18" s="31">
        <v>25185.717508318889</v>
      </c>
      <c r="AK18" s="32">
        <v>3.7826324662585873</v>
      </c>
      <c r="AL18" s="31">
        <v>23491.275999287576</v>
      </c>
      <c r="AM18" s="32">
        <v>0.34573647259083262</v>
      </c>
      <c r="AN18" s="31"/>
      <c r="AO18" s="32"/>
      <c r="AP18" s="31"/>
      <c r="AQ18" s="32"/>
      <c r="AR18" s="31"/>
      <c r="AS18" s="32"/>
      <c r="AT18" s="31"/>
      <c r="AU18" s="32"/>
      <c r="AV18" s="31"/>
      <c r="AW18" s="32"/>
    </row>
    <row r="19" spans="1:49" x14ac:dyDescent="0.2">
      <c r="A19" t="s">
        <v>3</v>
      </c>
      <c r="B19" s="39">
        <v>1886.3937399999966</v>
      </c>
      <c r="C19" s="40">
        <v>262.78711299999759</v>
      </c>
      <c r="D19" s="39">
        <v>1881.6435018197874</v>
      </c>
      <c r="E19" s="40">
        <v>268.23921910251278</v>
      </c>
      <c r="F19" s="39">
        <v>1876.603830365641</v>
      </c>
      <c r="G19" s="40">
        <v>274.67601266730469</v>
      </c>
      <c r="H19" s="39">
        <v>1871.2111682160989</v>
      </c>
      <c r="I19" s="40">
        <v>282.22845173801392</v>
      </c>
      <c r="J19" s="39">
        <v>1865.3873756447504</v>
      </c>
      <c r="K19" s="40">
        <v>291.04474211311106</v>
      </c>
      <c r="L19" s="39">
        <v>1859.036423390786</v>
      </c>
      <c r="M19" s="40">
        <v>301.28571311251204</v>
      </c>
      <c r="N19" s="39">
        <v>1852.0411604687897</v>
      </c>
      <c r="O19" s="40">
        <v>313.12349372186145</v>
      </c>
      <c r="P19" s="39">
        <v>1844.2585483444263</v>
      </c>
      <c r="Q19" s="40">
        <v>326.72588144871077</v>
      </c>
      <c r="R19" s="39">
        <v>1835.5146805893514</v>
      </c>
      <c r="S19" s="40">
        <v>342.23288864402798</v>
      </c>
      <c r="T19" s="39">
        <v>1825.5987649428025</v>
      </c>
      <c r="U19" s="40">
        <v>359.70808459640193</v>
      </c>
      <c r="V19" s="39">
        <v>1814.2554386225554</v>
      </c>
      <c r="W19" s="40">
        <v>379.04706027901057</v>
      </c>
      <c r="X19" s="39">
        <v>1801.1750969638317</v>
      </c>
      <c r="Y19" s="40">
        <v>399.80539763054639</v>
      </c>
      <c r="Z19" s="39">
        <v>1785.9784960816799</v>
      </c>
      <c r="AA19" s="40">
        <v>420.87443935817794</v>
      </c>
      <c r="AB19" s="39">
        <v>1768.1847308193951</v>
      </c>
      <c r="AC19" s="40">
        <v>439.87460032895984</v>
      </c>
      <c r="AD19" s="39">
        <v>1747.117930810314</v>
      </c>
      <c r="AE19" s="40">
        <v>452.08061491387457</v>
      </c>
      <c r="AF19" s="39">
        <v>1721.5711271929656</v>
      </c>
      <c r="AG19" s="40">
        <v>448.89512490340269</v>
      </c>
      <c r="AH19" s="39">
        <v>1688.5118989609232</v>
      </c>
      <c r="AI19" s="40">
        <v>417.50343420834344</v>
      </c>
      <c r="AJ19" s="39">
        <v>1638.6205342663795</v>
      </c>
      <c r="AK19" s="40">
        <v>347.27818396454518</v>
      </c>
      <c r="AL19" s="39">
        <v>1543.1485065453278</v>
      </c>
      <c r="AM19" s="40">
        <v>243.10759474226242</v>
      </c>
      <c r="AN19" s="39"/>
      <c r="AO19" s="40"/>
      <c r="AP19" s="39"/>
      <c r="AQ19" s="40"/>
      <c r="AR19" s="39"/>
      <c r="AS19" s="40"/>
      <c r="AT19" s="39"/>
      <c r="AU19" s="40"/>
      <c r="AV19" s="39"/>
      <c r="AW19" s="40"/>
    </row>
    <row r="20" spans="1:49" x14ac:dyDescent="0.2">
      <c r="A20" t="s">
        <v>114</v>
      </c>
      <c r="B20" s="79">
        <v>26548.356269999993</v>
      </c>
      <c r="C20" s="80">
        <v>1408.5418709999938</v>
      </c>
      <c r="D20" s="79">
        <v>26539.410445617257</v>
      </c>
      <c r="E20" s="80">
        <v>1338.1147774499941</v>
      </c>
      <c r="F20" s="79">
        <v>26526.307115035706</v>
      </c>
      <c r="G20" s="80">
        <v>1267.6876838999945</v>
      </c>
      <c r="H20" s="79">
        <v>26508.404270186744</v>
      </c>
      <c r="I20" s="80">
        <v>1197.2605903499946</v>
      </c>
      <c r="J20" s="79">
        <v>26484.918022553895</v>
      </c>
      <c r="K20" s="80">
        <v>1126.8334967999949</v>
      </c>
      <c r="L20" s="79">
        <v>26454.881885314851</v>
      </c>
      <c r="M20" s="80">
        <v>1056.4064032499953</v>
      </c>
      <c r="N20" s="79">
        <v>26417.087725915117</v>
      </c>
      <c r="O20" s="80">
        <v>985.97930969999561</v>
      </c>
      <c r="P20" s="79">
        <v>26369.998339412497</v>
      </c>
      <c r="Q20" s="80">
        <v>915.55221614999596</v>
      </c>
      <c r="R20" s="79">
        <v>26311.620342005652</v>
      </c>
      <c r="S20" s="80">
        <v>845.12512259999642</v>
      </c>
      <c r="T20" s="79">
        <v>26239.308061130938</v>
      </c>
      <c r="U20" s="80">
        <v>774.69802904999653</v>
      </c>
      <c r="V20" s="79">
        <v>26149.442593937576</v>
      </c>
      <c r="W20" s="80">
        <v>704.27093549999688</v>
      </c>
      <c r="X20" s="79">
        <v>26036.894661918242</v>
      </c>
      <c r="Y20" s="80">
        <v>633.84384194999723</v>
      </c>
      <c r="Z20" s="79">
        <v>25894.060360271396</v>
      </c>
      <c r="AA20" s="80">
        <v>563.41674839999746</v>
      </c>
      <c r="AB20" s="79">
        <v>25709.028610870555</v>
      </c>
      <c r="AC20" s="80">
        <v>492.98965484999781</v>
      </c>
      <c r="AD20" s="79">
        <v>25461.84527568729</v>
      </c>
      <c r="AE20" s="80">
        <v>422.56256129999809</v>
      </c>
      <c r="AF20" s="79">
        <v>25116.393222252424</v>
      </c>
      <c r="AG20" s="80">
        <v>352.13546774999827</v>
      </c>
      <c r="AH20" s="79">
        <v>24601.649229089442</v>
      </c>
      <c r="AI20" s="80">
        <v>281.70837419999856</v>
      </c>
      <c r="AJ20" s="79">
        <v>23764.582207886466</v>
      </c>
      <c r="AK20" s="80">
        <v>211.28128064999879</v>
      </c>
      <c r="AL20" s="79">
        <v>22219.680356308516</v>
      </c>
      <c r="AM20" s="80">
        <v>140.85418709999902</v>
      </c>
      <c r="AN20" s="79"/>
      <c r="AO20" s="80"/>
      <c r="AP20" s="79"/>
      <c r="AQ20" s="80"/>
      <c r="AR20" s="79"/>
      <c r="AS20" s="80"/>
      <c r="AT20" s="79"/>
      <c r="AU20" s="80"/>
      <c r="AV20" s="79"/>
      <c r="AW20" s="80"/>
    </row>
    <row r="21" spans="1:49" x14ac:dyDescent="0.2">
      <c r="A21" t="s">
        <v>76</v>
      </c>
      <c r="B21" s="79">
        <v>24661.96252999999</v>
      </c>
      <c r="C21" s="80">
        <v>1145.7547579999939</v>
      </c>
      <c r="D21" s="79">
        <v>24657.769362552488</v>
      </c>
      <c r="E21" s="80">
        <v>1070.0825584206575</v>
      </c>
      <c r="F21" s="79">
        <v>24649.71296098188</v>
      </c>
      <c r="G21" s="80">
        <v>993.90509932549799</v>
      </c>
      <c r="H21" s="79">
        <v>24637.214944090079</v>
      </c>
      <c r="I21" s="80">
        <v>917.20774261955239</v>
      </c>
      <c r="J21" s="79">
        <v>24619.569746235687</v>
      </c>
      <c r="K21" s="80">
        <v>839.98783934335745</v>
      </c>
      <c r="L21" s="79">
        <v>24595.907241228804</v>
      </c>
      <c r="M21" s="80">
        <v>762.26627472019914</v>
      </c>
      <c r="N21" s="79">
        <v>24565.136959170366</v>
      </c>
      <c r="O21" s="80">
        <v>684.09738062409644</v>
      </c>
      <c r="P21" s="79">
        <v>24525.865452893035</v>
      </c>
      <c r="Q21" s="80">
        <v>605.59288791743938</v>
      </c>
      <c r="R21" s="79">
        <v>24476.274170596862</v>
      </c>
      <c r="S21" s="80">
        <v>526.95267264215454</v>
      </c>
      <c r="T21" s="79">
        <v>24413.929295196413</v>
      </c>
      <c r="U21" s="80">
        <v>448.51445782277864</v>
      </c>
      <c r="V21" s="79">
        <v>24335.46826500168</v>
      </c>
      <c r="W21" s="80">
        <v>370.82990000508681</v>
      </c>
      <c r="X21" s="79">
        <v>24236.071745188365</v>
      </c>
      <c r="Y21" s="80">
        <v>294.78125164203431</v>
      </c>
      <c r="Z21" s="79">
        <v>24108.513540813845</v>
      </c>
      <c r="AA21" s="80">
        <v>221.75778276183661</v>
      </c>
      <c r="AB21" s="79">
        <v>23941.357540505047</v>
      </c>
      <c r="AC21" s="80">
        <v>153.90702099637033</v>
      </c>
      <c r="AD21" s="79">
        <v>23715.310561124264</v>
      </c>
      <c r="AE21" s="80">
        <v>94.418993391790011</v>
      </c>
      <c r="AF21" s="79">
        <v>23395.432873243612</v>
      </c>
      <c r="AG21" s="80">
        <v>47.544437675834615</v>
      </c>
      <c r="AH21" s="79">
        <v>22913.69294532861</v>
      </c>
      <c r="AI21" s="80">
        <v>17.312039823933276</v>
      </c>
      <c r="AJ21" s="79">
        <v>22126.365671648698</v>
      </c>
      <c r="AK21" s="80">
        <v>3.725117084539511</v>
      </c>
      <c r="AL21" s="79">
        <v>20676.751230861111</v>
      </c>
      <c r="AM21" s="80">
        <v>0.34049040678431852</v>
      </c>
      <c r="AN21" s="79"/>
      <c r="AO21" s="80"/>
      <c r="AP21" s="79"/>
      <c r="AQ21" s="80"/>
      <c r="AR21" s="79"/>
      <c r="AS21" s="80"/>
      <c r="AT21" s="79"/>
      <c r="AU21" s="80"/>
      <c r="AV21" s="79"/>
      <c r="AW21" s="80"/>
    </row>
    <row r="22" spans="1:49" x14ac:dyDescent="0.2">
      <c r="A22" t="s">
        <v>28</v>
      </c>
      <c r="B22" s="39">
        <v>6533.6044688320717</v>
      </c>
      <c r="C22" s="40">
        <v>379.90788307663411</v>
      </c>
      <c r="D22" s="39">
        <v>6534.3675357811571</v>
      </c>
      <c r="E22" s="40">
        <v>364.94850525472009</v>
      </c>
      <c r="F22" s="39">
        <v>6533.6016777945033</v>
      </c>
      <c r="G22" s="40">
        <v>349.6772220380638</v>
      </c>
      <c r="H22" s="39">
        <v>6531.0773278915394</v>
      </c>
      <c r="I22" s="40">
        <v>334.09080232883184</v>
      </c>
      <c r="J22" s="39">
        <v>6526.5163216019782</v>
      </c>
      <c r="K22" s="40">
        <v>318.18618324976308</v>
      </c>
      <c r="L22" s="39">
        <v>6519.5732376188707</v>
      </c>
      <c r="M22" s="40">
        <v>301.96058359988086</v>
      </c>
      <c r="N22" s="39">
        <v>6509.8226211384608</v>
      </c>
      <c r="O22" s="40">
        <v>285.40941380882225</v>
      </c>
      <c r="P22" s="39">
        <v>6496.7240686479809</v>
      </c>
      <c r="Q22" s="40">
        <v>268.52498259197512</v>
      </c>
      <c r="R22" s="39">
        <v>6479.5836635394153</v>
      </c>
      <c r="S22" s="40">
        <v>251.29323742601474</v>
      </c>
      <c r="T22" s="39">
        <v>6457.4915527916792</v>
      </c>
      <c r="U22" s="40">
        <v>233.68936795233807</v>
      </c>
      <c r="V22" s="39">
        <v>6429.2215171069311</v>
      </c>
      <c r="W22" s="40">
        <v>215.67094807177276</v>
      </c>
      <c r="X22" s="39">
        <v>6393.0691860087991</v>
      </c>
      <c r="Y22" s="40">
        <v>197.16823544272557</v>
      </c>
      <c r="Z22" s="39">
        <v>6346.5678371015656</v>
      </c>
      <c r="AA22" s="40">
        <v>178.0706610761649</v>
      </c>
      <c r="AB22" s="39">
        <v>6285.961968470875</v>
      </c>
      <c r="AC22" s="40">
        <v>158.21085366758322</v>
      </c>
      <c r="AD22" s="39">
        <v>6205.1545605706915</v>
      </c>
      <c r="AE22" s="40">
        <v>137.35445729136654</v>
      </c>
      <c r="AF22" s="39">
        <v>6093.4351006350162</v>
      </c>
      <c r="AG22" s="40">
        <v>115.23239136305382</v>
      </c>
      <c r="AH22" s="39">
        <v>5930.165598328229</v>
      </c>
      <c r="AI22" s="40">
        <v>91.710646130593446</v>
      </c>
      <c r="AJ22" s="39">
        <v>5671.2891646682219</v>
      </c>
      <c r="AK22" s="40">
        <v>67.162726842195937</v>
      </c>
      <c r="AL22" s="39">
        <v>5208.7244233484653</v>
      </c>
      <c r="AM22" s="40">
        <v>42.629941661747807</v>
      </c>
      <c r="AN22" s="39"/>
      <c r="AO22" s="40"/>
      <c r="AP22" s="39"/>
      <c r="AQ22" s="40"/>
      <c r="AR22" s="39"/>
      <c r="AS22" s="40"/>
      <c r="AT22" s="39"/>
      <c r="AU22" s="40"/>
      <c r="AV22" s="39"/>
      <c r="AW22" s="40"/>
    </row>
    <row r="23" spans="1:49" x14ac:dyDescent="0.2">
      <c r="A23" t="s">
        <v>7</v>
      </c>
      <c r="B23" s="110">
        <v>3278.5018080150408</v>
      </c>
      <c r="C23" s="8">
        <v>0</v>
      </c>
      <c r="D23" s="110">
        <v>3283.7433212240553</v>
      </c>
      <c r="E23" s="8">
        <v>0</v>
      </c>
      <c r="F23" s="110">
        <v>3288.6428430826263</v>
      </c>
      <c r="G23" s="8">
        <v>0</v>
      </c>
      <c r="H23" s="110">
        <v>3293.1413484917634</v>
      </c>
      <c r="I23" s="8">
        <v>0</v>
      </c>
      <c r="J23" s="110">
        <v>3297.1653155090034</v>
      </c>
      <c r="K23" s="8">
        <v>0</v>
      </c>
      <c r="L23" s="110">
        <v>3300.6223808881018</v>
      </c>
      <c r="M23" s="8">
        <v>0</v>
      </c>
      <c r="N23" s="110">
        <v>3303.3962347257557</v>
      </c>
      <c r="O23" s="8">
        <v>0</v>
      </c>
      <c r="P23" s="110">
        <v>3305.3377122411584</v>
      </c>
      <c r="Q23" s="8">
        <v>0</v>
      </c>
      <c r="R23" s="110">
        <v>3306.2539177437993</v>
      </c>
      <c r="S23" s="8">
        <v>0</v>
      </c>
      <c r="T23" s="110">
        <v>3305.892125967905</v>
      </c>
      <c r="U23" s="8">
        <v>0</v>
      </c>
      <c r="V23" s="110">
        <v>3303.9145324334891</v>
      </c>
      <c r="W23" s="8">
        <v>0</v>
      </c>
      <c r="X23" s="110">
        <v>3299.8595251770184</v>
      </c>
      <c r="Y23" s="8">
        <v>0</v>
      </c>
      <c r="Z23" s="110">
        <v>3293.075065169493</v>
      </c>
      <c r="AA23" s="8">
        <v>0</v>
      </c>
      <c r="AB23" s="110">
        <v>3282.5947058965462</v>
      </c>
      <c r="AC23" s="8">
        <v>0</v>
      </c>
      <c r="AD23" s="110">
        <v>3266.8727323530784</v>
      </c>
      <c r="AE23" s="8">
        <v>0</v>
      </c>
      <c r="AF23" s="110">
        <v>3243.1221518283714</v>
      </c>
      <c r="AG23" s="8">
        <v>0</v>
      </c>
      <c r="AH23" s="110">
        <v>3205.3766203677937</v>
      </c>
      <c r="AI23" s="8">
        <v>0</v>
      </c>
      <c r="AJ23" s="110">
        <v>3138.3866061501867</v>
      </c>
      <c r="AK23" s="8">
        <v>0</v>
      </c>
      <c r="AL23" s="110">
        <v>2997.2058900078173</v>
      </c>
      <c r="AM23" s="8">
        <v>0</v>
      </c>
      <c r="AN23" s="110"/>
      <c r="AO23" s="8"/>
      <c r="AP23" s="110"/>
      <c r="AQ23" s="8"/>
      <c r="AR23" s="110"/>
      <c r="AS23" s="8"/>
      <c r="AT23" s="110"/>
      <c r="AU23" s="8"/>
      <c r="AV23" s="110"/>
      <c r="AW23" s="8"/>
    </row>
    <row r="24" spans="1:49" x14ac:dyDescent="0.2">
      <c r="A24" t="s">
        <v>8</v>
      </c>
      <c r="B24" s="93">
        <v>3196.3846373657216</v>
      </c>
      <c r="C24" s="8">
        <v>0</v>
      </c>
      <c r="D24" s="93">
        <v>3201.494866882128</v>
      </c>
      <c r="E24" s="8">
        <v>0</v>
      </c>
      <c r="F24" s="93">
        <v>3206.2716698889644</v>
      </c>
      <c r="G24" s="8">
        <v>0</v>
      </c>
      <c r="H24" s="93">
        <v>3210.6574987327626</v>
      </c>
      <c r="I24" s="8">
        <v>0</v>
      </c>
      <c r="J24" s="93">
        <v>3214.5806758360036</v>
      </c>
      <c r="K24" s="8">
        <v>0</v>
      </c>
      <c r="L24" s="93">
        <v>3217.9511524284608</v>
      </c>
      <c r="M24" s="8">
        <v>0</v>
      </c>
      <c r="N24" s="93">
        <v>3220.6555289059347</v>
      </c>
      <c r="O24" s="8">
        <v>0</v>
      </c>
      <c r="P24" s="93">
        <v>3222.5483777216527</v>
      </c>
      <c r="Q24" s="8">
        <v>0</v>
      </c>
      <c r="R24" s="93">
        <v>3223.4416354293417</v>
      </c>
      <c r="S24" s="8">
        <v>0</v>
      </c>
      <c r="T24" s="93">
        <v>3223.0889054044178</v>
      </c>
      <c r="U24" s="8">
        <v>0</v>
      </c>
      <c r="V24" s="93">
        <v>3221.1608450046456</v>
      </c>
      <c r="W24" s="8">
        <v>0</v>
      </c>
      <c r="X24" s="93">
        <v>3217.2074041629548</v>
      </c>
      <c r="Y24" s="8">
        <v>0</v>
      </c>
      <c r="Z24" s="93">
        <v>3210.5928760376642</v>
      </c>
      <c r="AA24" s="8">
        <v>0</v>
      </c>
      <c r="AB24" s="93">
        <v>3200.3750196770234</v>
      </c>
      <c r="AC24" s="8">
        <v>0</v>
      </c>
      <c r="AD24" s="93">
        <v>3185.0468371107249</v>
      </c>
      <c r="AE24" s="8">
        <v>0</v>
      </c>
      <c r="AF24" s="93">
        <v>3161.8911411900331</v>
      </c>
      <c r="AG24" s="8">
        <v>0</v>
      </c>
      <c r="AH24" s="93">
        <v>3125.0910282462914</v>
      </c>
      <c r="AI24" s="8">
        <v>0</v>
      </c>
      <c r="AJ24" s="93">
        <v>3059.7789238638052</v>
      </c>
      <c r="AK24" s="8">
        <v>0</v>
      </c>
      <c r="AL24" s="93">
        <v>2922.1343841944945</v>
      </c>
      <c r="AM24" s="8">
        <v>0</v>
      </c>
      <c r="AN24" s="93"/>
      <c r="AO24" s="8"/>
      <c r="AP24" s="93"/>
      <c r="AQ24" s="8"/>
      <c r="AR24" s="93"/>
      <c r="AS24" s="8"/>
      <c r="AT24" s="93"/>
      <c r="AU24" s="8"/>
      <c r="AV24" s="93"/>
      <c r="AW24" s="8"/>
    </row>
    <row r="25" spans="1:49" x14ac:dyDescent="0.2">
      <c r="A25" t="s">
        <v>0</v>
      </c>
      <c r="B25" s="39">
        <v>3195.0476040000012</v>
      </c>
      <c r="C25" s="40">
        <v>91.012690000004255</v>
      </c>
      <c r="D25" s="39">
        <v>3209.5621782866601</v>
      </c>
      <c r="E25" s="40">
        <v>77.774149438419698</v>
      </c>
      <c r="F25" s="39">
        <v>3223.6622068431975</v>
      </c>
      <c r="G25" s="40">
        <v>65.522755878498359</v>
      </c>
      <c r="H25" s="39">
        <v>3237.3403569587954</v>
      </c>
      <c r="I25" s="40">
        <v>54.307182421223651</v>
      </c>
      <c r="J25" s="39">
        <v>3250.5918014385961</v>
      </c>
      <c r="K25" s="40">
        <v>44.16811139495379</v>
      </c>
      <c r="L25" s="39">
        <v>3263.4117093553364</v>
      </c>
      <c r="M25" s="40">
        <v>35.136417305514634</v>
      </c>
      <c r="N25" s="39">
        <v>3275.7852741108022</v>
      </c>
      <c r="O25" s="40">
        <v>27.22969100316871</v>
      </c>
      <c r="P25" s="39">
        <v>3287.6724286663912</v>
      </c>
      <c r="Q25" s="40">
        <v>20.450333042554753</v>
      </c>
      <c r="R25" s="39">
        <v>3298.9773115441299</v>
      </c>
      <c r="S25" s="40">
        <v>14.782372755128652</v>
      </c>
      <c r="T25" s="39">
        <v>3309.4933023521012</v>
      </c>
      <c r="U25" s="40">
        <v>10.188853931698196</v>
      </c>
      <c r="V25" s="39">
        <v>3318.8022852094446</v>
      </c>
      <c r="W25" s="40">
        <v>6.6096580881403524</v>
      </c>
      <c r="X25" s="39">
        <v>3326.0896160454386</v>
      </c>
      <c r="Y25" s="40">
        <v>3.9598034501210471</v>
      </c>
      <c r="Z25" s="39">
        <v>3329.7986760526096</v>
      </c>
      <c r="AA25" s="40">
        <v>2.1287667005905537</v>
      </c>
      <c r="AB25" s="39">
        <v>3326.9798547084984</v>
      </c>
      <c r="AC25" s="40">
        <v>0.98109360149256619</v>
      </c>
      <c r="AD25" s="39">
        <v>3312.0823975150215</v>
      </c>
      <c r="AE25" s="40">
        <v>0.35927390100520817</v>
      </c>
      <c r="AF25" s="39">
        <v>3274.9331561630315</v>
      </c>
      <c r="AG25" s="40">
        <v>9.1743814777140623E-2</v>
      </c>
      <c r="AH25" s="39">
        <v>3198.4247820689898</v>
      </c>
      <c r="AI25" s="40">
        <v>1.3078536612742209E-2</v>
      </c>
      <c r="AJ25" s="39">
        <v>3057.9656048535558</v>
      </c>
      <c r="AK25" s="40">
        <v>7.2798905593710723E-4</v>
      </c>
      <c r="AL25" s="39">
        <v>2813.7829114419555</v>
      </c>
      <c r="AM25" s="40">
        <v>8.6882791060095178E-6</v>
      </c>
      <c r="AN25" s="39"/>
      <c r="AO25" s="40"/>
      <c r="AP25" s="39"/>
      <c r="AQ25" s="40"/>
      <c r="AR25" s="39"/>
      <c r="AS25" s="40"/>
      <c r="AT25" s="39"/>
      <c r="AU25" s="40"/>
      <c r="AV25" s="39"/>
      <c r="AW25" s="40"/>
    </row>
    <row r="26" spans="1:49" x14ac:dyDescent="0.2">
      <c r="A26" t="s">
        <v>27</v>
      </c>
      <c r="B26" s="31">
        <v>5036.2953101960647</v>
      </c>
      <c r="C26" s="32">
        <v>74.905331803938267</v>
      </c>
      <c r="D26" s="31">
        <v>5041.2786747847722</v>
      </c>
      <c r="E26" s="32">
        <v>69.921967215233508</v>
      </c>
      <c r="F26" s="31">
        <v>5046.2441712813325</v>
      </c>
      <c r="G26" s="32">
        <v>64.956470718676627</v>
      </c>
      <c r="H26" s="31">
        <v>5051.1948048905588</v>
      </c>
      <c r="I26" s="32">
        <v>60.005837109449125</v>
      </c>
      <c r="J26" s="31">
        <v>5056.1343607817298</v>
      </c>
      <c r="K26" s="32">
        <v>55.066281218283038</v>
      </c>
      <c r="L26" s="31">
        <v>5061.0672385164362</v>
      </c>
      <c r="M26" s="32">
        <v>50.133403483564805</v>
      </c>
      <c r="N26" s="31">
        <v>5065.9980593040382</v>
      </c>
      <c r="O26" s="32">
        <v>45.202582695965347</v>
      </c>
      <c r="P26" s="31">
        <v>5070.9305345809471</v>
      </c>
      <c r="Q26" s="32">
        <v>40.270107419060523</v>
      </c>
      <c r="R26" s="31">
        <v>5075.8658773722145</v>
      </c>
      <c r="S26" s="32">
        <v>35.334764627788289</v>
      </c>
      <c r="T26" s="31">
        <v>5080.7999733423303</v>
      </c>
      <c r="U26" s="32">
        <v>30.40066865767221</v>
      </c>
      <c r="V26" s="31">
        <v>5085.7184222307951</v>
      </c>
      <c r="W26" s="32">
        <v>25.482219769209298</v>
      </c>
      <c r="X26" s="31">
        <v>5090.5886079376787</v>
      </c>
      <c r="Y26" s="32">
        <v>20.612034062327414</v>
      </c>
      <c r="Z26" s="31">
        <v>5095.3465945743656</v>
      </c>
      <c r="AA26" s="32">
        <v>15.854047425640521</v>
      </c>
      <c r="AB26" s="31">
        <v>5099.8766148606974</v>
      </c>
      <c r="AC26" s="32">
        <v>11.324027139307104</v>
      </c>
      <c r="AD26" s="31">
        <v>5103.9827069065786</v>
      </c>
      <c r="AE26" s="32">
        <v>7.2179350934289301</v>
      </c>
      <c r="AF26" s="31">
        <v>5107.3679271203982</v>
      </c>
      <c r="AG26" s="32">
        <v>3.8327148796105193</v>
      </c>
      <c r="AH26" s="31">
        <v>5109.6920953647978</v>
      </c>
      <c r="AI26" s="32">
        <v>1.5085466352060968</v>
      </c>
      <c r="AJ26" s="31">
        <v>5110.8339823452088</v>
      </c>
      <c r="AK26" s="32">
        <v>0.36665965479271462</v>
      </c>
      <c r="AL26" s="31">
        <v>5111.1591774377966</v>
      </c>
      <c r="AM26" s="32">
        <v>4.1464562206863669E-2</v>
      </c>
      <c r="AN26" s="31"/>
      <c r="AO26" s="32"/>
      <c r="AP26" s="31"/>
      <c r="AQ26" s="32"/>
      <c r="AR26" s="31"/>
      <c r="AS26" s="32"/>
      <c r="AT26" s="31"/>
      <c r="AU26" s="32"/>
      <c r="AV26" s="31"/>
      <c r="AW26" s="32"/>
    </row>
    <row r="27" spans="1:49" x14ac:dyDescent="0.2">
      <c r="A27" t="s">
        <v>2</v>
      </c>
      <c r="B27" s="33">
        <v>6425.1981590000414</v>
      </c>
      <c r="C27" s="34">
        <v>273.22915400000028</v>
      </c>
      <c r="D27" s="33">
        <v>6443.0773905149435</v>
      </c>
      <c r="E27" s="34">
        <v>255.34996268856477</v>
      </c>
      <c r="F27" s="33">
        <v>6460.9346304760857</v>
      </c>
      <c r="G27" s="34">
        <v>237.49273164025556</v>
      </c>
      <c r="H27" s="33">
        <v>6478.7803477667585</v>
      </c>
      <c r="I27" s="34">
        <v>219.64696580704145</v>
      </c>
      <c r="J27" s="33">
        <v>6496.627862025287</v>
      </c>
      <c r="K27" s="34">
        <v>201.79948222727461</v>
      </c>
      <c r="L27" s="33">
        <v>6514.4927869077419</v>
      </c>
      <c r="M27" s="34">
        <v>183.9345262574991</v>
      </c>
      <c r="N27" s="33">
        <v>6532.3919520609716</v>
      </c>
      <c r="O27" s="34">
        <v>166.03536049325868</v>
      </c>
      <c r="P27" s="33">
        <v>6550.3388098952191</v>
      </c>
      <c r="Q27" s="34">
        <v>148.08850104858379</v>
      </c>
      <c r="R27" s="33">
        <v>6568.3378048213162</v>
      </c>
      <c r="S27" s="34">
        <v>130.08950908715104</v>
      </c>
      <c r="T27" s="33">
        <v>6586.3741281312059</v>
      </c>
      <c r="U27" s="34">
        <v>112.05318797023216</v>
      </c>
      <c r="V27" s="33">
        <v>6604.3949061112708</v>
      </c>
      <c r="W27" s="34">
        <v>94.032409591220556</v>
      </c>
      <c r="X27" s="33">
        <v>6622.279885345969</v>
      </c>
      <c r="Y27" s="34">
        <v>76.14742363748995</v>
      </c>
      <c r="Z27" s="33">
        <v>6639.7922862148616</v>
      </c>
      <c r="AA27" s="34">
        <v>58.635043991905576</v>
      </c>
      <c r="AB27" s="33">
        <v>6656.5019303566542</v>
      </c>
      <c r="AC27" s="34">
        <v>41.925379726841342</v>
      </c>
      <c r="AD27" s="33">
        <v>6671.6784446721922</v>
      </c>
      <c r="AE27" s="34">
        <v>26.748872778416512</v>
      </c>
      <c r="AF27" s="33">
        <v>6684.212480754697</v>
      </c>
      <c r="AG27" s="34">
        <v>14.214826384527358</v>
      </c>
      <c r="AH27" s="33">
        <v>6692.8293576150782</v>
      </c>
      <c r="AI27" s="34">
        <v>5.5979560518883691</v>
      </c>
      <c r="AJ27" s="33">
        <v>6697.0663394180874</v>
      </c>
      <c r="AK27" s="34">
        <v>1.3609724584932472</v>
      </c>
      <c r="AL27" s="33">
        <v>6698.2733924495897</v>
      </c>
      <c r="AM27" s="34">
        <v>0.15392043092760765</v>
      </c>
      <c r="AN27" s="33"/>
      <c r="AO27" s="34"/>
      <c r="AP27" s="33"/>
      <c r="AQ27" s="34"/>
      <c r="AR27" s="33"/>
      <c r="AS27" s="34"/>
      <c r="AT27" s="33"/>
      <c r="AU27" s="34"/>
      <c r="AV27" s="33"/>
      <c r="AW27" s="34"/>
    </row>
    <row r="28" spans="1:49" x14ac:dyDescent="0.2">
      <c r="A28" t="s">
        <v>35</v>
      </c>
      <c r="B28" s="39">
        <v>13763.097676000029</v>
      </c>
      <c r="C28" s="40">
        <v>382.36647899999997</v>
      </c>
      <c r="D28" s="39">
        <v>13788.219364778566</v>
      </c>
      <c r="E28" s="40">
        <v>357.22617605128431</v>
      </c>
      <c r="F28" s="39">
        <v>13813.256524775343</v>
      </c>
      <c r="G28" s="40">
        <v>332.13330007900703</v>
      </c>
      <c r="H28" s="39">
        <v>13838.224149988624</v>
      </c>
      <c r="I28" s="40">
        <v>307.07312150300214</v>
      </c>
      <c r="J28" s="39">
        <v>13863.141113167869</v>
      </c>
      <c r="K28" s="40">
        <v>282.02708167953176</v>
      </c>
      <c r="L28" s="39">
        <v>13888.029345432184</v>
      </c>
      <c r="M28" s="40">
        <v>256.97315361540331</v>
      </c>
      <c r="N28" s="39">
        <v>13912.912174523533</v>
      </c>
      <c r="O28" s="40">
        <v>231.88800424944955</v>
      </c>
      <c r="P28" s="39">
        <v>13937.808138726363</v>
      </c>
      <c r="Q28" s="40">
        <v>206.75287922306168</v>
      </c>
      <c r="R28" s="39">
        <v>13962.723166757403</v>
      </c>
      <c r="S28" s="40">
        <v>181.56171020301267</v>
      </c>
      <c r="T28" s="39">
        <v>13987.636487861273</v>
      </c>
      <c r="U28" s="40">
        <v>156.33543875842736</v>
      </c>
      <c r="V28" s="39">
        <v>14012.475176739877</v>
      </c>
      <c r="W28" s="40">
        <v>131.14805763604454</v>
      </c>
      <c r="X28" s="39">
        <v>14037.074321610522</v>
      </c>
      <c r="Y28" s="40">
        <v>106.16746844432114</v>
      </c>
      <c r="Z28" s="39">
        <v>14061.110643133836</v>
      </c>
      <c r="AA28" s="40">
        <v>81.723733165697823</v>
      </c>
      <c r="AB28" s="39">
        <v>14083.998823167431</v>
      </c>
      <c r="AC28" s="40">
        <v>58.415647114098732</v>
      </c>
      <c r="AD28" s="39">
        <v>14104.747910469992</v>
      </c>
      <c r="AE28" s="40">
        <v>37.259008271153128</v>
      </c>
      <c r="AF28" s="39">
        <v>14121.85626065579</v>
      </c>
      <c r="AG28" s="40">
        <v>19.79534369985933</v>
      </c>
      <c r="AH28" s="39">
        <v>14133.603235672936</v>
      </c>
      <c r="AI28" s="40">
        <v>7.7943338091177088</v>
      </c>
      <c r="AJ28" s="39">
        <v>14139.374939893567</v>
      </c>
      <c r="AK28" s="40">
        <v>1.8948007127113842</v>
      </c>
      <c r="AL28" s="39">
        <v>14141.018685344856</v>
      </c>
      <c r="AM28" s="40">
        <v>0.21428924844653177</v>
      </c>
      <c r="AN28" s="39"/>
      <c r="AO28" s="40"/>
      <c r="AP28" s="39"/>
      <c r="AQ28" s="40"/>
      <c r="AR28" s="39"/>
      <c r="AS28" s="40"/>
      <c r="AT28" s="39"/>
      <c r="AU28" s="40"/>
      <c r="AV28" s="39"/>
      <c r="AW28" s="40"/>
    </row>
    <row r="29" spans="1:49" x14ac:dyDescent="0.2">
      <c r="A29" t="s">
        <v>53</v>
      </c>
      <c r="B29" s="33">
        <v>14362.768558000025</v>
      </c>
      <c r="C29" s="34">
        <v>817.26650999999993</v>
      </c>
      <c r="D29" s="33">
        <v>14367.610616173683</v>
      </c>
      <c r="E29" s="34">
        <v>755.77848737837371</v>
      </c>
      <c r="F29" s="33">
        <v>14370.246853421471</v>
      </c>
      <c r="G29" s="34">
        <v>694.93595663513258</v>
      </c>
      <c r="H29" s="33">
        <v>14370.373234539107</v>
      </c>
      <c r="I29" s="34">
        <v>634.77191530836899</v>
      </c>
      <c r="J29" s="33">
        <v>14367.620744594171</v>
      </c>
      <c r="K29" s="34">
        <v>575.32309884947426</v>
      </c>
      <c r="L29" s="33">
        <v>14361.535220668398</v>
      </c>
      <c r="M29" s="34">
        <v>516.63368519947142</v>
      </c>
      <c r="N29" s="33">
        <v>14351.542974307884</v>
      </c>
      <c r="O29" s="34">
        <v>458.76190705954878</v>
      </c>
      <c r="P29" s="33">
        <v>14336.900929163161</v>
      </c>
      <c r="Q29" s="34">
        <v>401.79525820443871</v>
      </c>
      <c r="R29" s="33">
        <v>14316.618186399537</v>
      </c>
      <c r="S29" s="34">
        <v>345.86891466935322</v>
      </c>
      <c r="T29" s="33">
        <v>14289.330578728117</v>
      </c>
      <c r="U29" s="34">
        <v>291.19530436085421</v>
      </c>
      <c r="V29" s="33">
        <v>14253.088987048181</v>
      </c>
      <c r="W29" s="34">
        <v>238.11282841282588</v>
      </c>
      <c r="X29" s="33">
        <v>14204.99504355568</v>
      </c>
      <c r="Y29" s="34">
        <v>187.15543553655476</v>
      </c>
      <c r="Z29" s="33">
        <v>14140.539497537908</v>
      </c>
      <c r="AA29" s="34">
        <v>139.15798568669706</v>
      </c>
      <c r="AB29" s="33">
        <v>14052.348874504087</v>
      </c>
      <c r="AC29" s="34">
        <v>95.399555962928503</v>
      </c>
      <c r="AD29" s="33">
        <v>13927.702435709012</v>
      </c>
      <c r="AE29" s="34">
        <v>57.754966744441006</v>
      </c>
      <c r="AF29" s="33">
        <v>13743.50292142436</v>
      </c>
      <c r="AG29" s="34">
        <v>28.657776108677254</v>
      </c>
      <c r="AH29" s="33">
        <v>13456.0938763842</v>
      </c>
      <c r="AI29" s="34">
        <v>10.262114416127817</v>
      </c>
      <c r="AJ29" s="33">
        <v>12978.876760957341</v>
      </c>
      <c r="AK29" s="34">
        <v>2.1666122781953385</v>
      </c>
      <c r="AL29" s="33">
        <v>12107.268737171811</v>
      </c>
      <c r="AM29" s="34">
        <v>0.1939451297269586</v>
      </c>
      <c r="AN29" s="33"/>
      <c r="AO29" s="34"/>
      <c r="AP29" s="33"/>
      <c r="AQ29" s="34"/>
      <c r="AR29" s="33"/>
      <c r="AS29" s="34"/>
      <c r="AT29" s="33"/>
      <c r="AU29" s="34"/>
      <c r="AV29" s="33"/>
      <c r="AW29" s="34"/>
    </row>
    <row r="30" spans="1:49" x14ac:dyDescent="0.2">
      <c r="A30" t="s">
        <v>48</v>
      </c>
      <c r="B30" s="112">
        <v>2924829.9599999995</v>
      </c>
      <c r="D30" s="112">
        <v>3005988.4526974387</v>
      </c>
      <c r="F30" s="112">
        <v>3089404.5432998086</v>
      </c>
      <c r="H30" s="112">
        <v>3175385.4811455407</v>
      </c>
      <c r="J30" s="112">
        <v>3264289.0246766889</v>
      </c>
      <c r="L30" s="112">
        <v>3356531.4350486808</v>
      </c>
      <c r="N30" s="112">
        <v>3452627.3879600298</v>
      </c>
      <c r="P30" s="112">
        <v>3553227.2461931678</v>
      </c>
      <c r="R30" s="112">
        <v>3659203.0460330988</v>
      </c>
      <c r="T30" s="112">
        <v>3771792.5160936667</v>
      </c>
      <c r="V30" s="112">
        <v>3892860.3744510086</v>
      </c>
      <c r="X30" s="112">
        <v>4025385.8325798959</v>
      </c>
      <c r="Z30" s="112">
        <v>4174390.0668962039</v>
      </c>
      <c r="AB30" s="112">
        <v>4348737.5192979081</v>
      </c>
      <c r="AD30" s="112">
        <v>4564635.7831911128</v>
      </c>
      <c r="AF30" s="112">
        <v>4851915.3188632261</v>
      </c>
      <c r="AH30" s="112">
        <v>5262220.1745543089</v>
      </c>
      <c r="AJ30" s="112">
        <v>5869996.4981703553</v>
      </c>
      <c r="AL30" s="112">
        <v>6756257.5821582451</v>
      </c>
      <c r="AN30" s="112"/>
      <c r="AP30" s="112"/>
      <c r="AR30" s="112"/>
      <c r="AT30" s="112"/>
      <c r="AV30" s="112"/>
    </row>
    <row r="31" spans="1:49" x14ac:dyDescent="0.2">
      <c r="A31" t="s">
        <v>47</v>
      </c>
      <c r="B31" s="77">
        <v>1</v>
      </c>
      <c r="D31" s="77">
        <v>0.99789786016645821</v>
      </c>
      <c r="F31" s="77">
        <v>0.9953769177821955</v>
      </c>
      <c r="H31" s="77">
        <v>0.99237895791188491</v>
      </c>
      <c r="J31" s="77">
        <v>0.98883419742752088</v>
      </c>
      <c r="L31" s="77">
        <v>0.98465751663706269</v>
      </c>
      <c r="N31" s="77">
        <v>0.97974469825087795</v>
      </c>
      <c r="P31" s="77">
        <v>0.97396496058175763</v>
      </c>
      <c r="R31" s="77">
        <v>0.96715145437430905</v>
      </c>
      <c r="T31" s="77">
        <v>0.95908618772845944</v>
      </c>
      <c r="V31" s="77">
        <v>0.94947559160784256</v>
      </c>
      <c r="X31" s="77">
        <v>0.93791044861281991</v>
      </c>
      <c r="Z31" s="77">
        <v>0.92379564354091315</v>
      </c>
      <c r="AB31" s="77">
        <v>0.90622182216915015</v>
      </c>
      <c r="AD31" s="77">
        <v>0.88371907166387198</v>
      </c>
      <c r="AF31" s="77">
        <v>0.85377130813274238</v>
      </c>
      <c r="AH31" s="77">
        <v>0.81185692142249399</v>
      </c>
      <c r="AJ31" s="77">
        <v>0.74950728467448013</v>
      </c>
      <c r="AL31" s="77">
        <v>0.64920914441408595</v>
      </c>
      <c r="AN31" s="77"/>
      <c r="AP31" s="77"/>
      <c r="AR31" s="77"/>
      <c r="AT31" s="77"/>
      <c r="AV31" s="77"/>
    </row>
    <row r="32" spans="1:49" x14ac:dyDescent="0.2">
      <c r="A32" t="s">
        <v>64</v>
      </c>
      <c r="B32" s="83">
        <v>14734457.915000005</v>
      </c>
      <c r="D32" s="83">
        <v>14741905.398299936</v>
      </c>
      <c r="F32" s="83">
        <v>14747757.685126605</v>
      </c>
      <c r="H32" s="83">
        <v>14751675.831600679</v>
      </c>
      <c r="J32" s="83">
        <v>14753236.459256228</v>
      </c>
      <c r="L32" s="83">
        <v>14751910.084858119</v>
      </c>
      <c r="N32" s="83">
        <v>14747041.345314439</v>
      </c>
      <c r="P32" s="83">
        <v>14737813.977622636</v>
      </c>
      <c r="R32" s="83">
        <v>14723217.189629018</v>
      </c>
      <c r="T32" s="83">
        <v>14702003.97878493</v>
      </c>
      <c r="V32" s="83">
        <v>14672637.348055897</v>
      </c>
      <c r="X32" s="83">
        <v>14633230.267194111</v>
      </c>
      <c r="Z32" s="83">
        <v>14581461.169981983</v>
      </c>
      <c r="AB32" s="83">
        <v>14514418.106011122</v>
      </c>
      <c r="AD32" s="83">
        <v>14428120.790234361</v>
      </c>
      <c r="AF32" s="83">
        <v>14315566.389790729</v>
      </c>
      <c r="AH32" s="83">
        <v>14158276.746193461</v>
      </c>
      <c r="AJ32" s="83">
        <v>13894468.12287052</v>
      </c>
      <c r="AL32" s="83">
        <v>13317199.804279493</v>
      </c>
      <c r="AN32" s="83"/>
      <c r="AP32" s="83"/>
      <c r="AR32" s="83"/>
      <c r="AT32" s="83"/>
      <c r="AV32" s="83"/>
    </row>
    <row r="33" spans="1:49 16319:16384" x14ac:dyDescent="0.2">
      <c r="A33" t="s">
        <v>54</v>
      </c>
      <c r="B33" s="111">
        <v>7019665.6909999941</v>
      </c>
      <c r="D33" s="111">
        <v>7023214.2227466144</v>
      </c>
      <c r="F33" s="111">
        <v>7026002.3565341635</v>
      </c>
      <c r="H33" s="111">
        <v>7027868.5246066973</v>
      </c>
      <c r="J33" s="111">
        <v>7028612.565648078</v>
      </c>
      <c r="L33" s="111">
        <v>7027980.1293716123</v>
      </c>
      <c r="N33" s="111">
        <v>7025660.623534523</v>
      </c>
      <c r="P33" s="111">
        <v>7021264.6142758355</v>
      </c>
      <c r="R33" s="111">
        <v>7014310.4952920778</v>
      </c>
      <c r="T33" s="111">
        <v>7004204.3191709248</v>
      </c>
      <c r="V33" s="111">
        <v>6990213.7131317407</v>
      </c>
      <c r="X33" s="111">
        <v>6971439.6782528525</v>
      </c>
      <c r="Z33" s="111">
        <v>6946776.3069865964</v>
      </c>
      <c r="AB33" s="111">
        <v>6914836.2083251411</v>
      </c>
      <c r="AD33" s="111">
        <v>6873723.1457297839</v>
      </c>
      <c r="AF33" s="111">
        <v>6820100.9508879371</v>
      </c>
      <c r="AH33" s="111">
        <v>6745166.3365624882</v>
      </c>
      <c r="AJ33" s="111">
        <v>6619484.866185789</v>
      </c>
      <c r="AL33" s="111">
        <v>6344467.5810925225</v>
      </c>
      <c r="AN33" s="111"/>
      <c r="AP33" s="111"/>
      <c r="AR33" s="111"/>
      <c r="AT33" s="111"/>
      <c r="AV33" s="111"/>
    </row>
    <row r="34" spans="1:49 16319:16384" x14ac:dyDescent="0.2">
      <c r="A34" t="s">
        <v>75</v>
      </c>
      <c r="B34" s="111">
        <v>1136879.4410000113</v>
      </c>
      <c r="D34" s="111">
        <v>1137453.6068027797</v>
      </c>
      <c r="F34" s="111">
        <v>1137905.11968875</v>
      </c>
      <c r="H34" s="111">
        <v>1138207.9194259061</v>
      </c>
      <c r="J34" s="111">
        <v>1138327.7950756885</v>
      </c>
      <c r="L34" s="111">
        <v>1138225.9901575528</v>
      </c>
      <c r="N34" s="111">
        <v>1137850.31092332</v>
      </c>
      <c r="P34" s="111">
        <v>1137138.3319158086</v>
      </c>
      <c r="R34" s="111">
        <v>1136012.1150658794</v>
      </c>
      <c r="T34" s="111">
        <v>1134375.3067445948</v>
      </c>
      <c r="V34" s="111">
        <v>1132109.4443960187</v>
      </c>
      <c r="X34" s="111">
        <v>1129068.9249011816</v>
      </c>
      <c r="Z34" s="111">
        <v>1125074.5073133423</v>
      </c>
      <c r="AB34" s="111">
        <v>1119901.617161636</v>
      </c>
      <c r="AD34" s="111">
        <v>1113243.1256918386</v>
      </c>
      <c r="AF34" s="111">
        <v>1104558.6478814404</v>
      </c>
      <c r="AH34" s="111">
        <v>1092422.527436336</v>
      </c>
      <c r="AJ34" s="111">
        <v>1072067.6146116869</v>
      </c>
      <c r="AL34" s="111">
        <v>1027526.8188426446</v>
      </c>
      <c r="AN34" s="111"/>
      <c r="AP34" s="111"/>
      <c r="AR34" s="111"/>
      <c r="AT34" s="111"/>
      <c r="AV34" s="111"/>
    </row>
    <row r="35" spans="1:49 16319:16384" x14ac:dyDescent="0.2">
      <c r="A35" t="s">
        <v>78</v>
      </c>
      <c r="B35" s="192">
        <v>1</v>
      </c>
      <c r="D35" s="192">
        <v>1.0026142715398441</v>
      </c>
      <c r="F35" s="192">
        <v>1.0055613997853696</v>
      </c>
      <c r="H35" s="192">
        <v>1.0088943709176013</v>
      </c>
      <c r="J35" s="192">
        <v>1.0126793841191</v>
      </c>
      <c r="L35" s="192">
        <v>1.0170003353883865</v>
      </c>
      <c r="N35" s="192">
        <v>1.0219666643481986</v>
      </c>
      <c r="P35" s="192">
        <v>1.0277243306694386</v>
      </c>
      <c r="R35" s="192">
        <v>1.0344741405506996</v>
      </c>
      <c r="T35" s="192">
        <v>1.0425017927855518</v>
      </c>
      <c r="V35" s="192">
        <v>1.0522298885964922</v>
      </c>
      <c r="X35" s="192">
        <v>1.0643121300457978</v>
      </c>
      <c r="Z35" s="192">
        <v>1.0798134250632212</v>
      </c>
      <c r="AB35" s="192">
        <v>1.1005750946960722</v>
      </c>
      <c r="AD35" s="192">
        <v>1.1300028667711715</v>
      </c>
      <c r="AF35" s="192">
        <v>1.1748561393598942</v>
      </c>
      <c r="AH35" s="192">
        <v>1.2494456337507811</v>
      </c>
      <c r="AJ35" s="192">
        <v>1.3861710790396482</v>
      </c>
      <c r="AL35" s="192">
        <v>1.6710228924853023</v>
      </c>
      <c r="AN35" s="192"/>
      <c r="AP35" s="192"/>
      <c r="AR35" s="192"/>
      <c r="AT35" s="192"/>
      <c r="AV35" s="192"/>
    </row>
    <row r="36" spans="1:49 16319:16384" x14ac:dyDescent="0.2">
      <c r="A36" t="s">
        <v>21</v>
      </c>
      <c r="B36" s="35">
        <v>0.47195767671988198</v>
      </c>
      <c r="C36" s="36">
        <v>0.31738834428178964</v>
      </c>
      <c r="D36" s="35">
        <v>0.47197475882403822</v>
      </c>
      <c r="E36" s="36">
        <v>0.31981418239459503</v>
      </c>
      <c r="F36" s="35">
        <v>0.47199213238593357</v>
      </c>
      <c r="G36" s="36">
        <v>0.3225068455102193</v>
      </c>
      <c r="H36" s="35">
        <v>0.47200988661298243</v>
      </c>
      <c r="I36" s="36">
        <v>0.3255081483464306</v>
      </c>
      <c r="J36" s="35">
        <v>0.47202814424372824</v>
      </c>
      <c r="K36" s="36">
        <v>0.32886899391447505</v>
      </c>
      <c r="L36" s="35">
        <v>0.47204705183534051</v>
      </c>
      <c r="M36" s="36">
        <v>0.33265187402553226</v>
      </c>
      <c r="N36" s="35">
        <v>0.47206679888225039</v>
      </c>
      <c r="O36" s="36">
        <v>0.33693504301875382</v>
      </c>
      <c r="P36" s="35">
        <v>0.47208760085964219</v>
      </c>
      <c r="Q36" s="36">
        <v>0.34181806400539089</v>
      </c>
      <c r="R36" s="35">
        <v>0.47210969286949628</v>
      </c>
      <c r="S36" s="36">
        <v>0.34743072437489814</v>
      </c>
      <c r="T36" s="35">
        <v>0.47213329768776163</v>
      </c>
      <c r="U36" s="36">
        <v>0.35394703552173634</v>
      </c>
      <c r="V36" s="35">
        <v>0.47215855361156028</v>
      </c>
      <c r="W36" s="36">
        <v>0.361608550590933</v>
      </c>
      <c r="X36" s="35">
        <v>0.47218537160803514</v>
      </c>
      <c r="Y36" s="36">
        <v>0.37076485451851998</v>
      </c>
      <c r="Z36" s="35">
        <v>0.47221314575580781</v>
      </c>
      <c r="AA36" s="36">
        <v>0.38194751151903689</v>
      </c>
      <c r="AB36" s="35">
        <v>0.47224017644003891</v>
      </c>
      <c r="AC36" s="36">
        <v>0.39601191760107185</v>
      </c>
      <c r="AD36" s="35">
        <v>0.47226263888167375</v>
      </c>
      <c r="AE36" s="36">
        <v>0.4144227352156527</v>
      </c>
      <c r="AF36" s="35">
        <v>0.47227308146827557</v>
      </c>
      <c r="AG36" s="36">
        <v>0.43984202441216408</v>
      </c>
      <c r="AH36" s="35">
        <v>0.47226023083835095</v>
      </c>
      <c r="AI36" s="36">
        <v>0.47732748117642959</v>
      </c>
      <c r="AJ36" s="35">
        <v>0.47221592381489913</v>
      </c>
      <c r="AK36" s="36">
        <v>0.53683570233545763</v>
      </c>
      <c r="AL36" s="35">
        <v>0.47214949686896834</v>
      </c>
      <c r="AM36" s="36">
        <v>0.64070413907211798</v>
      </c>
      <c r="AN36" s="35"/>
      <c r="AO36" s="36"/>
      <c r="AP36" s="35"/>
      <c r="AQ36" s="36"/>
      <c r="AR36" s="35"/>
      <c r="AS36" s="36"/>
      <c r="AT36" s="35"/>
      <c r="AU36" s="36"/>
      <c r="AV36" s="35"/>
      <c r="AW36" s="36"/>
    </row>
    <row r="37" spans="1:49 16319:16384" x14ac:dyDescent="0.2">
      <c r="B37" s="37">
        <v>2.1403217525954466E-2</v>
      </c>
      <c r="C37" s="38">
        <v>0.3496246130199252</v>
      </c>
      <c r="D37" s="37">
        <v>2.0696881872490139E-2</v>
      </c>
      <c r="E37" s="38">
        <v>0.34531636730860715</v>
      </c>
      <c r="F37" s="37">
        <v>1.9974885921151271E-2</v>
      </c>
      <c r="G37" s="38">
        <v>0.34088877721513244</v>
      </c>
      <c r="H37" s="37">
        <v>1.9236636556893366E-2</v>
      </c>
      <c r="I37" s="38">
        <v>0.33633720500086373</v>
      </c>
      <c r="J37" s="37">
        <v>1.8481483905932683E-2</v>
      </c>
      <c r="K37" s="38">
        <v>0.33165685770605469</v>
      </c>
      <c r="L37" s="37">
        <v>1.7708725598325755E-2</v>
      </c>
      <c r="M37" s="38">
        <v>0.32684289671981304</v>
      </c>
      <c r="N37" s="37">
        <v>1.6917473359605202E-2</v>
      </c>
      <c r="O37" s="38">
        <v>0.32188972224364143</v>
      </c>
      <c r="P37" s="37">
        <v>1.6106581253808719E-2</v>
      </c>
      <c r="Q37" s="38">
        <v>0.31679065776136195</v>
      </c>
      <c r="R37" s="37">
        <v>1.527444149195843E-2</v>
      </c>
      <c r="S37" s="38">
        <v>0.31153684400408838</v>
      </c>
      <c r="T37" s="37">
        <v>1.4418704931561489E-2</v>
      </c>
      <c r="U37" s="38">
        <v>0.30611571148738215</v>
      </c>
      <c r="V37" s="37">
        <v>1.3535837644767729E-2</v>
      </c>
      <c r="W37" s="38">
        <v>0.30050852140722073</v>
      </c>
      <c r="X37" s="37">
        <v>1.2620448154347222E-2</v>
      </c>
      <c r="Y37" s="38">
        <v>0.29468666555151735</v>
      </c>
      <c r="Z37" s="37">
        <v>1.1664276919356797E-2</v>
      </c>
      <c r="AA37" s="38">
        <v>0.28860629496940887</v>
      </c>
      <c r="AB37" s="37">
        <v>1.0654789562210918E-2</v>
      </c>
      <c r="AC37" s="38">
        <v>0.28220152228411283</v>
      </c>
      <c r="AD37" s="37">
        <v>9.5736049674855998E-3</v>
      </c>
      <c r="AE37" s="38">
        <v>0.2753791973320589</v>
      </c>
      <c r="AF37" s="37">
        <v>8.3965008901106149E-3</v>
      </c>
      <c r="AG37" s="38">
        <v>0.26802983230938066</v>
      </c>
      <c r="AH37" s="37">
        <v>7.1005745524782742E-3</v>
      </c>
      <c r="AI37" s="38">
        <v>0.26009620542685363</v>
      </c>
      <c r="AJ37" s="37">
        <v>5.6844249690696912E-3</v>
      </c>
      <c r="AK37" s="38">
        <v>0.25173804393352989</v>
      </c>
      <c r="AL37" s="37">
        <v>4.1777246733412559E-3</v>
      </c>
      <c r="AM37" s="38">
        <v>0.24342836999700473</v>
      </c>
      <c r="AN37" s="37"/>
      <c r="AO37" s="38"/>
      <c r="AP37" s="37"/>
      <c r="AQ37" s="38"/>
      <c r="AR37" s="37"/>
      <c r="AS37" s="38"/>
      <c r="AT37" s="37"/>
      <c r="AU37" s="38"/>
      <c r="AV37" s="37"/>
      <c r="AW37" s="38"/>
    </row>
    <row r="38" spans="1:49 16319:16384" x14ac:dyDescent="0.2">
      <c r="A38" t="s">
        <v>22</v>
      </c>
      <c r="B38" s="35">
        <v>0.18079094942242827</v>
      </c>
      <c r="C38" s="36">
        <v>6.0565413429233668E-2</v>
      </c>
      <c r="D38" s="35">
        <v>0.18090276246401635</v>
      </c>
      <c r="E38" s="36">
        <v>6.091132904942017E-2</v>
      </c>
      <c r="F38" s="35">
        <v>0.18104152931332246</v>
      </c>
      <c r="G38" s="36">
        <v>6.1296625675386643E-2</v>
      </c>
      <c r="H38" s="35">
        <v>0.18121120861287709</v>
      </c>
      <c r="I38" s="36">
        <v>6.1727615574420767E-2</v>
      </c>
      <c r="J38" s="35">
        <v>0.18141663946409045</v>
      </c>
      <c r="K38" s="36">
        <v>6.2211968628417609E-2</v>
      </c>
      <c r="L38" s="35">
        <v>0.18166381568349513</v>
      </c>
      <c r="M38" s="36">
        <v>6.275920623039824E-2</v>
      </c>
      <c r="N38" s="35">
        <v>0.18196033346521961</v>
      </c>
      <c r="O38" s="36">
        <v>6.3381350104565151E-2</v>
      </c>
      <c r="P38" s="35">
        <v>0.1823160425446953</v>
      </c>
      <c r="Q38" s="36">
        <v>6.4093819094958163E-2</v>
      </c>
      <c r="R38" s="35">
        <v>0.18274407660234307</v>
      </c>
      <c r="S38" s="36">
        <v>6.491693312900354E-2</v>
      </c>
      <c r="T38" s="35">
        <v>0.18326251443386615</v>
      </c>
      <c r="U38" s="36">
        <v>6.5878410236098833E-2</v>
      </c>
      <c r="V38" s="35">
        <v>0.18389721204126586</v>
      </c>
      <c r="W38" s="36">
        <v>6.7017322228839812E-2</v>
      </c>
      <c r="X38" s="35">
        <v>0.18468678253286047</v>
      </c>
      <c r="Y38" s="36">
        <v>6.8391442853980008E-2</v>
      </c>
      <c r="Z38" s="35">
        <v>0.18569187750632865</v>
      </c>
      <c r="AA38" s="36">
        <v>7.0090780920397291E-2</v>
      </c>
      <c r="AB38" s="35">
        <v>0.18701342948376559</v>
      </c>
      <c r="AC38" s="36">
        <v>7.2264767380870856E-2</v>
      </c>
      <c r="AD38" s="35">
        <v>0.18883068283690121</v>
      </c>
      <c r="AE38" s="36">
        <v>7.5178948764977604E-2</v>
      </c>
      <c r="AF38" s="35">
        <v>0.19148450188601801</v>
      </c>
      <c r="AG38" s="36">
        <v>7.9342040833674854E-2</v>
      </c>
      <c r="AH38" s="35">
        <v>0.1956683710879199</v>
      </c>
      <c r="AI38" s="36">
        <v>8.5800382104116918E-2</v>
      </c>
      <c r="AJ38" s="35">
        <v>0.20292588371393791</v>
      </c>
      <c r="AK38" s="36">
        <v>9.6932403045590823E-2</v>
      </c>
      <c r="AL38" s="35">
        <v>0.21757690717153055</v>
      </c>
      <c r="AM38" s="36">
        <v>0.11993111949150811</v>
      </c>
      <c r="AN38" s="35"/>
      <c r="AO38" s="36"/>
      <c r="AP38" s="35"/>
      <c r="AQ38" s="36"/>
      <c r="AR38" s="35"/>
      <c r="AS38" s="36"/>
      <c r="AT38" s="35"/>
      <c r="AU38" s="36"/>
      <c r="AV38" s="35"/>
      <c r="AW38" s="36"/>
    </row>
    <row r="39" spans="1:49 16319:16384" x14ac:dyDescent="0.2">
      <c r="A39" t="s">
        <v>23</v>
      </c>
      <c r="B39" s="37">
        <v>0.23064923795098771</v>
      </c>
      <c r="C39" s="38">
        <v>0.22092201281804777</v>
      </c>
      <c r="D39" s="37">
        <v>0.23120532981909814</v>
      </c>
      <c r="E39" s="38">
        <v>0.22244376437812427</v>
      </c>
      <c r="F39" s="37">
        <v>0.2317956576401235</v>
      </c>
      <c r="G39" s="38">
        <v>0.22411166910569463</v>
      </c>
      <c r="H39" s="37">
        <v>0.23242572549755533</v>
      </c>
      <c r="I39" s="38">
        <v>0.22594940959985332</v>
      </c>
      <c r="J39" s="37">
        <v>0.23310226953604599</v>
      </c>
      <c r="K39" s="38">
        <v>0.22798603391771891</v>
      </c>
      <c r="L39" s="37">
        <v>0.23383360882974036</v>
      </c>
      <c r="M39" s="38">
        <v>0.23025735466113548</v>
      </c>
      <c r="N39" s="37">
        <v>0.23463021580506191</v>
      </c>
      <c r="O39" s="38">
        <v>0.23280849645124846</v>
      </c>
      <c r="P39" s="37">
        <v>0.23550546413582746</v>
      </c>
      <c r="Q39" s="38">
        <v>0.23569734983520155</v>
      </c>
      <c r="R39" s="37">
        <v>0.23647686049099134</v>
      </c>
      <c r="S39" s="38">
        <v>0.23900009101954164</v>
      </c>
      <c r="T39" s="37">
        <v>0.23756799914511434</v>
      </c>
      <c r="U39" s="38">
        <v>0.24281985269763745</v>
      </c>
      <c r="V39" s="37">
        <v>0.23881184714128556</v>
      </c>
      <c r="W39" s="38">
        <v>0.24730185794660139</v>
      </c>
      <c r="X39" s="37">
        <v>0.24025661063035961</v>
      </c>
      <c r="Y39" s="38">
        <v>0.25265978876386336</v>
      </c>
      <c r="Z39" s="37">
        <v>0.24197676703526969</v>
      </c>
      <c r="AA39" s="38">
        <v>0.25922566726070401</v>
      </c>
      <c r="AB39" s="37">
        <v>0.24409517099568237</v>
      </c>
      <c r="AC39" s="38">
        <v>0.26754861817650605</v>
      </c>
      <c r="AD39" s="37">
        <v>0.24683030267146719</v>
      </c>
      <c r="AE39" s="38">
        <v>0.27860490709596591</v>
      </c>
      <c r="AF39" s="37">
        <v>0.25060326877591049</v>
      </c>
      <c r="AG39" s="38">
        <v>0.29426486729933299</v>
      </c>
      <c r="AH39" s="37">
        <v>0.25629235459450062</v>
      </c>
      <c r="AI39" s="38">
        <v>0.3183904010951949</v>
      </c>
      <c r="AJ39" s="37">
        <v>0.26590730787026551</v>
      </c>
      <c r="AK39" s="38">
        <v>0.35979505559507585</v>
      </c>
      <c r="AL39" s="37">
        <v>0.28513876354152617</v>
      </c>
      <c r="AM39" s="38">
        <v>0.44519581568638045</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6.0999999999999582E-2</v>
      </c>
      <c r="E42" s="126"/>
      <c r="F42" s="167">
        <f>6.1%+(1-6.1%)*(1-SUM(F26:G26)/SUM($B$26:$C$26))</f>
        <v>6.0999999999998958E-2</v>
      </c>
      <c r="G42" s="126"/>
      <c r="H42" s="167">
        <f>6.1%+(1-6.1%)*(1-SUM(H26:I26)/SUM($B$26:$C$26))</f>
        <v>6.0999999999999166E-2</v>
      </c>
      <c r="I42" s="126"/>
      <c r="J42" s="167">
        <f>6.1%+(1-6.1%)*(1-SUM(J26:K26)/SUM($B$26:$C$26))</f>
        <v>6.0999999999998333E-2</v>
      </c>
      <c r="K42" s="126"/>
      <c r="L42" s="167">
        <f>6.1%+(1-6.1%)*(1-SUM(L26:M26)/SUM($B$26:$C$26))</f>
        <v>6.1000000000000519E-2</v>
      </c>
      <c r="M42" s="126"/>
      <c r="N42" s="167">
        <f>6.1%+(1-6.1%)*(1-SUM(N26:O26)/SUM($B$26:$C$26))</f>
        <v>6.0999999999999999E-2</v>
      </c>
      <c r="O42" s="126"/>
      <c r="P42" s="167">
        <f>6.1%+(1-6.1%)*(1-SUM(P26:Q26)/SUM($B$26:$C$26))</f>
        <v>6.0999999999999166E-2</v>
      </c>
      <c r="Q42" s="126"/>
      <c r="R42" s="167">
        <f>6.1%+(1-6.1%)*(1-SUM(R26:S26)/SUM($B$26:$C$26))</f>
        <v>6.1000000000000207E-2</v>
      </c>
      <c r="S42" s="126"/>
      <c r="T42" s="167">
        <f>6.1%+(1-6.1%)*(1-SUM(T26:U26)/SUM($B$26:$C$26))</f>
        <v>6.1000000000000207E-2</v>
      </c>
      <c r="U42" s="126"/>
      <c r="V42" s="167">
        <f>6.1%+(1-6.1%)*(1-SUM(V26:W26)/SUM($B$26:$C$26))</f>
        <v>6.0999999999999791E-2</v>
      </c>
      <c r="W42" s="126"/>
      <c r="X42" s="167">
        <f>6.1%+(1-6.1%)*(1-SUM(X26:Y26)/SUM($B$26:$C$26))</f>
        <v>6.0999999999999582E-2</v>
      </c>
      <c r="Y42" s="152"/>
      <c r="Z42" s="167">
        <f>6.1%+(1-6.1%)*(1-SUM(Z26:AA26)/SUM($B$26:$C$26))</f>
        <v>6.0999999999999582E-2</v>
      </c>
      <c r="AA42" s="126"/>
      <c r="AB42" s="167">
        <f>6.1%+(1-6.1%)*(1-SUM(AB26:AC26)/SUM($B$26:$C$26))</f>
        <v>6.0999999999999791E-2</v>
      </c>
      <c r="AC42" s="126"/>
      <c r="AD42" s="167">
        <f>6.1%+(1-6.1%)*(1-SUM(AD26:AE26)/SUM($B$26:$C$26))</f>
        <v>6.0999999999999166E-2</v>
      </c>
      <c r="AE42" s="126"/>
      <c r="AF42" s="167">
        <f>6.1%+(1-6.1%)*(1-SUM(AF26:AG26)/SUM($B$26:$C$26))</f>
        <v>6.0999999999998958E-2</v>
      </c>
      <c r="AG42" s="126"/>
      <c r="AH42" s="167">
        <f>6.1%+(1-6.1%)*(1-SUM(AH26:AI26)/SUM($B$26:$C$26))</f>
        <v>6.0999999999999999E-2</v>
      </c>
      <c r="AI42" s="126"/>
      <c r="AJ42" s="167">
        <f>6.1%+(1-6.1%)*(1-SUM(AJ26:AK26)/SUM($B$26:$C$26))</f>
        <v>6.1000000000000311E-2</v>
      </c>
      <c r="AK42" s="126"/>
      <c r="AL42" s="167">
        <f>6.1%+(1-6.1%)*(1-SUM(AL26:AM26)/SUM($B$26:$C$26))</f>
        <v>6.0999999999999999E-2</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0.56155700129179109</v>
      </c>
      <c r="E43" s="126"/>
      <c r="F43" s="152">
        <f t="array" ref="F43">SUM(F15:G15*F27:G27)/SUM(F15:G15*F27:G27,F13:G13*F26:G26)</f>
        <v>0.55565480237055309</v>
      </c>
      <c r="G43" s="126"/>
      <c r="H43" s="152">
        <f t="array" ref="H43">SUM(H15:I15*H27:I27)/SUM(H15:I15*H27:I27,H13:I13*H26:I26)</f>
        <v>0.54945494551644936</v>
      </c>
      <c r="I43" s="126"/>
      <c r="J43" s="152">
        <f t="array" ref="J43">SUM(J15:K15*J27:K27)/SUM(J15:K15*J27:K27,J13:K13*J26:K26)</f>
        <v>0.54291028613142134</v>
      </c>
      <c r="K43" s="126"/>
      <c r="L43" s="152">
        <f t="array" ref="L43">SUM(L15:M15*L27:M27)/SUM(L15:M15*L27:M27,L13:M13*L26:M26)</f>
        <v>0.53596302222274472</v>
      </c>
      <c r="M43" s="126"/>
      <c r="N43" s="152">
        <f t="array" ref="N43">SUM(N15:O15*N27:O27)/SUM(N15:O15*N27:O27,N13:O13*N26:O26)</f>
        <v>0.52854033039493376</v>
      </c>
      <c r="O43" s="126"/>
      <c r="P43" s="152">
        <f t="array" ref="P43">SUM(P15:Q15*P27:Q27)/SUM(P15:Q15*P27:Q27,P13:Q13*P26:Q26)</f>
        <v>0.52054808325404545</v>
      </c>
      <c r="Q43" s="126"/>
      <c r="R43" s="152">
        <f t="array" ref="R43">SUM(R15:S15*R27:S27)/SUM(R15:S15*R27:S27,R13:S13*R26:S26)</f>
        <v>0.51186010483249622</v>
      </c>
      <c r="S43" s="126"/>
      <c r="T43" s="152">
        <f t="array" ref="T43">SUM(T15:U15*T27:U27)/SUM(T15:U15*T27:U27,T13:U13*T26:U26)</f>
        <v>0.50230013013748798</v>
      </c>
      <c r="U43" s="126"/>
      <c r="V43" s="152">
        <f t="array" ref="V43">SUM(V15:W15*V27:W27)/SUM(V15:W15*V27:W27,V13:W13*V26:W26)</f>
        <v>0.49160937292702128</v>
      </c>
      <c r="W43" s="126"/>
      <c r="X43" s="152">
        <f t="array" ref="X43">SUM(X15:Y15*X27:Y27)/SUM(X15:Y15*X27:Y27,X13:Y13*X26:Y26)</f>
        <v>0.47938653477218884</v>
      </c>
      <c r="Y43" s="126"/>
      <c r="Z43" s="152">
        <f t="array" ref="Z43">SUM(Z15:AA15*Z27:AA27)/SUM(Z15:AA15*Z27:AA27,Z13:AA13*Z26:AA26)</f>
        <v>0.46497045418360428</v>
      </c>
      <c r="AA43" s="126"/>
      <c r="AB43" s="152">
        <f t="array" ref="AB43">SUM(AB15:AC15*AB27:AC27)/SUM(AB15:AC15*AB27:AC27,AB13:AC13*AB26:AC26)</f>
        <v>0.44719864678018695</v>
      </c>
      <c r="AC43" s="126"/>
      <c r="AD43" s="152">
        <f t="array" ref="AD43">SUM(AD15:AE15*AD27:AE27)/SUM(AD15:AE15*AD27:AE27,AD13:AE13*AD26:AE26)</f>
        <v>0.4238839460500014</v>
      </c>
      <c r="AE43" s="126"/>
      <c r="AF43" s="152">
        <f t="array" ref="AF43">SUM(AF15:AG15*AF27:AG27)/SUM(AF15:AG15*AF27:AG27,AF13:AG13*AF26:AG26)</f>
        <v>0.39063358981842355</v>
      </c>
      <c r="AG43" s="126"/>
      <c r="AH43" s="152">
        <f t="array" ref="AH43">SUM(AH15:AI15*AH27:AI27)/SUM(AH15:AI15*AH27:AI27,AH13:AI13*AH26:AI26)</f>
        <v>0.33811268905851255</v>
      </c>
      <c r="AI43" s="126"/>
      <c r="AJ43" s="152">
        <f t="array" ref="AJ43">SUM(AJ15:AK15*AJ27:AK27)/SUM(AJ15:AK15*AJ27:AK27,AJ13:AK13*AJ26:AK26)</f>
        <v>0.24484798848155476</v>
      </c>
      <c r="AK43" s="126"/>
      <c r="AL43" s="152">
        <f t="array" ref="AL43">SUM(AL15:AM15*AL27:AM27)/SUM(AL15:AM15*AL27:AM27,AL13:AM13*AL26:AM26)</f>
        <v>4.6140422985590693E-2</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0.29754226190682431</v>
      </c>
      <c r="D44" s="183">
        <f>(SUM(D11:E11*D24:E24)+D34)/D32</f>
        <v>0.29754223037719785</v>
      </c>
      <c r="F44" s="183">
        <f>(SUM(F11:G11*F24:G24)+F34)/F32</f>
        <v>0.29754222789130902</v>
      </c>
      <c r="H44" s="183">
        <f>(SUM(H11:I11*H24:I24)+H34)/H32</f>
        <v>0.29754226058122529</v>
      </c>
      <c r="J44" s="183">
        <f>(SUM(J11:K11*J24:K24)+J34)/J32</f>
        <v>0.29754222397741531</v>
      </c>
      <c r="L44" s="183">
        <f>(SUM(L11:M11*L24:M24)+L34)/L32</f>
        <v>0.29754226032288628</v>
      </c>
      <c r="N44" s="183">
        <f>(SUM(N11:O11*N24:O24)+N34)/N32</f>
        <v>0.29754225911295012</v>
      </c>
      <c r="P44" s="183">
        <f>(SUM(P11:Q11*P24:Q24)+P34)/P32</f>
        <v>0.29754225808433227</v>
      </c>
      <c r="R44" s="183">
        <f>(SUM(R11:S11*R24:S24)+R34)/R32</f>
        <v>0.2975422608537901</v>
      </c>
      <c r="T44" s="183">
        <f>(SUM(T11:U11*T24:U24)+T34)/T32</f>
        <v>0.29754225798271983</v>
      </c>
      <c r="V44" s="183">
        <f>(SUM(V11:W11*V24:W24)+V34)/V32</f>
        <v>0.2975422582787644</v>
      </c>
      <c r="X44" s="183">
        <f>(SUM(X11:Y11*X24:Y24)+X34)/X32</f>
        <v>0.297542261484527</v>
      </c>
      <c r="Z44" s="183">
        <f>(SUM(Z11:AA11*Z24:AA24)+Z34)/Z32</f>
        <v>0.29754225985589489</v>
      </c>
      <c r="AB44" s="183">
        <f>(SUM(AB11:AC11*AB24:AC24)+AB34)/AB32</f>
        <v>0.2975422605176597</v>
      </c>
      <c r="AD44" s="183">
        <f>(SUM(AD11:AE11*AD24:AE24)+AD34)/AD32</f>
        <v>0.2975422623146266</v>
      </c>
      <c r="AF44" s="183">
        <f>(SUM(AF11:AG11*AF24:AG24)+AF34)/AF32</f>
        <v>0.29754226094318148</v>
      </c>
      <c r="AH44" s="183">
        <f>(SUM(AH11:AI11*AH24:AI24)+AH34)/AH32</f>
        <v>0.29754226192207978</v>
      </c>
      <c r="AJ44" s="183">
        <f>(SUM(AJ11:AK11*AJ24:AK24)+AJ34)/AJ32</f>
        <v>0.2975422618922357</v>
      </c>
      <c r="AL44" s="183">
        <f>(SUM(AL11:AM11*AL24:AM24)+AL34)/AL32</f>
        <v>0.29754226190480071</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0.22038438842455899</v>
      </c>
      <c r="F45" s="183">
        <f>SUM(F11:G11*F24:G24)/F32</f>
        <v>0.2203843884431908</v>
      </c>
      <c r="H45" s="183">
        <f>SUM(H11:I11*H24:I24)/H32</f>
        <v>0.2203843883218807</v>
      </c>
      <c r="J45" s="183">
        <f>SUM(J11:K11*J24:K24)/J32</f>
        <v>0.22038438825646078</v>
      </c>
      <c r="L45" s="183">
        <f>SUM(L11:M11*L24:M24)/L32</f>
        <v>0.22038438831783197</v>
      </c>
      <c r="N45" s="183">
        <f>SUM(N11:O11*N24:O24)/N32</f>
        <v>0.22038438830486101</v>
      </c>
      <c r="P45" s="183">
        <f>SUM(P11:Q11*P24:Q24)/P32</f>
        <v>0.22038438829153947</v>
      </c>
      <c r="R45" s="183">
        <f>SUM(R11:S11*R24:S24)/R32</f>
        <v>0.22038438832942889</v>
      </c>
      <c r="T45" s="183">
        <f>SUM(T11:U11*T24:U24)/T32</f>
        <v>0.2203843883221277</v>
      </c>
      <c r="V45" s="183">
        <f>SUM(V11:W11*V24:W24)/V32</f>
        <v>0.22038438832391125</v>
      </c>
      <c r="X45" s="183">
        <f>SUM(X11:Y11*X24:Y24)/X32</f>
        <v>0.22038438832289062</v>
      </c>
      <c r="Z45" s="183">
        <f>SUM(Z11:AA11*Z24:AA24)/Z32</f>
        <v>0.22038438835057086</v>
      </c>
      <c r="AB45" s="183">
        <f>SUM(AB11:AC11*AB24:AC24)/AB32</f>
        <v>0.22038438832588164</v>
      </c>
      <c r="AD45" s="183">
        <f>SUM(AD11:AE11*AD24:AE24)/AD32</f>
        <v>0.22038438833526994</v>
      </c>
      <c r="AF45" s="183">
        <f>SUM(AF11:AG11*AF24:AG24)/AF32</f>
        <v>0.22038438833052909</v>
      </c>
      <c r="AH45" s="183">
        <f>SUM(AH11:AI11*AH24:AI24)/AH32</f>
        <v>0.22038438833198762</v>
      </c>
      <c r="AJ45" s="183">
        <f>SUM(AJ11:AK11*AJ24:AK24)/AJ32</f>
        <v>0.22038438833196275</v>
      </c>
      <c r="AL45" s="183">
        <f>SUM(AL11:AM11*AL24:AM24)/AL32</f>
        <v>0.22038438833197591</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7.7157873574883462E-2</v>
      </c>
      <c r="D46" s="183">
        <f>D34/D32</f>
        <v>7.7157841952638834E-2</v>
      </c>
      <c r="F46" s="183">
        <f>F34/F32</f>
        <v>7.7157839448118215E-2</v>
      </c>
      <c r="H46" s="183">
        <f>H34/H32</f>
        <v>7.715787225934459E-2</v>
      </c>
      <c r="J46" s="183">
        <f>J34/J32</f>
        <v>7.7157835720954498E-2</v>
      </c>
      <c r="L46" s="183">
        <f>L34/L32</f>
        <v>7.715787200505432E-2</v>
      </c>
      <c r="N46" s="183">
        <f>N34/N32</f>
        <v>7.7157870808089099E-2</v>
      </c>
      <c r="P46" s="183">
        <f>P34/P32</f>
        <v>7.7157869792792766E-2</v>
      </c>
      <c r="R46" s="183">
        <f>R34/R32</f>
        <v>7.715787252436121E-2</v>
      </c>
      <c r="T46" s="183">
        <f>T34/T32</f>
        <v>7.7157869660592154E-2</v>
      </c>
      <c r="V46" s="183">
        <f>V34/V32</f>
        <v>7.7157869954853173E-2</v>
      </c>
      <c r="X46" s="183">
        <f>X34/X32</f>
        <v>7.7157873161636373E-2</v>
      </c>
      <c r="Z46" s="183">
        <f>Z34/Z32</f>
        <v>7.7157871505324077E-2</v>
      </c>
      <c r="AB46" s="183">
        <f>AB34/AB32</f>
        <v>7.7157872191778096E-2</v>
      </c>
      <c r="AD46" s="183">
        <f>AD34/AD32</f>
        <v>7.7157873979356653E-2</v>
      </c>
      <c r="AF46" s="183">
        <f>AF34/AF32</f>
        <v>7.7157872612652334E-2</v>
      </c>
      <c r="AH46" s="183">
        <f>AH34/AH32</f>
        <v>7.715787359009213E-2</v>
      </c>
      <c r="AJ46" s="183">
        <f>AJ34/AJ32</f>
        <v>7.7157873560272969E-2</v>
      </c>
      <c r="AL46" s="183">
        <f>AL34/AL32</f>
        <v>7.7157873572824817E-2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1.0015987529963284</v>
      </c>
      <c r="E48" s="181"/>
      <c r="F48" s="181">
        <f>F24/$B$24</f>
        <v>1.0030931923547821</v>
      </c>
      <c r="G48" s="181"/>
      <c r="H48" s="181">
        <f>H24/$B$24</f>
        <v>1.0044653140927382</v>
      </c>
      <c r="I48" s="181"/>
      <c r="J48" s="181">
        <f>J24/$B$24</f>
        <v>1.0056926936319148</v>
      </c>
      <c r="K48" s="181"/>
      <c r="L48" s="181">
        <f>L24/$B$24</f>
        <v>1.0067471589027888</v>
      </c>
      <c r="M48" s="181"/>
      <c r="N48" s="181">
        <f>N24/$B$24</f>
        <v>1.0075932324465855</v>
      </c>
      <c r="O48" s="181"/>
      <c r="P48" s="181">
        <f>P24/$B$24</f>
        <v>1.0081854167518129</v>
      </c>
      <c r="Q48" s="181"/>
      <c r="R48" s="181">
        <f>R24/$B$24</f>
        <v>1.0084648755182102</v>
      </c>
      <c r="S48" s="181"/>
      <c r="T48" s="181">
        <f>T24/$B$24</f>
        <v>1.0083545227087265</v>
      </c>
      <c r="U48" s="181"/>
      <c r="V48" s="181">
        <f>V24/$B$24</f>
        <v>1.0077513223375216</v>
      </c>
      <c r="W48" s="181"/>
      <c r="X48" s="181">
        <f>X24/$B$24</f>
        <v>1.006514474682995</v>
      </c>
      <c r="Y48" s="181"/>
      <c r="Z48" s="181">
        <f>Z24/$B$24</f>
        <v>1.0044450966588465</v>
      </c>
      <c r="AA48" s="181"/>
      <c r="AB48" s="181">
        <f>AB24/$B$24</f>
        <v>1.0012484049211894</v>
      </c>
      <c r="AC48" s="181"/>
      <c r="AD48" s="181">
        <f>AD24/$B$24</f>
        <v>0.99645292993763712</v>
      </c>
      <c r="AE48" s="181"/>
      <c r="AF48" s="181">
        <f>AF24/$B$24</f>
        <v>0.98920859030153641</v>
      </c>
      <c r="AG48" s="181"/>
      <c r="AH48" s="181">
        <f>AH24/$B$24</f>
        <v>0.97769554756145172</v>
      </c>
      <c r="AI48" s="181"/>
      <c r="AJ48" s="181">
        <f>AJ24/$B$24</f>
        <v>0.95726242958841801</v>
      </c>
      <c r="AK48" s="181"/>
      <c r="AL48" s="181">
        <f>AL24/$B$24</f>
        <v>0.91419985881384769</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1.0040916985448447</v>
      </c>
      <c r="E49" s="181"/>
      <c r="F49" s="181">
        <f>F13/F35/$B$13*$B$35</f>
        <v>1.0079203215974495</v>
      </c>
      <c r="G49" s="181"/>
      <c r="H49" s="181">
        <f>H13/H35/$B$13*$B$35</f>
        <v>1.0114373993697421</v>
      </c>
      <c r="I49" s="181"/>
      <c r="J49" s="181">
        <f>J13/J35/$B$13*$B$35</f>
        <v>1.0145811750544909</v>
      </c>
      <c r="K49" s="181"/>
      <c r="L49" s="181">
        <f>L13/L35/$B$13*$B$35</f>
        <v>1.0172725432931076</v>
      </c>
      <c r="M49" s="181"/>
      <c r="N49" s="181">
        <f>N13/N35/$B$13*$B$35</f>
        <v>1.0194092878409322</v>
      </c>
      <c r="O49" s="181"/>
      <c r="P49" s="181">
        <f>P13/P35/$B$13*$B$35</f>
        <v>1.0208582146534235</v>
      </c>
      <c r="Q49" s="181"/>
      <c r="R49" s="181">
        <f>R13/R35/$B$13*$B$35</f>
        <v>1.0214437559650664</v>
      </c>
      <c r="S49" s="181"/>
      <c r="T49" s="181">
        <f>T13/T35/$B$13*$B$35</f>
        <v>1.0209309112103599</v>
      </c>
      <c r="U49" s="181"/>
      <c r="V49" s="181">
        <f>V13/V35/$B$13*$B$35</f>
        <v>1.0189989804216</v>
      </c>
      <c r="W49" s="181"/>
      <c r="X49" s="181">
        <f>X13/X35/$B$13*$B$35</f>
        <v>1.0151976286605158</v>
      </c>
      <c r="Y49" s="181"/>
      <c r="Z49" s="181">
        <f>Z13/Z35/$B$13*$B$35</f>
        <v>1.008868691687431</v>
      </c>
      <c r="AA49" s="181"/>
      <c r="AB49" s="181">
        <f>AB13/AB35/$B$13*$B$35</f>
        <v>0.99899415063133068</v>
      </c>
      <c r="AC49" s="181"/>
      <c r="AD49" s="181">
        <f>AD13/AD35/$B$13*$B$35</f>
        <v>0.98387039637408369</v>
      </c>
      <c r="AE49" s="181"/>
      <c r="AF49" s="181">
        <f>AF13/AF35/$B$13*$B$35</f>
        <v>0.9603501484507958</v>
      </c>
      <c r="AG49" s="181"/>
      <c r="AH49" s="181">
        <f>AH13/AH35/$B$13*$B$35</f>
        <v>0.92202203077530531</v>
      </c>
      <c r="AI49" s="181"/>
      <c r="AJ49" s="181">
        <f>AJ13/AJ35/$B$13*$B$35</f>
        <v>0.85528541389691315</v>
      </c>
      <c r="AK49" s="181"/>
      <c r="AL49" s="181">
        <f>AL13/AL35/$B$13*$B$35</f>
        <v>0.73273228665481327</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-326363.31063606776</v>
      </c>
      <c r="F51" s="27">
        <f>F30-F10*F23</f>
        <v>-244270.10725888843</v>
      </c>
      <c r="H51" s="27">
        <f>H30-H10*H23</f>
        <v>-159174.85155254835</v>
      </c>
      <c r="J51" s="27">
        <f>J30-J10*J23</f>
        <v>-70624.081979675218</v>
      </c>
      <c r="L51" s="27">
        <f>L30-L10*L23</f>
        <v>21918.150290840305</v>
      </c>
      <c r="N51" s="27">
        <f>N30-N10*N23</f>
        <v>119114.6632970511</v>
      </c>
      <c r="P51" s="27">
        <f>P30-P10*P23</f>
        <v>221800.33297504159</v>
      </c>
      <c r="R51" s="27">
        <f>R30-R10*R23</f>
        <v>331075.68133976171</v>
      </c>
      <c r="T51" s="27">
        <f>T30-T10*T23</f>
        <v>448460.31719826069</v>
      </c>
      <c r="V51" s="27">
        <f>V30-V10*V23</f>
        <v>576166.39097274514</v>
      </c>
      <c r="X51" s="27">
        <f>X30-X10*X23</f>
        <v>717599.6701634028</v>
      </c>
      <c r="Z51" s="27">
        <f>Z30-Z10*Z23</f>
        <v>878306.112418239</v>
      </c>
      <c r="AB51" s="27">
        <f>AB30-AB10*AB23</f>
        <v>1067808.394972926</v>
      </c>
      <c r="AD51" s="27">
        <f>AD30-AD10*AD23</f>
        <v>1303213.8395615653</v>
      </c>
      <c r="AF51" s="27">
        <f>AF30-AF10*AF23</f>
        <v>1615935.870260986</v>
      </c>
      <c r="AH51" s="27">
        <f>AH30-AH10*AH23</f>
        <v>2061795.4529045224</v>
      </c>
      <c r="AJ51" s="27">
        <f>AJ30-AJ10*AJ23</f>
        <v>2729204.7145540859</v>
      </c>
      <c r="AL51" s="27">
        <f>AL30-AL10*AL23</f>
        <v>3745955.1109747645</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2087017.3733956306</v>
      </c>
      <c r="F52" s="27">
        <f t="array" ref="F52">Calibration!sL*SUM(F13:G13*F26:G26)</f>
        <v>2101133.2769176741</v>
      </c>
      <c r="H52" s="27">
        <f t="array" ref="H52">Calibration!sL*SUM(H13:I13*H26:I26)</f>
        <v>2115453.642853884</v>
      </c>
      <c r="J52" s="27">
        <f t="array" ref="J52">Calibration!sL*SUM(J13:K13*J26:K26)</f>
        <v>2129990.0487890677</v>
      </c>
      <c r="L52" s="27">
        <f t="array" ref="L52">Calibration!sL*SUM(L13:M13*L26:M26)</f>
        <v>2144752.7068892824</v>
      </c>
      <c r="N52" s="27">
        <f t="array" ref="N52">Calibration!sL*SUM(N13:O13*N26:O26)</f>
        <v>2159753.1769046695</v>
      </c>
      <c r="P52" s="27">
        <f t="array" ref="P52">Calibration!sL*SUM(P13:Q13*P26:Q26)</f>
        <v>2175008.0653483621</v>
      </c>
      <c r="R52" s="27">
        <f t="array" ref="R52">Calibration!sL*SUM(R13:S13*R26:S26)</f>
        <v>2190548.6474712696</v>
      </c>
      <c r="T52" s="27">
        <f t="array" ref="T52">Calibration!sL*SUM(T13:U13*T26:U26)</f>
        <v>2206439.2246453022</v>
      </c>
      <c r="V52" s="27">
        <f t="array" ref="V52">Calibration!sL*SUM(V13:W13*V26:W26)</f>
        <v>2222814.3349393322</v>
      </c>
      <c r="X52" s="27">
        <f t="array" ref="X52">Calibration!sL*SUM(X13:Y13*X26:Y26)</f>
        <v>2239950.4539232096</v>
      </c>
      <c r="Z52" s="27">
        <f t="array" ref="Z52">Calibration!sL*SUM(Z13:AA13*Z26:AA26)</f>
        <v>2258406.8013179768</v>
      </c>
      <c r="AB52" s="27">
        <f t="array" ref="AB52">Calibration!sL*SUM(AB13:AC13*AB26:AC26)</f>
        <v>2279299.6917011142</v>
      </c>
      <c r="AD52" s="27">
        <f t="array" ref="AD52">Calibration!sL*SUM(AD13:AE13*AD26:AE26)</f>
        <v>2304815.9154920974</v>
      </c>
      <c r="AF52" s="27">
        <f t="array" ref="AF52">Calibration!sL*SUM(AF13:AG13*AF26:AG26)</f>
        <v>2339015.5237881164</v>
      </c>
      <c r="AH52" s="27">
        <f t="array" ref="AH52">Calibration!sL*SUM(AH13:AI13*AH26:AI26)</f>
        <v>2388237.2483698158</v>
      </c>
      <c r="AJ52" s="27">
        <f t="array" ref="AJ52">Calibration!sL*SUM(AJ13:AK13*AJ26:AK26)</f>
        <v>2457800.9331235723</v>
      </c>
      <c r="AL52" s="27">
        <f t="array" ref="AL52">Calibration!sL*SUM(AL13:AM13*AL26:AM26)</f>
        <v>2538320.9470328633</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2673048.0844737859</v>
      </c>
      <c r="F53" s="27">
        <f t="array" ref="F53">Calibration!sK*SUM(F15:G15*F27:G27)</f>
        <v>2627472.5190425063</v>
      </c>
      <c r="H53" s="27">
        <f t="array" ref="H53">Calibration!sK*SUM(H15:I15*H27:I27)</f>
        <v>2579867.3284944296</v>
      </c>
      <c r="J53" s="27">
        <f t="array" ref="J53">Calibration!sK*SUM(J15:K15*J27:K27)</f>
        <v>2529904.8999768924</v>
      </c>
      <c r="L53" s="27">
        <f t="array" ref="L53">Calibration!sK*SUM(L15:M15*L27:M27)</f>
        <v>2477190.8226171015</v>
      </c>
      <c r="N53" s="27">
        <f t="array" ref="N53">Calibration!sK*SUM(N15:O15*N27:O27)</f>
        <v>2421239.2518090284</v>
      </c>
      <c r="P53" s="27">
        <f t="array" ref="P53">Calibration!sK*SUM(P15:Q15*P27:Q27)</f>
        <v>2361438.6342709986</v>
      </c>
      <c r="R53" s="27">
        <f t="array" ref="R53">Calibration!sK*SUM(R15:S15*R27:S27)</f>
        <v>2296994.1023783186</v>
      </c>
      <c r="T53" s="27">
        <f t="array" ref="T53">Calibration!sK*SUM(T15:U15*T27:U27)</f>
        <v>2226833.4327392061</v>
      </c>
      <c r="V53" s="27">
        <f t="array" ref="V53">Calibration!sK*SUM(V15:W15*V27:W27)</f>
        <v>2149442.3837516098</v>
      </c>
      <c r="X53" s="27">
        <f t="array" ref="X53">Calibration!sK*SUM(X15:Y15*X27:Y27)</f>
        <v>2062570.7129909955</v>
      </c>
      <c r="Z53" s="27">
        <f t="array" ref="Z53">Calibration!sK*SUM(Z15:AA15*Z27:AA27)</f>
        <v>1962681.2095728961</v>
      </c>
      <c r="AB53" s="27">
        <f t="array" ref="AB53">Calibration!sK*SUM(AB15:AC15*AB27:AC27)</f>
        <v>1843880.6848034731</v>
      </c>
      <c r="AD53" s="27">
        <f t="array" ref="AD53">Calibration!sK*SUM(AD15:AE15*AD27:AE27)</f>
        <v>1695794.5512527395</v>
      </c>
      <c r="AF53" s="27">
        <f t="array" ref="AF53">Calibration!sK*SUM(AF15:AG15*AF27:AG27)</f>
        <v>1499423.0325660915</v>
      </c>
      <c r="AH53" s="27">
        <f t="array" ref="AH53">Calibration!sK*SUM(AH15:AI15*AH27:AI27)</f>
        <v>1219986.0985511562</v>
      </c>
      <c r="AJ53" s="27">
        <f t="array" ref="AJ53">Calibration!sK*SUM(AJ15:AK15*AJ27:AK27)</f>
        <v>796909.23864896037</v>
      </c>
      <c r="AL53" s="27">
        <f t="array" ref="AL53">Calibration!sK*SUM(AL15:AM15*AL27:AM27)</f>
        <v>122784.5324317714</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0.20390772912191493</v>
      </c>
      <c r="F55" s="183">
        <f>F30/F32</f>
        <v>0.20948300136606748</v>
      </c>
      <c r="H55" s="183">
        <f>H30/H32</f>
        <v>0.21525591515123371</v>
      </c>
      <c r="J55" s="183">
        <f>J30/J32</f>
        <v>0.22125918158307992</v>
      </c>
      <c r="L55" s="183">
        <f>L30/L32</f>
        <v>0.22753198845035957</v>
      </c>
      <c r="N55" s="183">
        <f>N30/N32</f>
        <v>0.23412339513491831</v>
      </c>
      <c r="P55" s="183">
        <f>P30/P32</f>
        <v>0.24109594893708522</v>
      </c>
      <c r="R55" s="183">
        <f>R30/R32</f>
        <v>0.24853284434400849</v>
      </c>
      <c r="T55" s="183">
        <f>T30/T32</f>
        <v>0.25654955076439806</v>
      </c>
      <c r="V55" s="183">
        <f>V30/V32</f>
        <v>0.26531429095579784</v>
      </c>
      <c r="X55" s="183">
        <f>X30/X32</f>
        <v>0.27508525179189669</v>
      </c>
      <c r="Z55" s="183">
        <f>Z30/Z32</f>
        <v>0.28628064212726373</v>
      </c>
      <c r="AB55" s="183">
        <f>AB30/AB32</f>
        <v>0.29961500953985098</v>
      </c>
      <c r="AD55" s="183">
        <f>AD30/AD32</f>
        <v>0.31637077687072562</v>
      </c>
      <c r="AF55" s="183">
        <f>AF30/AF32</f>
        <v>0.33892583686548455</v>
      </c>
      <c r="AH55" s="183">
        <f>AH30/AH32</f>
        <v>0.37167095041909592</v>
      </c>
      <c r="AJ55" s="183">
        <f>AJ30/AJ32</f>
        <v>0.42247003960577995</v>
      </c>
      <c r="AL55" s="183">
        <f>AL30/AL32</f>
        <v>0.50733319928016074</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3.3727464133630113E-2</v>
      </c>
      <c r="F56" s="183">
        <f>(Model!$C$52*F5*F20+F2*G5*G20)/F32</f>
        <v>3.8373379669239933E-2</v>
      </c>
      <c r="H56" s="183">
        <f>(Model!$C$52*H5*H20+H2*I5*I20)/H32</f>
        <v>4.3181585546557273E-2</v>
      </c>
      <c r="J56" s="183">
        <f>(Model!$C$52*J5*J20+J2*K5*K20)/J32</f>
        <v>4.8179150738864682E-2</v>
      </c>
      <c r="L56" s="183">
        <f>(Model!$C$52*L5*L20+L2*M5*M20)/L32</f>
        <v>5.3398462150354722E-2</v>
      </c>
      <c r="N56" s="183">
        <f>(Model!$C$52*N5*N20+N2*O5*O20)/N32</f>
        <v>5.8880138263132577E-2</v>
      </c>
      <c r="P56" s="183">
        <f>(Model!$C$52*P5*P20+P2*Q5*Q20)/P32</f>
        <v>6.4675887959523948E-2</v>
      </c>
      <c r="R56" s="183">
        <f>(Model!$C$52*R5*R20+R2*S5*S20)/R32</f>
        <v>7.08544346412152E-2</v>
      </c>
      <c r="T56" s="183">
        <f>(Model!$C$52*T5*T20+T2*U5*U20)/T32</f>
        <v>7.7511079073932232E-2</v>
      </c>
      <c r="V56" s="183">
        <f>(Model!$C$52*V5*V20+V2*W5*W20)/V32</f>
        <v>8.4784396906665616E-2</v>
      </c>
      <c r="X56" s="183">
        <f>(Model!$C$52*X5*X20+X2*Y5*Y20)/X32</f>
        <v>9.288672652988629E-2</v>
      </c>
      <c r="Z56" s="183">
        <f>(Model!$C$52*Z5*Z20+Z2*AA5*AA20)/Z32</f>
        <v>0.10216144363042778</v>
      </c>
      <c r="AB56" s="183">
        <f>(Model!$C$52*AB5*AB20+AB2*AC5*AC20)/AB32</f>
        <v>0.11319438061724747</v>
      </c>
      <c r="AD56" s="183">
        <f>(Model!$C$52*AD5*AD20+AD2*AE5*AE20)/AD32</f>
        <v>0.12703580721066227</v>
      </c>
      <c r="AF56" s="183">
        <f>(Model!$C$52*AF5*AF20+AF2*AG5*AG20)/AF32</f>
        <v>0.14563184692509451</v>
      </c>
      <c r="AH56" s="183">
        <f>(Model!$C$52*AH5*AH20+AH2*AI5*AI20)/AH32</f>
        <v>0.17257557278571001</v>
      </c>
      <c r="AJ56" s="183">
        <f>(Model!$C$52*AJ5*AJ20+AJ2*AK5*AK20)/AJ32</f>
        <v>0.21430580158750998</v>
      </c>
      <c r="AL56" s="183">
        <f>(Model!$C$52*AL5*AL20+AL2*AM5*AM20)/AL32</f>
        <v>0.28394166772902585</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0.15951297814932416</v>
      </c>
      <c r="F57" s="183">
        <f t="array" ref="F57">SUM(Model!tauL*F13:G13*F26:G26)/F32</f>
        <v>0.1605281448528027</v>
      </c>
      <c r="H57" s="183">
        <f t="array" ref="H57">SUM(Model!tauL*H13:I13*H26:I26)/H32</f>
        <v>0.16157930348425087</v>
      </c>
      <c r="J57" s="183">
        <f t="array" ref="J57">SUM(Model!tauL*J13:K13*J26:K26)/J32</f>
        <v>0.16267239108656489</v>
      </c>
      <c r="L57" s="183">
        <f t="array" ref="L57">SUM(Model!tauL*L13:M13*L26:M26)/L32</f>
        <v>0.16381457787331261</v>
      </c>
      <c r="N57" s="183">
        <f t="array" ref="N57">SUM(Model!tauL*N13:O13*N26:O26)/N32</f>
        <v>0.16501476403249896</v>
      </c>
      <c r="P57" s="183">
        <f t="array" ref="P57">SUM(Model!tauL*P13:Q13*P26:Q26)/P32</f>
        <v>0.16628435120880106</v>
      </c>
      <c r="R57" s="183">
        <f t="array" ref="R57">SUM(Model!tauL*R13:S13*R26:S26)/R32</f>
        <v>0.16763849869519706</v>
      </c>
      <c r="T57" s="183">
        <f t="array" ref="T57">SUM(Model!tauL*T13:U13*T26:U26)/T32</f>
        <v>0.16909821087321103</v>
      </c>
      <c r="V57" s="183">
        <f t="array" ref="V57">SUM(Model!tauL*V13:W13*V26:W26)/V32</f>
        <v>0.17069412919865659</v>
      </c>
      <c r="X57" s="183">
        <f t="array" ref="X57">SUM(Model!tauL*X13:Y13*X26:Y26)/X32</f>
        <v>0.17247326488198703</v>
      </c>
      <c r="Y57" s="183"/>
      <c r="Z57" s="183">
        <f t="array" ref="Z57">SUM(Model!tauL*Z13:AA13*Z26:AA26)/Z32</f>
        <v>0.17451176317455513</v>
      </c>
      <c r="AB57" s="183">
        <f t="array" ref="AB57">SUM(Model!tauL*AB13:AC13*AB26:AC26)/AB32</f>
        <v>0.17693973866286028</v>
      </c>
      <c r="AD57" s="183">
        <f t="array" ref="AD57">SUM(Model!tauL*AD13:AE13*AD26:AE26)/AD32</f>
        <v>0.17999069493862346</v>
      </c>
      <c r="AF57" s="183">
        <f t="array" ref="AF57">SUM(Model!tauL*AF13:AG13*AF26:AG26)/AF32</f>
        <v>0.18409760890764004</v>
      </c>
      <c r="AH57" s="183">
        <f t="array" ref="AH57">SUM(Model!tauL*AH13:AI13*AH26:AI26)/AH32</f>
        <v>0.19005996702094877</v>
      </c>
      <c r="AJ57" s="183">
        <f t="array" ref="AJ57">SUM(Model!tauL*AJ13:AK13*AJ26:AK26)/AJ32</f>
        <v>0.19930966403840333</v>
      </c>
      <c r="AL57" s="183">
        <f t="array" ref="AL57">SUM(Model!tauL*AL13:AM13*AL26:AM26)/AL32</f>
        <v>0.21476187999173527</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1.0667286838960668E-2</v>
      </c>
      <c r="F58" s="183">
        <f t="array" ref="F58">SUM(Model!tauY/(1+Model!tauY)*F3:G3*F18:G18)/F32</f>
        <v>1.0581476844024849E-2</v>
      </c>
      <c r="H58" s="183">
        <f t="array" ref="H58">SUM(Model!tauY/(1+Model!tauY)*H3:I3*H18:I18)/H32</f>
        <v>1.0495026120425582E-2</v>
      </c>
      <c r="J58" s="183">
        <f t="array" ref="J58">SUM(Model!tauY/(1+Model!tauY)*J3:K3*J18:K18)/J32</f>
        <v>1.040763975765034E-2</v>
      </c>
      <c r="L58" s="183">
        <f t="array" ref="L58">SUM(Model!tauY/(1+Model!tauY)*L3:M3*L18:M18)/L32</f>
        <v>1.0318948426692261E-2</v>
      </c>
      <c r="N58" s="183">
        <f t="array" ref="N58">SUM(Model!tauY/(1+Model!tauY)*N3:O3*N18:O18)/N32</f>
        <v>1.0228492839286748E-2</v>
      </c>
      <c r="P58" s="183">
        <f t="array" ref="P58">SUM(Model!tauY/(1+Model!tauY)*P3:Q3*P18:Q18)/P32</f>
        <v>1.0135709768760189E-2</v>
      </c>
      <c r="R58" s="183">
        <f t="array" ref="R58">SUM(Model!tauY/(1+Model!tauY)*R3:S3*R18:S18)/R32</f>
        <v>1.0039911007596247E-2</v>
      </c>
      <c r="T58" s="183">
        <f t="array" ref="T58">SUM(Model!tauY/(1+Model!tauY)*T3:U3*T18:U18)/T32</f>
        <v>9.9402608172547927E-3</v>
      </c>
      <c r="V58" s="183">
        <f t="array" ref="V58">SUM(Model!tauY/(1+Model!tauY)*V3:W3*V18:W18)/V32</f>
        <v>9.8357648504756659E-3</v>
      </c>
      <c r="X58" s="183">
        <f t="array" ref="X58">SUM(Model!tauY/(1+Model!tauY)*X3:Y3*X18:Y18)/X32</f>
        <v>9.7252603800233785E-3</v>
      </c>
      <c r="Y58" s="183"/>
      <c r="Z58" s="183">
        <f t="array" ref="Z58">SUM(Model!tauY/(1+Model!tauY)*Z3:AA3*Z18:AA18)/Z32</f>
        <v>9.6074353222808159E-3</v>
      </c>
      <c r="AB58" s="183">
        <f t="array" ref="AB58">SUM(Model!tauY/(1+Model!tauY)*AB3:AC3*AB18:AC18)/AB32</f>
        <v>9.4808902597431997E-3</v>
      </c>
      <c r="AD58" s="183">
        <f t="array" ref="AD58">SUM(Model!tauY/(1+Model!tauY)*AD3:AE3*AD18:AE18)/AD32</f>
        <v>9.3442747214398797E-3</v>
      </c>
      <c r="AF58" s="183">
        <f t="array" ref="AF58">SUM(Model!tauY/(1+Model!tauY)*AF3:AG3*AF18:AG18)/AF32</f>
        <v>9.1963810327499416E-3</v>
      </c>
      <c r="AH58" s="183">
        <f t="array" ref="AH58">SUM(Model!tauY/(1+Model!tauY)*AH3:AI3*AH18:AI18)/AH32</f>
        <v>9.0354106124371364E-3</v>
      </c>
      <c r="AJ58" s="183">
        <f t="array" ref="AJ58">SUM(Model!tauY/(1+Model!tauY)*AJ3:AK3*AJ18:AK18)/AJ32</f>
        <v>8.854573979866583E-3</v>
      </c>
      <c r="AL58" s="183">
        <f t="array" ref="AL58">SUM(Model!tauY/(1+Model!tauY)*AL3:AM3*AL18:AM18)/AL32</f>
        <v>8.6296515593996259E-3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5.1134070673237763E-3</v>
      </c>
      <c r="F59" s="183">
        <f>(F2*G5*G20)/F32</f>
        <v>9.8160593106701027E-3</v>
      </c>
      <c r="H59" s="183">
        <f>(H2*I5*I20)/H32</f>
        <v>1.4682522398055644E-2</v>
      </c>
      <c r="J59" s="183">
        <f>(J2*K5*K20)/J32</f>
        <v>1.9740087907897077E-2</v>
      </c>
      <c r="L59" s="183">
        <f>(L2*M5*M20)/L32</f>
        <v>2.5021404859510623E-2</v>
      </c>
      <c r="N59" s="183">
        <f>(N2*O5*O20)/N32</f>
        <v>3.0567415308350616E-2</v>
      </c>
      <c r="P59" s="183">
        <f>(P2*Q5*Q20)/P32</f>
        <v>3.6430234010203538E-2</v>
      </c>
      <c r="R59" s="183">
        <f>(R2*S5*S20)/R32</f>
        <v>4.267912092864494E-2</v>
      </c>
      <c r="T59" s="183">
        <f>(T2*U5*U20)/T32</f>
        <v>4.9410124645667651E-2</v>
      </c>
      <c r="V59" s="183">
        <f>(V2*W5*W20)/V32</f>
        <v>5.6762921267181708E-2</v>
      </c>
      <c r="X59" s="183">
        <f>(X2*Y5*Y20)/X32</f>
        <v>6.4951570332769715E-2</v>
      </c>
      <c r="Z59" s="183">
        <f>(Z2*AA5*AA20)/Z32</f>
        <v>7.4322298447894314E-2</v>
      </c>
      <c r="AB59" s="183">
        <f>(AB2*AC5*AC20)/AB32</f>
        <v>8.5465919145163813E-2</v>
      </c>
      <c r="AD59" s="183">
        <f>(AD2*AE5*AE20)/AD32</f>
        <v>9.9441783756421723E-2</v>
      </c>
      <c r="AF59" s="183">
        <f>(AF2*AG5*AG20)/AF32</f>
        <v>0.11821286422971924</v>
      </c>
      <c r="AH59" s="183">
        <f>(AH2*AI5*AI20)/AH32</f>
        <v>0.14540226378007404</v>
      </c>
      <c r="AJ59" s="183">
        <f>(AJ2*AK5*AK20)/AJ32</f>
        <v>0.18749677087172201</v>
      </c>
      <c r="AL59" s="183">
        <f>(AL2*AM5*AM20)/AL32</f>
        <v>0.25769473246973013</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2.8614057066306337E-2</v>
      </c>
      <c r="F60" s="183">
        <f>Model!$C$52*F5*F20/F32</f>
        <v>2.8557320358569834E-2</v>
      </c>
      <c r="H60" s="183">
        <f>Model!$C$52*H5*H20/H32</f>
        <v>2.8499063148501626E-2</v>
      </c>
      <c r="J60" s="183">
        <f>Model!$C$52*J5*J20/J32</f>
        <v>2.8439062830967598E-2</v>
      </c>
      <c r="L60" s="183">
        <f>Model!$C$52*L5*L20/L32</f>
        <v>2.8377057290844099E-2</v>
      </c>
      <c r="N60" s="183">
        <f>Model!$C$52*N5*N20/N32</f>
        <v>2.8312722954781957E-2</v>
      </c>
      <c r="P60" s="183">
        <f>Model!$C$52*P5*P20/P32</f>
        <v>2.8245653949320406E-2</v>
      </c>
      <c r="R60" s="183">
        <f>Model!$C$52*R5*R20/R32</f>
        <v>2.8175313712570264E-2</v>
      </c>
      <c r="T60" s="183">
        <f>Model!$C$52*T5*T20/T32</f>
        <v>2.8100954428264588E-2</v>
      </c>
      <c r="V60" s="183">
        <f>Model!$C$52*V5*V20/V32</f>
        <v>2.8021475639483907E-2</v>
      </c>
      <c r="X60" s="183">
        <f>Model!$C$52*X5*X20/X32</f>
        <v>2.7935156197116569E-2</v>
      </c>
      <c r="Z60" s="183">
        <f>Model!$C$52*Z5*Z20/Z32</f>
        <v>2.7839145182533474E-2</v>
      </c>
      <c r="AB60" s="183">
        <f>Model!$C$52*AB5*AB20/AB32</f>
        <v>2.7728461472083656E-2</v>
      </c>
      <c r="AD60" s="183">
        <f>Model!$C$52*AD5*AD20/AD32</f>
        <v>2.7594023454240554E-2</v>
      </c>
      <c r="AF60" s="183">
        <f>Model!$C$52*AF5*AF20/AF32</f>
        <v>2.7418982695375273E-2</v>
      </c>
      <c r="AH60" s="183">
        <f>Model!$C$52*AH5*AH20/AH32</f>
        <v>2.7173309005635953E-2</v>
      </c>
      <c r="AJ60" s="183">
        <f>Model!$C$52*AJ5*AJ20/AJ32</f>
        <v>2.6809030715787985E-2</v>
      </c>
      <c r="AL60" s="183">
        <f>Model!$C$52*AL5*AL20/AL32</f>
        <v>2.6246935259295712E-2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1.0232204590248797</v>
      </c>
      <c r="F62">
        <f>F13/F15</f>
        <v>1.0480097936744392</v>
      </c>
      <c r="H62">
        <f>H13/H15</f>
        <v>1.074622822167312</v>
      </c>
      <c r="J62">
        <f>J13/J15</f>
        <v>1.1033754066213135</v>
      </c>
      <c r="L62">
        <f>L13/L15</f>
        <v>1.1346650596911434</v>
      </c>
      <c r="N62">
        <f>N13/N15</f>
        <v>1.1690049093029682</v>
      </c>
      <c r="P62">
        <f>P13/P15</f>
        <v>1.2070746428745978</v>
      </c>
      <c r="R62">
        <f>R13/R15</f>
        <v>1.2498069681438377</v>
      </c>
      <c r="T62">
        <f>T13/T15</f>
        <v>1.2985364837113824</v>
      </c>
      <c r="V62">
        <f>V13/V15</f>
        <v>1.3552746035887846</v>
      </c>
      <c r="X62">
        <f>X13/X15</f>
        <v>1.4232444026420472</v>
      </c>
      <c r="Z62">
        <f>Z13/Z15</f>
        <v>1.5080034284853261</v>
      </c>
      <c r="AB62">
        <f>AB13/AB15</f>
        <v>1.6200131356346061</v>
      </c>
      <c r="AD62">
        <f>AD13/AD15</f>
        <v>1.7812009922365315</v>
      </c>
      <c r="AF62">
        <f>AF13/AF15</f>
        <v>2.0443669220752576</v>
      </c>
      <c r="AH62">
        <f>AH13/AH15</f>
        <v>2.5655028708265917</v>
      </c>
      <c r="AJ62">
        <f>AJ13/AJ15</f>
        <v>4.0419204555000947</v>
      </c>
      <c r="AL62">
        <f>AL13/AL15</f>
        <v>27.092731459332825</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0.99900741027941253</v>
      </c>
      <c r="E65" s="181"/>
      <c r="F65" s="181">
        <f t="array" ref="F65">SQRT((F9:G9*$B$22:$C$22+F10:G10*$B$23:$C$23+F11:G11*$B$24:$C$24+F4:G4*($B$25:$C$25-$B$19:$C$19))/($B$9:$C$9*$B$22:$C$22+$B$10:$C$10*$B$23:$C$23+$B$11:$C$11*$B$24:$C$24+$B$4:$C$4*($B$25:$C$25-$B$19:$C$19))*(F9:G9*F22:G22+F10:G10*F23:G23+F11:G11*F24:G24+F4:G4*(F25:G25-F19:G19))/($B$9:$C$9*F22:G22+$B$10:$C$10*F23:G23+$B$11:$C$11*F24:G24+$B$4:$C$4*(F25:G25-F19:G19)))</f>
        <v>0.99801543814842764</v>
      </c>
      <c r="G65" s="181"/>
      <c r="H65" s="181">
        <f t="array" ref="H65">SQRT((H9:I9*$B$22:$C$22+H10:I10*$B$23:$C$23+H11:I11*$B$24:$C$24+H4:I4*($B$25:$C$25-$B$19:$C$19))/($B$9:$C$9*$B$22:$C$22+$B$10:$C$10*$B$23:$C$23+$B$11:$C$11*$B$24:$C$24+$B$4:$C$4*($B$25:$C$25-$B$19:$C$19))*(H9:I9*H22:I22+H10:I10*H23:I23+H11:I11*H24:I24+H4:I4*(H25:I25-H19:I19))/($B$9:$C$9*H22:I22+$B$10:$C$10*H23:I23+$B$11:$C$11*H24:I24+$B$4:$C$4*(H25:I25-H19:I19)))</f>
        <v>0.99701921755448319</v>
      </c>
      <c r="I65" s="181"/>
      <c r="J65" s="181">
        <f t="array" ref="J65">SQRT((J9:K9*$B$22:$C$22+J10:K10*$B$23:$C$23+J11:K11*$B$24:$C$24+J4:K4*($B$25:$C$25-$B$19:$C$19))/($B$9:$C$9*$B$22:$C$22+$B$10:$C$10*$B$23:$C$23+$B$11:$C$11*$B$24:$C$24+$B$4:$C$4*($B$25:$C$25-$B$19:$C$19))*(J9:K9*J22:K22+J10:K10*J23:K23+J11:K11*J24:K24+J4:K4*(J25:K25-J19:K19))/($B$9:$C$9*J22:K22+$B$10:$C$10*J23:K23+$B$11:$C$11*J24:K24+$B$4:$C$4*(J25:K25-J19:K19)))</f>
        <v>0.99601266609219397</v>
      </c>
      <c r="K65" s="181"/>
      <c r="L65" s="181">
        <f t="array" ref="L65">SQRT((L9:M9*$B$22:$C$22+L10:M10*$B$23:$C$23+L11:M11*$B$24:$C$24+L4:M4*($B$25:$C$25-$B$19:$C$19))/($B$9:$C$9*$B$22:$C$22+$B$10:$C$10*$B$23:$C$23+$B$11:$C$11*$B$24:$C$24+$B$4:$C$4*($B$25:$C$25-$B$19:$C$19))*(L9:M9*L22:M22+L10:M10*L23:M23+L11:M11*L24:M24+L4:M4*(L25:M25-L19:M19))/($B$9:$C$9*L22:M22+$B$10:$C$10*L23:M23+$B$11:$C$11*L24:M24+$B$4:$C$4*(L25:M25-L19:M19)))</f>
        <v>0.9949883334792714</v>
      </c>
      <c r="M65" s="181"/>
      <c r="N65" s="181">
        <f t="array" ref="N65">SQRT((N9:O9*$B$22:$C$22+N10:O10*$B$23:$C$23+N11:O11*$B$24:$C$24+N4:O4*($B$25:$C$25-$B$19:$C$19))/($B$9:$C$9*$B$22:$C$22+$B$10:$C$10*$B$23:$C$23+$B$11:$C$11*$B$24:$C$24+$B$4:$C$4*($B$25:$C$25-$B$19:$C$19))*(N9:O9*N22:O22+N10:O10*N23:O23+N11:O11*N24:O24+N4:O4*(N25:O25-N19:O19))/($B$9:$C$9*N22:O22+$B$10:$C$10*N23:O23+$B$11:$C$11*N24:O24+$B$4:$C$4*(N25:O25-N19:O19)))</f>
        <v>0.9939375597533936</v>
      </c>
      <c r="O65" s="181"/>
      <c r="P65" s="181">
        <f t="array" ref="P65">SQRT((P9:Q9*$B$22:$C$22+P10:Q10*$B$23:$C$23+P11:Q11*$B$24:$C$24+P4:Q4*($B$25:$C$25-$B$19:$C$19))/($B$9:$C$9*$B$22:$C$22+$B$10:$C$10*$B$23:$C$23+$B$11:$C$11*$B$24:$C$24+$B$4:$C$4*($B$25:$C$25-$B$19:$C$19))*(P9:Q9*P22:Q22+P10:Q10*P23:Q23+P11:Q11*P24:Q24+P4:Q4*(P25:Q25-P19:Q19))/($B$9:$C$9*P22:Q22+$B$10:$C$10*P23:Q23+$B$11:$C$11*P24:Q24+$B$4:$C$4*(P25:Q25-P19:Q19)))</f>
        <v>0.99285071694870464</v>
      </c>
      <c r="Q65" s="181"/>
      <c r="R65" s="181">
        <f t="array" ref="R65">SQRT((R9:S9*$B$22:$C$22+R10:S10*$B$23:$C$23+R11:S11*$B$24:$C$24+R4:S4*($B$25:$C$25-$B$19:$C$19))/($B$9:$C$9*$B$22:$C$22+$B$10:$C$10*$B$23:$C$23+$B$11:$C$11*$B$24:$C$24+$B$4:$C$4*($B$25:$C$25-$B$19:$C$19))*(R9:S9*R22:S22+R10:S10*R23:S23+R11:S11*R24:S24+R4:S4*(R25:S25-R19:S19))/($B$9:$C$9*R22:S22+$B$10:$C$10*R23:S23+$B$11:$C$11*R24:S24+$B$4:$C$4*(R25:S25-R19:S19)))</f>
        <v>0.99171803262827496</v>
      </c>
      <c r="S65" s="181"/>
      <c r="T65" s="181">
        <f t="array" ref="T65">SQRT((T9:U9*$B$22:$C$22+T10:U10*$B$23:$C$23+T11:U11*$B$24:$C$24+T4:U4*($B$25:$C$25-$B$19:$C$19))/($B$9:$C$9*$B$22:$C$22+$B$10:$C$10*$B$23:$C$23+$B$11:$C$11*$B$24:$C$24+$B$4:$C$4*($B$25:$C$25-$B$19:$C$19))*(T9:U9*T22:U22+T10:U10*T23:U23+T11:U11*T24:U24+T4:U4*(T25:U25-T19:U19))/($B$9:$C$9*T22:U22+$B$10:$C$10*T23:U23+$B$11:$C$11*T24:U24+$B$4:$C$4*(T25:U25-T19:U19)))</f>
        <v>0.99053128274656155</v>
      </c>
      <c r="U65" s="181"/>
      <c r="V65" s="181">
        <f t="array" ref="V65">SQRT((V9:W9*$B$22:$C$22+V10:W10*$B$23:$C$23+V11:W11*$B$24:$C$24+V4:W4*($B$25:$C$25-$B$19:$C$19))/($B$9:$C$9*$B$22:$C$22+$B$10:$C$10*$B$23:$C$23+$B$11:$C$11*$B$24:$C$24+$B$4:$C$4*($B$25:$C$25-$B$19:$C$19))*(V9:W9*V22:W22+V10:W10*V23:W23+V11:W11*V24:W24+V4:W4*(V25:W25-V19:W19))/($B$9:$C$9*V22:W22+$B$10:$C$10*V23:W23+$B$11:$C$11*V24:W24+$B$4:$C$4*(V25:W25-V19:W19)))</f>
        <v>0.98928713826000214</v>
      </c>
      <c r="W65" s="181"/>
      <c r="X65" s="181">
        <f t="array" ref="X65">SQRT((X9:Y9*$B$22:$C$22+X10:Y10*$B$23:$C$23+X11:Y11*$B$24:$C$24+X4:Y4*($B$25:$C$25-$B$19:$C$19))/($B$9:$C$9*$B$22:$C$22+$B$10:$C$10*$B$23:$C$23+$B$11:$C$11*$B$24:$C$24+$B$4:$C$4*($B$25:$C$25-$B$19:$C$19))*(X9:Y9*X22:Y22+X10:Y10*X23:Y23+X11:Y11*X24:Y24+X4:Y4*(X25:Y25-X19:Y19))/($B$9:$C$9*X22:Y22+$B$10:$C$10*X23:Y23+$B$11:$C$11*X24:Y24+$B$4:$C$4*(X25:Y25-X19:Y19)))</f>
        <v>0.98799364883231078</v>
      </c>
      <c r="Y65" s="181"/>
      <c r="Z65" s="181">
        <f t="array" ref="Z65">SQRT((Z9:AA9*$B$22:$C$22+Z10:AA10*$B$23:$C$23+Z11:AA11*$B$24:$C$24+Z4:AA4*($B$25:$C$25-$B$19:$C$19))/($B$9:$C$9*$B$22:$C$22+$B$10:$C$10*$B$23:$C$23+$B$11:$C$11*$B$24:$C$24+$B$4:$C$4*($B$25:$C$25-$B$19:$C$19))*(Z9:AA9*Z22:AA22+Z10:AA10*Z23:AA23+Z11:AA11*Z24:AA24+Z4:AA4*(Z25:AA25-Z19:AA19))/($B$9:$C$9*Z22:AA22+$B$10:$C$10*Z23:AA23+$B$11:$C$11*Z24:AA24+$B$4:$C$4*(Z25:AA25-Z19:AA19)))</f>
        <v>0.98668262048358069</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0.98543306465966329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0.9844135511881098</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0.98394465552562749</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0.98451985247155194</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0.98654851524171672</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0.9897244921584718</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0.99890843927169848</v>
      </c>
      <c r="E66" s="181"/>
      <c r="F66" s="181">
        <f t="array" ref="F66">SQRT((F9:G9*$B$22:$C$22)/($B$9:$C$9*$B$22:$C$22)*(F9:G9*F22:G22)/($B$9:$C$9*F22:G22))</f>
        <v>0.9978161935169072</v>
      </c>
      <c r="G66" s="181"/>
      <c r="H66" s="181">
        <f t="array" ref="H66">SQRT((H9:I9*$B$22:$C$22)/($B$9:$C$9*$B$22:$C$22)*(H9:I9*H22:I22)/($B$9:$C$9*H22:I22))</f>
        <v>0.99671788919637438</v>
      </c>
      <c r="I66" s="181"/>
      <c r="J66" s="181">
        <f t="array" ref="J66">SQRT((J9:K9*$B$22:$C$22)/($B$9:$C$9*$B$22:$C$22)*(J9:K9*J22:K22)/($B$9:$C$9*J22:K22))</f>
        <v>0.99560677983028867</v>
      </c>
      <c r="K66" s="181"/>
      <c r="L66" s="181">
        <f t="array" ref="L66">SQRT((L9:M9*$B$22:$C$22)/($B$9:$C$9*$B$22:$C$22)*(L9:M9*L22:M22)/($B$9:$C$9*L22:M22))</f>
        <v>0.9944745680088114</v>
      </c>
      <c r="M66" s="181"/>
      <c r="N66" s="181">
        <f t="array" ref="N66">SQRT((N9:O9*$B$22:$C$22)/($B$9:$C$9*$B$22:$C$22)*(N9:O9*N22:O22)/($B$9:$C$9*N22:O22))</f>
        <v>0.99331156804352005</v>
      </c>
      <c r="O66" s="181"/>
      <c r="P66" s="181">
        <f t="array" ref="P66">SQRT((P9:Q9*$B$22:$C$22)/($B$9:$C$9*$B$22:$C$22)*(P9:Q9*P22:Q22)/($B$9:$C$9*P22:Q22))</f>
        <v>0.99210696055252612</v>
      </c>
      <c r="Q66" s="181"/>
      <c r="R66" s="181">
        <f t="array" ref="R66">SQRT((R9:S9*$B$22:$C$22)/($B$9:$C$9*$B$22:$C$22)*(R9:S9*R22:S22)/($B$9:$C$9*R22:S22))</f>
        <v>0.99084969374334175</v>
      </c>
      <c r="S66" s="181"/>
      <c r="T66" s="181">
        <f t="array" ref="T66">SQRT((T9:U9*$B$22:$C$22)/($B$9:$C$9*$B$22:$C$22)*(T9:U9*T22:U22)/($B$9:$C$9*T22:U22))</f>
        <v>0.98953035837532644</v>
      </c>
      <c r="U66" s="181"/>
      <c r="V66" s="181">
        <f t="array" ref="V66">SQRT((V9:W9*$B$22:$C$22)/($B$9:$C$9*$B$22:$C$22)*(V9:W9*V22:W22)/($B$9:$C$9*V22:W22))</f>
        <v>0.98814492430680578</v>
      </c>
      <c r="W66" s="181"/>
      <c r="X66" s="181">
        <f t="array" ref="X66">SQRT((X9:Y9*$B$22:$C$22)/($B$9:$C$9*$B$22:$C$22)*(X9:Y9*X22:Y22)/($B$9:$C$9*X22:Y22))</f>
        <v>0.98670202416536068</v>
      </c>
      <c r="Y66" s="181"/>
      <c r="Z66" s="181">
        <f t="array" ref="Z66">SQRT((Z9:AA9*$B$22:$C$22)/($B$9:$C$9*$B$22:$C$22)*(Z9:AA9*Z22:AA22)/($B$9:$C$9*Z22:AA22))</f>
        <v>0.985236924833371</v>
      </c>
      <c r="AA66" s="181"/>
      <c r="AB66" s="181">
        <f t="array" ref="AB66">SQRT((AB9:AC9*$B$22:$C$22)/($B$9:$C$9*$B$22:$C$22)*(AB9:AC9*AB22:AC22)/($B$9:$C$9*AB22:AC22))</f>
        <v>0.98383808287880647</v>
      </c>
      <c r="AC66" s="181"/>
      <c r="AD66" s="181">
        <f t="array" ref="AD66">SQRT((AD9:AE9*$B$22:$C$22)/($B$9:$C$9*$B$22:$C$22)*(AD9:AE9*AD22:AE22)/($B$9:$C$9*AD22:AE22))</f>
        <v>0.98269516298873894</v>
      </c>
      <c r="AE66" s="181"/>
      <c r="AF66" s="181">
        <f t="array" ref="AF66">SQRT((AF9:AG9*$B$22:$C$22)/($B$9:$C$9*$B$22:$C$22)*(AF9:AG9*AF22:AG22)/($B$9:$C$9*AF22:AG22))</f>
        <v>0.98216961318658025</v>
      </c>
      <c r="AG66" s="181"/>
      <c r="AH66" s="181">
        <f t="array" ref="AH66">SQRT((AH9:AI9*$B$22:$C$22)/($B$9:$C$9*$B$22:$C$22)*(AH9:AI9*AH22:AI22)/($B$9:$C$9*AH22:AI22))</f>
        <v>0.98281685750196257</v>
      </c>
      <c r="AI66" s="181"/>
      <c r="AJ66" s="181">
        <f t="array" ref="AJ66">SQRT((AJ9:AK9*$B$22:$C$22)/($B$9:$C$9*$B$22:$C$22)*(AJ9:AK9*AJ22:AK22)/($B$9:$C$9*AJ22:AK22))</f>
        <v>0.985091904207545</v>
      </c>
      <c r="AK66" s="181"/>
      <c r="AL66" s="181">
        <f t="array" ref="AL66">SQRT((AL9:AM9*$B$22:$C$22)/($B$9:$C$9*$B$22:$C$22)*(AL9:AM9*AL22:AM22)/($B$9:$C$9*AL22:AM22))</f>
        <v>0.98863869175716945</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0.99890843927169848</v>
      </c>
      <c r="E68" s="181"/>
      <c r="F68" s="181">
        <f>F66/F67</f>
        <v>0.9978161935169072</v>
      </c>
      <c r="G68" s="181"/>
      <c r="H68" s="181">
        <f>H66/H67</f>
        <v>0.99671788919637438</v>
      </c>
      <c r="I68" s="181"/>
      <c r="J68" s="181">
        <f>J66/J67</f>
        <v>0.99560677983028867</v>
      </c>
      <c r="K68" s="181"/>
      <c r="L68" s="181">
        <f>L66/L67</f>
        <v>0.9944745680088114</v>
      </c>
      <c r="M68" s="181"/>
      <c r="N68" s="181">
        <f>N66/N67</f>
        <v>0.99331156804352005</v>
      </c>
      <c r="O68" s="181"/>
      <c r="P68" s="181">
        <f>P66/P67</f>
        <v>0.99210696055252612</v>
      </c>
      <c r="Q68" s="181"/>
      <c r="R68" s="181">
        <f>R66/R67</f>
        <v>0.99084969374334175</v>
      </c>
      <c r="S68" s="181"/>
      <c r="T68" s="181">
        <f>T66/T67</f>
        <v>0.98953035837532644</v>
      </c>
      <c r="U68" s="181"/>
      <c r="V68" s="181">
        <f>V66/V67</f>
        <v>0.98814492430680578</v>
      </c>
      <c r="W68" s="181"/>
      <c r="X68" s="181">
        <f>X66/X67</f>
        <v>0.98670202416536068</v>
      </c>
      <c r="Y68" s="181"/>
      <c r="Z68" s="181">
        <f>Z66/Z67</f>
        <v>0.985236924833371</v>
      </c>
      <c r="AA68" s="181"/>
      <c r="AB68" s="181">
        <f>AB66/AB67</f>
        <v>0.98383808287880647</v>
      </c>
      <c r="AC68" s="181"/>
      <c r="AD68" s="181">
        <f>AD66/AD67</f>
        <v>0.98269516298873894</v>
      </c>
      <c r="AE68" s="181"/>
      <c r="AF68" s="181">
        <f>AF66/AF67</f>
        <v>0.98216961318658025</v>
      </c>
      <c r="AG68" s="181"/>
      <c r="AH68" s="181">
        <f>AH66/AH67</f>
        <v>0.98281685750196257</v>
      </c>
      <c r="AI68" s="181"/>
      <c r="AJ68" s="181">
        <f>AJ66/AJ67</f>
        <v>0.985091904207545</v>
      </c>
      <c r="AK68" s="181"/>
      <c r="AL68" s="181">
        <f>AL66/AL67</f>
        <v>0.98863869175716945</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1.0014995248451064</v>
      </c>
      <c r="E69" s="181"/>
      <c r="F69" s="181">
        <f>F32/F65/($B$32)</f>
        <v>1.0028929334899317</v>
      </c>
      <c r="G69" s="181"/>
      <c r="H69" s="181">
        <f>H32/H65/($B$32)</f>
        <v>1.0041617353523866</v>
      </c>
      <c r="I69" s="181"/>
      <c r="J69" s="181">
        <f>J32/J65/($B$32)</f>
        <v>1.0052828629952058</v>
      </c>
      <c r="K69" s="181"/>
      <c r="L69" s="181">
        <f>L32/L65/($B$32)</f>
        <v>1.006227321788896</v>
      </c>
      <c r="M69" s="181"/>
      <c r="N69" s="181">
        <f>N32/N65/($B$32)</f>
        <v>1.0069586403826609</v>
      </c>
      <c r="O69" s="181"/>
      <c r="P69" s="181">
        <f>P32/P65/($B$32)</f>
        <v>1.007430173132527</v>
      </c>
      <c r="Q69" s="181"/>
      <c r="R69" s="181">
        <f>R32/R65/($B$32)</f>
        <v>1.0075818732682744</v>
      </c>
      <c r="S69" s="181"/>
      <c r="T69" s="181">
        <f>T32/T65/($B$32)</f>
        <v>1.0073355881331352</v>
      </c>
      <c r="U69" s="181"/>
      <c r="V69" s="181">
        <f>V32/V65/($B$32)</f>
        <v>1.0065877899909179</v>
      </c>
      <c r="W69" s="181"/>
      <c r="X69" s="181">
        <f>X32/X65/($B$32)</f>
        <v>1.0051986373960893</v>
      </c>
      <c r="Y69" s="181"/>
      <c r="Z69" s="181">
        <f>Z32/Z65/($B$32)</f>
        <v>1.0029733751947965</v>
      </c>
      <c r="AA69" s="181"/>
      <c r="AB69" s="181">
        <f>AB32/AB65/($B$32)</f>
        <v>0.99962782510288417</v>
      </c>
      <c r="AC69" s="181"/>
      <c r="AD69" s="181">
        <f>AD32/AD65/($B$32)</f>
        <v>0.9947135258337837</v>
      </c>
      <c r="AE69" s="181"/>
      <c r="AF69" s="181">
        <f>AF32/AF65/($B$32)</f>
        <v>0.9874240517974141</v>
      </c>
      <c r="AG69" s="181"/>
      <c r="AH69" s="181">
        <f>AH32/AH65/($B$32)</f>
        <v>0.9760043570838689</v>
      </c>
      <c r="AI69" s="181"/>
      <c r="AJ69" s="181">
        <f>AJ32/AJ65/($B$32)</f>
        <v>0.95584905863292191</v>
      </c>
      <c r="AK69" s="181"/>
      <c r="AL69" s="181">
        <f>AL32/AL65/($B$32)</f>
        <v>0.91319691447774287</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1.0003707948993494</v>
      </c>
      <c r="E70" s="129"/>
      <c r="F70" s="129">
        <f>F18/$B$18</f>
        <v>1.0005885965178125</v>
      </c>
      <c r="G70" s="129"/>
      <c r="H70" s="129">
        <f>H18/$B$18</f>
        <v>1.0006323947310325</v>
      </c>
      <c r="I70" s="129"/>
      <c r="J70" s="129">
        <f>J18/$B$18</f>
        <v>1.0004767170109461</v>
      </c>
      <c r="K70" s="129"/>
      <c r="L70" s="129">
        <f>L18/$B$18</f>
        <v>1.0000902033494279</v>
      </c>
      <c r="M70" s="129"/>
      <c r="N70" s="129">
        <f>N18/$B$18</f>
        <v>0.99943324773786291</v>
      </c>
      <c r="O70" s="129"/>
      <c r="P70" s="129">
        <f>P18/$B$18</f>
        <v>0.99845448898803801</v>
      </c>
      <c r="Q70" s="129"/>
      <c r="R70" s="129">
        <f>R18/$B$18</f>
        <v>0.99708533089891882</v>
      </c>
      <c r="S70" s="129"/>
      <c r="T70" s="129">
        <f>T18/$B$18</f>
        <v>0.99523113545605602</v>
      </c>
      <c r="U70" s="129"/>
      <c r="V70" s="129">
        <f>V18/$B$18</f>
        <v>0.9927563275427943</v>
      </c>
      <c r="W70" s="129"/>
      <c r="X70" s="129">
        <f>X18/$B$18</f>
        <v>0.98945872778474098</v>
      </c>
      <c r="Y70" s="129"/>
      <c r="Z70" s="129">
        <f>Z18/$B$18</f>
        <v>0.98502288669811811</v>
      </c>
      <c r="AA70" s="129"/>
      <c r="AB70" s="129">
        <f>AB18/$B$18</f>
        <v>0.9789316553931624</v>
      </c>
      <c r="AC70" s="129"/>
      <c r="AD70" s="129">
        <f>AD18/$B$18</f>
        <v>0.97029128016141664</v>
      </c>
      <c r="AE70" s="129"/>
      <c r="AF70" s="129">
        <f>AF18/$B$18</f>
        <v>0.95747846161100558</v>
      </c>
      <c r="AG70" s="129"/>
      <c r="AH70" s="129">
        <f>AH18/$B$18</f>
        <v>0.93743162140307812</v>
      </c>
      <c r="AI70" s="129"/>
      <c r="AJ70" s="129">
        <f>AJ18/$B$18</f>
        <v>0.9041069873316826</v>
      </c>
      <c r="AK70" s="129"/>
      <c r="AL70" s="129">
        <f>AL18/$B$18</f>
        <v>0.84328059207675121</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0.92816997775114951</v>
      </c>
      <c r="E71" s="129"/>
      <c r="F71" s="129">
        <f>G18/$C$18</f>
        <v>0.85683620042552022</v>
      </c>
      <c r="G71" s="129"/>
      <c r="H71" s="129">
        <f>I18/$C$18</f>
        <v>0.78600616325496697</v>
      </c>
      <c r="I71" s="129"/>
      <c r="J71" s="129">
        <f>K18/$C$18</f>
        <v>0.7156880372319504</v>
      </c>
      <c r="K71" s="129"/>
      <c r="L71" s="129">
        <f>M18/$C$18</f>
        <v>0.64589467070597661</v>
      </c>
      <c r="M71" s="129"/>
      <c r="N71" s="129">
        <f>O18/$C$18</f>
        <v>0.57665188683447166</v>
      </c>
      <c r="O71" s="129"/>
      <c r="P71" s="129">
        <f>Q18/$C$18</f>
        <v>0.50801740512112115</v>
      </c>
      <c r="Q71" s="129"/>
      <c r="R71" s="129">
        <f>S18/$C$18</f>
        <v>0.44010485802425842</v>
      </c>
      <c r="S71" s="129"/>
      <c r="T71" s="129">
        <f>U18/$C$18</f>
        <v>0.37312296481084356</v>
      </c>
      <c r="U71" s="129"/>
      <c r="V71" s="129">
        <f>W18/$C$18</f>
        <v>0.30744125191710214</v>
      </c>
      <c r="W71" s="129"/>
      <c r="X71" s="129">
        <f>Y18/$C$18</f>
        <v>0.2436862581603666</v>
      </c>
      <c r="Y71" s="129"/>
      <c r="Z71" s="129">
        <f>AA18/$C$18</f>
        <v>0.18289052571330452</v>
      </c>
      <c r="AA71" s="129"/>
      <c r="AB71" s="129">
        <f>AC18/$C$18</f>
        <v>0.12670280993661165</v>
      </c>
      <c r="AC71" s="129"/>
      <c r="AD71" s="129">
        <f>AE18/$C$18</f>
        <v>7.7629837623309175E-2</v>
      </c>
      <c r="AE71" s="129"/>
      <c r="AF71" s="129">
        <f>AG18/$C$18</f>
        <v>3.9058458531677692E-2</v>
      </c>
      <c r="AG71" s="129"/>
      <c r="AH71" s="129">
        <f>AI18/$C$18</f>
        <v>1.4216132825531498E-2</v>
      </c>
      <c r="AI71" s="129"/>
      <c r="AJ71" s="129">
        <f>AK18/$C$18</f>
        <v>3.0584832034312942E-3</v>
      </c>
      <c r="AK71" s="129"/>
      <c r="AL71" s="129">
        <f>AM18/$C$18</f>
        <v>2.7954849001720537E-4</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1.0207472354343161</v>
      </c>
      <c r="E72" s="129"/>
      <c r="F72" s="129">
        <f>G19/$C$19</f>
        <v>1.045241562767605</v>
      </c>
      <c r="G72" s="129"/>
      <c r="H72" s="129">
        <f>I19/$C$19</f>
        <v>1.0739813247159364</v>
      </c>
      <c r="I72" s="129"/>
      <c r="J72" s="129">
        <f>K19/$C$19</f>
        <v>1.1075304979400331</v>
      </c>
      <c r="K72" s="129"/>
      <c r="L72" s="129">
        <f>M19/$C$19</f>
        <v>1.1465010961649205</v>
      </c>
      <c r="M72" s="129"/>
      <c r="N72" s="129">
        <f>O19/$C$19</f>
        <v>1.1915481324301633</v>
      </c>
      <c r="O72" s="129"/>
      <c r="P72" s="129">
        <f>Q19/$C$19</f>
        <v>1.2433101369347352</v>
      </c>
      <c r="Q72" s="129"/>
      <c r="R72" s="129">
        <f>S19/$C$19</f>
        <v>1.3023199073085108</v>
      </c>
      <c r="S72" s="129"/>
      <c r="T72" s="129">
        <f>U19/$C$19</f>
        <v>1.3688193476839376</v>
      </c>
      <c r="U72" s="129"/>
      <c r="V72" s="129">
        <f>W19/$C$19</f>
        <v>1.4424111439551985</v>
      </c>
      <c r="W72" s="129"/>
      <c r="X72" s="129">
        <f>Y19/$C$19</f>
        <v>1.5214041246784809</v>
      </c>
      <c r="Y72" s="129"/>
      <c r="Z72" s="129">
        <f>AA19/$C$19</f>
        <v>1.6015794479167698</v>
      </c>
      <c r="AA72" s="129"/>
      <c r="AB72" s="129">
        <f>AC19/$C$19</f>
        <v>1.6738819316796707</v>
      </c>
      <c r="AC72" s="129"/>
      <c r="AD72" s="129">
        <f>AE19/$C$19</f>
        <v>1.7203302313910602</v>
      </c>
      <c r="AE72" s="129"/>
      <c r="AF72" s="129">
        <f>AG19/$C$19</f>
        <v>1.7082082898920801</v>
      </c>
      <c r="AG72" s="129"/>
      <c r="AH72" s="129">
        <f>AI19/$C$19</f>
        <v>1.5887515542223232</v>
      </c>
      <c r="AI72" s="129"/>
      <c r="AJ72" s="129">
        <f>AK19/$C$19</f>
        <v>1.3215190805971841</v>
      </c>
      <c r="AK72" s="129"/>
      <c r="AL72" s="129">
        <f>AM19/$C$19</f>
        <v>0.92511231607565414</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0.47641153352875115</v>
      </c>
      <c r="D73" s="183">
        <f t="array" ref="D73">SUM(D9:E9*D22:E22)/D32</f>
        <v>0.47641156505837751</v>
      </c>
      <c r="E73" s="129"/>
      <c r="F73" s="183">
        <f t="array" ref="F73">SUM(F9:G9*F22:G22)/F32</f>
        <v>0.4764115675442665</v>
      </c>
      <c r="G73" s="129"/>
      <c r="H73" s="183">
        <f t="array" ref="H73">SUM(H9:I9*H22:I22)/H32</f>
        <v>0.47641153485434978</v>
      </c>
      <c r="I73" s="129"/>
      <c r="J73" s="183">
        <f t="array" ref="J73">SUM(J9:K9*J22:K22)/J32</f>
        <v>0.47641157145816021</v>
      </c>
      <c r="K73" s="129"/>
      <c r="L73" s="183">
        <f t="array" ref="L73">SUM(L9:M9*L22:M22)/L32</f>
        <v>0.47641153511268891</v>
      </c>
      <c r="M73" s="129"/>
      <c r="N73" s="183">
        <f t="array" ref="N73">SUM(N9:O9*N22:O22)/N32</f>
        <v>0.47641153632262501</v>
      </c>
      <c r="O73" s="129"/>
      <c r="P73" s="183">
        <f t="array" ref="P73">SUM(P9:Q9*P22:Q22)/P32</f>
        <v>0.47641153735124292</v>
      </c>
      <c r="Q73" s="129"/>
      <c r="R73" s="183">
        <f t="array" ref="R73">SUM(R9:S9*R22:S22)/R32</f>
        <v>0.47641153458178503</v>
      </c>
      <c r="S73" s="129"/>
      <c r="T73" s="183">
        <f t="array" ref="T73">SUM(T9:U9*T22:U22)/T32</f>
        <v>0.47641153745285547</v>
      </c>
      <c r="U73" s="129"/>
      <c r="V73" s="183">
        <f t="array" ref="V73">SUM(V9:W9*V22:W22)/V32</f>
        <v>0.47641153715681073</v>
      </c>
      <c r="W73" s="129"/>
      <c r="X73" s="183">
        <f t="array" ref="X73">SUM(X9:Y9*X22:Y22)/X32</f>
        <v>0.47641153395104807</v>
      </c>
      <c r="Y73" s="129"/>
      <c r="Z73" s="183">
        <f t="array" ref="Z73">SUM(Z9:AA9*Z22:AA22)/Z32</f>
        <v>0.47641153557968025</v>
      </c>
      <c r="AA73" s="129"/>
      <c r="AB73" s="183">
        <f t="array" ref="AB73">SUM(AB9:AC9*AB22:AC22)/AB32</f>
        <v>0.47641153491791555</v>
      </c>
      <c r="AC73" s="129"/>
      <c r="AD73" s="183">
        <f t="array" ref="AD73">SUM(AD9:AE9*AD22:AE22)/AD32</f>
        <v>0.47641153312094869</v>
      </c>
      <c r="AE73" s="129"/>
      <c r="AF73" s="183">
        <f t="array" ref="AF73">SUM(AF9:AG9*AF22:AG22)/AF32</f>
        <v>0.47641153449239371</v>
      </c>
      <c r="AG73" s="129"/>
      <c r="AH73" s="183">
        <f t="array" ref="AH73">SUM(AH9:AI9*AH22:AI22)/AH32</f>
        <v>0.47641153351349541</v>
      </c>
      <c r="AI73" s="129"/>
      <c r="AJ73" s="183">
        <f t="array" ref="AJ73">SUM(AJ9:AK9*AJ22:AK22)/AJ32</f>
        <v>0.47641153354333943</v>
      </c>
      <c r="AK73" s="129"/>
      <c r="AL73" s="183">
        <f t="array" ref="AL73">SUM(AL9:AM9*AL22:AM22)/AL32</f>
        <v>0.47641153353077442</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0.22604620456442487</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0.22038438842455899</v>
      </c>
      <c r="E75" s="129"/>
      <c r="F75" s="183">
        <f t="array" ref="F75">SUM(F11:G11*F24:G24)/F32</f>
        <v>0.2203843884431908</v>
      </c>
      <c r="G75" s="129"/>
      <c r="H75" s="183">
        <f t="array" ref="H75">SUM(H11:I11*H24:I24)/H32</f>
        <v>0.2203843883218807</v>
      </c>
      <c r="I75" s="129"/>
      <c r="J75" s="183">
        <f t="array" ref="J75">SUM(J11:K11*J24:K24)/J32</f>
        <v>0.22038438825646078</v>
      </c>
      <c r="K75" s="129"/>
      <c r="L75" s="183">
        <f t="array" ref="L75">SUM(L11:M11*L24:M24)/L32</f>
        <v>0.22038438831783197</v>
      </c>
      <c r="M75" s="129"/>
      <c r="N75" s="183">
        <f t="array" ref="N75">SUM(N11:O11*N24:O24)/N32</f>
        <v>0.22038438830486101</v>
      </c>
      <c r="O75" s="129"/>
      <c r="P75" s="183">
        <f t="array" ref="P75">SUM(P11:Q11*P24:Q24)/P32</f>
        <v>0.22038438829153947</v>
      </c>
      <c r="Q75" s="129"/>
      <c r="R75" s="183">
        <f t="array" ref="R75">SUM(R11:S11*R24:S24)/R32</f>
        <v>0.22038438832942889</v>
      </c>
      <c r="S75" s="129"/>
      <c r="T75" s="183">
        <f t="array" ref="T75">SUM(T11:U11*T24:U24)/T32</f>
        <v>0.2203843883221277</v>
      </c>
      <c r="U75" s="129"/>
      <c r="V75" s="183">
        <f t="array" ref="V75">SUM(V11:W11*V24:W24)/V32</f>
        <v>0.22038438832391125</v>
      </c>
      <c r="W75" s="129"/>
      <c r="X75" s="183">
        <f t="array" ref="X75">SUM(X11:Y11*X24:Y24)/X32</f>
        <v>0.22038438832289062</v>
      </c>
      <c r="Y75" s="129"/>
      <c r="Z75" s="183">
        <f t="array" ref="Z75">SUM(Z11:AA11*Z24:AA24)/Z32</f>
        <v>0.22038438835057086</v>
      </c>
      <c r="AA75" s="129"/>
      <c r="AB75" s="183">
        <f t="array" ref="AB75">SUM(AB11:AC11*AB24:AC24)/AB32</f>
        <v>0.22038438832588164</v>
      </c>
      <c r="AC75" s="129"/>
      <c r="AD75" s="183">
        <f t="array" ref="AD75">SUM(AD11:AE11*AD24:AE24)/AD32</f>
        <v>0.22038438833526994</v>
      </c>
      <c r="AE75" s="129"/>
      <c r="AF75" s="183">
        <f t="array" ref="AF75">SUM(AF11:AG11*AF24:AG24)/AF32</f>
        <v>0.22038438833052909</v>
      </c>
      <c r="AG75" s="129"/>
      <c r="AH75" s="183">
        <f t="array" ref="AH75">SUM(AH11:AI11*AH24:AI24)/AH32</f>
        <v>0.22038438833198762</v>
      </c>
      <c r="AI75" s="129"/>
      <c r="AJ75" s="183">
        <f t="array" ref="AJ75">SUM(AJ11:AK11*AJ24:AK24)/AJ32</f>
        <v>0.22038438833196275</v>
      </c>
      <c r="AK75" s="129"/>
      <c r="AL75" s="183">
        <f t="array" ref="AL75">SUM(AL11:AM11*AL24:AM24)/AL32</f>
        <v>0.22038438833197591</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0.22301874374724862</v>
      </c>
      <c r="D76" s="183">
        <f t="array" ref="D76">SUM(D12:E12*D25:E25)/D32</f>
        <v>0.22299263486687287</v>
      </c>
      <c r="E76" s="129"/>
      <c r="F76" s="183">
        <f t="array" ref="F76">SUM(F12:G12*F25:G25)/F32</f>
        <v>0.22302949593746726</v>
      </c>
      <c r="G76" s="129"/>
      <c r="H76" s="183">
        <f t="array" ref="H76">SUM(H12:I12*H25:I25)/H32</f>
        <v>0.22313719315392846</v>
      </c>
      <c r="I76" s="129"/>
      <c r="J76" s="183">
        <f t="array" ref="J76">SUM(J12:K12*J25:K25)/J32</f>
        <v>0.22332455132354415</v>
      </c>
      <c r="K76" s="129"/>
      <c r="L76" s="183">
        <f t="array" ref="L76">SUM(L12:M12*L25:M25)/L32</f>
        <v>0.22360142569243266</v>
      </c>
      <c r="M76" s="129"/>
      <c r="N76" s="183">
        <f t="array" ref="N76">SUM(N12:O12*N25:O25)/N32</f>
        <v>0.22397814502387861</v>
      </c>
      <c r="O76" s="129"/>
      <c r="P76" s="183">
        <f t="array" ref="P76">SUM(P12:Q12*P25:Q25)/P32</f>
        <v>0.22446495570726294</v>
      </c>
      <c r="Q76" s="129"/>
      <c r="R76" s="183">
        <f t="array" ref="R76">SUM(R12:S12*R25:S25)/R32</f>
        <v>0.22507035260156721</v>
      </c>
      <c r="S76" s="129"/>
      <c r="T76" s="183">
        <f t="array" ref="T76">SUM(T12:U12*T25:U25)/T32</f>
        <v>0.22579793619115585</v>
      </c>
      <c r="U76" s="129"/>
      <c r="V76" s="183">
        <f t="array" ref="V76">SUM(V12:W12*V25:W25)/V32</f>
        <v>0.22664036903619081</v>
      </c>
      <c r="W76" s="129"/>
      <c r="X76" s="183">
        <f t="array" ref="X76">SUM(X12:Y12*X25:Y25)/X32</f>
        <v>0.22756762236982753</v>
      </c>
      <c r="Y76" s="129"/>
      <c r="Z76" s="183">
        <f t="array" ref="Z76">SUM(Z12:AA12*Z25:AA25)/Z32</f>
        <v>0.22850435933076774</v>
      </c>
      <c r="AA76" s="129"/>
      <c r="AB76" s="183">
        <f t="array" ref="AB76">SUM(AB12:AC12*AB25:AC25)/AB32</f>
        <v>0.22928655658139829</v>
      </c>
      <c r="AC76" s="129"/>
      <c r="AD76" s="183">
        <f t="array" ref="AD76">SUM(AD12:AE12*AD25:AE25)/AD32</f>
        <v>0.22958233574382364</v>
      </c>
      <c r="AE76" s="129"/>
      <c r="AF76" s="183">
        <f t="array" ref="AF76">SUM(AF12:AG12*AF25:AG25)/AF32</f>
        <v>0.22877368668510534</v>
      </c>
      <c r="AG76" s="129"/>
      <c r="AH76" s="183">
        <f t="array" ref="AH76">SUM(AH12:AI12*AH25:AI25)/AH32</f>
        <v>0.22590587244069249</v>
      </c>
      <c r="AI76" s="129"/>
      <c r="AJ76" s="183">
        <f t="array" ref="AJ76">SUM(AJ12:AK12*AJ25:AK25)/AJ32</f>
        <v>0.22008516668652825</v>
      </c>
      <c r="AK76" s="129"/>
      <c r="AL76" s="183">
        <f t="array" ref="AL76">SUM(AL12:AM12*AL25:AM25)/AL32</f>
        <v>0.2112893822638317</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0.14586087017236518</v>
      </c>
      <c r="D77" s="183">
        <f t="array" ref="D77">SUM(D4:E4*D19:E19)/D32</f>
        <v>0.14583479291423404</v>
      </c>
      <c r="E77" s="129"/>
      <c r="F77" s="183">
        <f t="array" ref="F77">SUM(F4:G4*F19:G19)/F32</f>
        <v>0.14587165648934908</v>
      </c>
      <c r="G77" s="129"/>
      <c r="H77" s="183">
        <f t="array" ref="H77">SUM(H4:I4*H19:I19)/H32</f>
        <v>0.14597932089458387</v>
      </c>
      <c r="I77" s="129"/>
      <c r="J77" s="183">
        <f t="array" ref="J77">SUM(J4:K4*J19:K19)/J32</f>
        <v>0.14616671560258962</v>
      </c>
      <c r="K77" s="129"/>
      <c r="L77" s="183">
        <f t="array" ref="L77">SUM(L4:M4*L19:M19)/L32</f>
        <v>0.14644355368737833</v>
      </c>
      <c r="M77" s="129"/>
      <c r="N77" s="183">
        <f t="array" ref="N77">SUM(N4:O4*N19:O19)/N32</f>
        <v>0.1468202742157895</v>
      </c>
      <c r="O77" s="129"/>
      <c r="P77" s="183">
        <f t="array" ref="P77">SUM(P4:Q4*P19:Q19)/P32</f>
        <v>0.14730708591447017</v>
      </c>
      <c r="Q77" s="129"/>
      <c r="R77" s="183">
        <f t="array" ref="R77">SUM(R4:S4*R19:S19)/R32</f>
        <v>0.147912480077206</v>
      </c>
      <c r="S77" s="129"/>
      <c r="T77" s="183">
        <f t="array" ref="T77">SUM(T4:U4*T19:U19)/T32</f>
        <v>0.14864006653056372</v>
      </c>
      <c r="U77" s="129"/>
      <c r="V77" s="183">
        <f t="array" ref="V77">SUM(V4:W4*V19:W19)/V32</f>
        <v>0.14948249908133765</v>
      </c>
      <c r="W77" s="129"/>
      <c r="X77" s="183">
        <f t="array" ref="X77">SUM(X4:Y4*X19:Y19)/X32</f>
        <v>0.15040974920819114</v>
      </c>
      <c r="Y77" s="129"/>
      <c r="Z77" s="183">
        <f t="array" ref="Z77">SUM(Z4:AA4*Z19:AA19)/Z32</f>
        <v>0.15134648782544366</v>
      </c>
      <c r="AA77" s="129"/>
      <c r="AB77" s="183">
        <f t="array" ref="AB77">SUM(AB4:AC4*AB19:AC19)/AB32</f>
        <v>0.15212868438962018</v>
      </c>
      <c r="AC77" s="129"/>
      <c r="AD77" s="183">
        <f t="array" ref="AD77">SUM(AD4:AE4*AD19:AE19)/AD32</f>
        <v>0.15242446176446697</v>
      </c>
      <c r="AE77" s="129"/>
      <c r="AF77" s="183">
        <f t="array" ref="AF77">SUM(AF4:AG4*AF19:AG19)/AF32</f>
        <v>0.151615814072453</v>
      </c>
      <c r="AG77" s="129"/>
      <c r="AH77" s="183">
        <f t="array" ref="AH77">SUM(AH4:AI4*AH19:AI19)/AH32</f>
        <v>0.14874799885060036</v>
      </c>
      <c r="AI77" s="129"/>
      <c r="AJ77" s="183">
        <f t="array" ref="AJ77">SUM(AJ4:AK4*AJ19:AK19)/AJ32</f>
        <v>0.14292729312625527</v>
      </c>
      <c r="AK77" s="129"/>
      <c r="AL77" s="183">
        <f t="array" ref="AL77">SUM(AL4:AM4*AL19:AM19)/AL32</f>
        <v>0.1341315086910069</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0.34904109985287424</v>
      </c>
      <c r="E78" s="129"/>
      <c r="F78" s="183">
        <f t="array" ref="F78">SUM(F13:G13*F26:G26)/F32</f>
        <v>0.35126245454656235</v>
      </c>
      <c r="G78" s="129"/>
      <c r="H78" s="183">
        <f t="array" ref="H78">SUM(H13:I13*H26:I26)/H32</f>
        <v>0.35356256560396521</v>
      </c>
      <c r="I78" s="129"/>
      <c r="J78" s="183">
        <f t="array" ref="J78">SUM(J13:K13*J26:K26)/J32</f>
        <v>0.35595442426884483</v>
      </c>
      <c r="K78" s="129"/>
      <c r="L78" s="183">
        <f t="array" ref="L78">SUM(L13:M13*L26:M26)/L32</f>
        <v>0.35845372016883509</v>
      </c>
      <c r="M78" s="129"/>
      <c r="N78" s="183">
        <f t="array" ref="N78">SUM(N13:O13*N26:O26)/N32</f>
        <v>0.36107992840524861</v>
      </c>
      <c r="O78" s="129"/>
      <c r="P78" s="183">
        <f t="array" ref="P78">SUM(P13:Q13*P26:Q26)/P32</f>
        <v>0.3638579976853592</v>
      </c>
      <c r="Q78" s="129"/>
      <c r="R78" s="183">
        <f t="array" ref="R78">SUM(R13:S13*R26:S26)/R32</f>
        <v>0.36682109907998178</v>
      </c>
      <c r="S78" s="129"/>
      <c r="T78" s="183">
        <f t="array" ref="T78">SUM(T13:U13*T26:U26)/T32</f>
        <v>0.37001519369218122</v>
      </c>
      <c r="U78" s="129"/>
      <c r="V78" s="183">
        <f t="array" ref="V78">SUM(V13:W13*V26:W26)/V32</f>
        <v>0.3735073301568857</v>
      </c>
      <c r="W78" s="129"/>
      <c r="X78" s="183">
        <f t="array" ref="X78">SUM(X13:Y13*X26:Y26)/X32</f>
        <v>0.37740037687259453</v>
      </c>
      <c r="Y78" s="129"/>
      <c r="Z78" s="183">
        <f t="array" ref="Z78">SUM(Z13:AA13*Z26:AA26)/Z32</f>
        <v>0.38186095239655032</v>
      </c>
      <c r="AA78" s="129"/>
      <c r="AB78" s="183">
        <f t="array" ref="AB78">SUM(AB13:AC13*AB26:AC26)/AB32</f>
        <v>0.38717376922616598</v>
      </c>
      <c r="AC78" s="129"/>
      <c r="AD78" s="183">
        <f t="array" ref="AD78">SUM(AD13:AE13*AD26:AE26)/AD32</f>
        <v>0.39384977231036977</v>
      </c>
      <c r="AE78" s="129"/>
      <c r="AF78" s="183">
        <f t="array" ref="AF78">SUM(AF13:AG13*AF26:AG26)/AF32</f>
        <v>0.40283638760260487</v>
      </c>
      <c r="AG78" s="129"/>
      <c r="AH78" s="183">
        <f t="array" ref="AH78">SUM(AH13:AI13*AH26:AI26)/AH32</f>
        <v>0.41588302529773835</v>
      </c>
      <c r="AI78" s="129"/>
      <c r="AJ78" s="183">
        <f t="array" ref="AJ78">SUM(AJ13:AK13*AJ26:AK26)/AJ32</f>
        <v>0.43612291084019184</v>
      </c>
      <c r="AK78" s="129"/>
      <c r="AL78" s="183">
        <f t="array" ref="AL78">SUM(AL13:AM13*AL26:AM26)/AL32</f>
        <v>0.46993494616227172</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0.4470512106213701</v>
      </c>
      <c r="F79" s="183">
        <f t="array" ref="F79">SUM(F15:G15*F27:G27)/F32</f>
        <v>0.43925459485675067</v>
      </c>
      <c r="H79" s="183">
        <f t="array" ref="H79">SUM(H15:I15*H27:I27)/H32</f>
        <v>0.43118151733629861</v>
      </c>
      <c r="J79" s="183">
        <f t="array" ref="J79">SUM(J15:K15*J27:K27)/J32</f>
        <v>0.42278640815161078</v>
      </c>
      <c r="L79" s="183">
        <f t="array" ref="L79">SUM(L15:M15*L27:M27)/L32</f>
        <v>0.41401428849253125</v>
      </c>
      <c r="N79" s="183">
        <f t="array" ref="N79">SUM(N15:O15*N27:O27)/N32</f>
        <v>0.40479667076964831</v>
      </c>
      <c r="P79" s="183">
        <f t="array" ref="P79">SUM(P15:Q15*P27:Q27)/P32</f>
        <v>0.3950460445695293</v>
      </c>
      <c r="R79" s="183">
        <f t="array" ref="R79">SUM(R15:S15*R27:S27)/R32</f>
        <v>0.38464605759261133</v>
      </c>
      <c r="T79" s="183">
        <f t="array" ref="T79">SUM(T15:U15*T27:U27)/T32</f>
        <v>0.37343525927739007</v>
      </c>
      <c r="V79" s="183">
        <f t="array" ref="V79">SUM(V15:W15*V27:W27)/V32</f>
        <v>0.3611783824954628</v>
      </c>
      <c r="X79" s="183">
        <f t="array" ref="X79">SUM(X15:Y15*X27:Y27)/X32</f>
        <v>0.34751436713513278</v>
      </c>
      <c r="Z79" s="183">
        <f t="array" ref="Z79">SUM(Z15:AA15*Z27:AA27)/Z32</f>
        <v>0.33185842138844857</v>
      </c>
      <c r="AB79" s="183">
        <f t="array" ref="AB79">SUM(AB15:AC15*AB27:AC27)/AB32</f>
        <v>0.31321121892745774</v>
      </c>
      <c r="AD79" s="183">
        <f t="array" ref="AD79">SUM(AD15:AE15*AD27:AE27)/AD32</f>
        <v>0.2897794541450211</v>
      </c>
      <c r="AF79" s="183">
        <f t="array" ref="AF79">SUM(AF15:AG15*AF27:AG27)/AF32</f>
        <v>0.25823777216699806</v>
      </c>
      <c r="AH79" s="183">
        <f t="array" ref="AH79">SUM(AH15:AI15*AH27:AI27)/AH32</f>
        <v>0.21244602471256394</v>
      </c>
      <c r="AJ79" s="183">
        <f t="array" ref="AJ79">SUM(AJ15:AK15*AJ27:AK27)/AJ32</f>
        <v>0.14140704894001749</v>
      </c>
      <c r="AL79" s="183">
        <f t="array" ref="AL79">SUM(AL15:AM15*AL27:AM27)/AL32</f>
        <v>2.2731854577070998E-2</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0.20390772912191493</v>
      </c>
      <c r="F80" s="195">
        <f>F55</f>
        <v>0.20948300136606748</v>
      </c>
      <c r="H80" s="195">
        <f>H55</f>
        <v>0.21525591515123371</v>
      </c>
      <c r="J80" s="195">
        <f>J55</f>
        <v>0.22125918158307992</v>
      </c>
      <c r="L80" s="195">
        <f>L55</f>
        <v>0.22753198845035957</v>
      </c>
      <c r="N80" s="195">
        <f>N55</f>
        <v>0.23412339513491831</v>
      </c>
      <c r="P80" s="195">
        <f>P55</f>
        <v>0.24109594893708522</v>
      </c>
      <c r="R80" s="195">
        <f>R55</f>
        <v>0.24853284434400849</v>
      </c>
      <c r="T80" s="195">
        <f>T55</f>
        <v>0.25654955076439806</v>
      </c>
      <c r="V80" s="195">
        <f>V55</f>
        <v>0.26531429095579784</v>
      </c>
      <c r="X80" s="195">
        <f>X55</f>
        <v>0.27508525179189669</v>
      </c>
      <c r="Z80" s="195">
        <f>Z55</f>
        <v>0.28628064212726373</v>
      </c>
      <c r="AB80" s="195">
        <f>AB55</f>
        <v>0.29961500953985098</v>
      </c>
      <c r="AD80" s="195">
        <f>AD55</f>
        <v>0.31637077687072562</v>
      </c>
      <c r="AF80" s="195">
        <f>AF55</f>
        <v>0.33892583686548455</v>
      </c>
      <c r="AH80" s="195">
        <f>AH55</f>
        <v>0.37167095041909592</v>
      </c>
      <c r="AJ80" s="195">
        <f>AJ55</f>
        <v>0.42247003960577995</v>
      </c>
      <c r="AL80" s="195">
        <f>AL55</f>
        <v>0.50733319928016074</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-2.2138475442509933E-2</v>
      </c>
      <c r="F81" s="195">
        <f>F51/F$32</f>
        <v>-1.6563203198357367E-2</v>
      </c>
      <c r="H81" s="195">
        <f>H51/H$32</f>
        <v>-1.0790289413191136E-2</v>
      </c>
      <c r="J81" s="195">
        <f>J51/J$32</f>
        <v>-4.7870229813449135E-3</v>
      </c>
      <c r="L81" s="195">
        <f>L51/L$32</f>
        <v>1.4857838859347351E-3</v>
      </c>
      <c r="N81" s="195">
        <f>N51/N$32</f>
        <v>8.0771905704934682E-3</v>
      </c>
      <c r="P81" s="195">
        <f>P51/P$32</f>
        <v>1.5049744372660368E-2</v>
      </c>
      <c r="R81" s="195">
        <f>R51/R$32</f>
        <v>2.2486639779583654E-2</v>
      </c>
      <c r="T81" s="195">
        <f>T51/T$32</f>
        <v>3.0503346199973237E-2</v>
      </c>
      <c r="V81" s="195">
        <f>V51/V$32</f>
        <v>3.9268086391373011E-2</v>
      </c>
      <c r="X81" s="195">
        <f>X51/X$32</f>
        <v>4.903904722747187E-2</v>
      </c>
      <c r="Z81" s="195">
        <f>Z51/Z$32</f>
        <v>6.0234437562838861E-2</v>
      </c>
      <c r="AB81" s="195">
        <f>AB51/AB$32</f>
        <v>7.3568804975426116E-2</v>
      </c>
      <c r="AD81" s="195">
        <f>AD51/AD$32</f>
        <v>9.0324572306300796E-2</v>
      </c>
      <c r="AF81" s="195">
        <f>AF51/AF$32</f>
        <v>0.1128796323010597</v>
      </c>
      <c r="AH81" s="195">
        <f>AH51/AH$32</f>
        <v>0.14562474585467108</v>
      </c>
      <c r="AJ81" s="195">
        <f>AJ51/AJ$32</f>
        <v>0.1964238350413551</v>
      </c>
      <c r="AL81" s="195">
        <f>AL51/AL$32</f>
        <v>0.28128699471573587</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0.14157039521066994</v>
      </c>
      <c r="F82" s="195">
        <f>F52/F$32</f>
        <v>0.14247137237932159</v>
      </c>
      <c r="H82" s="195">
        <f>H52/H$32</f>
        <v>0.14340429297681631</v>
      </c>
      <c r="J82" s="195">
        <f>J52/J$32</f>
        <v>0.1443744262265047</v>
      </c>
      <c r="L82" s="195">
        <f>L52/L$32</f>
        <v>0.14538813581101828</v>
      </c>
      <c r="N82" s="195">
        <f>N52/N$32</f>
        <v>0.14645332079379336</v>
      </c>
      <c r="P82" s="195">
        <f>P52/P$32</f>
        <v>0.14758010032226054</v>
      </c>
      <c r="R82" s="195">
        <f>R52/R$32</f>
        <v>0.14878192851860422</v>
      </c>
      <c r="T82" s="195">
        <f>T52/T$32</f>
        <v>0.15007744711735935</v>
      </c>
      <c r="V82" s="195">
        <f>V52/V$32</f>
        <v>0.15149385091521067</v>
      </c>
      <c r="X82" s="195">
        <f>X52/X$32</f>
        <v>0.15307286313568788</v>
      </c>
      <c r="Z82" s="195">
        <f>Z52/Z$32</f>
        <v>0.15488206394344273</v>
      </c>
      <c r="AB82" s="195">
        <f>AB52/AB$32</f>
        <v>0.15703693217691903</v>
      </c>
      <c r="AD82" s="195">
        <f>AD52/AD$32</f>
        <v>0.15974470611946268</v>
      </c>
      <c r="AF82" s="195">
        <f>AF52/AF$32</f>
        <v>0.16338965990589138</v>
      </c>
      <c r="AH82" s="195">
        <f>AH52/AH$32</f>
        <v>0.16868135092866496</v>
      </c>
      <c r="AJ82" s="195">
        <f>AJ52/AJ$32</f>
        <v>0.17689060936978163</v>
      </c>
      <c r="AL82" s="195">
        <f>AL52/AL$32</f>
        <v>0.19060470551903649</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0.18132310663057483</v>
      </c>
      <c r="F83" s="195">
        <f>F53/F$32</f>
        <v>0.17816081435161921</v>
      </c>
      <c r="H83" s="195">
        <f>H53/H$32</f>
        <v>0.17488638971905152</v>
      </c>
      <c r="J83" s="195">
        <f>J53/J$32</f>
        <v>0.17148134966613526</v>
      </c>
      <c r="L83" s="195">
        <f>L53/L$32</f>
        <v>0.16792339489377564</v>
      </c>
      <c r="N83" s="195">
        <f>N53/N$32</f>
        <v>0.16418474696813176</v>
      </c>
      <c r="P83" s="195">
        <f>P53/P$32</f>
        <v>0.16022991183472132</v>
      </c>
      <c r="R83" s="195">
        <f>R53/R$32</f>
        <v>0.15601169722581509</v>
      </c>
      <c r="T83" s="195">
        <f>T53/T$32</f>
        <v>0.15146461910584016</v>
      </c>
      <c r="V83" s="195">
        <f>V53/V$32</f>
        <v>0.14649325358241802</v>
      </c>
      <c r="X83" s="195">
        <f>X53/X$32</f>
        <v>0.14095115537237349</v>
      </c>
      <c r="Z83" s="195">
        <f>Z53/Z$32</f>
        <v>0.13460113404912777</v>
      </c>
      <c r="AB83" s="195">
        <f>AB53/AB$32</f>
        <v>0.12703786478631429</v>
      </c>
      <c r="AD83" s="195">
        <f>AD53/AD$32</f>
        <v>0.11753398629712984</v>
      </c>
      <c r="AF83" s="195">
        <f>AF53/AF$32</f>
        <v>0.10474074107437469</v>
      </c>
      <c r="AH83" s="195">
        <f>AH53/AH$32</f>
        <v>8.6167696847651812E-2</v>
      </c>
      <c r="AJ83" s="195">
        <f>AJ53/AJ$32</f>
        <v>5.7354425631970386E-2</v>
      </c>
      <c r="AL83" s="195">
        <f>AL53/AL$32</f>
        <v>9.2199962632020047E-3</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10"/>
  <dimension ref="A1:XFD83"/>
  <sheetViews>
    <sheetView showGridLines="0" workbookViewId="0">
      <pane xSplit="1" ySplit="1" topLeftCell="E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c r="AH1" s="91"/>
      <c r="AJ1" s="91"/>
      <c r="AL1" s="91"/>
      <c r="AN1" s="91"/>
      <c r="AP1" s="91"/>
      <c r="AR1" s="91"/>
      <c r="AT1" s="91"/>
      <c r="AV1" s="91"/>
    </row>
    <row r="2" spans="1:49" x14ac:dyDescent="0.2">
      <c r="A2" s="190" t="s">
        <v>139</v>
      </c>
      <c r="B2" s="188">
        <v>5.7716594496607888E-3</v>
      </c>
      <c r="C2" s="189"/>
      <c r="D2" s="188">
        <v>5.8540872659968421E-2</v>
      </c>
      <c r="E2" s="189"/>
      <c r="F2" s="188">
        <v>0.11766242044559665</v>
      </c>
      <c r="G2" s="189"/>
      <c r="H2" s="188">
        <v>0.1842316525079836</v>
      </c>
      <c r="I2" s="189"/>
      <c r="J2" s="188">
        <v>0.25966734890203164</v>
      </c>
      <c r="K2" s="189"/>
      <c r="L2" s="188">
        <v>0.34586238425236343</v>
      </c>
      <c r="M2" s="189"/>
      <c r="N2" s="188">
        <v>0.44542560865935688</v>
      </c>
      <c r="O2" s="189"/>
      <c r="P2" s="188">
        <v>0.5620818711477894</v>
      </c>
      <c r="Q2" s="189"/>
      <c r="R2" s="188">
        <v>0.70136316229141848</v>
      </c>
      <c r="S2" s="189"/>
      <c r="T2" s="188">
        <v>0.87186103033363516</v>
      </c>
      <c r="U2" s="189"/>
      <c r="V2" s="188">
        <v>1.0876255630839435</v>
      </c>
      <c r="W2" s="189"/>
      <c r="X2" s="188">
        <v>1.3730648230203999</v>
      </c>
      <c r="Y2" s="189"/>
      <c r="Z2" s="188">
        <v>1.773596908107858</v>
      </c>
      <c r="AA2" s="189"/>
      <c r="AB2" s="188">
        <v>2.3800957261565654</v>
      </c>
      <c r="AC2" s="189"/>
      <c r="AD2" s="188">
        <v>3.3859107106055477</v>
      </c>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998.29409705823684</v>
      </c>
      <c r="E3" s="82">
        <v>1033.1780175152596</v>
      </c>
      <c r="F3" s="81">
        <v>996.66056975583581</v>
      </c>
      <c r="G3" s="82">
        <v>1070.5833279318399</v>
      </c>
      <c r="H3" s="81">
        <v>995.08011568294057</v>
      </c>
      <c r="I3" s="82">
        <v>1112.9515499176809</v>
      </c>
      <c r="J3" s="81">
        <v>993.53406847278791</v>
      </c>
      <c r="K3" s="82">
        <v>1161.2206621205571</v>
      </c>
      <c r="L3" s="81">
        <v>992.00535464794825</v>
      </c>
      <c r="M3" s="82">
        <v>1216.6172154151398</v>
      </c>
      <c r="N3" s="81">
        <v>990.47996127298597</v>
      </c>
      <c r="O3" s="82">
        <v>1280.7917033917961</v>
      </c>
      <c r="P3" s="81">
        <v>988.94921074629656</v>
      </c>
      <c r="Q3" s="82">
        <v>1356.0392178335744</v>
      </c>
      <c r="R3" s="81">
        <v>987.41342051157119</v>
      </c>
      <c r="S3" s="82">
        <v>1445.6734953152654</v>
      </c>
      <c r="T3" s="81">
        <v>985.88798638740775</v>
      </c>
      <c r="U3" s="82">
        <v>1554.6910999533413</v>
      </c>
      <c r="V3" s="81">
        <v>984.41384694812984</v>
      </c>
      <c r="W3" s="82">
        <v>1691.0142328106415</v>
      </c>
      <c r="X3" s="81">
        <v>983.07583704186777</v>
      </c>
      <c r="Y3" s="82">
        <v>1867.9574527928219</v>
      </c>
      <c r="Z3" s="81">
        <v>982.03360870878532</v>
      </c>
      <c r="AA3" s="82">
        <v>2109.4190186523492</v>
      </c>
      <c r="AB3" s="81">
        <v>981.56383159540292</v>
      </c>
      <c r="AC3" s="82">
        <v>2461.3404660343035</v>
      </c>
      <c r="AD3" s="81">
        <v>982.06795107413222</v>
      </c>
      <c r="AE3" s="82">
        <v>3017.3437526728458</v>
      </c>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998.20896787127094</v>
      </c>
      <c r="E5" s="40">
        <v>1028.6004489951561</v>
      </c>
      <c r="F5" s="39">
        <v>996.49196114674044</v>
      </c>
      <c r="G5" s="40">
        <v>1059.6209257492519</v>
      </c>
      <c r="H5" s="39">
        <v>994.82889507394339</v>
      </c>
      <c r="I5" s="40">
        <v>1093.2736414010485</v>
      </c>
      <c r="J5" s="39">
        <v>993.20026213597748</v>
      </c>
      <c r="K5" s="40">
        <v>1129.7854047582152</v>
      </c>
      <c r="L5" s="39">
        <v>991.58814898909543</v>
      </c>
      <c r="M5" s="40">
        <v>1169.3967244887019</v>
      </c>
      <c r="N5" s="39">
        <v>989.97779735773906</v>
      </c>
      <c r="O5" s="40">
        <v>1212.3570123517313</v>
      </c>
      <c r="P5" s="39">
        <v>988.36002657252936</v>
      </c>
      <c r="Q5" s="40">
        <v>1258.9155021219851</v>
      </c>
      <c r="R5" s="39">
        <v>986.73513748945891</v>
      </c>
      <c r="S5" s="40">
        <v>1309.2998240974221</v>
      </c>
      <c r="T5" s="39">
        <v>985.11941167100861</v>
      </c>
      <c r="U5" s="40">
        <v>1363.6701060640844</v>
      </c>
      <c r="V5" s="39">
        <v>983.55630240210519</v>
      </c>
      <c r="W5" s="40">
        <v>1422.0205122977627</v>
      </c>
      <c r="X5" s="39">
        <v>982.1360667196617</v>
      </c>
      <c r="Y5" s="40">
        <v>1483.9636578578702</v>
      </c>
      <c r="Z5" s="39">
        <v>981.02881132355606</v>
      </c>
      <c r="AA5" s="40">
        <v>1548.2817396478461</v>
      </c>
      <c r="AB5" s="39">
        <v>980.52944197490854</v>
      </c>
      <c r="AC5" s="40">
        <v>1612.0684817488025</v>
      </c>
      <c r="AD5" s="39">
        <v>981.06531010429899</v>
      </c>
      <c r="AE5" s="40">
        <v>1669.6219522013421</v>
      </c>
      <c r="AF5" s="39"/>
      <c r="AG5" s="40"/>
      <c r="AH5" s="39"/>
      <c r="AI5" s="40"/>
      <c r="AJ5" s="39"/>
      <c r="AK5" s="40"/>
      <c r="AL5" s="39"/>
      <c r="AM5" s="40"/>
      <c r="AN5" s="39"/>
      <c r="AO5" s="40"/>
      <c r="AP5" s="39"/>
      <c r="AQ5" s="40"/>
      <c r="AR5" s="39"/>
      <c r="AS5" s="40"/>
      <c r="AT5" s="39"/>
      <c r="AU5" s="40"/>
      <c r="AV5" s="39"/>
      <c r="AW5" s="40"/>
    </row>
    <row r="6" spans="1:49" x14ac:dyDescent="0.2">
      <c r="A6" t="s">
        <v>77</v>
      </c>
      <c r="B6" s="39">
        <v>1000.0000000000003</v>
      </c>
      <c r="C6" s="40">
        <v>1000.0000000000002</v>
      </c>
      <c r="D6" s="39">
        <v>998.07223588105671</v>
      </c>
      <c r="E6" s="40">
        <v>1035.6378469526605</v>
      </c>
      <c r="F6" s="39">
        <v>996.22464423999816</v>
      </c>
      <c r="G6" s="40">
        <v>1075.4534341928443</v>
      </c>
      <c r="H6" s="39">
        <v>994.43555815866171</v>
      </c>
      <c r="I6" s="40">
        <v>1120.1836954715795</v>
      </c>
      <c r="J6" s="39">
        <v>992.68395528628298</v>
      </c>
      <c r="K6" s="40">
        <v>1170.7730676631218</v>
      </c>
      <c r="L6" s="39">
        <v>990.95054904852327</v>
      </c>
      <c r="M6" s="40">
        <v>1228.4612340501787</v>
      </c>
      <c r="N6" s="39">
        <v>989.21946332534685</v>
      </c>
      <c r="O6" s="40">
        <v>1294.9206558927572</v>
      </c>
      <c r="P6" s="39">
        <v>987.48083123430308</v>
      </c>
      <c r="Q6" s="40">
        <v>1372.4805677989375</v>
      </c>
      <c r="R6" s="39">
        <v>985.73498174082965</v>
      </c>
      <c r="S6" s="40">
        <v>1464.5065712642363</v>
      </c>
      <c r="T6" s="39">
        <v>983.99940746772074</v>
      </c>
      <c r="U6" s="40">
        <v>1576.0746682607748</v>
      </c>
      <c r="V6" s="39">
        <v>982.32076039097672</v>
      </c>
      <c r="W6" s="40">
        <v>1715.2326611410488</v>
      </c>
      <c r="X6" s="39">
        <v>980.79589502662805</v>
      </c>
      <c r="Y6" s="40">
        <v>1895.504165825932</v>
      </c>
      <c r="Z6" s="39">
        <v>979.60729690968662</v>
      </c>
      <c r="AA6" s="40">
        <v>2141.1591764252184</v>
      </c>
      <c r="AB6" s="39">
        <v>979.07130798028197</v>
      </c>
      <c r="AC6" s="40">
        <v>2498.8499655565515</v>
      </c>
      <c r="AD6" s="39">
        <v>979.64647380983274</v>
      </c>
      <c r="AE6" s="40">
        <v>3063.6454595858559</v>
      </c>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1014.0921520793622</v>
      </c>
      <c r="E7" s="32">
        <v>1014.0921520793622</v>
      </c>
      <c r="F7" s="31">
        <v>1012.3478248889072</v>
      </c>
      <c r="G7" s="32">
        <v>1012.3478248889072</v>
      </c>
      <c r="H7" s="31">
        <v>1010.6582966367122</v>
      </c>
      <c r="I7" s="32">
        <v>1010.6582966367122</v>
      </c>
      <c r="J7" s="31">
        <v>1009.0037494084587</v>
      </c>
      <c r="K7" s="32">
        <v>1009.0037494084587</v>
      </c>
      <c r="L7" s="31">
        <v>1007.3659848289604</v>
      </c>
      <c r="M7" s="32">
        <v>1007.3659848289604</v>
      </c>
      <c r="N7" s="31">
        <v>1005.7300097936637</v>
      </c>
      <c r="O7" s="32">
        <v>1005.7300097936637</v>
      </c>
      <c r="P7" s="31">
        <v>1004.0864975532929</v>
      </c>
      <c r="Q7" s="32">
        <v>1004.0864975532929</v>
      </c>
      <c r="R7" s="31">
        <v>1002.4357537509654</v>
      </c>
      <c r="S7" s="32">
        <v>1002.4357537509654</v>
      </c>
      <c r="T7" s="31">
        <v>1000.7943190162158</v>
      </c>
      <c r="U7" s="32">
        <v>1000.7943190162158</v>
      </c>
      <c r="V7" s="31">
        <v>999.20633804884596</v>
      </c>
      <c r="W7" s="32">
        <v>999.20633804884596</v>
      </c>
      <c r="X7" s="31">
        <v>997.76350402708761</v>
      </c>
      <c r="Y7" s="32">
        <v>997.76350402708761</v>
      </c>
      <c r="Z7" s="31">
        <v>996.6386303346253</v>
      </c>
      <c r="AA7" s="32">
        <v>996.6386303346253</v>
      </c>
      <c r="AB7" s="31">
        <v>996.13131517943054</v>
      </c>
      <c r="AC7" s="32">
        <v>996.13131517943054</v>
      </c>
      <c r="AD7" s="31">
        <v>996.67570987238071</v>
      </c>
      <c r="AE7" s="32">
        <v>996.67570987238071</v>
      </c>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1088.8156168977678</v>
      </c>
      <c r="E8" s="34">
        <v>1088.8156168977678</v>
      </c>
      <c r="F8" s="33">
        <v>1184.2984886277129</v>
      </c>
      <c r="G8" s="34">
        <v>1184.2984886277129</v>
      </c>
      <c r="H8" s="33">
        <v>1294.6892509997845</v>
      </c>
      <c r="I8" s="34">
        <v>1294.6892509997845</v>
      </c>
      <c r="J8" s="33">
        <v>1423.1537856399898</v>
      </c>
      <c r="K8" s="34">
        <v>1423.1537856399898</v>
      </c>
      <c r="L8" s="33">
        <v>1573.8470637572684</v>
      </c>
      <c r="M8" s="34">
        <v>1573.8470637572684</v>
      </c>
      <c r="N8" s="33">
        <v>1752.3718724909406</v>
      </c>
      <c r="O8" s="34">
        <v>1752.3718724909406</v>
      </c>
      <c r="P8" s="33">
        <v>1966.5290831716695</v>
      </c>
      <c r="Q8" s="34">
        <v>1966.5290831716695</v>
      </c>
      <c r="R8" s="33">
        <v>2227.5944891139879</v>
      </c>
      <c r="S8" s="34">
        <v>2227.5944891139879</v>
      </c>
      <c r="T8" s="33">
        <v>2552.6009297722944</v>
      </c>
      <c r="U8" s="34">
        <v>2552.6009297722944</v>
      </c>
      <c r="V8" s="33">
        <v>2968.6463727025348</v>
      </c>
      <c r="W8" s="34">
        <v>2968.6463727025348</v>
      </c>
      <c r="X8" s="33">
        <v>3521.5419551031919</v>
      </c>
      <c r="Y8" s="34">
        <v>3521.5419551031919</v>
      </c>
      <c r="Z8" s="33">
        <v>4294.3094459671211</v>
      </c>
      <c r="AA8" s="34">
        <v>4294.3094459671211</v>
      </c>
      <c r="AB8" s="33">
        <v>5448.9457854308303</v>
      </c>
      <c r="AC8" s="34">
        <v>5448.9457854308303</v>
      </c>
      <c r="AD8" s="33">
        <v>7322.8128028220099</v>
      </c>
      <c r="AE8" s="34">
        <v>7322.8128028220099</v>
      </c>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1014.0921520793622</v>
      </c>
      <c r="E9" s="40">
        <v>1088.8156168977678</v>
      </c>
      <c r="F9" s="39">
        <v>1012.3478248889072</v>
      </c>
      <c r="G9" s="40">
        <v>1184.2984886277129</v>
      </c>
      <c r="H9" s="39">
        <v>1010.6582966367122</v>
      </c>
      <c r="I9" s="40">
        <v>1294.6892509997845</v>
      </c>
      <c r="J9" s="39">
        <v>1009.0037494084587</v>
      </c>
      <c r="K9" s="40">
        <v>1423.1537856399898</v>
      </c>
      <c r="L9" s="39">
        <v>1007.3659848289604</v>
      </c>
      <c r="M9" s="40">
        <v>1573.8470637572684</v>
      </c>
      <c r="N9" s="39">
        <v>1005.7300097936637</v>
      </c>
      <c r="O9" s="40">
        <v>1752.3718724909406</v>
      </c>
      <c r="P9" s="39">
        <v>1004.0864975532929</v>
      </c>
      <c r="Q9" s="40">
        <v>1966.5290831716695</v>
      </c>
      <c r="R9" s="39">
        <v>1002.4357537509654</v>
      </c>
      <c r="S9" s="40">
        <v>2227.5944891139879</v>
      </c>
      <c r="T9" s="39">
        <v>1000.7943190162158</v>
      </c>
      <c r="U9" s="40">
        <v>2552.6009297722944</v>
      </c>
      <c r="V9" s="39">
        <v>999.20633804884596</v>
      </c>
      <c r="W9" s="40">
        <v>2968.6463727025348</v>
      </c>
      <c r="X9" s="39">
        <v>997.76350402708761</v>
      </c>
      <c r="Y9" s="40">
        <v>3521.5419551031919</v>
      </c>
      <c r="Z9" s="39">
        <v>996.6386303346253</v>
      </c>
      <c r="AA9" s="40">
        <v>4294.3094459671211</v>
      </c>
      <c r="AB9" s="39">
        <v>996.13131517943054</v>
      </c>
      <c r="AC9" s="40">
        <v>5448.9457854308303</v>
      </c>
      <c r="AD9" s="39">
        <v>996.67570987238071</v>
      </c>
      <c r="AE9" s="40">
        <v>7322.8128028220099</v>
      </c>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1014.0921520793622</v>
      </c>
      <c r="E10" s="40">
        <v>1088.8156168977678</v>
      </c>
      <c r="F10" s="39">
        <v>1012.3478248889072</v>
      </c>
      <c r="G10" s="40">
        <v>1184.2984886277129</v>
      </c>
      <c r="H10" s="39">
        <v>1010.6582966367122</v>
      </c>
      <c r="I10" s="40">
        <v>1294.6892509997845</v>
      </c>
      <c r="J10" s="39">
        <v>1009.0037494084587</v>
      </c>
      <c r="K10" s="40">
        <v>1423.1537856399898</v>
      </c>
      <c r="L10" s="39">
        <v>1007.3659848289604</v>
      </c>
      <c r="M10" s="40">
        <v>1573.8470637572684</v>
      </c>
      <c r="N10" s="39">
        <v>1005.7300097936637</v>
      </c>
      <c r="O10" s="40">
        <v>1752.3718724909406</v>
      </c>
      <c r="P10" s="39">
        <v>1004.0864975532929</v>
      </c>
      <c r="Q10" s="40">
        <v>1966.5290831716695</v>
      </c>
      <c r="R10" s="39">
        <v>1002.4357537509654</v>
      </c>
      <c r="S10" s="40">
        <v>2227.5944891139879</v>
      </c>
      <c r="T10" s="39">
        <v>1000.7943190162158</v>
      </c>
      <c r="U10" s="40">
        <v>2552.6009297722944</v>
      </c>
      <c r="V10" s="39">
        <v>999.20633804884596</v>
      </c>
      <c r="W10" s="40">
        <v>2968.6463727025348</v>
      </c>
      <c r="X10" s="39">
        <v>997.76350402708761</v>
      </c>
      <c r="Y10" s="40">
        <v>3521.5419551031919</v>
      </c>
      <c r="Z10" s="39">
        <v>996.6386303346253</v>
      </c>
      <c r="AA10" s="40">
        <v>4294.3094459671211</v>
      </c>
      <c r="AB10" s="39">
        <v>996.13131517943054</v>
      </c>
      <c r="AC10" s="40">
        <v>5448.9457854308303</v>
      </c>
      <c r="AD10" s="39">
        <v>996.67570987238071</v>
      </c>
      <c r="AE10" s="40">
        <v>7322.8128028220099</v>
      </c>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1014.0921520793622</v>
      </c>
      <c r="E11" s="40">
        <v>1088.8156168977678</v>
      </c>
      <c r="F11" s="39">
        <v>1012.3478248889072</v>
      </c>
      <c r="G11" s="40">
        <v>1184.2984886277129</v>
      </c>
      <c r="H11" s="39">
        <v>1010.6582966367122</v>
      </c>
      <c r="I11" s="40">
        <v>1294.6892509997845</v>
      </c>
      <c r="J11" s="39">
        <v>1009.0037494084587</v>
      </c>
      <c r="K11" s="40">
        <v>1423.1537856399898</v>
      </c>
      <c r="L11" s="39">
        <v>1007.3659848289604</v>
      </c>
      <c r="M11" s="40">
        <v>1573.8470637572684</v>
      </c>
      <c r="N11" s="39">
        <v>1005.7300097936637</v>
      </c>
      <c r="O11" s="40">
        <v>1752.3718724909406</v>
      </c>
      <c r="P11" s="39">
        <v>1004.0864975532929</v>
      </c>
      <c r="Q11" s="40">
        <v>1966.5290831716695</v>
      </c>
      <c r="R11" s="39">
        <v>1002.4357537509654</v>
      </c>
      <c r="S11" s="40">
        <v>2227.5944891139879</v>
      </c>
      <c r="T11" s="39">
        <v>1000.7943190162158</v>
      </c>
      <c r="U11" s="40">
        <v>2552.6009297722944</v>
      </c>
      <c r="V11" s="39">
        <v>999.20633804884596</v>
      </c>
      <c r="W11" s="40">
        <v>2968.6463727025348</v>
      </c>
      <c r="X11" s="39">
        <v>997.76350402708761</v>
      </c>
      <c r="Y11" s="40">
        <v>3521.5419551031919</v>
      </c>
      <c r="Z11" s="39">
        <v>996.6386303346253</v>
      </c>
      <c r="AA11" s="40">
        <v>4294.3094459671211</v>
      </c>
      <c r="AB11" s="39">
        <v>996.13131517943054</v>
      </c>
      <c r="AC11" s="40">
        <v>5448.9457854308303</v>
      </c>
      <c r="AD11" s="39">
        <v>996.67570987238071</v>
      </c>
      <c r="AE11" s="40">
        <v>7322.8128028220099</v>
      </c>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958.86026035909617</v>
      </c>
      <c r="E13" s="94">
        <v>958.86026035909617</v>
      </c>
      <c r="F13" s="93">
        <v>916.42134401631017</v>
      </c>
      <c r="G13" s="94">
        <v>916.42134401631017</v>
      </c>
      <c r="H13" s="93">
        <v>872.52072904528086</v>
      </c>
      <c r="I13" s="94">
        <v>872.52072904528086</v>
      </c>
      <c r="J13" s="93">
        <v>826.96630711538455</v>
      </c>
      <c r="K13" s="94">
        <v>826.96630711538455</v>
      </c>
      <c r="L13" s="93">
        <v>779.51699044752456</v>
      </c>
      <c r="M13" s="94">
        <v>779.51699044752456</v>
      </c>
      <c r="N13" s="93">
        <v>729.85331029188842</v>
      </c>
      <c r="O13" s="94">
        <v>729.85331029188842</v>
      </c>
      <c r="P13" s="93">
        <v>677.53054753954098</v>
      </c>
      <c r="Q13" s="94">
        <v>677.53054753954098</v>
      </c>
      <c r="R13" s="93">
        <v>621.90448889508377</v>
      </c>
      <c r="S13" s="94">
        <v>621.90448889508377</v>
      </c>
      <c r="T13" s="93">
        <v>562.01151793175802</v>
      </c>
      <c r="U13" s="94">
        <v>562.01151793175802</v>
      </c>
      <c r="V13" s="93">
        <v>496.37532277492426</v>
      </c>
      <c r="W13" s="94">
        <v>496.37532277492426</v>
      </c>
      <c r="X13" s="93">
        <v>422.70836864432914</v>
      </c>
      <c r="Y13" s="94">
        <v>422.70836864432914</v>
      </c>
      <c r="Z13" s="93">
        <v>337.53806369564313</v>
      </c>
      <c r="AA13" s="94">
        <v>337.53806369564313</v>
      </c>
      <c r="AB13" s="93">
        <v>236.23782084527809</v>
      </c>
      <c r="AC13" s="94">
        <v>236.23782084527809</v>
      </c>
      <c r="AD13" s="93">
        <v>116.32827216312853</v>
      </c>
      <c r="AE13" s="94">
        <v>116.32827216312853</v>
      </c>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1397.0626835791313</v>
      </c>
      <c r="E14" s="40">
        <v>1397.0626835791315</v>
      </c>
      <c r="F14" s="39">
        <v>1335.2290371082279</v>
      </c>
      <c r="G14" s="40">
        <v>1335.2290371082281</v>
      </c>
      <c r="H14" s="39">
        <v>1271.2656907294433</v>
      </c>
      <c r="I14" s="40">
        <v>1271.2656907294433</v>
      </c>
      <c r="J14" s="39">
        <v>1204.8927419470599</v>
      </c>
      <c r="K14" s="40">
        <v>1204.8927419470601</v>
      </c>
      <c r="L14" s="39">
        <v>1135.7589250411734</v>
      </c>
      <c r="M14" s="40">
        <v>1135.7589250411736</v>
      </c>
      <c r="N14" s="39">
        <v>1063.3987729490798</v>
      </c>
      <c r="O14" s="40">
        <v>1063.39877294908</v>
      </c>
      <c r="P14" s="39">
        <v>987.16432840583298</v>
      </c>
      <c r="Q14" s="40">
        <v>987.16432840583309</v>
      </c>
      <c r="R14" s="39">
        <v>906.11697043351307</v>
      </c>
      <c r="S14" s="40">
        <v>906.11697043351319</v>
      </c>
      <c r="T14" s="39">
        <v>818.8527065978061</v>
      </c>
      <c r="U14" s="40">
        <v>818.85270659780622</v>
      </c>
      <c r="V14" s="39">
        <v>723.22054544077935</v>
      </c>
      <c r="W14" s="40">
        <v>723.22054544077946</v>
      </c>
      <c r="X14" s="39">
        <v>615.88754095246406</v>
      </c>
      <c r="Y14" s="40">
        <v>615.88754095246418</v>
      </c>
      <c r="Z14" s="39">
        <v>491.79411492153986</v>
      </c>
      <c r="AA14" s="40">
        <v>491.79411492153992</v>
      </c>
      <c r="AB14" s="39">
        <v>344.1993141204847</v>
      </c>
      <c r="AC14" s="40">
        <v>344.19931412048476</v>
      </c>
      <c r="AD14" s="39">
        <v>169.4906909829389</v>
      </c>
      <c r="AE14" s="40">
        <v>169.49069098293893</v>
      </c>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1036.2880703889118</v>
      </c>
      <c r="E15" s="145">
        <v>1036.2880703889118</v>
      </c>
      <c r="F15" s="144">
        <v>1074.514860479753</v>
      </c>
      <c r="G15" s="145">
        <v>1074.514860479753</v>
      </c>
      <c r="H15" s="144">
        <v>1114.8762402062614</v>
      </c>
      <c r="I15" s="145">
        <v>1114.8762402062614</v>
      </c>
      <c r="J15" s="144">
        <v>1157.6164936638472</v>
      </c>
      <c r="K15" s="145">
        <v>1157.6164936638472</v>
      </c>
      <c r="L15" s="144">
        <v>1203.0578110191698</v>
      </c>
      <c r="M15" s="145">
        <v>1203.0578110191698</v>
      </c>
      <c r="N15" s="144">
        <v>1251.6474992449389</v>
      </c>
      <c r="O15" s="145">
        <v>1251.6474992449389</v>
      </c>
      <c r="P15" s="144">
        <v>1304.0371245588378</v>
      </c>
      <c r="Q15" s="145">
        <v>1304.0371245588378</v>
      </c>
      <c r="R15" s="144">
        <v>1361.2172112819731</v>
      </c>
      <c r="S15" s="145">
        <v>1361.2172112819731</v>
      </c>
      <c r="T15" s="144">
        <v>1424.7547974598574</v>
      </c>
      <c r="U15" s="145">
        <v>1424.7547974598574</v>
      </c>
      <c r="V15" s="144">
        <v>1497.2272316151441</v>
      </c>
      <c r="W15" s="145">
        <v>1497.2272316151441</v>
      </c>
      <c r="X15" s="144">
        <v>1583.0421946562649</v>
      </c>
      <c r="Y15" s="145">
        <v>1583.0421946562649</v>
      </c>
      <c r="Z15" s="144">
        <v>1690.0154875998142</v>
      </c>
      <c r="AA15" s="145">
        <v>1690.0154875998142</v>
      </c>
      <c r="AB15" s="144">
        <v>1832.3019026745112</v>
      </c>
      <c r="AC15" s="145">
        <v>1832.3019026745112</v>
      </c>
      <c r="AD15" s="144">
        <v>2034.9190622067517</v>
      </c>
      <c r="AE15" s="145">
        <v>2034.9190622067517</v>
      </c>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994.78232712365809</v>
      </c>
      <c r="E16" s="40">
        <v>1014.0965626868739</v>
      </c>
      <c r="F16" s="39">
        <v>989.28672209848503</v>
      </c>
      <c r="G16" s="40">
        <v>1029.0093380981777</v>
      </c>
      <c r="H16" s="39">
        <v>983.4458496290016</v>
      </c>
      <c r="I16" s="40">
        <v>1044.8056787606743</v>
      </c>
      <c r="J16" s="39">
        <v>977.1819280376028</v>
      </c>
      <c r="K16" s="40">
        <v>1061.5731209188823</v>
      </c>
      <c r="L16" s="39">
        <v>970.40301916848694</v>
      </c>
      <c r="M16" s="40">
        <v>1079.4324772394095</v>
      </c>
      <c r="N16" s="39">
        <v>962.99735217583031</v>
      </c>
      <c r="O16" s="40">
        <v>1098.5590402348682</v>
      </c>
      <c r="P16" s="39">
        <v>954.82423520382099</v>
      </c>
      <c r="Q16" s="40">
        <v>1119.2185376671343</v>
      </c>
      <c r="R16" s="39">
        <v>945.69915236452209</v>
      </c>
      <c r="S16" s="40">
        <v>1141.8291789999932</v>
      </c>
      <c r="T16" s="39">
        <v>935.36830431809369</v>
      </c>
      <c r="U16" s="40">
        <v>1167.0728377852213</v>
      </c>
      <c r="V16" s="39">
        <v>923.46326402706438</v>
      </c>
      <c r="W16" s="40">
        <v>1196.1021707201246</v>
      </c>
      <c r="X16" s="39">
        <v>909.41648149700006</v>
      </c>
      <c r="Y16" s="40">
        <v>1230.9429173343874</v>
      </c>
      <c r="Z16" s="39">
        <v>892.29694560654389</v>
      </c>
      <c r="AA16" s="40">
        <v>1275.3011557902114</v>
      </c>
      <c r="AB16" s="39">
        <v>870.48532602464832</v>
      </c>
      <c r="AC16" s="40">
        <v>1336.1905960113229</v>
      </c>
      <c r="AD16" s="39">
        <v>841.06490249918511</v>
      </c>
      <c r="AE16" s="40">
        <v>1427.0938566365016</v>
      </c>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998.37326696275125</v>
      </c>
      <c r="E17" s="34">
        <v>1050.3934634884993</v>
      </c>
      <c r="F17" s="33">
        <v>996.81738405286615</v>
      </c>
      <c r="G17" s="34">
        <v>1107.4062117172125</v>
      </c>
      <c r="H17" s="33">
        <v>995.31377592915271</v>
      </c>
      <c r="I17" s="34">
        <v>1172.2541804896562</v>
      </c>
      <c r="J17" s="33">
        <v>993.84455929798003</v>
      </c>
      <c r="K17" s="34">
        <v>1246.4903386962401</v>
      </c>
      <c r="L17" s="33">
        <v>992.39344170377387</v>
      </c>
      <c r="M17" s="34">
        <v>1332.147994422774</v>
      </c>
      <c r="N17" s="33">
        <v>990.94710426505776</v>
      </c>
      <c r="O17" s="34">
        <v>1431.9658833370695</v>
      </c>
      <c r="P17" s="33">
        <v>989.49733802097398</v>
      </c>
      <c r="Q17" s="34">
        <v>1549.7565428351299</v>
      </c>
      <c r="R17" s="33">
        <v>988.04447665635371</v>
      </c>
      <c r="S17" s="34">
        <v>1691.0325676628929</v>
      </c>
      <c r="T17" s="33">
        <v>986.60309353860987</v>
      </c>
      <c r="U17" s="34">
        <v>1864.1237237255059</v>
      </c>
      <c r="V17" s="33">
        <v>985.21178223349</v>
      </c>
      <c r="W17" s="34">
        <v>2082.2788407742614</v>
      </c>
      <c r="X17" s="33">
        <v>983.95033273647164</v>
      </c>
      <c r="Y17" s="34">
        <v>2367.8644853682808</v>
      </c>
      <c r="Z17" s="33">
        <v>982.96865708665337</v>
      </c>
      <c r="AA17" s="34">
        <v>2761.2801098303926</v>
      </c>
      <c r="AB17" s="33">
        <v>982.52643786760893</v>
      </c>
      <c r="AC17" s="34">
        <v>3340.8702462888805</v>
      </c>
      <c r="AD17" s="33">
        <v>983.0009914127819</v>
      </c>
      <c r="AE17" s="34">
        <v>4268.2130762995466</v>
      </c>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28252.717812868235</v>
      </c>
      <c r="E18" s="32">
        <v>1132.493754237946</v>
      </c>
      <c r="F18" s="31">
        <v>28653.478202250437</v>
      </c>
      <c r="G18" s="32">
        <v>1030.1054499550271</v>
      </c>
      <c r="H18" s="31">
        <v>29060.120863827909</v>
      </c>
      <c r="I18" s="32">
        <v>929.42327125506972</v>
      </c>
      <c r="J18" s="31">
        <v>29473.618278991511</v>
      </c>
      <c r="K18" s="32">
        <v>830.30782741455403</v>
      </c>
      <c r="L18" s="31">
        <v>29895.185500836305</v>
      </c>
      <c r="M18" s="32">
        <v>732.69122028859704</v>
      </c>
      <c r="N18" s="31">
        <v>30326.438919085056</v>
      </c>
      <c r="O18" s="32">
        <v>636.61515271201063</v>
      </c>
      <c r="P18" s="31">
        <v>30769.664468369225</v>
      </c>
      <c r="Q18" s="32">
        <v>542.28439416137815</v>
      </c>
      <c r="R18" s="31">
        <v>31228.264091765341</v>
      </c>
      <c r="S18" s="32">
        <v>450.13835691193572</v>
      </c>
      <c r="T18" s="31">
        <v>31707.526894578834</v>
      </c>
      <c r="U18" s="32">
        <v>360.9527326459596</v>
      </c>
      <c r="V18" s="31">
        <v>32215.981098974316</v>
      </c>
      <c r="W18" s="32">
        <v>275.98548592917388</v>
      </c>
      <c r="X18" s="31">
        <v>32767.773340403244</v>
      </c>
      <c r="Y18" s="32">
        <v>197.18033374721131</v>
      </c>
      <c r="Z18" s="31">
        <v>33386.719633640358</v>
      </c>
      <c r="AA18" s="32">
        <v>127.41125369342566</v>
      </c>
      <c r="AB18" s="31">
        <v>34112.009806135786</v>
      </c>
      <c r="AC18" s="32">
        <v>70.575722823006714</v>
      </c>
      <c r="AD18" s="31">
        <v>35000.575419064451</v>
      </c>
      <c r="AE18" s="32">
        <v>30.794489121070328</v>
      </c>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1886.3937399999966</v>
      </c>
      <c r="C19" s="40">
        <v>262.78711299999759</v>
      </c>
      <c r="D19" s="39">
        <v>1904.1270033497126</v>
      </c>
      <c r="E19" s="40">
        <v>279.45672534192948</v>
      </c>
      <c r="F19" s="39">
        <v>1922.3380876329304</v>
      </c>
      <c r="G19" s="40">
        <v>298.15957928479571</v>
      </c>
      <c r="H19" s="39">
        <v>1940.988395479445</v>
      </c>
      <c r="I19" s="40">
        <v>319.10858580452827</v>
      </c>
      <c r="J19" s="39">
        <v>1960.0459764526038</v>
      </c>
      <c r="K19" s="40">
        <v>342.51368098991423</v>
      </c>
      <c r="L19" s="39">
        <v>1979.4973611600547</v>
      </c>
      <c r="M19" s="40">
        <v>368.56390002189994</v>
      </c>
      <c r="N19" s="39">
        <v>1999.3664603646591</v>
      </c>
      <c r="O19" s="40">
        <v>397.39666992182214</v>
      </c>
      <c r="P19" s="39">
        <v>2019.7457164021266</v>
      </c>
      <c r="Q19" s="40">
        <v>429.04589257492302</v>
      </c>
      <c r="R19" s="39">
        <v>2040.8477149219864</v>
      </c>
      <c r="S19" s="40">
        <v>463.35275882976464</v>
      </c>
      <c r="T19" s="39">
        <v>2063.0936257959474</v>
      </c>
      <c r="U19" s="40">
        <v>499.80922516994707</v>
      </c>
      <c r="V19" s="39">
        <v>2087.268339484127</v>
      </c>
      <c r="W19" s="40">
        <v>537.27609636371267</v>
      </c>
      <c r="X19" s="39">
        <v>2114.7962193175404</v>
      </c>
      <c r="Y19" s="40">
        <v>573.46857577243475</v>
      </c>
      <c r="Z19" s="39">
        <v>2148.2175415173097</v>
      </c>
      <c r="AA19" s="40">
        <v>604.03768927660019</v>
      </c>
      <c r="AB19" s="39">
        <v>2191.8806609359808</v>
      </c>
      <c r="AC19" s="40">
        <v>621.1637029272697</v>
      </c>
      <c r="AD19" s="39">
        <v>2252.2840041701588</v>
      </c>
      <c r="AE19" s="40">
        <v>612.62950986887779</v>
      </c>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26894.177577503</v>
      </c>
      <c r="E20" s="80">
        <v>1338.1147774499941</v>
      </c>
      <c r="F20" s="79">
        <v>27245.040780202133</v>
      </c>
      <c r="G20" s="80">
        <v>1267.6876838999945</v>
      </c>
      <c r="H20" s="79">
        <v>27601.421388818842</v>
      </c>
      <c r="I20" s="80">
        <v>1197.2605903499946</v>
      </c>
      <c r="J20" s="79">
        <v>27963.910159072027</v>
      </c>
      <c r="K20" s="80">
        <v>1126.8334967999949</v>
      </c>
      <c r="L20" s="79">
        <v>28333.326249434776</v>
      </c>
      <c r="M20" s="80">
        <v>1056.4064032499953</v>
      </c>
      <c r="N20" s="79">
        <v>28710.898499132552</v>
      </c>
      <c r="O20" s="80">
        <v>985.97930969999561</v>
      </c>
      <c r="P20" s="79">
        <v>29098.569641266109</v>
      </c>
      <c r="Q20" s="80">
        <v>915.55221614999607</v>
      </c>
      <c r="R20" s="79">
        <v>29499.503245743261</v>
      </c>
      <c r="S20" s="80">
        <v>845.12512259999642</v>
      </c>
      <c r="T20" s="79">
        <v>29918.958684855392</v>
      </c>
      <c r="U20" s="80">
        <v>774.69802904999653</v>
      </c>
      <c r="V20" s="79">
        <v>30365.827806674784</v>
      </c>
      <c r="W20" s="80">
        <v>704.27093549999688</v>
      </c>
      <c r="X20" s="79">
        <v>30855.351361305013</v>
      </c>
      <c r="Y20" s="80">
        <v>633.84384194999711</v>
      </c>
      <c r="Z20" s="79">
        <v>31413.767479300823</v>
      </c>
      <c r="AA20" s="80">
        <v>563.41674839999746</v>
      </c>
      <c r="AB20" s="79">
        <v>32084.916858234865</v>
      </c>
      <c r="AC20" s="80">
        <v>492.98965484999781</v>
      </c>
      <c r="AD20" s="79">
        <v>32933.099314967272</v>
      </c>
      <c r="AE20" s="80">
        <v>422.56256129999809</v>
      </c>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24661.96252999999</v>
      </c>
      <c r="C21" s="80">
        <v>1145.7547579999939</v>
      </c>
      <c r="D21" s="79">
        <v>24990.057173025871</v>
      </c>
      <c r="E21" s="80">
        <v>1059.1818221812034</v>
      </c>
      <c r="F21" s="79">
        <v>25322.728338647878</v>
      </c>
      <c r="G21" s="80">
        <v>971.78441495584013</v>
      </c>
      <c r="H21" s="79">
        <v>25660.489448397711</v>
      </c>
      <c r="I21" s="80">
        <v>883.62726213363123</v>
      </c>
      <c r="J21" s="79">
        <v>26003.963080492675</v>
      </c>
      <c r="K21" s="80">
        <v>794.83070363020204</v>
      </c>
      <c r="L21" s="79">
        <v>26353.982238853438</v>
      </c>
      <c r="M21" s="80">
        <v>705.59350695585977</v>
      </c>
      <c r="N21" s="79">
        <v>26711.752624722565</v>
      </c>
      <c r="O21" s="80">
        <v>616.22483181006749</v>
      </c>
      <c r="P21" s="79">
        <v>27079.125489445232</v>
      </c>
      <c r="Q21" s="80">
        <v>527.18923970594426</v>
      </c>
      <c r="R21" s="79">
        <v>27459.052562282046</v>
      </c>
      <c r="S21" s="80">
        <v>439.17141018304523</v>
      </c>
      <c r="T21" s="79">
        <v>27856.371806298645</v>
      </c>
      <c r="U21" s="80">
        <v>353.17074234270763</v>
      </c>
      <c r="V21" s="79">
        <v>28279.187509353906</v>
      </c>
      <c r="W21" s="80">
        <v>270.64061605339572</v>
      </c>
      <c r="X21" s="79">
        <v>28741.308305696133</v>
      </c>
      <c r="Y21" s="80">
        <v>193.68601226938003</v>
      </c>
      <c r="Z21" s="79">
        <v>29266.414734086589</v>
      </c>
      <c r="AA21" s="80">
        <v>125.30137168087255</v>
      </c>
      <c r="AB21" s="79">
        <v>29893.966581717013</v>
      </c>
      <c r="AC21" s="80">
        <v>69.459707618950461</v>
      </c>
      <c r="AD21" s="79">
        <v>30681.718447954107</v>
      </c>
      <c r="AE21" s="80">
        <v>30.320160627891585</v>
      </c>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6533.6044688320717</v>
      </c>
      <c r="C22" s="40">
        <v>379.90788307663411</v>
      </c>
      <c r="D22" s="39">
        <v>6621.6118571312309</v>
      </c>
      <c r="E22" s="40">
        <v>366.73224528082545</v>
      </c>
      <c r="F22" s="39">
        <v>6710.1345596891424</v>
      </c>
      <c r="G22" s="40">
        <v>352.99122217173823</v>
      </c>
      <c r="H22" s="39">
        <v>6799.1638257330496</v>
      </c>
      <c r="I22" s="40">
        <v>338.71179218595313</v>
      </c>
      <c r="J22" s="39">
        <v>6888.6911702116158</v>
      </c>
      <c r="K22" s="40">
        <v>323.91630749095464</v>
      </c>
      <c r="L22" s="39">
        <v>6978.7284116917008</v>
      </c>
      <c r="M22" s="40">
        <v>308.61901375662183</v>
      </c>
      <c r="N22" s="39">
        <v>7069.3422677708813</v>
      </c>
      <c r="O22" s="40">
        <v>292.82194394053926</v>
      </c>
      <c r="P22" s="39">
        <v>7160.7136834261619</v>
      </c>
      <c r="Q22" s="40">
        <v>276.50964863000434</v>
      </c>
      <c r="R22" s="39">
        <v>7253.2397931714731</v>
      </c>
      <c r="S22" s="40">
        <v>259.64251834283402</v>
      </c>
      <c r="T22" s="39">
        <v>7347.7126326713515</v>
      </c>
      <c r="U22" s="40">
        <v>242.14797250438616</v>
      </c>
      <c r="V22" s="39">
        <v>7445.6351018995774</v>
      </c>
      <c r="W22" s="40">
        <v>223.90887369581097</v>
      </c>
      <c r="X22" s="39">
        <v>7549.7792195806842</v>
      </c>
      <c r="Y22" s="40">
        <v>204.74939603389552</v>
      </c>
      <c r="Z22" s="39">
        <v>7665.1119718127384</v>
      </c>
      <c r="AA22" s="40">
        <v>184.42367031181186</v>
      </c>
      <c r="AB22" s="39">
        <v>7799.9591075557064</v>
      </c>
      <c r="AC22" s="40">
        <v>162.6321183297772</v>
      </c>
      <c r="AD22" s="39">
        <v>7965.6601014753269</v>
      </c>
      <c r="AE22" s="40">
        <v>139.14219986369761</v>
      </c>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3328.6285669090516</v>
      </c>
      <c r="E23" s="8">
        <v>0</v>
      </c>
      <c r="F23" s="110">
        <v>3379.7371756110447</v>
      </c>
      <c r="G23" s="8">
        <v>0</v>
      </c>
      <c r="H23" s="110">
        <v>3431.9216286990377</v>
      </c>
      <c r="I23" s="8">
        <v>0</v>
      </c>
      <c r="J23" s="110">
        <v>3485.2977268313962</v>
      </c>
      <c r="K23" s="8">
        <v>0</v>
      </c>
      <c r="L23" s="110">
        <v>3540.0217727909967</v>
      </c>
      <c r="M23" s="8">
        <v>0</v>
      </c>
      <c r="N23" s="110">
        <v>3596.3211903902875</v>
      </c>
      <c r="O23" s="8">
        <v>0</v>
      </c>
      <c r="P23" s="110">
        <v>3654.5457536964987</v>
      </c>
      <c r="Q23" s="8">
        <v>0</v>
      </c>
      <c r="R23" s="110">
        <v>3715.2539988293383</v>
      </c>
      <c r="S23" s="8">
        <v>0</v>
      </c>
      <c r="T23" s="110">
        <v>3779.3636069221679</v>
      </c>
      <c r="U23" s="8">
        <v>0</v>
      </c>
      <c r="V23" s="110">
        <v>3848.4190676745811</v>
      </c>
      <c r="W23" s="8">
        <v>0</v>
      </c>
      <c r="X23" s="110">
        <v>3925.0753795302057</v>
      </c>
      <c r="Y23" s="8">
        <v>0</v>
      </c>
      <c r="Z23" s="110">
        <v>4013.9573849571566</v>
      </c>
      <c r="AA23" s="8">
        <v>0</v>
      </c>
      <c r="AB23" s="110">
        <v>4123.0011488578712</v>
      </c>
      <c r="AC23" s="8">
        <v>0</v>
      </c>
      <c r="AD23" s="110">
        <v>4264.5833527758668</v>
      </c>
      <c r="AE23" s="8">
        <v>0</v>
      </c>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3245.2558593838671</v>
      </c>
      <c r="E24" s="8">
        <v>0</v>
      </c>
      <c r="F24" s="93">
        <v>3295.0843418809764</v>
      </c>
      <c r="G24" s="8">
        <v>0</v>
      </c>
      <c r="H24" s="93">
        <v>3345.9617266802211</v>
      </c>
      <c r="I24" s="8">
        <v>0</v>
      </c>
      <c r="J24" s="93">
        <v>3398.0009051267384</v>
      </c>
      <c r="K24" s="8">
        <v>0</v>
      </c>
      <c r="L24" s="93">
        <v>3451.3542687636746</v>
      </c>
      <c r="M24" s="8">
        <v>0</v>
      </c>
      <c r="N24" s="93">
        <v>3506.2435455442687</v>
      </c>
      <c r="O24" s="8">
        <v>0</v>
      </c>
      <c r="P24" s="93">
        <v>3563.0097487497374</v>
      </c>
      <c r="Q24" s="8">
        <v>0</v>
      </c>
      <c r="R24" s="93">
        <v>3622.1974245820502</v>
      </c>
      <c r="S24" s="8">
        <v>0</v>
      </c>
      <c r="T24" s="93">
        <v>3684.7012692416356</v>
      </c>
      <c r="U24" s="8">
        <v>0</v>
      </c>
      <c r="V24" s="93">
        <v>3752.0270862384123</v>
      </c>
      <c r="W24" s="8">
        <v>0</v>
      </c>
      <c r="X24" s="93">
        <v>3826.7633749424485</v>
      </c>
      <c r="Y24" s="8">
        <v>0</v>
      </c>
      <c r="Z24" s="93">
        <v>3913.4191382380372</v>
      </c>
      <c r="AA24" s="8">
        <v>0</v>
      </c>
      <c r="AB24" s="93">
        <v>4019.7316651879514</v>
      </c>
      <c r="AC24" s="8">
        <v>0</v>
      </c>
      <c r="AD24" s="93">
        <v>4157.767636475045</v>
      </c>
      <c r="AE24" s="8">
        <v>0</v>
      </c>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91.012690000004255</v>
      </c>
      <c r="D25" s="39">
        <v>3262.6392035946055</v>
      </c>
      <c r="E25" s="40">
        <v>73.139012280831096</v>
      </c>
      <c r="F25" s="39">
        <v>3330.6659051877891</v>
      </c>
      <c r="G25" s="40">
        <v>57.705031982151858</v>
      </c>
      <c r="H25" s="39">
        <v>3399.4452841189054</v>
      </c>
      <c r="I25" s="40">
        <v>44.578188113114486</v>
      </c>
      <c r="J25" s="39">
        <v>3469.326956961032</v>
      </c>
      <c r="K25" s="40">
        <v>33.604235337118155</v>
      </c>
      <c r="L25" s="39">
        <v>3540.6909265405907</v>
      </c>
      <c r="M25" s="40">
        <v>24.610422076348108</v>
      </c>
      <c r="N25" s="39">
        <v>3613.9444514802958</v>
      </c>
      <c r="O25" s="40">
        <v>17.409121386976722</v>
      </c>
      <c r="P25" s="39">
        <v>3689.5180444110274</v>
      </c>
      <c r="Q25" s="40">
        <v>11.801902207061888</v>
      </c>
      <c r="R25" s="39">
        <v>3767.8583880268857</v>
      </c>
      <c r="S25" s="40">
        <v>7.5836634366699007</v>
      </c>
      <c r="T25" s="39">
        <v>3849.4164906777924</v>
      </c>
      <c r="U25" s="40">
        <v>4.5466109044402696</v>
      </c>
      <c r="V25" s="39">
        <v>3934.6249095843109</v>
      </c>
      <c r="W25" s="40">
        <v>2.4837683919895364</v>
      </c>
      <c r="X25" s="39">
        <v>4023.8490007812479</v>
      </c>
      <c r="Y25" s="40">
        <v>1.1918170179874068</v>
      </c>
      <c r="Z25" s="39">
        <v>4117.2873369954632</v>
      </c>
      <c r="AA25" s="40">
        <v>0.47355482342978716</v>
      </c>
      <c r="AB25" s="39">
        <v>4214.7900868453589</v>
      </c>
      <c r="AC25" s="40">
        <v>0.14150848198670449</v>
      </c>
      <c r="AD25" s="39">
        <v>4315.7061003745575</v>
      </c>
      <c r="AE25" s="40">
        <v>2.7339322451365888E-2</v>
      </c>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5173.5311386990115</v>
      </c>
      <c r="E26" s="32">
        <v>69.376982003693612</v>
      </c>
      <c r="F26" s="31">
        <v>5320.1148155778492</v>
      </c>
      <c r="G26" s="32">
        <v>63.897912708877179</v>
      </c>
      <c r="H26" s="31">
        <v>5477.7210832152496</v>
      </c>
      <c r="I26" s="32">
        <v>58.449771433011023</v>
      </c>
      <c r="J26" s="31">
        <v>5648.4976648152142</v>
      </c>
      <c r="K26" s="32">
        <v>53.01477584160407</v>
      </c>
      <c r="L26" s="31">
        <v>5835.2956851342178</v>
      </c>
      <c r="M26" s="32">
        <v>47.577422215386932</v>
      </c>
      <c r="N26" s="31">
        <v>6042.0497831878729</v>
      </c>
      <c r="O26" s="32">
        <v>42.126772206877881</v>
      </c>
      <c r="P26" s="31">
        <v>6274.4398539375306</v>
      </c>
      <c r="Q26" s="32">
        <v>36.659784341789162</v>
      </c>
      <c r="R26" s="31">
        <v>6541.1007810749861</v>
      </c>
      <c r="S26" s="32">
        <v>31.186125009382238</v>
      </c>
      <c r="T26" s="31">
        <v>6855.9837539545388</v>
      </c>
      <c r="U26" s="32">
        <v>25.73543031346129</v>
      </c>
      <c r="V26" s="31">
        <v>7243.3512828792582</v>
      </c>
      <c r="W26" s="32">
        <v>20.368555542490896</v>
      </c>
      <c r="X26" s="31">
        <v>7749.5249022143262</v>
      </c>
      <c r="Y26" s="32">
        <v>15.195014287490231</v>
      </c>
      <c r="Z26" s="31">
        <v>8474.8542613992668</v>
      </c>
      <c r="AA26" s="32">
        <v>10.398453504990492</v>
      </c>
      <c r="AB26" s="31">
        <v>9682.800979142834</v>
      </c>
      <c r="AC26" s="32">
        <v>6.2634687937377533</v>
      </c>
      <c r="AD26" s="31">
        <v>12375.668839162297</v>
      </c>
      <c r="AE26" s="32">
        <v>3.1640528241097936</v>
      </c>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6448.2944764251206</v>
      </c>
      <c r="E27" s="34">
        <v>250.13294372445125</v>
      </c>
      <c r="F27" s="33">
        <v>6470.8478315002285</v>
      </c>
      <c r="G27" s="34">
        <v>227.57960355868084</v>
      </c>
      <c r="H27" s="33">
        <v>6492.9189727316907</v>
      </c>
      <c r="I27" s="34">
        <v>205.50836136563453</v>
      </c>
      <c r="J27" s="33">
        <v>6514.5620031399467</v>
      </c>
      <c r="K27" s="34">
        <v>183.86526709004934</v>
      </c>
      <c r="L27" s="33">
        <v>6535.8177743662918</v>
      </c>
      <c r="M27" s="34">
        <v>162.60956921479831</v>
      </c>
      <c r="N27" s="33">
        <v>6556.7058714086124</v>
      </c>
      <c r="O27" s="34">
        <v>141.72143089565924</v>
      </c>
      <c r="P27" s="33">
        <v>6577.214066026424</v>
      </c>
      <c r="Q27" s="34">
        <v>121.21323886320741</v>
      </c>
      <c r="R27" s="33">
        <v>6597.2821332919602</v>
      </c>
      <c r="S27" s="34">
        <v>101.14517372325012</v>
      </c>
      <c r="T27" s="33">
        <v>6616.7789655379001</v>
      </c>
      <c r="U27" s="34">
        <v>81.648172338506185</v>
      </c>
      <c r="V27" s="33">
        <v>6635.469028481828</v>
      </c>
      <c r="W27" s="34">
        <v>62.95828683106717</v>
      </c>
      <c r="X27" s="33">
        <v>6652.9601711972236</v>
      </c>
      <c r="Y27" s="34">
        <v>45.467144944965355</v>
      </c>
      <c r="Z27" s="33">
        <v>6668.6388724122889</v>
      </c>
      <c r="AA27" s="34">
        <v>29.788446482844957</v>
      </c>
      <c r="AB27" s="33">
        <v>6681.6245110674126</v>
      </c>
      <c r="AC27" s="34">
        <v>16.802815548143631</v>
      </c>
      <c r="AD27" s="33">
        <v>6690.9140165522458</v>
      </c>
      <c r="AE27" s="34">
        <v>7.5132655191562732</v>
      </c>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13982.996681116971</v>
      </c>
      <c r="E28" s="40">
        <v>351.1833014170229</v>
      </c>
      <c r="F28" s="39">
        <v>14208.816999746914</v>
      </c>
      <c r="G28" s="40">
        <v>320.5568724036595</v>
      </c>
      <c r="H28" s="39">
        <v>14441.50685617984</v>
      </c>
      <c r="I28" s="40">
        <v>290.40958005696393</v>
      </c>
      <c r="J28" s="39">
        <v>14682.218160370852</v>
      </c>
      <c r="K28" s="40">
        <v>260.67218436045528</v>
      </c>
      <c r="L28" s="39">
        <v>14932.410050001527</v>
      </c>
      <c r="M28" s="40">
        <v>231.29301710347315</v>
      </c>
      <c r="N28" s="39">
        <v>15194.011495357487</v>
      </c>
      <c r="O28" s="40">
        <v>202.24933237042555</v>
      </c>
      <c r="P28" s="39">
        <v>15469.689585055661</v>
      </c>
      <c r="Q28" s="40">
        <v>173.56377536992574</v>
      </c>
      <c r="R28" s="39">
        <v>15763.296790307915</v>
      </c>
      <c r="S28" s="40">
        <v>145.32719208578288</v>
      </c>
      <c r="T28" s="39">
        <v>16080.647889296892</v>
      </c>
      <c r="U28" s="40">
        <v>117.73228481293661</v>
      </c>
      <c r="V28" s="39">
        <v>16430.913912827575</v>
      </c>
      <c r="W28" s="40">
        <v>91.124171515536375</v>
      </c>
      <c r="X28" s="39">
        <v>16829.200720452296</v>
      </c>
      <c r="Y28" s="40">
        <v>66.075223926200621</v>
      </c>
      <c r="Z28" s="39">
        <v>17301.400066572493</v>
      </c>
      <c r="AA28" s="40">
        <v>43.485284946465306</v>
      </c>
      <c r="AB28" s="39">
        <v>17892.968792574837</v>
      </c>
      <c r="AC28" s="40">
        <v>24.654950174011425</v>
      </c>
      <c r="AD28" s="39">
        <v>18682.302714625846</v>
      </c>
      <c r="AE28" s="40">
        <v>11.089084747735281</v>
      </c>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14565.982492617446</v>
      </c>
      <c r="E29" s="34">
        <v>744.04563487038138</v>
      </c>
      <c r="F29" s="33">
        <v>14771.791856314287</v>
      </c>
      <c r="G29" s="34">
        <v>672.69325509374698</v>
      </c>
      <c r="H29" s="33">
        <v>14980.616950565443</v>
      </c>
      <c r="I29" s="34">
        <v>603.11240770753625</v>
      </c>
      <c r="J29" s="33">
        <v>15192.950543956204</v>
      </c>
      <c r="K29" s="34">
        <v>535.2341697139226</v>
      </c>
      <c r="L29" s="33">
        <v>15409.409775796532</v>
      </c>
      <c r="M29" s="34">
        <v>469.03706492242674</v>
      </c>
      <c r="N29" s="33">
        <v>15630.818885418981</v>
      </c>
      <c r="O29" s="34">
        <v>404.56999522154831</v>
      </c>
      <c r="P29" s="33">
        <v>15858.348997527444</v>
      </c>
      <c r="Q29" s="34">
        <v>341.98403587085932</v>
      </c>
      <c r="R29" s="33">
        <v>16093.750909888993</v>
      </c>
      <c r="S29" s="34">
        <v>281.57433340874263</v>
      </c>
      <c r="T29" s="33">
        <v>16339.757280639109</v>
      </c>
      <c r="U29" s="34">
        <v>223.83874914273531</v>
      </c>
      <c r="V29" s="33">
        <v>16600.788013211972</v>
      </c>
      <c r="W29" s="34">
        <v>169.56055592805245</v>
      </c>
      <c r="X29" s="33">
        <v>16884.192010637616</v>
      </c>
      <c r="Y29" s="34">
        <v>119.92032641665959</v>
      </c>
      <c r="Z29" s="33">
        <v>17202.36217418062</v>
      </c>
      <c r="AA29" s="34">
        <v>76.621699970562986</v>
      </c>
      <c r="AB29" s="33">
        <v>17575.714098415952</v>
      </c>
      <c r="AC29" s="34">
        <v>41.907352062650986</v>
      </c>
      <c r="AD29" s="33">
        <v>18033.920560753428</v>
      </c>
      <c r="AE29" s="34">
        <v>18.023171055499645</v>
      </c>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2964230.7070510392</v>
      </c>
      <c r="F30" s="112">
        <v>3004567.2471992327</v>
      </c>
      <c r="H30" s="112">
        <v>3045867.0808411082</v>
      </c>
      <c r="J30" s="112">
        <v>3088175.0424689432</v>
      </c>
      <c r="L30" s="112">
        <v>3131572.3900228385</v>
      </c>
      <c r="N30" s="112">
        <v>3176209.384153672</v>
      </c>
      <c r="P30" s="112">
        <v>3222357.8893217458</v>
      </c>
      <c r="R30" s="112">
        <v>3270501.1113887145</v>
      </c>
      <c r="T30" s="112">
        <v>3321488.6750841206</v>
      </c>
      <c r="V30" s="112">
        <v>3376811.1913847402</v>
      </c>
      <c r="X30" s="112">
        <v>3439100.4196322002</v>
      </c>
      <c r="Z30" s="112">
        <v>3513012.651569067</v>
      </c>
      <c r="AB30" s="112">
        <v>3606610.871316446</v>
      </c>
      <c r="AD30" s="112">
        <v>3732499.2198114423</v>
      </c>
      <c r="AF30" s="112"/>
      <c r="AH30" s="112"/>
      <c r="AJ30" s="112"/>
      <c r="AL30" s="112"/>
      <c r="AN30" s="112"/>
      <c r="AP30" s="112"/>
      <c r="AR30" s="112"/>
      <c r="AT30" s="112"/>
      <c r="AV30" s="112"/>
    </row>
    <row r="31" spans="1:49" x14ac:dyDescent="0.2">
      <c r="A31" t="s">
        <v>47</v>
      </c>
      <c r="B31" s="77">
        <v>1</v>
      </c>
      <c r="D31" s="77">
        <v>1.0107467148825926</v>
      </c>
      <c r="F31" s="77">
        <v>1.0212562395014684</v>
      </c>
      <c r="H31" s="77">
        <v>1.0314870113356558</v>
      </c>
      <c r="J31" s="77">
        <v>1.0413890434890538</v>
      </c>
      <c r="L31" s="77">
        <v>1.05090361517612</v>
      </c>
      <c r="N31" s="77">
        <v>1.0599633670499549</v>
      </c>
      <c r="P31" s="77">
        <v>1.0684930691722792</v>
      </c>
      <c r="R31" s="77">
        <v>1.0764115903428197</v>
      </c>
      <c r="T31" s="77">
        <v>1.0836360064931678</v>
      </c>
      <c r="V31" s="77">
        <v>1.0900887971420172</v>
      </c>
      <c r="X31" s="77">
        <v>1.0957075870962401</v>
      </c>
      <c r="Z31" s="77">
        <v>1.1004445518045494</v>
      </c>
      <c r="AB31" s="77">
        <v>1.1041845679532283</v>
      </c>
      <c r="AD31" s="77">
        <v>1.1062940036107707</v>
      </c>
      <c r="AF31" s="77"/>
      <c r="AH31" s="77"/>
      <c r="AJ31" s="77"/>
      <c r="AL31" s="77"/>
      <c r="AN31" s="77"/>
      <c r="AP31" s="77"/>
      <c r="AR31" s="77"/>
      <c r="AT31" s="77"/>
      <c r="AV31" s="77"/>
    </row>
    <row r="32" spans="1:49" x14ac:dyDescent="0.2">
      <c r="A32" t="s">
        <v>64</v>
      </c>
      <c r="B32" s="83">
        <v>14734457.915000005</v>
      </c>
      <c r="D32" s="83">
        <v>14932947.506878359</v>
      </c>
      <c r="F32" s="83">
        <v>15136151.412136963</v>
      </c>
      <c r="H32" s="83">
        <v>15344208.38489731</v>
      </c>
      <c r="J32" s="83">
        <v>15557343.601296244</v>
      </c>
      <c r="L32" s="83">
        <v>15775967.246763485</v>
      </c>
      <c r="N32" s="83">
        <v>16000835.550421873</v>
      </c>
      <c r="P32" s="83">
        <v>16233318.551170575</v>
      </c>
      <c r="R32" s="83">
        <v>16475850.368154809</v>
      </c>
      <c r="T32" s="83">
        <v>16732710.175747888</v>
      </c>
      <c r="V32" s="83">
        <v>17011410.261447299</v>
      </c>
      <c r="X32" s="83">
        <v>17325205.578199986</v>
      </c>
      <c r="Z32" s="83">
        <v>17697554.347678032</v>
      </c>
      <c r="AB32" s="83">
        <v>18169075.498578232</v>
      </c>
      <c r="AD32" s="83">
        <v>18803264.795478694</v>
      </c>
      <c r="AF32" s="83"/>
      <c r="AH32" s="83"/>
      <c r="AJ32" s="83"/>
      <c r="AL32" s="83"/>
      <c r="AN32" s="83"/>
      <c r="AP32" s="83"/>
      <c r="AR32" s="83"/>
      <c r="AT32" s="83"/>
      <c r="AV32" s="83"/>
    </row>
    <row r="33" spans="1:49 16319:16384" x14ac:dyDescent="0.2">
      <c r="A33" t="s">
        <v>54</v>
      </c>
      <c r="B33" s="111">
        <v>7019665.6909999941</v>
      </c>
      <c r="D33" s="111">
        <v>7114228.414314175</v>
      </c>
      <c r="F33" s="111">
        <v>7211037.0971300248</v>
      </c>
      <c r="H33" s="111">
        <v>7310157.8471993385</v>
      </c>
      <c r="J33" s="111">
        <v>7411697.9384967405</v>
      </c>
      <c r="L33" s="111">
        <v>7515852.7479181793</v>
      </c>
      <c r="N33" s="111">
        <v>7622982.6064094901</v>
      </c>
      <c r="P33" s="111">
        <v>7733740.188181797</v>
      </c>
      <c r="R33" s="111">
        <v>7849285.1422045156</v>
      </c>
      <c r="T33" s="111">
        <v>7971656.200298341</v>
      </c>
      <c r="V33" s="111">
        <v>8104432.0503300019</v>
      </c>
      <c r="X33" s="111">
        <v>8253927.7571751159</v>
      </c>
      <c r="Z33" s="111">
        <v>8431319.0064289272</v>
      </c>
      <c r="AB33" s="111">
        <v>8655957.1199039668</v>
      </c>
      <c r="AD33" s="111">
        <v>8958092.2188147232</v>
      </c>
      <c r="AF33" s="111"/>
      <c r="AH33" s="111"/>
      <c r="AJ33" s="111"/>
      <c r="AL33" s="111"/>
      <c r="AN33" s="111"/>
      <c r="AP33" s="111"/>
      <c r="AR33" s="111"/>
      <c r="AT33" s="111"/>
      <c r="AV33" s="111"/>
    </row>
    <row r="34" spans="1:49 16319:16384" x14ac:dyDescent="0.2">
      <c r="A34" t="s">
        <v>75</v>
      </c>
      <c r="B34" s="111">
        <v>1136879.4410000113</v>
      </c>
      <c r="D34" s="111">
        <v>1152194.4871837944</v>
      </c>
      <c r="F34" s="111">
        <v>1167873.2702522152</v>
      </c>
      <c r="H34" s="111">
        <v>1183926.4909480466</v>
      </c>
      <c r="J34" s="111">
        <v>1200371.5348556321</v>
      </c>
      <c r="L34" s="111">
        <v>1217240.0874349843</v>
      </c>
      <c r="N34" s="111">
        <v>1234590.4425807914</v>
      </c>
      <c r="P34" s="111">
        <v>1252528.3376410394</v>
      </c>
      <c r="R34" s="111">
        <v>1271241.5777118045</v>
      </c>
      <c r="T34" s="111">
        <v>1291060.2506163383</v>
      </c>
      <c r="V34" s="111">
        <v>1312564.2421284607</v>
      </c>
      <c r="X34" s="111">
        <v>1336776.02270926</v>
      </c>
      <c r="Z34" s="111">
        <v>1365505.661024983</v>
      </c>
      <c r="AB34" s="111">
        <v>1401887.2314640949</v>
      </c>
      <c r="AD34" s="111">
        <v>1450819.9256579718</v>
      </c>
      <c r="AF34" s="111"/>
      <c r="AH34" s="111"/>
      <c r="AJ34" s="111"/>
      <c r="AL34" s="111"/>
      <c r="AN34" s="111"/>
      <c r="AP34" s="111"/>
      <c r="AR34" s="111"/>
      <c r="AT34" s="111"/>
      <c r="AV34" s="111"/>
    </row>
    <row r="35" spans="1:49 16319:16384" x14ac:dyDescent="0.2">
      <c r="A35" t="s">
        <v>78</v>
      </c>
      <c r="B35" s="192">
        <v>1</v>
      </c>
      <c r="D35" s="192">
        <v>1.0026974225700265</v>
      </c>
      <c r="F35" s="192">
        <v>1.0058985528837203</v>
      </c>
      <c r="H35" s="192">
        <v>1.0096595557012433</v>
      </c>
      <c r="J35" s="192">
        <v>1.0140584580139609</v>
      </c>
      <c r="L35" s="192">
        <v>1.0192050820732306</v>
      </c>
      <c r="N35" s="192">
        <v>1.0252564009639571</v>
      </c>
      <c r="P35" s="192">
        <v>1.0324412294994203</v>
      </c>
      <c r="R35" s="192">
        <v>1.0411014411439403</v>
      </c>
      <c r="T35" s="192">
        <v>1.0517640271777642</v>
      </c>
      <c r="V35" s="192">
        <v>1.0652735242803644</v>
      </c>
      <c r="X35" s="192">
        <v>1.083048748044942</v>
      </c>
      <c r="Z35" s="192">
        <v>1.1076052057579575</v>
      </c>
      <c r="AB35" s="192">
        <v>1.1436475641825103</v>
      </c>
      <c r="AD35" s="192">
        <v>1.2002897116516509</v>
      </c>
      <c r="AF35" s="192"/>
      <c r="AH35" s="192"/>
      <c r="AJ35" s="192"/>
      <c r="AL35" s="192"/>
      <c r="AN35" s="192"/>
      <c r="AP35" s="192"/>
      <c r="AR35" s="192"/>
      <c r="AT35" s="192"/>
      <c r="AV35" s="192"/>
    </row>
    <row r="36" spans="1:49 16319:16384" x14ac:dyDescent="0.2">
      <c r="A36" t="s">
        <v>21</v>
      </c>
      <c r="B36" s="35">
        <v>0.47195767671988198</v>
      </c>
      <c r="C36" s="36">
        <v>0.31738834428178964</v>
      </c>
      <c r="D36" s="35">
        <v>0.47198585102213647</v>
      </c>
      <c r="E36" s="36">
        <v>0.32123641072697784</v>
      </c>
      <c r="F36" s="35">
        <v>0.47201357474530409</v>
      </c>
      <c r="G36" s="36">
        <v>0.32545602047076849</v>
      </c>
      <c r="H36" s="35">
        <v>0.47204110083142276</v>
      </c>
      <c r="I36" s="36">
        <v>0.33010015453124691</v>
      </c>
      <c r="J36" s="35">
        <v>0.47206870588786776</v>
      </c>
      <c r="K36" s="36">
        <v>0.33523414594560014</v>
      </c>
      <c r="L36" s="35">
        <v>0.47209666963388353</v>
      </c>
      <c r="M36" s="36">
        <v>0.34094073628336352</v>
      </c>
      <c r="N36" s="35">
        <v>0.4721252436120934</v>
      </c>
      <c r="O36" s="36">
        <v>0.34732779690250143</v>
      </c>
      <c r="P36" s="35">
        <v>0.47215460054217862</v>
      </c>
      <c r="Q36" s="36">
        <v>0.35454058007264661</v>
      </c>
      <c r="R36" s="35">
        <v>0.47218475037245755</v>
      </c>
      <c r="S36" s="36">
        <v>0.36278167583993531</v>
      </c>
      <c r="T36" s="35">
        <v>0.47221539661442602</v>
      </c>
      <c r="U36" s="36">
        <v>0.37234480853193225</v>
      </c>
      <c r="V36" s="35">
        <v>0.4722456828819076</v>
      </c>
      <c r="W36" s="36">
        <v>0.38367436837387509</v>
      </c>
      <c r="X36" s="35">
        <v>0.47227375079993905</v>
      </c>
      <c r="Y36" s="36">
        <v>0.39747455884786159</v>
      </c>
      <c r="Z36" s="35">
        <v>0.47229599940302347</v>
      </c>
      <c r="AA36" s="36">
        <v>0.4149152114432757</v>
      </c>
      <c r="AB36" s="35">
        <v>0.47230613908257829</v>
      </c>
      <c r="AC36" s="36">
        <v>0.43801586634376943</v>
      </c>
      <c r="AD36" s="35">
        <v>0.47229526089191598</v>
      </c>
      <c r="AE36" s="36">
        <v>0.47028960378446383</v>
      </c>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2.0552940035648039E-2</v>
      </c>
      <c r="E37" s="38">
        <v>0.34499624274404239</v>
      </c>
      <c r="F37" s="37">
        <v>1.9690563643130023E-2</v>
      </c>
      <c r="G37" s="38">
        <v>0.34024991371897984</v>
      </c>
      <c r="H37" s="37">
        <v>1.8817183572714797E-2</v>
      </c>
      <c r="I37" s="38">
        <v>0.33538989479618209</v>
      </c>
      <c r="J37" s="37">
        <v>1.7933583856683241E-2</v>
      </c>
      <c r="K37" s="38">
        <v>0.33041911277892966</v>
      </c>
      <c r="L37" s="37">
        <v>1.704003696861207E-2</v>
      </c>
      <c r="M37" s="38">
        <v>0.3253380454664952</v>
      </c>
      <c r="N37" s="37">
        <v>1.6136060609106769E-2</v>
      </c>
      <c r="O37" s="38">
        <v>0.32014335259115956</v>
      </c>
      <c r="P37" s="37">
        <v>1.5220097735329256E-2</v>
      </c>
      <c r="Q37" s="38">
        <v>0.31482607387777495</v>
      </c>
      <c r="R37" s="37">
        <v>1.428909468270315E-2</v>
      </c>
      <c r="S37" s="38">
        <v>0.30936928455148327</v>
      </c>
      <c r="T37" s="37">
        <v>1.3337920011732299E-2</v>
      </c>
      <c r="U37" s="38">
        <v>0.30374495911676686</v>
      </c>
      <c r="V37" s="37">
        <v>1.2358563946714413E-2</v>
      </c>
      <c r="W37" s="38">
        <v>0.29790986438348638</v>
      </c>
      <c r="X37" s="37">
        <v>1.1339100609930972E-2</v>
      </c>
      <c r="Y37" s="38">
        <v>0.29180074022508884</v>
      </c>
      <c r="Z37" s="37">
        <v>1.0262722973337838E-2</v>
      </c>
      <c r="AA37" s="38">
        <v>0.28533133388963583</v>
      </c>
      <c r="AB37" s="37">
        <v>9.1084956000534907E-3</v>
      </c>
      <c r="AC37" s="38">
        <v>0.27840232424335726</v>
      </c>
      <c r="AD37" s="37">
        <v>7.8591953166437644E-3</v>
      </c>
      <c r="AE37" s="38">
        <v>0.27095765894317897</v>
      </c>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0.18311622878074507</v>
      </c>
      <c r="E38" s="36">
        <v>6.1260366111579416E-2</v>
      </c>
      <c r="F38" s="35">
        <v>0.18567082076478969</v>
      </c>
      <c r="G38" s="36">
        <v>6.2030457863966132E-2</v>
      </c>
      <c r="H38" s="35">
        <v>0.18849615625768265</v>
      </c>
      <c r="I38" s="36">
        <v>6.2888215994508001E-2</v>
      </c>
      <c r="J38" s="35">
        <v>0.19164588518951556</v>
      </c>
      <c r="K38" s="36">
        <v>6.3849543616472479E-2</v>
      </c>
      <c r="L38" s="35">
        <v>0.19519182060171456</v>
      </c>
      <c r="M38" s="36">
        <v>6.4935160812554626E-2</v>
      </c>
      <c r="N38" s="35">
        <v>0.19923373790469959</v>
      </c>
      <c r="O38" s="36">
        <v>6.6173059229608089E-2</v>
      </c>
      <c r="P38" s="35">
        <v>0.20391642100574625</v>
      </c>
      <c r="Q38" s="36">
        <v>6.7602506611834368E-2</v>
      </c>
      <c r="R38" s="35">
        <v>0.20946091533790459</v>
      </c>
      <c r="S38" s="36">
        <v>6.9281198837013211E-2</v>
      </c>
      <c r="T38" s="35">
        <v>0.21622574907053801</v>
      </c>
      <c r="U38" s="36">
        <v>7.1298616095265527E-2</v>
      </c>
      <c r="V38" s="35">
        <v>0.22483720922936196</v>
      </c>
      <c r="W38" s="36">
        <v>7.3802995378235495E-2</v>
      </c>
      <c r="X38" s="35">
        <v>0.23649836751827824</v>
      </c>
      <c r="Y38" s="36">
        <v>7.7061510135034608E-2</v>
      </c>
      <c r="Z38" s="35">
        <v>0.25383908195820559</v>
      </c>
      <c r="AA38" s="36">
        <v>8.1613304975485426E-2</v>
      </c>
      <c r="AB38" s="35">
        <v>0.28385313659827727</v>
      </c>
      <c r="AC38" s="36">
        <v>8.874820608561941E-2</v>
      </c>
      <c r="AD38" s="35">
        <v>0.35358472513630157</v>
      </c>
      <c r="AE38" s="36">
        <v>0.10274737183234753</v>
      </c>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0.22823625391140681</v>
      </c>
      <c r="E39" s="38">
        <v>0.22086915957674794</v>
      </c>
      <c r="F39" s="37">
        <v>0.22583114642577701</v>
      </c>
      <c r="G39" s="38">
        <v>0.22092845307110709</v>
      </c>
      <c r="H39" s="37">
        <v>0.22343055636818224</v>
      </c>
      <c r="I39" s="38">
        <v>0.22111385385059407</v>
      </c>
      <c r="J39" s="37">
        <v>0.22103027668589503</v>
      </c>
      <c r="K39" s="38">
        <v>0.22144229046060715</v>
      </c>
      <c r="L39" s="37">
        <v>0.21862442613655816</v>
      </c>
      <c r="M39" s="38">
        <v>0.22193464956595035</v>
      </c>
      <c r="N39" s="37">
        <v>0.21620427933865791</v>
      </c>
      <c r="O39" s="38">
        <v>0.22261711850859855</v>
      </c>
      <c r="P39" s="37">
        <v>0.21375644420132386</v>
      </c>
      <c r="Q39" s="38">
        <v>0.22352337660510957</v>
      </c>
      <c r="R39" s="37">
        <v>0.21125996993959117</v>
      </c>
      <c r="S39" s="38">
        <v>0.2246979671253343</v>
      </c>
      <c r="T39" s="37">
        <v>0.20868164797391367</v>
      </c>
      <c r="U39" s="38">
        <v>0.22620184016889208</v>
      </c>
      <c r="V39" s="37">
        <v>0.20596824315535392</v>
      </c>
      <c r="W39" s="38">
        <v>0.22812173118126997</v>
      </c>
      <c r="X39" s="37">
        <v>0.20303363619138581</v>
      </c>
      <c r="Y39" s="38">
        <v>0.23058661115390464</v>
      </c>
      <c r="Z39" s="37">
        <v>0.19973926595930044</v>
      </c>
      <c r="AA39" s="38">
        <v>0.23379760907557903</v>
      </c>
      <c r="AB39" s="37">
        <v>0.19587308250203356</v>
      </c>
      <c r="AC39" s="38">
        <v>0.23808208936495856</v>
      </c>
      <c r="AD39" s="37">
        <v>0.19116582903113571</v>
      </c>
      <c r="AE39" s="38">
        <v>0.24398084636564135</v>
      </c>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3.6803469445988418E-2</v>
      </c>
      <c r="E42" s="126"/>
      <c r="F42" s="167">
        <f>6.1%+(1-6.1%)*(1-SUM(F26:G26)/SUM($B$26:$C$26))</f>
        <v>1.0880553129099295E-2</v>
      </c>
      <c r="G42" s="126"/>
      <c r="H42" s="167">
        <f>6.1%+(1-6.1%)*(1-SUM(H26:I26)/SUM($B$26:$C$26))</f>
        <v>-1.707305125094187E-2</v>
      </c>
      <c r="I42" s="126"/>
      <c r="J42" s="167">
        <f>6.1%+(1-6.1%)*(1-SUM(J26:K26)/SUM($B$26:$C$26))</f>
        <v>-4.7448644019940436E-2</v>
      </c>
      <c r="K42" s="126"/>
      <c r="L42" s="167">
        <f>6.1%+(1-6.1%)*(1-SUM(L26:M26)/SUM($B$26:$C$26))</f>
        <v>-8.0767168952252527E-2</v>
      </c>
      <c r="M42" s="126"/>
      <c r="N42" s="167">
        <f>6.1%+(1-6.1%)*(1-SUM(N26:O26)/SUM($B$26:$C$26))</f>
        <v>-0.11774946547200468</v>
      </c>
      <c r="O42" s="126"/>
      <c r="P42" s="167">
        <f>6.1%+(1-6.1%)*(1-SUM(P26:Q26)/SUM($B$26:$C$26))</f>
        <v>-0.15943845202394566</v>
      </c>
      <c r="Q42" s="126"/>
      <c r="R42" s="167">
        <f>6.1%+(1-6.1%)*(1-SUM(R26:S26)/SUM($B$26:$C$26))</f>
        <v>-0.20742225497889549</v>
      </c>
      <c r="S42" s="126"/>
      <c r="T42" s="167">
        <f>6.1%+(1-6.1%)*(1-SUM(T26:U26)/SUM($B$26:$C$26))</f>
        <v>-0.26426935012653102</v>
      </c>
      <c r="U42" s="126"/>
      <c r="V42" s="167">
        <f>6.1%+(1-6.1%)*(1-SUM(V26:W26)/SUM($B$26:$C$26))</f>
        <v>-0.33444828446592173</v>
      </c>
      <c r="W42" s="126"/>
      <c r="X42" s="167">
        <f>6.1%+(1-6.1%)*(1-SUM(X26:Y26)/SUM($B$26:$C$26))</f>
        <v>-0.42648909958311143</v>
      </c>
      <c r="Y42" s="152"/>
      <c r="Z42" s="167">
        <f>6.1%+(1-6.1%)*(1-SUM(Z26:AA26)/SUM($B$26:$C$26))</f>
        <v>-0.55886118690448638</v>
      </c>
      <c r="AA42" s="126"/>
      <c r="AB42" s="167">
        <f>6.1%+(1-6.1%)*(1-SUM(AB26:AC26)/SUM($B$26:$C$26))</f>
        <v>-0.78001846412595488</v>
      </c>
      <c r="AC42" s="126"/>
      <c r="AD42" s="167">
        <f>6.1%+(1-6.1%)*(1-SUM(AD26:AE26)/SUM($B$26:$C$26))</f>
        <v>-1.2741670499217372</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0.5799703189885772</v>
      </c>
      <c r="E43" s="126"/>
      <c r="F43" s="152">
        <f t="array" ref="F43">SUM(F15:G15*F27:G27)/SUM(F15:G15*F27:G27,F13:G13*F26:G26)</f>
        <v>0.59329101788701699</v>
      </c>
      <c r="G43" s="126"/>
      <c r="H43" s="152">
        <f t="array" ref="H43">SUM(H15:I15*H27:I27)/SUM(H15:I15*H27:I27,H13:I13*H26:I26)</f>
        <v>0.60722964928597323</v>
      </c>
      <c r="I43" s="126"/>
      <c r="J43" s="152">
        <f t="array" ref="J43">SUM(J15:K15*J27:K27)/SUM(J15:K15*J27:K27,J13:K13*J26:K26)</f>
        <v>0.62187064368716516</v>
      </c>
      <c r="K43" s="126"/>
      <c r="L43" s="152">
        <f t="array" ref="L43">SUM(L15:M15*L27:M27)/SUM(L15:M15*L27:M27,L13:M13*L26:M26)</f>
        <v>0.63732550395562126</v>
      </c>
      <c r="M43" s="126"/>
      <c r="N43" s="152">
        <f t="array" ref="N43">SUM(N15:O15*N27:O27)/SUM(N15:O15*N27:O27,N13:O13*N26:O26)</f>
        <v>0.6537476931780567</v>
      </c>
      <c r="O43" s="126"/>
      <c r="P43" s="152">
        <f t="array" ref="P43">SUM(P15:Q15*P27:Q27)/SUM(P15:Q15*P27:Q27,P13:Q13*P26:Q26)</f>
        <v>0.67135687362125818</v>
      </c>
      <c r="Q43" s="126"/>
      <c r="R43" s="152">
        <f t="array" ref="R43">SUM(R15:S15*R27:S27)/SUM(R15:S15*R27:S27,R13:S13*R26:S26)</f>
        <v>0.69047886229745681</v>
      </c>
      <c r="S43" s="126"/>
      <c r="T43" s="152">
        <f t="array" ref="T43">SUM(T15:U15*T27:U27)/SUM(T15:U15*T27:U27,T13:U13*T26:U26)</f>
        <v>0.71161423268146307</v>
      </c>
      <c r="U43" s="126"/>
      <c r="V43" s="152">
        <f t="array" ref="V43">SUM(V15:W15*V27:W27)/SUM(V15:W15*V27:W27,V13:W13*V26:W26)</f>
        <v>0.73556015382622841</v>
      </c>
      <c r="W43" s="126"/>
      <c r="X43" s="152">
        <f t="array" ref="X43">SUM(X15:Y15*X27:Y27)/SUM(X15:Y15*X27:Y27,X13:Y13*X26:Y26)</f>
        <v>0.76363335513209352</v>
      </c>
      <c r="Y43" s="126"/>
      <c r="Z43" s="152">
        <f t="array" ref="Z43">SUM(Z15:AA15*Z27:AA27)/SUM(Z15:AA15*Z27:AA27,Z13:AA13*Z26:AA26)</f>
        <v>0.79808330537605188</v>
      </c>
      <c r="AA43" s="126"/>
      <c r="AB43" s="152">
        <f t="array" ref="AB43">SUM(AB15:AC15*AB27:AC27)/SUM(AB15:AC15*AB27:AC27,AB13:AC13*AB26:AC26)</f>
        <v>0.84282032382363792</v>
      </c>
      <c r="AC43" s="126"/>
      <c r="AD43" s="152">
        <f t="array" ref="AD43">SUM(AD15:AE15*AD27:AE27)/SUM(AD15:AE15*AD27:AE27,AD13:AE13*AD26:AE26)</f>
        <v>0.90445022638657924</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0.29754226190682431</v>
      </c>
      <c r="D44" s="183">
        <f>(SUM(D11:E11*D24:E24)+D34)/D32</f>
        <v>0.29754226241188741</v>
      </c>
      <c r="F44" s="183">
        <f>(SUM(F11:G11*F24:G24)+F34)/F32</f>
        <v>0.29754226249148502</v>
      </c>
      <c r="H44" s="183">
        <f>(SUM(H11:I11*H24:I24)+H34)/H32</f>
        <v>0.29754226192209432</v>
      </c>
      <c r="J44" s="183">
        <f>(SUM(J11:K11*J24:K24)+J34)/J32</f>
        <v>0.29754226089318742</v>
      </c>
      <c r="L44" s="183">
        <f>(SUM(L11:M11*L24:M24)+L34)/L32</f>
        <v>0.29754226197095712</v>
      </c>
      <c r="N44" s="183">
        <f>(SUM(N11:O11*N24:O24)+N34)/N32</f>
        <v>0.29754226165110947</v>
      </c>
      <c r="P44" s="183">
        <f>(SUM(P11:Q11*P24:Q24)+P34)/P32</f>
        <v>0.2975422617246124</v>
      </c>
      <c r="R44" s="183">
        <f>(SUM(R11:S11*R24:S24)+R34)/R32</f>
        <v>0.2975422617780511</v>
      </c>
      <c r="T44" s="183">
        <f>(SUM(T11:U11*T24:U24)+T34)/T32</f>
        <v>0.29754225680435409</v>
      </c>
      <c r="V44" s="183">
        <f>(SUM(V11:W11*V24:W24)+V34)/V32</f>
        <v>0.297542261895822</v>
      </c>
      <c r="X44" s="183">
        <f>(SUM(X11:Y11*X24:Y24)+X34)/X32</f>
        <v>0.29754226196662198</v>
      </c>
      <c r="Z44" s="183">
        <f>(SUM(Z11:AA11*Z24:AA24)+Z34)/Z32</f>
        <v>0.29754226191003247</v>
      </c>
      <c r="AB44" s="183">
        <f>(SUM(AB11:AC11*AB24:AC24)+AB34)/AB32</f>
        <v>0.29754226197140343</v>
      </c>
      <c r="AD44" s="183">
        <f>(SUM(AD11:AE11*AD24:AE24)+AD34)/AD32</f>
        <v>0.29754226178697585</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0.22038438807709348</v>
      </c>
      <c r="F45" s="183">
        <f>SUM(F11:G11*F24:G24)/F32</f>
        <v>0.22038438804555732</v>
      </c>
      <c r="H45" s="183">
        <f>SUM(H11:I11*H24:I24)/H32</f>
        <v>0.22038438832899726</v>
      </c>
      <c r="J45" s="183">
        <f>SUM(J11:K11*J24:K24)/J32</f>
        <v>0.22038438833995691</v>
      </c>
      <c r="L45" s="183">
        <f>SUM(L11:M11*L24:M24)/L32</f>
        <v>0.2203843883271267</v>
      </c>
      <c r="N45" s="183">
        <f>SUM(N11:O11*N24:O24)/N32</f>
        <v>0.22038438832066076</v>
      </c>
      <c r="P45" s="183">
        <f>SUM(P11:Q11*P24:Q24)/P32</f>
        <v>0.22038438832412277</v>
      </c>
      <c r="R45" s="183">
        <f>SUM(R11:S11*R24:S24)/R32</f>
        <v>0.22038438832655924</v>
      </c>
      <c r="T45" s="183">
        <f>SUM(T11:U11*T24:U24)/T32</f>
        <v>0.22038438835052887</v>
      </c>
      <c r="V45" s="183">
        <f>SUM(V11:W11*V24:W24)/V32</f>
        <v>0.22038438833003626</v>
      </c>
      <c r="X45" s="183">
        <f>SUM(X11:Y11*X24:Y24)/X32</f>
        <v>0.22038438833126944</v>
      </c>
      <c r="Z45" s="183">
        <f>SUM(Z11:AA11*Z24:AA24)/Z32</f>
        <v>0.22038438833050358</v>
      </c>
      <c r="AB45" s="183">
        <f>SUM(AB11:AC11*AB24:AC24)/AB32</f>
        <v>0.22038438833199916</v>
      </c>
      <c r="AD45" s="183">
        <f>SUM(AD11:AE11*AD24:AE24)/AD32</f>
        <v>0.22038438833050955</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7.7157873574883462E-2</v>
      </c>
      <c r="D46" s="183">
        <f>D34/D32</f>
        <v>7.7157874334793902E-2</v>
      </c>
      <c r="F46" s="183">
        <f>F34/F32</f>
        <v>7.7157874445927713E-2</v>
      </c>
      <c r="H46" s="183">
        <f>H34/H32</f>
        <v>7.7157873593097059E-2</v>
      </c>
      <c r="J46" s="183">
        <f>J34/J32</f>
        <v>7.7157872553230533E-2</v>
      </c>
      <c r="L46" s="183">
        <f>L34/L32</f>
        <v>7.7157873643830421E-2</v>
      </c>
      <c r="N46" s="183">
        <f>N34/N32</f>
        <v>7.7157873330448712E-2</v>
      </c>
      <c r="P46" s="183">
        <f>P34/P32</f>
        <v>7.7157873400489657E-2</v>
      </c>
      <c r="R46" s="183">
        <f>R34/R32</f>
        <v>7.7157873451491873E-2</v>
      </c>
      <c r="T46" s="183">
        <f>T34/T32</f>
        <v>7.7157868453825232E-2</v>
      </c>
      <c r="V46" s="183">
        <f>V34/V32</f>
        <v>7.7157873565785726E-2</v>
      </c>
      <c r="X46" s="183">
        <f>X34/X32</f>
        <v>7.7157873635352564E-2</v>
      </c>
      <c r="Z46" s="183">
        <f>Z34/Z32</f>
        <v>7.7157873579528871E-2</v>
      </c>
      <c r="AB46" s="183">
        <f>AB34/AB32</f>
        <v>7.7157873639404254E-2</v>
      </c>
      <c r="AD46" s="183">
        <f>AD34/AD32</f>
        <v>7.7157873456466242E-2</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1.0152895310053869</v>
      </c>
      <c r="E48" s="181"/>
      <c r="F48" s="181">
        <f>F24/$B$24</f>
        <v>1.0308785442657482</v>
      </c>
      <c r="G48" s="181"/>
      <c r="H48" s="181">
        <f>H24/$B$24</f>
        <v>1.0467957102427361</v>
      </c>
      <c r="I48" s="181"/>
      <c r="J48" s="181">
        <f>J24/$B$24</f>
        <v>1.063076347384518</v>
      </c>
      <c r="K48" s="181"/>
      <c r="L48" s="181">
        <f>L24/$B$24</f>
        <v>1.0797681319129617</v>
      </c>
      <c r="M48" s="181"/>
      <c r="N48" s="181">
        <f>N24/$B$24</f>
        <v>1.0969404321858822</v>
      </c>
      <c r="O48" s="181"/>
      <c r="P48" s="181">
        <f>P24/$B$24</f>
        <v>1.1146999353889298</v>
      </c>
      <c r="Q48" s="181"/>
      <c r="R48" s="181">
        <f>R24/$B$24</f>
        <v>1.1332170046866634</v>
      </c>
      <c r="S48" s="181"/>
      <c r="T48" s="181">
        <f>T24/$B$24</f>
        <v>1.1527715488829144</v>
      </c>
      <c r="U48" s="181"/>
      <c r="V48" s="181">
        <f>V24/$B$24</f>
        <v>1.1738346638190014</v>
      </c>
      <c r="W48" s="181"/>
      <c r="X48" s="181">
        <f>X24/$B$24</f>
        <v>1.1972161704844912</v>
      </c>
      <c r="Y48" s="181"/>
      <c r="Z48" s="181">
        <f>Z24/$B$24</f>
        <v>1.2243267260423498</v>
      </c>
      <c r="AA48" s="181"/>
      <c r="AB48" s="181">
        <f>AB24/$B$24</f>
        <v>1.2575869681631262</v>
      </c>
      <c r="AC48" s="181"/>
      <c r="AD48" s="181">
        <f>AD24/$B$24</f>
        <v>1.3007719996744949</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0.95628076703481424</v>
      </c>
      <c r="E49" s="181"/>
      <c r="F49" s="181">
        <f>F13/F35/$B$13*$B$35</f>
        <v>0.9110474822626039</v>
      </c>
      <c r="G49" s="181"/>
      <c r="H49" s="181">
        <f>H13/H35/$B$13*$B$35</f>
        <v>0.86417319988546548</v>
      </c>
      <c r="I49" s="181"/>
      <c r="J49" s="181">
        <f>J13/J35/$B$13*$B$35</f>
        <v>0.81550161194355864</v>
      </c>
      <c r="K49" s="181"/>
      <c r="L49" s="181">
        <f>L13/L35/$B$13*$B$35</f>
        <v>0.76482839828649496</v>
      </c>
      <c r="M49" s="181"/>
      <c r="N49" s="181">
        <f>N13/N35/$B$13*$B$35</f>
        <v>0.71187393671053645</v>
      </c>
      <c r="O49" s="181"/>
      <c r="P49" s="181">
        <f>P13/P35/$B$13*$B$35</f>
        <v>0.65624127377017105</v>
      </c>
      <c r="Q49" s="181"/>
      <c r="R49" s="181">
        <f>R13/R35/$B$13*$B$35</f>
        <v>0.59735244263205345</v>
      </c>
      <c r="S49" s="181"/>
      <c r="T49" s="181">
        <f>T13/T35/$B$13*$B$35</f>
        <v>0.534351340613753</v>
      </c>
      <c r="U49" s="181"/>
      <c r="V49" s="181">
        <f>V13/V35/$B$13*$B$35</f>
        <v>0.46596044251662594</v>
      </c>
      <c r="W49" s="181"/>
      <c r="X49" s="181">
        <f>X13/X35/$B$13*$B$35</f>
        <v>0.39029486845109995</v>
      </c>
      <c r="Y49" s="181"/>
      <c r="Z49" s="181">
        <f>Z13/Z35/$B$13*$B$35</f>
        <v>0.30474582634762781</v>
      </c>
      <c r="AA49" s="181"/>
      <c r="AB49" s="181">
        <f>AB13/AB35/$B$13*$B$35</f>
        <v>0.20656522887288534</v>
      </c>
      <c r="AC49" s="181"/>
      <c r="AD49" s="181">
        <f>AD13/AD35/$B$13*$B$35</f>
        <v>9.6916828523886764E-2</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-411305.3998386045</v>
      </c>
      <c r="F51" s="27">
        <f>F30-F10*F23</f>
        <v>-416902.33122678706</v>
      </c>
      <c r="H51" s="27">
        <f>H30-H10*H23</f>
        <v>-422632.9866105523</v>
      </c>
      <c r="J51" s="27">
        <f>J30-J10*J23</f>
        <v>-428503.43170871353</v>
      </c>
      <c r="L51" s="27">
        <f>L30-L10*L23</f>
        <v>-434525.12944072625</v>
      </c>
      <c r="N51" s="27">
        <f>N30-N10*N23</f>
        <v>-440718.7618787121</v>
      </c>
      <c r="P51" s="27">
        <f>P30-P10*P23</f>
        <v>-447122.15665563056</v>
      </c>
      <c r="R51" s="27">
        <f>R30-R10*R23</f>
        <v>-453802.33130406169</v>
      </c>
      <c r="T51" s="27">
        <f>T30-T10*T23</f>
        <v>-460876.95222021965</v>
      </c>
      <c r="V51" s="27">
        <f>V30-V10*V23</f>
        <v>-468553.53250373201</v>
      </c>
      <c r="X51" s="27">
        <f>X30-X10*X23</f>
        <v>-477196.54461830854</v>
      </c>
      <c r="Z51" s="27">
        <f>Z30-Z10*Z23</f>
        <v>-487452.33879618766</v>
      </c>
      <c r="AB51" s="27">
        <f>AB30-AB10*AB23</f>
        <v>-500439.68558164826</v>
      </c>
      <c r="AD51" s="27">
        <f>AD30-AD10*AD23</f>
        <v>-517907.42062638234</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2039029.1888462072</v>
      </c>
      <c r="F52" s="27">
        <f t="array" ref="F52">Calibration!sL*SUM(F13:G13*F26:G26)</f>
        <v>2001230.6674747148</v>
      </c>
      <c r="H52" s="27">
        <f t="array" ref="H52">Calibration!sL*SUM(H13:I13*H26:I26)</f>
        <v>1959210.5656528701</v>
      </c>
      <c r="J52" s="27">
        <f t="array" ref="J52">Calibration!sL*SUM(J13:K13*J26:K26)</f>
        <v>1912378.1272367979</v>
      </c>
      <c r="L52" s="27">
        <f t="array" ref="L52">Calibration!sL*SUM(L13:M13*L26:M26)</f>
        <v>1859991.4264644058</v>
      </c>
      <c r="N52" s="27">
        <f t="array" ref="N52">Calibration!sL*SUM(N13:O13*N26:O26)</f>
        <v>1801081.0895248859</v>
      </c>
      <c r="P52" s="27">
        <f t="array" ref="P52">Calibration!sL*SUM(P13:Q13*P26:Q26)</f>
        <v>1734322.2412405785</v>
      </c>
      <c r="R52" s="27">
        <f t="array" ref="R52">Calibration!sL*SUM(R13:S13*R26:S26)</f>
        <v>1657815.0630830678</v>
      </c>
      <c r="T52" s="27">
        <f t="array" ref="T52">Calibration!sL*SUM(T13:U13*T26:U26)</f>
        <v>1568693.2901604977</v>
      </c>
      <c r="V52" s="27">
        <f t="array" ref="V52">Calibration!sL*SUM(V13:W13*V26:W26)</f>
        <v>1462396.5154138231</v>
      </c>
      <c r="X52" s="27">
        <f t="array" ref="X52">Calibration!sL*SUM(X13:Y13*X26:Y26)</f>
        <v>1331258.8769187809</v>
      </c>
      <c r="Z52" s="27">
        <f t="array" ref="Z52">Calibration!sL*SUM(Z13:AA13*Z26:AA26)</f>
        <v>1161671.706979861</v>
      </c>
      <c r="AB52" s="27">
        <f t="array" ref="AB52">Calibration!sL*SUM(AB13:AC13*AB26:AC26)</f>
        <v>928382.93416668207</v>
      </c>
      <c r="AD52" s="27">
        <f t="array" ref="AD52">Calibration!sL*SUM(AD13:AE13*AD26:AE26)</f>
        <v>584064.5585089497</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2815459.1509688925</v>
      </c>
      <c r="F53" s="27">
        <f t="array" ref="F53">Calibration!sK*SUM(F15:G15*F27:G27)</f>
        <v>2919316.3464556956</v>
      </c>
      <c r="H53" s="27">
        <f t="array" ref="H53">Calibration!sK*SUM(H15:I15*H27:I27)</f>
        <v>3028972.8908915799</v>
      </c>
      <c r="J53" s="27">
        <f t="array" ref="J53">Calibration!sK*SUM(J15:K15*J27:K27)</f>
        <v>3145092.5380522651</v>
      </c>
      <c r="L53" s="27">
        <f t="array" ref="L53">Calibration!sK*SUM(L15:M15*L27:M27)</f>
        <v>3268550.6870588106</v>
      </c>
      <c r="N53" s="27">
        <f t="array" ref="N53">Calibration!sK*SUM(N15:O15*N27:O27)</f>
        <v>3400562.4924515183</v>
      </c>
      <c r="P53" s="27">
        <f t="array" ref="P53">Calibration!sK*SUM(P15:Q15*P27:Q27)</f>
        <v>3542898.2512454703</v>
      </c>
      <c r="R53" s="27">
        <f t="array" ref="R53">Calibration!sK*SUM(R15:S15*R27:S27)</f>
        <v>3698249.066780223</v>
      </c>
      <c r="T53" s="27">
        <f t="array" ref="T53">Calibration!sK*SUM(T15:U15*T27:U27)</f>
        <v>3870872.2776776515</v>
      </c>
      <c r="V53" s="27">
        <f t="array" ref="V53">Calibration!sK*SUM(V15:W15*V27:W27)</f>
        <v>4067770.5020516044</v>
      </c>
      <c r="X53" s="27">
        <f t="array" ref="X53">Calibration!sK*SUM(X15:Y15*X27:Y27)</f>
        <v>4300918.5297654634</v>
      </c>
      <c r="Z53" s="27">
        <f t="array" ref="Z53">Calibration!sK*SUM(Z15:AA15*Z27:AA27)</f>
        <v>4591550.9730138406</v>
      </c>
      <c r="AB53" s="27">
        <f t="array" ref="AB53">Calibration!sK*SUM(AB15:AC15*AB27:AC27)</f>
        <v>4978124.5530035961</v>
      </c>
      <c r="AD53" s="27">
        <f t="array" ref="AD53">Calibration!sK*SUM(AD15:AE15*AD27:AE27)</f>
        <v>5528608.830671248</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0.19850272062402055</v>
      </c>
      <c r="F55" s="183">
        <f>F30/F32</f>
        <v>0.19850272142428574</v>
      </c>
      <c r="H55" s="183">
        <f>H30/H32</f>
        <v>0.19850271870910155</v>
      </c>
      <c r="J55" s="183">
        <f>J30/J32</f>
        <v>0.19850272139079292</v>
      </c>
      <c r="L55" s="183">
        <f>L30/L32</f>
        <v>0.19850271878989198</v>
      </c>
      <c r="N55" s="183">
        <f>N30/N32</f>
        <v>0.19850272032012284</v>
      </c>
      <c r="P55" s="183">
        <f>P30/P32</f>
        <v>0.19850272014094023</v>
      </c>
      <c r="R55" s="183">
        <f>R30/R32</f>
        <v>0.19850271993912202</v>
      </c>
      <c r="T55" s="183">
        <f>T30/T32</f>
        <v>0.19850273148806646</v>
      </c>
      <c r="V55" s="183">
        <f>V30/V32</f>
        <v>0.19850271902721411</v>
      </c>
      <c r="X55" s="183">
        <f>X30/X32</f>
        <v>0.19850271929584271</v>
      </c>
      <c r="Z55" s="183">
        <f>Z30/Z32</f>
        <v>0.19850271865558555</v>
      </c>
      <c r="AB55" s="183">
        <f>AB30/AB32</f>
        <v>0.19850271807163061</v>
      </c>
      <c r="AD55" s="183">
        <f>AD30/AD32</f>
        <v>0.19850272069289446</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3.4001323740798187E-2</v>
      </c>
      <c r="F56" s="183">
        <f>(Model!$C$52*F5*F20+F2*G5*G20)/F32</f>
        <v>3.8982555678402198E-2</v>
      </c>
      <c r="H56" s="183">
        <f>(Model!$C$52*H5*H20+H2*I5*I20)/H32</f>
        <v>4.4190025155555458E-2</v>
      </c>
      <c r="J56" s="183">
        <f>(Model!$C$52*J5*J20+J2*K5*K20)/J32</f>
        <v>4.9655303409439515E-2</v>
      </c>
      <c r="L56" s="183">
        <f>(Model!$C$52*L5*L20+L2*M5*M20)/L32</f>
        <v>5.5419898183437011E-2</v>
      </c>
      <c r="N56" s="183">
        <f>(Model!$C$52*N5*N20+N2*O5*O20)/N32</f>
        <v>6.1540764437544908E-2</v>
      </c>
      <c r="P56" s="183">
        <f>(Model!$C$52*P5*P20+P2*Q5*Q20)/P32</f>
        <v>6.8099137577341359E-2</v>
      </c>
      <c r="R56" s="183">
        <f>(Model!$C$52*R5*R20+R2*S5*S20)/R32</f>
        <v>7.5215193390975002E-2</v>
      </c>
      <c r="T56" s="183">
        <f>(Model!$C$52*T5*T20+T2*U5*U20)/T32</f>
        <v>8.3073169645191861E-2</v>
      </c>
      <c r="V56" s="183">
        <f>(Model!$C$52*V5*V20+V2*W5*W20)/V32</f>
        <v>9.1965916120343424E-2</v>
      </c>
      <c r="X56" s="183">
        <f>(Model!$C$52*X5*X20+X2*Y5*Y20)/X32</f>
        <v>0.10237665101239053</v>
      </c>
      <c r="Z56" s="183">
        <f>(Model!$C$52*Z5*Z20+Z2*AA5*AA20)/Z32</f>
        <v>0.11513010137390764</v>
      </c>
      <c r="AB56" s="183">
        <f>(Model!$C$52*AB5*AB20+AB2*AC5*AC20)/AB32</f>
        <v>0.13165918224243142</v>
      </c>
      <c r="AD56" s="183">
        <f>(Model!$C$52*AD5*AD20+AD2*AE5*AE20)/AD32</f>
        <v>0.15438412865209347</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0.15385141092565155</v>
      </c>
      <c r="F57" s="183">
        <f t="array" ref="F57">SUM(Model!tauL*F13:G13*F26:G26)/F32</f>
        <v>0.14897221155591875</v>
      </c>
      <c r="H57" s="183">
        <f t="array" ref="H57">SUM(Model!tauL*H13:I13*H26:I26)/H32</f>
        <v>0.14386667463969474</v>
      </c>
      <c r="J57" s="183">
        <f t="array" ref="J57">SUM(Model!tauL*J13:K13*J26:K26)/J32</f>
        <v>0.13850386833818734</v>
      </c>
      <c r="L57" s="183">
        <f t="array" ref="L57">SUM(Model!tauL*L13:M13*L26:M26)/L32</f>
        <v>0.13284295434634111</v>
      </c>
      <c r="N57" s="183">
        <f t="array" ref="N57">SUM(Model!tauL*N13:O13*N26:O26)/N32</f>
        <v>0.12682771956891176</v>
      </c>
      <c r="P57" s="183">
        <f t="array" ref="P57">SUM(Model!tauL*P13:Q13*P26:Q26)/P32</f>
        <v>0.12037770565916744</v>
      </c>
      <c r="R57" s="183">
        <f t="array" ref="R57">SUM(Model!tauL*R13:S13*R26:S26)/R32</f>
        <v>0.11337356975341117</v>
      </c>
      <c r="T57" s="183">
        <f t="array" ref="T57">SUM(Model!tauL*T13:U13*T26:U26)/T32</f>
        <v>0.10563195781130173</v>
      </c>
      <c r="V57" s="183">
        <f t="array" ref="V57">SUM(Model!tauL*V13:W13*V26:W26)/V32</f>
        <v>9.686087859884368E-2</v>
      </c>
      <c r="X57" s="183">
        <f t="array" ref="X57">SUM(Model!tauL*X13:Y13*X26:Y26)/X32</f>
        <v>8.6578029905845039E-2</v>
      </c>
      <c r="Y57" s="183"/>
      <c r="Z57" s="183">
        <f t="array" ref="Z57">SUM(Model!tauL*Z13:AA13*Z26:AA26)/Z32</f>
        <v>7.39594608238444E-2</v>
      </c>
      <c r="AB57" s="183">
        <f t="array" ref="AB57">SUM(Model!tauL*AB13:AC13*AB26:AC26)/AB32</f>
        <v>5.7572872451369515E-2</v>
      </c>
      <c r="AD57" s="183">
        <f t="array" ref="AD57">SUM(Model!tauL*AD13:AE13*AD26:AE26)/AD32</f>
        <v>3.4998640175639369E-2</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1.0649985957570806E-2</v>
      </c>
      <c r="F58" s="183">
        <f t="array" ref="F58">SUM(Model!tauY/(1+Model!tauY)*F3:G3*F18:G18)/F32</f>
        <v>1.0547954189964785E-2</v>
      </c>
      <c r="H58" s="183">
        <f t="array" ref="H58">SUM(Model!tauY/(1+Model!tauY)*H3:I3*H18:I18)/H32</f>
        <v>1.044601891385134E-2</v>
      </c>
      <c r="J58" s="183">
        <f t="array" ref="J58">SUM(Model!tauY/(1+Model!tauY)*J3:K3*J18:K18)/J32</f>
        <v>1.0343549643166059E-2</v>
      </c>
      <c r="L58" s="183">
        <f t="array" ref="L58">SUM(Model!tauY/(1+Model!tauY)*L3:M3*L18:M18)/L32</f>
        <v>1.023986626011384E-2</v>
      </c>
      <c r="N58" s="183">
        <f t="array" ref="N58">SUM(Model!tauY/(1+Model!tauY)*N3:O3*N18:O18)/N32</f>
        <v>1.013423631366616E-2</v>
      </c>
      <c r="P58" s="183">
        <f t="array" ref="P58">SUM(Model!tauY/(1+Model!tauY)*P3:Q3*P18:Q18)/P32</f>
        <v>1.0025876904431423E-2</v>
      </c>
      <c r="R58" s="183">
        <f t="array" ref="R58">SUM(Model!tauY/(1+Model!tauY)*R3:S3*R18:S18)/R32</f>
        <v>9.9139567947358464E-3</v>
      </c>
      <c r="T58" s="183">
        <f t="array" ref="T58">SUM(Model!tauY/(1+Model!tauY)*T3:U3*T18:U18)/T32</f>
        <v>9.7976040315728725E-3</v>
      </c>
      <c r="V58" s="183">
        <f t="array" ref="V58">SUM(Model!tauY/(1+Model!tauY)*V3:W3*V18:W18)/V32</f>
        <v>9.6759243080270022E-3</v>
      </c>
      <c r="X58" s="183">
        <f t="array" ref="X58">SUM(Model!tauY/(1+Model!tauY)*X3:Y3*X18:Y18)/X32</f>
        <v>9.5480383776071365E-3</v>
      </c>
      <c r="Y58" s="183"/>
      <c r="Z58" s="183">
        <f t="array" ref="Z58">SUM(Model!tauY/(1+Model!tauY)*Z3:AA3*Z18:AA18)/Z32</f>
        <v>9.4131564578335165E-3</v>
      </c>
      <c r="AB58" s="183">
        <f t="array" ref="AB58">SUM(Model!tauY/(1+Model!tauY)*AB3:AC3*AB18:AC18)/AB32</f>
        <v>9.2706633778296584E-3</v>
      </c>
      <c r="AD58" s="183">
        <f t="array" ref="AD58">SUM(Model!tauY/(1+Model!tauY)*AD3:AE3*AD18:AE18)/AD32</f>
        <v>9.1199518651616015E-3</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5.3957737385739359E-3</v>
      </c>
      <c r="F59" s="183">
        <f>(F2*G5*G20)/F32</f>
        <v>1.0442034214388034E-2</v>
      </c>
      <c r="H59" s="183">
        <f>(H2*I5*I20)/H32</f>
        <v>1.5715830077701356E-2</v>
      </c>
      <c r="J59" s="183">
        <f>(J2*K5*K20)/J32</f>
        <v>2.1248956566853671E-2</v>
      </c>
      <c r="L59" s="183">
        <f>(L2*M5*M20)/L32</f>
        <v>2.7083215977619503E-2</v>
      </c>
      <c r="N59" s="183">
        <f>(N2*O5*O20)/N32</f>
        <v>3.3275979704307325E-2</v>
      </c>
      <c r="P59" s="183">
        <f>(P2*Q5*Q20)/P32</f>
        <v>3.9909103013391962E-2</v>
      </c>
      <c r="R59" s="183">
        <f>(R2*S5*S20)/R32</f>
        <v>4.7103722965041915E-2</v>
      </c>
      <c r="T59" s="183">
        <f>(T2*U5*U20)/T32</f>
        <v>5.504561760344788E-2</v>
      </c>
      <c r="V59" s="183">
        <f>(V2*W5*W20)/V32</f>
        <v>6.4030178852619454E-2</v>
      </c>
      <c r="X59" s="183">
        <f>(X2*Y5*Y20)/X32</f>
        <v>7.4544942648472168E-2</v>
      </c>
      <c r="Z59" s="183">
        <f>(Z2*AA5*AA20)/Z32</f>
        <v>8.7422135901715742E-2</v>
      </c>
      <c r="AB59" s="183">
        <f>(AB2*AC5*AC20)/AB32</f>
        <v>0.10410770860586772</v>
      </c>
      <c r="AD59" s="183">
        <f>(AD2*AE5*AE20)/AD32</f>
        <v>0.12704319336769568</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2.8605550002224256E-2</v>
      </c>
      <c r="F60" s="183">
        <f>Model!$C$52*F5*F20/F32</f>
        <v>2.854052146401416E-2</v>
      </c>
      <c r="H60" s="183">
        <f>Model!$C$52*H5*H20/H32</f>
        <v>2.8474195077854102E-2</v>
      </c>
      <c r="J60" s="183">
        <f>Model!$C$52*J5*J20/J32</f>
        <v>2.8406346842585844E-2</v>
      </c>
      <c r="L60" s="183">
        <f>Model!$C$52*L5*L20/L32</f>
        <v>2.8336682205817504E-2</v>
      </c>
      <c r="N60" s="183">
        <f>Model!$C$52*N5*N20/N32</f>
        <v>2.8264784733237583E-2</v>
      </c>
      <c r="P60" s="183">
        <f>Model!$C$52*P5*P20/P32</f>
        <v>2.8190034563949393E-2</v>
      </c>
      <c r="R60" s="183">
        <f>Model!$C$52*R5*R20/R32</f>
        <v>2.8111470425933094E-2</v>
      </c>
      <c r="T60" s="183">
        <f>Model!$C$52*T5*T20/T32</f>
        <v>2.8027552041743974E-2</v>
      </c>
      <c r="V60" s="183">
        <f>Model!$C$52*V5*V20/V32</f>
        <v>2.7935737267723967E-2</v>
      </c>
      <c r="X60" s="183">
        <f>Model!$C$52*X5*X20/X32</f>
        <v>2.7831708363918364E-2</v>
      </c>
      <c r="Z60" s="183">
        <f>Model!$C$52*Z5*Z20/Z32</f>
        <v>2.7707965472191891E-2</v>
      </c>
      <c r="AB60" s="183">
        <f>Model!$C$52*AB5*AB20/AB32</f>
        <v>2.7551473636563725E-2</v>
      </c>
      <c r="AD60" s="183">
        <f>Model!$C$52*AD5*AD20/AD32</f>
        <v>2.734093528439778E-2</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0.92528350731591702</v>
      </c>
      <c r="F62">
        <f>F13/F15</f>
        <v>0.85286986501716999</v>
      </c>
      <c r="H62">
        <f>H13/H15</f>
        <v>0.78261666863028423</v>
      </c>
      <c r="J62">
        <f>J13/J15</f>
        <v>0.71436983806099952</v>
      </c>
      <c r="L62">
        <f>L13/L15</f>
        <v>0.64794641064435399</v>
      </c>
      <c r="N62">
        <f>N13/N15</f>
        <v>0.5831141041964093</v>
      </c>
      <c r="P62">
        <f>P13/P15</f>
        <v>0.51956384889636709</v>
      </c>
      <c r="R62">
        <f>R13/R15</f>
        <v>0.45687380657594234</v>
      </c>
      <c r="T62">
        <f>T13/T15</f>
        <v>0.39446192350694137</v>
      </c>
      <c r="V62">
        <f>V13/V15</f>
        <v>0.33152971859819569</v>
      </c>
      <c r="X62">
        <f>X13/X15</f>
        <v>0.26702280588049282</v>
      </c>
      <c r="Z62">
        <f>Z13/Z15</f>
        <v>0.19972483457830309</v>
      </c>
      <c r="AB62">
        <f>AB13/AB15</f>
        <v>0.12892952875312449</v>
      </c>
      <c r="AD62">
        <f>AD13/AD15</f>
        <v>5.7166043762437051E-2</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0.99837205693035835</v>
      </c>
      <c r="E65" s="181"/>
      <c r="F65" s="181">
        <f t="array" ref="F65">SQRT((F9:G9*$B$22:$C$22+F10:G10*$B$23:$C$23+F11:G11*$B$24:$C$24+F4:G4*($B$25:$C$25-$B$19:$C$19))/($B$9:$C$9*$B$22:$C$22+$B$10:$C$10*$B$23:$C$23+$B$11:$C$11*$B$24:$C$24+$B$4:$C$4*($B$25:$C$25-$B$19:$C$19))*(F9:G9*F22:G22+F10:G10*F23:G23+F11:G11*F24:G24+F4:G4*(F25:G25-F19:G19))/($B$9:$C$9*F22:G22+$B$10:$C$10*F23:G23+$B$11:$C$11*F24:G24+$B$4:$C$4*(F25:G25-F19:G19)))</f>
        <v>0.99681461542883809</v>
      </c>
      <c r="G65" s="181"/>
      <c r="H65" s="181">
        <f t="array" ref="H65">SQRT((H9:I9*$B$22:$C$22+H10:I10*$B$23:$C$23+H11:I11*$B$24:$C$24+H4:I4*($B$25:$C$25-$B$19:$C$19))/($B$9:$C$9*$B$22:$C$22+$B$10:$C$10*$B$23:$C$23+$B$11:$C$11*$B$24:$C$24+$B$4:$C$4*($B$25:$C$25-$B$19:$C$19))*(H9:I9*H22:I22+H10:I10*H23:I23+H11:I11*H24:I24+H4:I4*(H25:I25-H19:I19))/($B$9:$C$9*H22:I22+$B$10:$C$10*H23:I23+$B$11:$C$11*H24:I24+$B$4:$C$4*(H25:I25-H19:I19)))</f>
        <v>0.99530910681793006</v>
      </c>
      <c r="I65" s="181"/>
      <c r="J65" s="181">
        <f t="array" ref="J65">SQRT((J9:K9*$B$22:$C$22+J10:K10*$B$23:$C$23+J11:K11*$B$24:$C$24+J4:K4*($B$25:$C$25-$B$19:$C$19))/($B$9:$C$9*$B$22:$C$22+$B$10:$C$10*$B$23:$C$23+$B$11:$C$11*$B$24:$C$24+$B$4:$C$4*($B$25:$C$25-$B$19:$C$19))*(J9:K9*J22:K22+J10:K10*J23:K23+J11:K11*J24:K24+J4:K4*(J25:K25-J19:K19))/($B$9:$C$9*J22:K22+$B$10:$C$10*J23:K23+$B$11:$C$11*J24:K24+$B$4:$C$4*(J25:K25-J19:K19)))</f>
        <v>0.99383764359234006</v>
      </c>
      <c r="K65" s="181"/>
      <c r="L65" s="181">
        <f t="array" ref="L65">SQRT((L9:M9*$B$22:$C$22+L10:M10*$B$23:$C$23+L11:M11*$B$24:$C$24+L4:M4*($B$25:$C$25-$B$19:$C$19))/($B$9:$C$9*$B$22:$C$22+$B$10:$C$10*$B$23:$C$23+$B$11:$C$11*$B$24:$C$24+$B$4:$C$4*($B$25:$C$25-$B$19:$C$19))*(L9:M9*L22:M22+L10:M10*L23:M23+L11:M11*L24:M24+L4:M4*(L25:M25-L19:M19))/($B$9:$C$9*L22:M22+$B$10:$C$10*L23:M23+$B$11:$C$11*L24:M24+$B$4:$C$4*(L25:M25-L19:M19)))</f>
        <v>0.99238392146777654</v>
      </c>
      <c r="M65" s="181"/>
      <c r="N65" s="181">
        <f t="array" ref="N65">SQRT((N9:O9*$B$22:$C$22+N10:O10*$B$23:$C$23+N11:O11*$B$24:$C$24+N4:O4*($B$25:$C$25-$B$19:$C$19))/($B$9:$C$9*$B$22:$C$22+$B$10:$C$10*$B$23:$C$23+$B$11:$C$11*$B$24:$C$24+$B$4:$C$4*($B$25:$C$25-$B$19:$C$19))*(N9:O9*N22:O22+N10:O10*N23:O23+N11:O11*N24:O24+N4:O4*(N25:O25-N19:O19))/($B$9:$C$9*N22:O22+$B$10:$C$10*N23:O23+$B$11:$C$11*N24:O24+$B$4:$C$4*(N25:O25-N19:O19)))</f>
        <v>0.99093460374214581</v>
      </c>
      <c r="O65" s="181"/>
      <c r="P65" s="181">
        <f t="array" ref="P65">SQRT((P9:Q9*$B$22:$C$22+P10:Q10*$B$23:$C$23+P11:Q11*$B$24:$C$24+P4:Q4*($B$25:$C$25-$B$19:$C$19))/($B$9:$C$9*$B$22:$C$22+$B$10:$C$10*$B$23:$C$23+$B$11:$C$11*$B$24:$C$24+$B$4:$C$4*($B$25:$C$25-$B$19:$C$19))*(P9:Q9*P22:Q22+P10:Q10*P23:Q23+P11:Q11*P24:Q24+P4:Q4*(P25:Q25-P19:Q19))/($B$9:$C$9*P22:Q22+$B$10:$C$10*P23:Q23+$B$11:$C$11*P24:Q24+$B$4:$C$4*(P25:Q25-P19:Q19)))</f>
        <v>0.98948146503101675</v>
      </c>
      <c r="Q65" s="181"/>
      <c r="R65" s="181">
        <f t="array" ref="R65">SQRT((R9:S9*$B$22:$C$22+R10:S10*$B$23:$C$23+R11:S11*$B$24:$C$24+R4:S4*($B$25:$C$25-$B$19:$C$19))/($B$9:$C$9*$B$22:$C$22+$B$10:$C$10*$B$23:$C$23+$B$11:$C$11*$B$24:$C$24+$B$4:$C$4*($B$25:$C$25-$B$19:$C$19))*(R9:S9*R22:S22+R10:S10*R23:S23+R11:S11*R24:S24+R4:S4*(R25:S25-R19:S19))/($B$9:$C$9*R22:S22+$B$10:$C$10*R23:S23+$B$11:$C$11*R24:S24+$B$4:$C$4*(R25:S25-R19:S19)))</f>
        <v>0.98802483569644206</v>
      </c>
      <c r="S65" s="181"/>
      <c r="T65" s="181">
        <f t="array" ref="T65">SQRT((T9:U9*$B$22:$C$22+T10:U10*$B$23:$C$23+T11:U11*$B$24:$C$24+T4:U4*($B$25:$C$25-$B$19:$C$19))/($B$9:$C$9*$B$22:$C$22+$B$10:$C$10*$B$23:$C$23+$B$11:$C$11*$B$24:$C$24+$B$4:$C$4*($B$25:$C$25-$B$19:$C$19))*(T9:U9*T22:U22+T10:U10*T23:U23+T11:U11*T24:U24+T4:U4*(T25:U25-T19:U19))/($B$9:$C$9*T22:U22+$B$10:$C$10*T23:U23+$B$11:$C$11*T24:U24+$B$4:$C$4*(T25:U25-T19:U19)))</f>
        <v>0.98657931970875778</v>
      </c>
      <c r="U65" s="181"/>
      <c r="V65" s="181">
        <f t="array" ref="V65">SQRT((V9:W9*$B$22:$C$22+V10:W10*$B$23:$C$23+V11:W11*$B$24:$C$24+V4:W4*($B$25:$C$25-$B$19:$C$19))/($B$9:$C$9*$B$22:$C$22+$B$10:$C$10*$B$23:$C$23+$B$11:$C$11*$B$24:$C$24+$B$4:$C$4*($B$25:$C$25-$B$19:$C$19))*(V9:W9*V22:W22+V10:W10*V23:W23+V11:W11*V24:W24+V4:W4*(V25:W25-V19:W19))/($B$9:$C$9*V22:W22+$B$10:$C$10*V23:W23+$B$11:$C$11*V24:W24+$B$4:$C$4*(V25:W25-V19:W19)))</f>
        <v>0.98518362136088811</v>
      </c>
      <c r="W65" s="181"/>
      <c r="X65" s="181">
        <f t="array" ref="X65">SQRT((X9:Y9*$B$22:$C$22+X10:Y10*$B$23:$C$23+X11:Y11*$B$24:$C$24+X4:Y4*($B$25:$C$25-$B$19:$C$19))/($B$9:$C$9*$B$22:$C$22+$B$10:$C$10*$B$23:$C$23+$B$11:$C$11*$B$24:$C$24+$B$4:$C$4*($B$25:$C$25-$B$19:$C$19))*(X9:Y9*X22:Y22+X10:Y10*X23:Y23+X11:Y11*X24:Y24+X4:Y4*(X25:Y25-X19:Y19))/($B$9:$C$9*X22:Y22+$B$10:$C$10*X23:Y23+$B$11:$C$11*X24:Y24+$B$4:$C$4*(X25:Y25-X19:Y19)))</f>
        <v>0.98391777679331038</v>
      </c>
      <c r="Y65" s="181"/>
      <c r="Z65" s="181">
        <f t="array" ref="Z65">SQRT((Z9:AA9*$B$22:$C$22+Z10:AA10*$B$23:$C$23+Z11:AA11*$B$24:$C$24+Z4:AA4*($B$25:$C$25-$B$19:$C$19))/($B$9:$C$9*$B$22:$C$22+$B$10:$C$10*$B$23:$C$23+$B$11:$C$11*$B$24:$C$24+$B$4:$C$4*($B$25:$C$25-$B$19:$C$19))*(Z9:AA9*Z22:AA22+Z10:AA10*Z23:AA23+Z11:AA11*Z24:AA24+Z4:AA4*(Z25:AA25-Z19:AA19))/($B$9:$C$9*Z22:AA22+$B$10:$C$10*Z23:AA23+$B$11:$C$11*Z24:AA24+$B$4:$C$4*(Z25:AA25-Z19:AA19)))</f>
        <v>0.98293220878569898</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0.9824875097299689</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0.98296229715408789</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0.99820896787127089</v>
      </c>
      <c r="E66" s="181"/>
      <c r="F66" s="181">
        <f t="array" ref="F66">SQRT((F9:G9*$B$22:$C$22)/($B$9:$C$9*$B$22:$C$22)*(F9:G9*F22:G22)/($B$9:$C$9*F22:G22))</f>
        <v>0.99649196114674043</v>
      </c>
      <c r="G66" s="181"/>
      <c r="H66" s="181">
        <f t="array" ref="H66">SQRT((H9:I9*$B$22:$C$22)/($B$9:$C$9*$B$22:$C$22)*(H9:I9*H22:I22)/($B$9:$C$9*H22:I22))</f>
        <v>0.99482889507394334</v>
      </c>
      <c r="I66" s="181"/>
      <c r="J66" s="181">
        <f t="array" ref="J66">SQRT((J9:K9*$B$22:$C$22)/($B$9:$C$9*$B$22:$C$22)*(J9:K9*J22:K22)/($B$9:$C$9*J22:K22))</f>
        <v>0.99320026213597756</v>
      </c>
      <c r="K66" s="181"/>
      <c r="L66" s="181">
        <f t="array" ref="L66">SQRT((L9:M9*$B$22:$C$22)/($B$9:$C$9*$B$22:$C$22)*(L9:M9*L22:M22)/($B$9:$C$9*L22:M22))</f>
        <v>0.99158814898909531</v>
      </c>
      <c r="M66" s="181"/>
      <c r="N66" s="181">
        <f t="array" ref="N66">SQRT((N9:O9*$B$22:$C$22)/($B$9:$C$9*$B$22:$C$22)*(N9:O9*N22:O22)/($B$9:$C$9*N22:O22))</f>
        <v>0.98997779735773894</v>
      </c>
      <c r="O66" s="181"/>
      <c r="P66" s="181">
        <f t="array" ref="P66">SQRT((P9:Q9*$B$22:$C$22)/($B$9:$C$9*$B$22:$C$22)*(P9:Q9*P22:Q22)/($B$9:$C$9*P22:Q22))</f>
        <v>0.98836002657252942</v>
      </c>
      <c r="Q66" s="181"/>
      <c r="R66" s="181">
        <f t="array" ref="R66">SQRT((R9:S9*$B$22:$C$22)/($B$9:$C$9*$B$22:$C$22)*(R9:S9*R22:S22)/($B$9:$C$9*R22:S22))</f>
        <v>0.98673513748945885</v>
      </c>
      <c r="S66" s="181"/>
      <c r="T66" s="181">
        <f t="array" ref="T66">SQRT((T9:U9*$B$22:$C$22)/($B$9:$C$9*$B$22:$C$22)*(T9:U9*T22:U22)/($B$9:$C$9*T22:U22))</f>
        <v>0.98511941167100858</v>
      </c>
      <c r="U66" s="181"/>
      <c r="V66" s="181">
        <f t="array" ref="V66">SQRT((V9:W9*$B$22:$C$22)/($B$9:$C$9*$B$22:$C$22)*(V9:W9*V22:W22)/($B$9:$C$9*V22:W22))</f>
        <v>0.98355630240210512</v>
      </c>
      <c r="W66" s="181"/>
      <c r="X66" s="181">
        <f t="array" ref="X66">SQRT((X9:Y9*$B$22:$C$22)/($B$9:$C$9*$B$22:$C$22)*(X9:Y9*X22:Y22)/($B$9:$C$9*X22:Y22))</f>
        <v>0.98213606671966169</v>
      </c>
      <c r="Y66" s="181"/>
      <c r="Z66" s="181">
        <f t="array" ref="Z66">SQRT((Z9:AA9*$B$22:$C$22)/($B$9:$C$9*$B$22:$C$22)*(Z9:AA9*Z22:AA22)/($B$9:$C$9*Z22:AA22))</f>
        <v>0.9810288113235559</v>
      </c>
      <c r="AA66" s="181"/>
      <c r="AB66" s="181">
        <f t="array" ref="AB66">SQRT((AB9:AC9*$B$22:$C$22)/($B$9:$C$9*$B$22:$C$22)*(AB9:AC9*AB22:AC22)/($B$9:$C$9*AB22:AC22))</f>
        <v>0.98052944197490843</v>
      </c>
      <c r="AC66" s="181"/>
      <c r="AD66" s="181">
        <f t="array" ref="AD66">SQRT((AD9:AE9*$B$22:$C$22)/($B$9:$C$9*$B$22:$C$22)*(AD9:AE9*AD22:AE22)/($B$9:$C$9*AD22:AE22))</f>
        <v>0.98106531010429898</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0.99820896787127089</v>
      </c>
      <c r="E68" s="181"/>
      <c r="F68" s="181">
        <f>F66/F67</f>
        <v>0.99649196114674043</v>
      </c>
      <c r="G68" s="181"/>
      <c r="H68" s="181">
        <f>H66/H67</f>
        <v>0.99482889507394334</v>
      </c>
      <c r="I68" s="181"/>
      <c r="J68" s="181">
        <f>J66/J67</f>
        <v>0.99320026213597756</v>
      </c>
      <c r="K68" s="181"/>
      <c r="L68" s="181">
        <f>L66/L67</f>
        <v>0.99158814898909531</v>
      </c>
      <c r="M68" s="181"/>
      <c r="N68" s="181">
        <f>N66/N67</f>
        <v>0.98997779735773894</v>
      </c>
      <c r="O68" s="181"/>
      <c r="P68" s="181">
        <f>P66/P67</f>
        <v>0.98836002657252942</v>
      </c>
      <c r="Q68" s="181"/>
      <c r="R68" s="181">
        <f>R66/R67</f>
        <v>0.98673513748945885</v>
      </c>
      <c r="S68" s="181"/>
      <c r="T68" s="181">
        <f>T66/T67</f>
        <v>0.98511941167100858</v>
      </c>
      <c r="U68" s="181"/>
      <c r="V68" s="181">
        <f>V66/V67</f>
        <v>0.98355630240210512</v>
      </c>
      <c r="W68" s="181"/>
      <c r="X68" s="181">
        <f>X66/X67</f>
        <v>0.98213606671966169</v>
      </c>
      <c r="Y68" s="181"/>
      <c r="Z68" s="181">
        <f>Z66/Z67</f>
        <v>0.9810288113235559</v>
      </c>
      <c r="AA68" s="181"/>
      <c r="AB68" s="181">
        <f>AB66/AB67</f>
        <v>0.98052944197490843</v>
      </c>
      <c r="AC68" s="181"/>
      <c r="AD68" s="181">
        <f>AD66/AD67</f>
        <v>0.98106531010429898</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1.0151236795663272</v>
      </c>
      <c r="E69" s="181"/>
      <c r="F69" s="181">
        <f>F32/F65/($B$32)</f>
        <v>1.0305448653282783</v>
      </c>
      <c r="G69" s="181"/>
      <c r="H69" s="181">
        <f>H32/H65/($B$32)</f>
        <v>1.0462906575146329</v>
      </c>
      <c r="I69" s="181"/>
      <c r="J69" s="181">
        <f>J32/J65/($B$32)</f>
        <v>1.0623945607835636</v>
      </c>
      <c r="K69" s="181"/>
      <c r="L69" s="181">
        <f>L32/L65/($B$32)</f>
        <v>1.0789022878371384</v>
      </c>
      <c r="M69" s="181"/>
      <c r="N69" s="181">
        <f>N32/N65/($B$32)</f>
        <v>1.0958812709160231</v>
      </c>
      <c r="O69" s="181"/>
      <c r="P69" s="181">
        <f>P32/P65/($B$32)</f>
        <v>1.1134365793966108</v>
      </c>
      <c r="Q69" s="181"/>
      <c r="R69" s="181">
        <f>R32/R65/($B$32)</f>
        <v>1.1317377828503703</v>
      </c>
      <c r="S69" s="181"/>
      <c r="T69" s="181">
        <f>T32/T65/($B$32)</f>
        <v>1.1510657148845069</v>
      </c>
      <c r="U69" s="181"/>
      <c r="V69" s="181">
        <f>V32/V65/($B$32)</f>
        <v>1.1718957324852737</v>
      </c>
      <c r="W69" s="181"/>
      <c r="X69" s="181">
        <f>X32/X65/($B$32)</f>
        <v>1.195048212797359</v>
      </c>
      <c r="Y69" s="181"/>
      <c r="Z69" s="181">
        <f>Z32/Z65/($B$32)</f>
        <v>1.2219558805715021</v>
      </c>
      <c r="AA69" s="181"/>
      <c r="AB69" s="181">
        <f>AB32/AB65/($B$32)</f>
        <v>1.2550806355456787</v>
      </c>
      <c r="AC69" s="181"/>
      <c r="AD69" s="181">
        <f>AD32/AD65/($B$32)</f>
        <v>1.2982616819980521</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1.0142049587146924</v>
      </c>
      <c r="E70" s="129"/>
      <c r="F70" s="129">
        <f>F18/$B$18</f>
        <v>1.0285912976453397</v>
      </c>
      <c r="G70" s="129"/>
      <c r="H70" s="129">
        <f>H18/$B$18</f>
        <v>1.0431887960711008</v>
      </c>
      <c r="I70" s="129"/>
      <c r="J70" s="129">
        <f>J18/$B$18</f>
        <v>1.05803236374669</v>
      </c>
      <c r="K70" s="129"/>
      <c r="L70" s="129">
        <f>L18/$B$18</f>
        <v>1.0731656181705114</v>
      </c>
      <c r="M70" s="129"/>
      <c r="N70" s="129">
        <f>N18/$B$18</f>
        <v>1.0886465838654764</v>
      </c>
      <c r="O70" s="129"/>
      <c r="P70" s="129">
        <f>P18/$B$18</f>
        <v>1.1045573204144503</v>
      </c>
      <c r="Q70" s="129"/>
      <c r="R70" s="129">
        <f>R18/$B$18</f>
        <v>1.1210199494327882</v>
      </c>
      <c r="S70" s="129"/>
      <c r="T70" s="129">
        <f>T18/$B$18</f>
        <v>1.1382243371437486</v>
      </c>
      <c r="U70" s="129"/>
      <c r="V70" s="129">
        <f>V18/$B$18</f>
        <v>1.1564766263143982</v>
      </c>
      <c r="W70" s="129"/>
      <c r="X70" s="129">
        <f>X18/$B$18</f>
        <v>1.1762846473035371</v>
      </c>
      <c r="Y70" s="129"/>
      <c r="Z70" s="129">
        <f>Z18/$B$18</f>
        <v>1.1985033380481578</v>
      </c>
      <c r="AA70" s="129"/>
      <c r="AB70" s="129">
        <f>AB18/$B$18</f>
        <v>1.22453951956967</v>
      </c>
      <c r="AC70" s="129"/>
      <c r="AD70" s="129">
        <f>AD18/$B$18</f>
        <v>1.2564368986729699</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0.91568852015738511</v>
      </c>
      <c r="E71" s="129"/>
      <c r="F71" s="129">
        <f>G18/$C$18</f>
        <v>0.83290148978357237</v>
      </c>
      <c r="G71" s="129"/>
      <c r="H71" s="129">
        <f>I18/$C$18</f>
        <v>0.75149396336235841</v>
      </c>
      <c r="I71" s="129"/>
      <c r="J71" s="129">
        <f>K18/$C$18</f>
        <v>0.67135323520784795</v>
      </c>
      <c r="K71" s="129"/>
      <c r="L71" s="129">
        <f>M18/$C$18</f>
        <v>0.59242440563377186</v>
      </c>
      <c r="M71" s="129"/>
      <c r="N71" s="129">
        <f>O18/$C$18</f>
        <v>0.51474119386105521</v>
      </c>
      <c r="O71" s="129"/>
      <c r="P71" s="129">
        <f>Q18/$C$18</f>
        <v>0.43846916818381365</v>
      </c>
      <c r="Q71" s="129"/>
      <c r="R71" s="129">
        <f>S18/$C$18</f>
        <v>0.36396361954695916</v>
      </c>
      <c r="S71" s="129"/>
      <c r="T71" s="129">
        <f>U18/$C$18</f>
        <v>0.29185174078575804</v>
      </c>
      <c r="U71" s="129"/>
      <c r="V71" s="129">
        <f>W18/$C$18</f>
        <v>0.2231506710299298</v>
      </c>
      <c r="W71" s="129"/>
      <c r="X71" s="129">
        <f>Y18/$C$18</f>
        <v>0.15943202100449466</v>
      </c>
      <c r="Y71" s="129"/>
      <c r="Z71" s="129">
        <f>AA18/$C$18</f>
        <v>0.10301957243414256</v>
      </c>
      <c r="AA71" s="129"/>
      <c r="AB71" s="129">
        <f>AC18/$C$18</f>
        <v>5.7064667199266957E-2</v>
      </c>
      <c r="AC71" s="129"/>
      <c r="AD71" s="129">
        <f>AE18/$C$18</f>
        <v>2.4899174999203504E-2</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1.0634339034042817</v>
      </c>
      <c r="E72" s="129"/>
      <c r="F72" s="129">
        <f>G19/$C$19</f>
        <v>1.134605026407054</v>
      </c>
      <c r="G72" s="129"/>
      <c r="H72" s="129">
        <f>I19/$C$19</f>
        <v>1.2143235722694332</v>
      </c>
      <c r="I72" s="129"/>
      <c r="J72" s="129">
        <f>K19/$C$19</f>
        <v>1.3033884237311035</v>
      </c>
      <c r="K72" s="129"/>
      <c r="L72" s="129">
        <f>M19/$C$19</f>
        <v>1.4025189280187547</v>
      </c>
      <c r="M72" s="129"/>
      <c r="N72" s="129">
        <f>O19/$C$19</f>
        <v>1.5122380446480486</v>
      </c>
      <c r="O72" s="129"/>
      <c r="P72" s="129">
        <f>Q19/$C$19</f>
        <v>1.6326747825527006</v>
      </c>
      <c r="Q72" s="129"/>
      <c r="R72" s="129">
        <f>S19/$C$19</f>
        <v>1.7632248154793226</v>
      </c>
      <c r="S72" s="129"/>
      <c r="T72" s="129">
        <f>U19/$C$19</f>
        <v>1.9019548541177955</v>
      </c>
      <c r="U72" s="129"/>
      <c r="V72" s="129">
        <f>W19/$C$19</f>
        <v>2.0445298486296686</v>
      </c>
      <c r="W72" s="129"/>
      <c r="X72" s="129">
        <f>Y19/$C$19</f>
        <v>2.1822553215249942</v>
      </c>
      <c r="Y72" s="129"/>
      <c r="Z72" s="129">
        <f>AA19/$C$19</f>
        <v>2.2985818535043832</v>
      </c>
      <c r="AA72" s="129"/>
      <c r="AB72" s="129">
        <f>AC19/$C$19</f>
        <v>2.3637525289426025</v>
      </c>
      <c r="AC72" s="129"/>
      <c r="AD72" s="129">
        <f>AE19/$C$19</f>
        <v>2.3312768380269979</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0.47641153352875115</v>
      </c>
      <c r="D73" s="183">
        <f t="array" ref="D73">SUM(D9:E9*D22:E22)/D32</f>
        <v>0.47641153302368794</v>
      </c>
      <c r="E73" s="129"/>
      <c r="F73" s="183">
        <f t="array" ref="F73">SUM(F9:G9*F22:G22)/F32</f>
        <v>0.47641153294409022</v>
      </c>
      <c r="G73" s="129"/>
      <c r="H73" s="183">
        <f t="array" ref="H73">SUM(H9:I9*H22:I22)/H32</f>
        <v>0.47641153351348109</v>
      </c>
      <c r="I73" s="129"/>
      <c r="J73" s="183">
        <f t="array" ref="J73">SUM(J9:K9*J22:K22)/J32</f>
        <v>0.47641153454238788</v>
      </c>
      <c r="K73" s="129"/>
      <c r="L73" s="183">
        <f t="array" ref="L73">SUM(L9:M9*L22:M22)/L32</f>
        <v>0.47641153346461806</v>
      </c>
      <c r="M73" s="129"/>
      <c r="N73" s="183">
        <f t="array" ref="N73">SUM(N9:O9*N22:O22)/N32</f>
        <v>0.47641153378446566</v>
      </c>
      <c r="O73" s="129"/>
      <c r="P73" s="183">
        <f t="array" ref="P73">SUM(P9:Q9*P22:Q22)/P32</f>
        <v>0.47641153371096273</v>
      </c>
      <c r="Q73" s="129"/>
      <c r="R73" s="183">
        <f t="array" ref="R73">SUM(R9:S9*R22:S22)/R32</f>
        <v>0.4764115336575242</v>
      </c>
      <c r="S73" s="129"/>
      <c r="T73" s="183">
        <f t="array" ref="T73">SUM(T9:U9*T22:U22)/T32</f>
        <v>0.47641153863122127</v>
      </c>
      <c r="U73" s="129"/>
      <c r="V73" s="183">
        <f t="array" ref="V73">SUM(V9:W9*V22:W22)/V32</f>
        <v>0.47641153353975318</v>
      </c>
      <c r="W73" s="129"/>
      <c r="X73" s="183">
        <f t="array" ref="X73">SUM(X9:Y9*X22:Y22)/X32</f>
        <v>0.4764115334689531</v>
      </c>
      <c r="Y73" s="129"/>
      <c r="Z73" s="183">
        <f t="array" ref="Z73">SUM(Z9:AA9*Z22:AA22)/Z32</f>
        <v>0.47641153352554272</v>
      </c>
      <c r="AA73" s="129"/>
      <c r="AB73" s="183">
        <f t="array" ref="AB73">SUM(AB9:AC9*AB22:AC22)/AB32</f>
        <v>0.47641153346417198</v>
      </c>
      <c r="AC73" s="129"/>
      <c r="AD73" s="183">
        <f t="array" ref="AD73">SUM(AD9:AE9*AD22:AE22)/AD32</f>
        <v>0.47641153364859956</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0.22038438807709348</v>
      </c>
      <c r="E75" s="129"/>
      <c r="F75" s="183">
        <f t="array" ref="F75">SUM(F11:G11*F24:G24)/F32</f>
        <v>0.22038438804555732</v>
      </c>
      <c r="G75" s="129"/>
      <c r="H75" s="183">
        <f t="array" ref="H75">SUM(H11:I11*H24:I24)/H32</f>
        <v>0.22038438832899726</v>
      </c>
      <c r="I75" s="129"/>
      <c r="J75" s="183">
        <f t="array" ref="J75">SUM(J11:K11*J24:K24)/J32</f>
        <v>0.22038438833995691</v>
      </c>
      <c r="K75" s="129"/>
      <c r="L75" s="183">
        <f t="array" ref="L75">SUM(L11:M11*L24:M24)/L32</f>
        <v>0.2203843883271267</v>
      </c>
      <c r="M75" s="129"/>
      <c r="N75" s="183">
        <f t="array" ref="N75">SUM(N11:O11*N24:O24)/N32</f>
        <v>0.22038438832066076</v>
      </c>
      <c r="O75" s="129"/>
      <c r="P75" s="183">
        <f t="array" ref="P75">SUM(P11:Q11*P24:Q24)/P32</f>
        <v>0.22038438832412277</v>
      </c>
      <c r="Q75" s="129"/>
      <c r="R75" s="183">
        <f t="array" ref="R75">SUM(R11:S11*R24:S24)/R32</f>
        <v>0.22038438832655924</v>
      </c>
      <c r="S75" s="129"/>
      <c r="T75" s="183">
        <f t="array" ref="T75">SUM(T11:U11*T24:U24)/T32</f>
        <v>0.22038438835052887</v>
      </c>
      <c r="U75" s="129"/>
      <c r="V75" s="183">
        <f t="array" ref="V75">SUM(V11:W11*V24:W24)/V32</f>
        <v>0.22038438833003626</v>
      </c>
      <c r="W75" s="129"/>
      <c r="X75" s="183">
        <f t="array" ref="X75">SUM(X11:Y11*X24:Y24)/X32</f>
        <v>0.22038438833126944</v>
      </c>
      <c r="Y75" s="129"/>
      <c r="Z75" s="183">
        <f t="array" ref="Z75">SUM(Z11:AA11*Z24:AA24)/Z32</f>
        <v>0.22038438833050358</v>
      </c>
      <c r="AA75" s="129"/>
      <c r="AB75" s="183">
        <f t="array" ref="AB75">SUM(AB11:AC11*AB24:AC24)/AB32</f>
        <v>0.22038438833199916</v>
      </c>
      <c r="AC75" s="129"/>
      <c r="AD75" s="183">
        <f t="array" ref="AD75">SUM(AD11:AE11*AD24:AE24)/AD32</f>
        <v>0.22038438833050955</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0.22301874374724862</v>
      </c>
      <c r="D76" s="183">
        <f t="array" ref="D76">SUM(D12:E12*D25:E25)/D32</f>
        <v>0.22338377700309484</v>
      </c>
      <c r="E76" s="129"/>
      <c r="F76" s="183">
        <f t="array" ref="F76">SUM(F12:G12*F25:G25)/F32</f>
        <v>0.22385947688478902</v>
      </c>
      <c r="G76" s="129"/>
      <c r="H76" s="183">
        <f t="array" ref="H76">SUM(H12:I12*H25:I25)/H32</f>
        <v>0.22445103623734894</v>
      </c>
      <c r="I76" s="129"/>
      <c r="J76" s="183">
        <f t="array" ref="J76">SUM(J12:K12*J25:K25)/J32</f>
        <v>0.2251625523014279</v>
      </c>
      <c r="K76" s="129"/>
      <c r="L76" s="183">
        <f t="array" ref="L76">SUM(L12:M12*L25:M25)/L32</f>
        <v>0.22599573724066763</v>
      </c>
      <c r="M76" s="129"/>
      <c r="N76" s="183">
        <f t="array" ref="N76">SUM(N12:O12*N25:O25)/N32</f>
        <v>0.22694774666136291</v>
      </c>
      <c r="O76" s="129"/>
      <c r="P76" s="183">
        <f t="array" ref="P76">SUM(P12:Q12*P25:Q25)/P32</f>
        <v>0.22800759653368532</v>
      </c>
      <c r="Q76" s="129"/>
      <c r="R76" s="183">
        <f t="array" ref="R76">SUM(R12:S12*R25:S25)/R32</f>
        <v>0.22915005702897637</v>
      </c>
      <c r="S76" s="129"/>
      <c r="T76" s="183">
        <f t="array" ref="T76">SUM(T12:U12*T25:U25)/T32</f>
        <v>0.23032509743508872</v>
      </c>
      <c r="U76" s="129"/>
      <c r="V76" s="183">
        <f t="array" ref="V76">SUM(V12:W12*V25:W25)/V32</f>
        <v>0.23143928795244625</v>
      </c>
      <c r="W76" s="129"/>
      <c r="X76" s="183">
        <f t="array" ref="X76">SUM(X12:Y12*X25:Y25)/X32</f>
        <v>0.23232283158959316</v>
      </c>
      <c r="Y76" s="129"/>
      <c r="Z76" s="183">
        <f t="array" ref="Z76">SUM(Z12:AA12*Z25:AA25)/Z32</f>
        <v>0.23267400743194525</v>
      </c>
      <c r="AA76" s="129"/>
      <c r="AB76" s="183">
        <f t="array" ref="AB76">SUM(AB12:AC12*AB25:AC25)/AB32</f>
        <v>0.23198382304356505</v>
      </c>
      <c r="AC76" s="129"/>
      <c r="AD76" s="183">
        <f t="array" ref="AD76">SUM(AD12:AE12*AD25:AE25)/AD32</f>
        <v>0.22952043098040828</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0.14586087017236518</v>
      </c>
      <c r="D77" s="183">
        <f t="array" ref="D77">SUM(D4:E4*D19:E19)/D32</f>
        <v>0.14622590266830093</v>
      </c>
      <c r="E77" s="129"/>
      <c r="F77" s="183">
        <f t="array" ref="F77">SUM(F4:G4*F19:G19)/F32</f>
        <v>0.14670160243886132</v>
      </c>
      <c r="G77" s="129"/>
      <c r="H77" s="183">
        <f t="array" ref="H77">SUM(H4:I4*H19:I19)/H32</f>
        <v>0.14729316264425188</v>
      </c>
      <c r="I77" s="129"/>
      <c r="J77" s="183">
        <f t="array" ref="J77">SUM(J4:K4*J19:K19)/J32</f>
        <v>0.14800467974819737</v>
      </c>
      <c r="K77" s="129"/>
      <c r="L77" s="183">
        <f t="array" ref="L77">SUM(L4:M4*L19:M19)/L32</f>
        <v>0.14883786359683718</v>
      </c>
      <c r="M77" s="129"/>
      <c r="N77" s="183">
        <f t="array" ref="N77">SUM(N4:O4*N19:O19)/N32</f>
        <v>0.1497898733309142</v>
      </c>
      <c r="O77" s="129"/>
      <c r="P77" s="183">
        <f t="array" ref="P77">SUM(P4:Q4*P19:Q19)/P32</f>
        <v>0.15084972313319564</v>
      </c>
      <c r="Q77" s="129"/>
      <c r="R77" s="183">
        <f t="array" ref="R77">SUM(R4:S4*R19:S19)/R32</f>
        <v>0.15199218357748451</v>
      </c>
      <c r="S77" s="129"/>
      <c r="T77" s="183">
        <f t="array" ref="T77">SUM(T4:U4*T19:U19)/T32</f>
        <v>0.15316722898126348</v>
      </c>
      <c r="U77" s="129"/>
      <c r="V77" s="183">
        <f t="array" ref="V77">SUM(V4:W4*V19:W19)/V32</f>
        <v>0.15428141438666051</v>
      </c>
      <c r="W77" s="129"/>
      <c r="X77" s="183">
        <f t="array" ref="X77">SUM(X4:Y4*X19:Y19)/X32</f>
        <v>0.15516495795424057</v>
      </c>
      <c r="Y77" s="129"/>
      <c r="Z77" s="183">
        <f t="array" ref="Z77">SUM(Z4:AA4*Z19:AA19)/Z32</f>
        <v>0.15551613385241636</v>
      </c>
      <c r="AA77" s="129"/>
      <c r="AB77" s="183">
        <f t="array" ref="AB77">SUM(AB4:AC4*AB19:AC19)/AB32</f>
        <v>0.15482594940416075</v>
      </c>
      <c r="AC77" s="129"/>
      <c r="AD77" s="183">
        <f t="array" ref="AD77">SUM(AD4:AE4*AD19:AE19)/AD32</f>
        <v>0.15236255752394204</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0.33665264297890268</v>
      </c>
      <c r="E78" s="129"/>
      <c r="F78" s="183">
        <f t="array" ref="F78">SUM(F13:G13*F26:G26)/F32</f>
        <v>0.32597613794356489</v>
      </c>
      <c r="G78" s="129"/>
      <c r="H78" s="183">
        <f t="array" ref="H78">SUM(H13:I13*H26:I26)/H32</f>
        <v>0.31480436846591114</v>
      </c>
      <c r="I78" s="129"/>
      <c r="J78" s="183">
        <f t="array" ref="J78">SUM(J13:K13*J26:K26)/J32</f>
        <v>0.3030696505044434</v>
      </c>
      <c r="K78" s="129"/>
      <c r="L78" s="183">
        <f t="array" ref="L78">SUM(L13:M13*L26:M26)/L32</f>
        <v>0.29068262301106385</v>
      </c>
      <c r="M78" s="129"/>
      <c r="N78" s="183">
        <f t="array" ref="N78">SUM(N13:O13*N26:O26)/N32</f>
        <v>0.27752028232288656</v>
      </c>
      <c r="O78" s="129"/>
      <c r="P78" s="183">
        <f t="array" ref="P78">SUM(P13:Q13*P26:Q26)/P32</f>
        <v>0.26340657210793472</v>
      </c>
      <c r="Q78" s="129"/>
      <c r="R78" s="183">
        <f t="array" ref="R78">SUM(R13:S13*R26:S26)/R32</f>
        <v>0.2480803502015542</v>
      </c>
      <c r="S78" s="129"/>
      <c r="T78" s="183">
        <f t="array" ref="T78">SUM(T13:U13*T26:U26)/T32</f>
        <v>0.23114040726864446</v>
      </c>
      <c r="U78" s="129"/>
      <c r="V78" s="183">
        <f t="array" ref="V78">SUM(V13:W13*V26:W26)/V32</f>
        <v>0.21194781760771339</v>
      </c>
      <c r="W78" s="129"/>
      <c r="X78" s="183">
        <f t="array" ref="X78">SUM(X13:Y13*X26:Y26)/X32</f>
        <v>0.18944722324187405</v>
      </c>
      <c r="Y78" s="129"/>
      <c r="Z78" s="183">
        <f t="array" ref="Z78">SUM(Z13:AA13*Z26:AA26)/Z32</f>
        <v>0.16183568164788598</v>
      </c>
      <c r="AA78" s="129"/>
      <c r="AB78" s="183">
        <f t="array" ref="AB78">SUM(AB13:AC13*AB26:AC26)/AB32</f>
        <v>0.12597908305180999</v>
      </c>
      <c r="AC78" s="129"/>
      <c r="AD78" s="183">
        <f t="array" ref="AD78">SUM(AD13:AE13*AD26:AE26)/AD32</f>
        <v>7.6582883737676063E-2</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0.46484462780503366</v>
      </c>
      <c r="F79" s="183">
        <f t="array" ref="F79">SUM(F15:G15*F27:G27)/F32</f>
        <v>0.47552112983256045</v>
      </c>
      <c r="H79" s="183">
        <f t="array" ref="H79">SUM(H15:I15*H27:I27)/H32</f>
        <v>0.48669291332641501</v>
      </c>
      <c r="J79" s="183">
        <f t="array" ref="J79">SUM(J15:K15*J27:K27)/J32</f>
        <v>0.49842762931454826</v>
      </c>
      <c r="L79" s="183">
        <f t="array" ref="L79">SUM(L15:M15*L27:M27)/L32</f>
        <v>0.51081465948738436</v>
      </c>
      <c r="N79" s="183">
        <f t="array" ref="N79">SUM(N15:O15*N27:O27)/N32</f>
        <v>0.52397699828757449</v>
      </c>
      <c r="P79" s="183">
        <f t="array" ref="P79">SUM(P15:Q15*P27:Q27)/P32</f>
        <v>0.53809070857571539</v>
      </c>
      <c r="R79" s="183">
        <f t="array" ref="R79">SUM(R15:S15*R27:S27)/R32</f>
        <v>0.55341693054301644</v>
      </c>
      <c r="T79" s="183">
        <f t="array" ref="T79">SUM(T15:U15*T27:U27)/T32</f>
        <v>0.57035686986063205</v>
      </c>
      <c r="V79" s="183">
        <f t="array" ref="V79">SUM(V15:W15*V27:W27)/V32</f>
        <v>0.58954946305715239</v>
      </c>
      <c r="X79" s="183">
        <f t="array" ref="X79">SUM(X15:Y15*X27:Y27)/X32</f>
        <v>0.61205005801685297</v>
      </c>
      <c r="Z79" s="183">
        <f t="array" ref="Z79">SUM(Z15:AA15*Z27:AA27)/Z32</f>
        <v>0.63966159894741326</v>
      </c>
      <c r="AB79" s="183">
        <f t="array" ref="AB79">SUM(AB15:AC15*AB27:AC27)/AB32</f>
        <v>0.67551819774457178</v>
      </c>
      <c r="AD79" s="183">
        <f t="array" ref="AD79">SUM(AD15:AE15*AD27:AE27)/AD32</f>
        <v>0.72491439711950545</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0.19850272062402055</v>
      </c>
      <c r="F80" s="195">
        <f>F55</f>
        <v>0.19850272142428574</v>
      </c>
      <c r="H80" s="195">
        <f>H55</f>
        <v>0.19850271870910155</v>
      </c>
      <c r="J80" s="195">
        <f>J55</f>
        <v>0.19850272139079292</v>
      </c>
      <c r="L80" s="195">
        <f>L55</f>
        <v>0.19850271878989198</v>
      </c>
      <c r="N80" s="195">
        <f>N55</f>
        <v>0.19850272032012284</v>
      </c>
      <c r="P80" s="195">
        <f>P55</f>
        <v>0.19850272014094023</v>
      </c>
      <c r="R80" s="195">
        <f>R55</f>
        <v>0.19850271993912202</v>
      </c>
      <c r="T80" s="195">
        <f>T55</f>
        <v>0.19850273148806646</v>
      </c>
      <c r="V80" s="195">
        <f>V55</f>
        <v>0.19850271902721411</v>
      </c>
      <c r="X80" s="195">
        <f>X55</f>
        <v>0.19850271929584271</v>
      </c>
      <c r="Z80" s="195">
        <f>Z55</f>
        <v>0.19850271865558555</v>
      </c>
      <c r="AB80" s="195">
        <f>AB55</f>
        <v>0.19850271807163061</v>
      </c>
      <c r="AD80" s="195">
        <f>AD55</f>
        <v>0.19850272069289446</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-2.75434839404043E-2</v>
      </c>
      <c r="F81" s="195">
        <f>F51/F$32</f>
        <v>-2.7543483140139099E-2</v>
      </c>
      <c r="H81" s="195">
        <f>H51/H$32</f>
        <v>-2.7543485855323305E-2</v>
      </c>
      <c r="J81" s="195">
        <f>J51/J$32</f>
        <v>-2.7543483173631932E-2</v>
      </c>
      <c r="L81" s="195">
        <f>L51/L$32</f>
        <v>-2.7543485774532854E-2</v>
      </c>
      <c r="N81" s="195">
        <f>N51/N$32</f>
        <v>-2.7543484244301995E-2</v>
      </c>
      <c r="P81" s="195">
        <f>P51/P$32</f>
        <v>-2.7543484423484615E-2</v>
      </c>
      <c r="R81" s="195">
        <f>R51/R$32</f>
        <v>-2.7543484625302813E-2</v>
      </c>
      <c r="T81" s="195">
        <f>T51/T$32</f>
        <v>-2.7543473076358366E-2</v>
      </c>
      <c r="V81" s="195">
        <f>V51/V$32</f>
        <v>-2.7543485537210737E-2</v>
      </c>
      <c r="X81" s="195">
        <f>X51/X$32</f>
        <v>-2.7543485268582146E-2</v>
      </c>
      <c r="Z81" s="195">
        <f>Z51/Z$32</f>
        <v>-2.7543485908839305E-2</v>
      </c>
      <c r="AB81" s="195">
        <f>AB51/AB$32</f>
        <v>-2.7543486492794238E-2</v>
      </c>
      <c r="AD81" s="195">
        <f>AD51/AD$32</f>
        <v>-2.7543483871530376E-2</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0.13654566105633179</v>
      </c>
      <c r="F82" s="195">
        <f>F52/F$32</f>
        <v>0.1322152912575929</v>
      </c>
      <c r="H82" s="195">
        <f>H52/H$32</f>
        <v>0.12768404315867105</v>
      </c>
      <c r="J82" s="195">
        <f>J52/J$32</f>
        <v>0.12292446424320523</v>
      </c>
      <c r="L82" s="195">
        <f>L52/L$32</f>
        <v>0.11790030984287141</v>
      </c>
      <c r="N82" s="195">
        <f>N52/N$32</f>
        <v>0.11256168990983718</v>
      </c>
      <c r="P82" s="195">
        <f>P52/P$32</f>
        <v>0.10683719633626715</v>
      </c>
      <c r="R82" s="195">
        <f>R52/R$32</f>
        <v>0.10062091036510989</v>
      </c>
      <c r="T82" s="195">
        <f>T52/T$32</f>
        <v>9.3750102265808419E-2</v>
      </c>
      <c r="V82" s="195">
        <f>V52/V$32</f>
        <v>8.5965625009234548E-2</v>
      </c>
      <c r="X82" s="195">
        <f>X52/X$32</f>
        <v>7.6839427440554095E-2</v>
      </c>
      <c r="Z82" s="195">
        <f>Z52/Z$32</f>
        <v>6.5640239558426641E-2</v>
      </c>
      <c r="AB82" s="195">
        <f>AB52/AB$32</f>
        <v>5.1096872498511546E-2</v>
      </c>
      <c r="AD82" s="195">
        <f>AD52/AD$32</f>
        <v>3.1061869566895103E-2</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0.18854008223574389</v>
      </c>
      <c r="F83" s="195">
        <f>F53/F$32</f>
        <v>0.19287045081452039</v>
      </c>
      <c r="H83" s="195">
        <f>H53/H$32</f>
        <v>0.19740170459838624</v>
      </c>
      <c r="J83" s="195">
        <f>J53/J$32</f>
        <v>0.20216128271347139</v>
      </c>
      <c r="L83" s="195">
        <f>L53/L$32</f>
        <v>0.20718543820058763</v>
      </c>
      <c r="N83" s="195">
        <f>N53/N$32</f>
        <v>0.2125240573678579</v>
      </c>
      <c r="P83" s="195">
        <f>P53/P$32</f>
        <v>0.21824855097111331</v>
      </c>
      <c r="R83" s="195">
        <f>R53/R$32</f>
        <v>0.22446483696697977</v>
      </c>
      <c r="T83" s="195">
        <f>T53/T$32</f>
        <v>0.23133564359992498</v>
      </c>
      <c r="V83" s="195">
        <f>V53/V$32</f>
        <v>0.23912012229052701</v>
      </c>
      <c r="X83" s="195">
        <f>X53/X$32</f>
        <v>0.24824632010007641</v>
      </c>
      <c r="Z83" s="195">
        <f>Z53/Z$32</f>
        <v>0.25944550771311886</v>
      </c>
      <c r="AB83" s="195">
        <f>AB53/AB$32</f>
        <v>0.27398887485459261</v>
      </c>
      <c r="AD83" s="195">
        <f>AD53/AD$32</f>
        <v>0.29402387781086931</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15"/>
  <dimension ref="A1:XFD83"/>
  <sheetViews>
    <sheetView showGridLines="0" workbookViewId="0">
      <pane xSplit="1" ySplit="1" topLeftCell="G16"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c r="AB1" s="91"/>
      <c r="AD1" s="91"/>
      <c r="AF1" s="91"/>
      <c r="AH1" s="91"/>
      <c r="AJ1" s="91"/>
      <c r="AL1" s="91"/>
      <c r="AN1" s="91"/>
      <c r="AP1" s="91"/>
      <c r="AR1" s="91"/>
      <c r="AT1" s="91"/>
      <c r="AV1" s="91"/>
    </row>
    <row r="2" spans="1:49" x14ac:dyDescent="0.2">
      <c r="A2" s="190" t="s">
        <v>139</v>
      </c>
      <c r="B2" s="188">
        <v>5.7716594496607888E-3</v>
      </c>
      <c r="C2" s="189"/>
      <c r="D2" s="188">
        <v>3.4630189951654476E-2</v>
      </c>
      <c r="E2" s="189"/>
      <c r="F2" s="188">
        <v>6.4667668125236402E-2</v>
      </c>
      <c r="G2" s="189"/>
      <c r="H2" s="188">
        <v>9.5799188565970389E-2</v>
      </c>
      <c r="I2" s="189"/>
      <c r="J2" s="188">
        <v>0.12788976301752511</v>
      </c>
      <c r="K2" s="189"/>
      <c r="L2" s="188">
        <v>0.16074225760756358</v>
      </c>
      <c r="M2" s="189"/>
      <c r="N2" s="188">
        <v>0.19408179373269793</v>
      </c>
      <c r="O2" s="189"/>
      <c r="P2" s="188">
        <v>0.22753948961788656</v>
      </c>
      <c r="Q2" s="189"/>
      <c r="R2" s="188">
        <v>0.26063027496692032</v>
      </c>
      <c r="S2" s="189"/>
      <c r="T2" s="188">
        <v>0.29271419952939504</v>
      </c>
      <c r="U2" s="189"/>
      <c r="V2" s="188">
        <v>0.32290255334542295</v>
      </c>
      <c r="W2" s="189"/>
      <c r="X2" s="188">
        <v>0.34973463206622379</v>
      </c>
      <c r="Y2" s="189"/>
      <c r="Z2" s="188"/>
      <c r="AA2" s="189"/>
      <c r="AB2" s="188"/>
      <c r="AC2" s="189"/>
      <c r="AD2" s="188"/>
      <c r="AE2" s="189"/>
      <c r="AF2" s="188"/>
      <c r="AG2" s="189"/>
      <c r="AH2" s="188"/>
      <c r="AI2" s="189"/>
      <c r="AJ2" s="188"/>
      <c r="AK2" s="189"/>
      <c r="AL2" s="188"/>
      <c r="AM2" s="189"/>
      <c r="AN2" s="188"/>
      <c r="AO2" s="189"/>
      <c r="AP2" s="188"/>
      <c r="AQ2" s="189"/>
      <c r="AR2" s="188"/>
      <c r="AS2" s="189"/>
      <c r="AT2" s="188"/>
      <c r="AU2" s="189"/>
      <c r="AV2" s="188"/>
      <c r="AW2" s="189"/>
    </row>
    <row r="3" spans="1:49" x14ac:dyDescent="0.2">
      <c r="A3" t="s">
        <v>12</v>
      </c>
      <c r="B3" s="81">
        <v>1000</v>
      </c>
      <c r="C3" s="82">
        <v>1000</v>
      </c>
      <c r="D3" s="81">
        <v>999.36126812895623</v>
      </c>
      <c r="E3" s="82">
        <v>1012.451803383743</v>
      </c>
      <c r="F3" s="81">
        <v>998.75973723693835</v>
      </c>
      <c r="G3" s="82">
        <v>1025.1447195889743</v>
      </c>
      <c r="H3" s="81">
        <v>998.19605691967058</v>
      </c>
      <c r="I3" s="82">
        <v>1038.0026889366029</v>
      </c>
      <c r="J3" s="81">
        <v>997.67087061264556</v>
      </c>
      <c r="K3" s="82">
        <v>1050.9341518280041</v>
      </c>
      <c r="L3" s="81">
        <v>997.18447055758872</v>
      </c>
      <c r="M3" s="82">
        <v>1063.8374057423505</v>
      </c>
      <c r="N3" s="81">
        <v>996.73606892240355</v>
      </c>
      <c r="O3" s="82">
        <v>1076.617095933464</v>
      </c>
      <c r="P3" s="81">
        <v>996.32232115427337</v>
      </c>
      <c r="Q3" s="82">
        <v>1089.2210845711572</v>
      </c>
      <c r="R3" s="81">
        <v>995.9341233992443</v>
      </c>
      <c r="S3" s="82">
        <v>1101.7252594429162</v>
      </c>
      <c r="T3" s="81">
        <v>995.54920381311649</v>
      </c>
      <c r="U3" s="82">
        <v>1114.5348285906507</v>
      </c>
      <c r="V3" s="81">
        <v>995.11255235366207</v>
      </c>
      <c r="W3" s="82">
        <v>1128.92365021673</v>
      </c>
      <c r="X3" s="81">
        <v>994.47343294695168</v>
      </c>
      <c r="Y3" s="82">
        <v>1148.8047410451302</v>
      </c>
      <c r="Z3" s="81"/>
      <c r="AA3" s="82"/>
      <c r="AB3" s="81"/>
      <c r="AC3" s="82"/>
      <c r="AD3" s="81"/>
      <c r="AE3" s="82"/>
      <c r="AF3" s="81"/>
      <c r="AG3" s="82"/>
      <c r="AH3" s="81"/>
      <c r="AI3" s="82"/>
      <c r="AJ3" s="81"/>
      <c r="AK3" s="82"/>
      <c r="AL3" s="81"/>
      <c r="AM3" s="82"/>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c r="AA4" s="96"/>
      <c r="AB4" s="95"/>
      <c r="AC4" s="96"/>
      <c r="AD4" s="95"/>
      <c r="AE4" s="96"/>
      <c r="AF4" s="95"/>
      <c r="AG4" s="96"/>
      <c r="AH4" s="95"/>
      <c r="AI4" s="96"/>
      <c r="AJ4" s="95"/>
      <c r="AK4" s="96"/>
      <c r="AL4" s="95"/>
      <c r="AM4" s="96"/>
      <c r="AN4" s="95"/>
      <c r="AO4" s="96"/>
      <c r="AP4" s="95"/>
      <c r="AQ4" s="96"/>
      <c r="AR4" s="95"/>
      <c r="AS4" s="96"/>
      <c r="AT4" s="95"/>
      <c r="AU4" s="96"/>
      <c r="AV4" s="95"/>
      <c r="AW4" s="96"/>
    </row>
    <row r="5" spans="1:49" x14ac:dyDescent="0.2">
      <c r="A5" t="s">
        <v>115</v>
      </c>
      <c r="B5" s="39">
        <v>1000</v>
      </c>
      <c r="C5" s="40">
        <v>1000</v>
      </c>
      <c r="D5" s="39">
        <v>999.32963746108555</v>
      </c>
      <c r="E5" s="40">
        <v>1010.8574732818633</v>
      </c>
      <c r="F5" s="39">
        <v>998.69805154433175</v>
      </c>
      <c r="G5" s="40">
        <v>1021.7715525675812</v>
      </c>
      <c r="H5" s="39">
        <v>998.1059718258872</v>
      </c>
      <c r="I5" s="40">
        <v>1032.6729919856491</v>
      </c>
      <c r="J5" s="39">
        <v>997.55411967788166</v>
      </c>
      <c r="K5" s="40">
        <v>1043.4831849068239</v>
      </c>
      <c r="L5" s="39">
        <v>997.04284548855787</v>
      </c>
      <c r="M5" s="40">
        <v>1054.1192689170909</v>
      </c>
      <c r="N5" s="39">
        <v>996.57136116555773</v>
      </c>
      <c r="O5" s="40">
        <v>1064.5079784350125</v>
      </c>
      <c r="P5" s="39">
        <v>996.1361851153448</v>
      </c>
      <c r="Q5" s="40">
        <v>1074.6143399459856</v>
      </c>
      <c r="R5" s="39">
        <v>995.72776903398233</v>
      </c>
      <c r="S5" s="40">
        <v>1084.5058416146062</v>
      </c>
      <c r="T5" s="39">
        <v>995.3226932990417</v>
      </c>
      <c r="U5" s="40">
        <v>1094.5016729391255</v>
      </c>
      <c r="V5" s="39">
        <v>994.86304559575149</v>
      </c>
      <c r="W5" s="40">
        <v>1105.5665249528006</v>
      </c>
      <c r="X5" s="39">
        <v>994.19001481140049</v>
      </c>
      <c r="Y5" s="40">
        <v>1120.5749139365284</v>
      </c>
      <c r="Z5" s="39"/>
      <c r="AA5" s="40"/>
      <c r="AB5" s="39"/>
      <c r="AC5" s="40"/>
      <c r="AD5" s="39"/>
      <c r="AE5" s="40"/>
      <c r="AF5" s="39"/>
      <c r="AG5" s="40"/>
      <c r="AH5" s="39"/>
      <c r="AI5" s="40"/>
      <c r="AJ5" s="39"/>
      <c r="AK5" s="40"/>
      <c r="AL5" s="39"/>
      <c r="AM5" s="40"/>
      <c r="AN5" s="39"/>
      <c r="AO5" s="40"/>
      <c r="AP5" s="39"/>
      <c r="AQ5" s="40"/>
      <c r="AR5" s="39"/>
      <c r="AS5" s="40"/>
      <c r="AT5" s="39"/>
      <c r="AU5" s="40"/>
      <c r="AV5" s="39"/>
      <c r="AW5" s="40"/>
    </row>
    <row r="6" spans="1:49" x14ac:dyDescent="0.2">
      <c r="A6" t="s">
        <v>77</v>
      </c>
      <c r="B6" s="39">
        <v>1000.0000000000003</v>
      </c>
      <c r="C6" s="40">
        <v>1000.0000000000002</v>
      </c>
      <c r="D6" s="39">
        <v>999.27839848705298</v>
      </c>
      <c r="E6" s="40">
        <v>1013.4150421561857</v>
      </c>
      <c r="F6" s="39">
        <v>998.59860510548594</v>
      </c>
      <c r="G6" s="40">
        <v>1027.0394574810164</v>
      </c>
      <c r="H6" s="39">
        <v>997.96139293514261</v>
      </c>
      <c r="I6" s="40">
        <v>1040.7932820098281</v>
      </c>
      <c r="J6" s="39">
        <v>997.36752676707465</v>
      </c>
      <c r="K6" s="40">
        <v>1054.5810656036981</v>
      </c>
      <c r="L6" s="39">
        <v>996.81737259866031</v>
      </c>
      <c r="M6" s="40">
        <v>1068.2976138645454</v>
      </c>
      <c r="N6" s="39">
        <v>996.31007225677922</v>
      </c>
      <c r="O6" s="40">
        <v>1081.8453836532285</v>
      </c>
      <c r="P6" s="39">
        <v>995.84187078566276</v>
      </c>
      <c r="Q6" s="40">
        <v>1095.1731316481835</v>
      </c>
      <c r="R6" s="39">
        <v>995.40248843694962</v>
      </c>
      <c r="S6" s="40">
        <v>1108.3646130678608</v>
      </c>
      <c r="T6" s="39">
        <v>994.96672680840959</v>
      </c>
      <c r="U6" s="40">
        <v>1121.8488183965037</v>
      </c>
      <c r="V6" s="39">
        <v>994.47229188455003</v>
      </c>
      <c r="W6" s="40">
        <v>1136.962517082248</v>
      </c>
      <c r="X6" s="39">
        <v>993.7483872543919</v>
      </c>
      <c r="Y6" s="40">
        <v>1157.7927178302748</v>
      </c>
      <c r="Z6" s="39"/>
      <c r="AA6" s="40"/>
      <c r="AB6" s="39"/>
      <c r="AC6" s="40"/>
      <c r="AD6" s="39"/>
      <c r="AE6" s="40"/>
      <c r="AF6" s="39"/>
      <c r="AG6" s="40"/>
      <c r="AH6" s="39"/>
      <c r="AI6" s="40"/>
      <c r="AJ6" s="39"/>
      <c r="AK6" s="40"/>
      <c r="AL6" s="39"/>
      <c r="AM6" s="40"/>
      <c r="AN6" s="39"/>
      <c r="AO6" s="40"/>
      <c r="AP6" s="39"/>
      <c r="AQ6" s="40"/>
      <c r="AR6" s="39"/>
      <c r="AS6" s="40"/>
      <c r="AT6" s="39"/>
      <c r="AU6" s="40"/>
      <c r="AV6" s="39"/>
      <c r="AW6" s="40"/>
    </row>
    <row r="7" spans="1:49" x14ac:dyDescent="0.2">
      <c r="A7" t="s">
        <v>13</v>
      </c>
      <c r="B7" s="31">
        <v>1015.9116825427475</v>
      </c>
      <c r="C7" s="32">
        <v>1015.9116825427475</v>
      </c>
      <c r="D7" s="31">
        <v>1015.2306534079253</v>
      </c>
      <c r="E7" s="32">
        <v>1015.2306534079253</v>
      </c>
      <c r="F7" s="31">
        <v>1014.5890178965656</v>
      </c>
      <c r="G7" s="32">
        <v>1014.5890178965656</v>
      </c>
      <c r="H7" s="31">
        <v>1013.9875171936011</v>
      </c>
      <c r="I7" s="32">
        <v>1013.9875171936011</v>
      </c>
      <c r="J7" s="31">
        <v>1013.426884149406</v>
      </c>
      <c r="K7" s="32">
        <v>1013.426884149406</v>
      </c>
      <c r="L7" s="31">
        <v>1012.9074747274894</v>
      </c>
      <c r="M7" s="32">
        <v>1012.9074747274894</v>
      </c>
      <c r="N7" s="31">
        <v>1012.4284882956177</v>
      </c>
      <c r="O7" s="32">
        <v>1012.4284882956177</v>
      </c>
      <c r="P7" s="31">
        <v>1011.9863878622436</v>
      </c>
      <c r="Q7" s="32">
        <v>1011.9863878622436</v>
      </c>
      <c r="R7" s="31">
        <v>1011.5714731938492</v>
      </c>
      <c r="S7" s="32">
        <v>1011.5714731938492</v>
      </c>
      <c r="T7" s="31">
        <v>1011.1599520224084</v>
      </c>
      <c r="U7" s="32">
        <v>1011.1599520224084</v>
      </c>
      <c r="V7" s="31">
        <v>1010.6929905507819</v>
      </c>
      <c r="W7" s="32">
        <v>1010.6929905507819</v>
      </c>
      <c r="X7" s="31">
        <v>1010.0092507142489</v>
      </c>
      <c r="Y7" s="32">
        <v>1010.0092507142489</v>
      </c>
      <c r="Z7" s="31"/>
      <c r="AA7" s="32"/>
      <c r="AB7" s="31"/>
      <c r="AC7" s="32"/>
      <c r="AD7" s="31"/>
      <c r="AE7" s="32"/>
      <c r="AF7" s="31"/>
      <c r="AG7" s="32"/>
      <c r="AH7" s="31"/>
      <c r="AI7" s="32"/>
      <c r="AJ7" s="31"/>
      <c r="AK7" s="32"/>
      <c r="AL7" s="31"/>
      <c r="AM7" s="32"/>
      <c r="AN7" s="31"/>
      <c r="AO7" s="32"/>
      <c r="AP7" s="31"/>
      <c r="AQ7" s="32"/>
      <c r="AR7" s="31"/>
      <c r="AS7" s="32"/>
      <c r="AT7" s="31"/>
      <c r="AU7" s="32"/>
      <c r="AV7" s="31"/>
      <c r="AW7" s="32"/>
    </row>
    <row r="8" spans="1:49" x14ac:dyDescent="0.2">
      <c r="B8" s="33">
        <v>1005.7716594496609</v>
      </c>
      <c r="C8" s="34">
        <v>1005.7716594496609</v>
      </c>
      <c r="D8" s="33">
        <v>1045.8636595956639</v>
      </c>
      <c r="E8" s="34">
        <v>1045.8636595956639</v>
      </c>
      <c r="F8" s="33">
        <v>1087.8471362288292</v>
      </c>
      <c r="G8" s="34">
        <v>1087.8471362288292</v>
      </c>
      <c r="H8" s="33">
        <v>1131.6022266718671</v>
      </c>
      <c r="I8" s="34">
        <v>1131.6022266718671</v>
      </c>
      <c r="J8" s="33">
        <v>1176.93400213733</v>
      </c>
      <c r="K8" s="34">
        <v>1176.93400213733</v>
      </c>
      <c r="L8" s="33">
        <v>1223.5607799904587</v>
      </c>
      <c r="M8" s="34">
        <v>1223.5607799904587</v>
      </c>
      <c r="N8" s="33">
        <v>1271.1095963324478</v>
      </c>
      <c r="O8" s="34">
        <v>1271.1095963324478</v>
      </c>
      <c r="P8" s="33">
        <v>1319.1315383933572</v>
      </c>
      <c r="Q8" s="34">
        <v>1319.1315383933572</v>
      </c>
      <c r="R8" s="33">
        <v>1367.1608973178522</v>
      </c>
      <c r="S8" s="34">
        <v>1367.1608973178522</v>
      </c>
      <c r="T8" s="33">
        <v>1414.8778540170852</v>
      </c>
      <c r="U8" s="34">
        <v>1414.8778540170852</v>
      </c>
      <c r="V8" s="33">
        <v>1462.5567787532859</v>
      </c>
      <c r="W8" s="34">
        <v>1462.5567787532859</v>
      </c>
      <c r="X8" s="33">
        <v>1512.4787691647607</v>
      </c>
      <c r="Y8" s="34">
        <v>1512.4787691647607</v>
      </c>
      <c r="Z8" s="33"/>
      <c r="AA8" s="34"/>
      <c r="AB8" s="33"/>
      <c r="AC8" s="34"/>
      <c r="AD8" s="33"/>
      <c r="AE8" s="34"/>
      <c r="AF8" s="33"/>
      <c r="AG8" s="34"/>
      <c r="AH8" s="33"/>
      <c r="AI8" s="34"/>
      <c r="AJ8" s="33"/>
      <c r="AK8" s="34"/>
      <c r="AL8" s="33"/>
      <c r="AM8" s="34"/>
      <c r="AN8" s="33"/>
      <c r="AO8" s="34"/>
      <c r="AP8" s="33"/>
      <c r="AQ8" s="34"/>
      <c r="AR8" s="33"/>
      <c r="AS8" s="34"/>
      <c r="AT8" s="33"/>
      <c r="AU8" s="34"/>
      <c r="AV8" s="33"/>
      <c r="AW8" s="34"/>
    </row>
    <row r="9" spans="1:49" x14ac:dyDescent="0.2">
      <c r="A9" t="s">
        <v>14</v>
      </c>
      <c r="B9" s="39">
        <v>1015.9116825427475</v>
      </c>
      <c r="C9" s="40">
        <v>1005.7716594496609</v>
      </c>
      <c r="D9" s="39">
        <v>1015.2306534079253</v>
      </c>
      <c r="E9" s="40">
        <v>1045.8636595956639</v>
      </c>
      <c r="F9" s="39">
        <v>1014.5890178965656</v>
      </c>
      <c r="G9" s="40">
        <v>1087.8471362288292</v>
      </c>
      <c r="H9" s="39">
        <v>1013.9875171936011</v>
      </c>
      <c r="I9" s="40">
        <v>1131.6022266718671</v>
      </c>
      <c r="J9" s="39">
        <v>1013.426884149406</v>
      </c>
      <c r="K9" s="40">
        <v>1176.93400213733</v>
      </c>
      <c r="L9" s="39">
        <v>1012.9074747274894</v>
      </c>
      <c r="M9" s="40">
        <v>1223.5607799904587</v>
      </c>
      <c r="N9" s="39">
        <v>1012.4284882956177</v>
      </c>
      <c r="O9" s="40">
        <v>1271.1095963324478</v>
      </c>
      <c r="P9" s="39">
        <v>1011.9863878622436</v>
      </c>
      <c r="Q9" s="40">
        <v>1319.1315383933572</v>
      </c>
      <c r="R9" s="39">
        <v>1011.5714731938492</v>
      </c>
      <c r="S9" s="40">
        <v>1367.1608973178522</v>
      </c>
      <c r="T9" s="39">
        <v>1011.1599520224084</v>
      </c>
      <c r="U9" s="40">
        <v>1414.8778540170852</v>
      </c>
      <c r="V9" s="39">
        <v>1010.6929905507819</v>
      </c>
      <c r="W9" s="40">
        <v>1462.5567787532859</v>
      </c>
      <c r="X9" s="39">
        <v>1010.0092507142489</v>
      </c>
      <c r="Y9" s="40">
        <v>1512.4787691647607</v>
      </c>
      <c r="Z9" s="39"/>
      <c r="AA9" s="40"/>
      <c r="AB9" s="39"/>
      <c r="AC9" s="40"/>
      <c r="AD9" s="39"/>
      <c r="AE9" s="40"/>
      <c r="AF9" s="39"/>
      <c r="AG9" s="40"/>
      <c r="AH9" s="39"/>
      <c r="AI9" s="40"/>
      <c r="AJ9" s="39"/>
      <c r="AK9" s="40"/>
      <c r="AL9" s="39"/>
      <c r="AM9" s="40"/>
      <c r="AN9" s="39"/>
      <c r="AO9" s="40"/>
      <c r="AP9" s="39"/>
      <c r="AQ9" s="40"/>
      <c r="AR9" s="39"/>
      <c r="AS9" s="40"/>
      <c r="AT9" s="39"/>
      <c r="AU9" s="40"/>
      <c r="AV9" s="39"/>
      <c r="AW9" s="40"/>
    </row>
    <row r="10" spans="1:49" x14ac:dyDescent="0.2">
      <c r="A10" t="s">
        <v>15</v>
      </c>
      <c r="B10" s="39">
        <v>1015.9116825427475</v>
      </c>
      <c r="C10" s="40">
        <v>1005.7716594496609</v>
      </c>
      <c r="D10" s="39">
        <v>1015.2306534079253</v>
      </c>
      <c r="E10" s="40">
        <v>1045.8636595956639</v>
      </c>
      <c r="F10" s="39">
        <v>1014.5890178965656</v>
      </c>
      <c r="G10" s="40">
        <v>1087.8471362288292</v>
      </c>
      <c r="H10" s="39">
        <v>1013.9875171936011</v>
      </c>
      <c r="I10" s="40">
        <v>1131.6022266718671</v>
      </c>
      <c r="J10" s="39">
        <v>1013.426884149406</v>
      </c>
      <c r="K10" s="40">
        <v>1176.93400213733</v>
      </c>
      <c r="L10" s="39">
        <v>1012.9074747274894</v>
      </c>
      <c r="M10" s="40">
        <v>1223.5607799904587</v>
      </c>
      <c r="N10" s="39">
        <v>1012.4284882956177</v>
      </c>
      <c r="O10" s="40">
        <v>1271.1095963324478</v>
      </c>
      <c r="P10" s="39">
        <v>1011.9863878622436</v>
      </c>
      <c r="Q10" s="40">
        <v>1319.1315383933572</v>
      </c>
      <c r="R10" s="39">
        <v>1011.5714731938492</v>
      </c>
      <c r="S10" s="40">
        <v>1367.1608973178522</v>
      </c>
      <c r="T10" s="39">
        <v>1011.1599520224084</v>
      </c>
      <c r="U10" s="40">
        <v>1414.8778540170852</v>
      </c>
      <c r="V10" s="39">
        <v>1010.6929905507819</v>
      </c>
      <c r="W10" s="40">
        <v>1462.5567787532859</v>
      </c>
      <c r="X10" s="39">
        <v>1010.0092507142489</v>
      </c>
      <c r="Y10" s="40">
        <v>1512.4787691647607</v>
      </c>
      <c r="Z10" s="39"/>
      <c r="AA10" s="40"/>
      <c r="AB10" s="39"/>
      <c r="AC10" s="40"/>
      <c r="AD10" s="39"/>
      <c r="AE10" s="40"/>
      <c r="AF10" s="39"/>
      <c r="AG10" s="40"/>
      <c r="AH10" s="39"/>
      <c r="AI10" s="40"/>
      <c r="AJ10" s="39"/>
      <c r="AK10" s="40"/>
      <c r="AL10" s="39"/>
      <c r="AM10" s="40"/>
      <c r="AN10" s="39"/>
      <c r="AO10" s="40"/>
      <c r="AP10" s="39"/>
      <c r="AQ10" s="40"/>
      <c r="AR10" s="39"/>
      <c r="AS10" s="40"/>
      <c r="AT10" s="39"/>
      <c r="AU10" s="40"/>
      <c r="AV10" s="39"/>
      <c r="AW10" s="40"/>
    </row>
    <row r="11" spans="1:49" x14ac:dyDescent="0.2">
      <c r="A11" t="s">
        <v>29</v>
      </c>
      <c r="B11" s="39">
        <v>1015.9116825427475</v>
      </c>
      <c r="C11" s="40">
        <v>1005.7716594496609</v>
      </c>
      <c r="D11" s="39">
        <v>1015.2306534079253</v>
      </c>
      <c r="E11" s="40">
        <v>1045.8636595956639</v>
      </c>
      <c r="F11" s="39">
        <v>1014.5890178965656</v>
      </c>
      <c r="G11" s="40">
        <v>1087.8471362288292</v>
      </c>
      <c r="H11" s="39">
        <v>1013.9875171936011</v>
      </c>
      <c r="I11" s="40">
        <v>1131.6022266718671</v>
      </c>
      <c r="J11" s="39">
        <v>1013.426884149406</v>
      </c>
      <c r="K11" s="40">
        <v>1176.93400213733</v>
      </c>
      <c r="L11" s="39">
        <v>1012.9074747274894</v>
      </c>
      <c r="M11" s="40">
        <v>1223.5607799904587</v>
      </c>
      <c r="N11" s="39">
        <v>1012.4284882956177</v>
      </c>
      <c r="O11" s="40">
        <v>1271.1095963324478</v>
      </c>
      <c r="P11" s="39">
        <v>1011.9863878622436</v>
      </c>
      <c r="Q11" s="40">
        <v>1319.1315383933572</v>
      </c>
      <c r="R11" s="39">
        <v>1011.5714731938492</v>
      </c>
      <c r="S11" s="40">
        <v>1367.1608973178522</v>
      </c>
      <c r="T11" s="39">
        <v>1011.1599520224084</v>
      </c>
      <c r="U11" s="40">
        <v>1414.8778540170852</v>
      </c>
      <c r="V11" s="39">
        <v>1010.6929905507819</v>
      </c>
      <c r="W11" s="40">
        <v>1462.5567787532859</v>
      </c>
      <c r="X11" s="39">
        <v>1010.0092507142489</v>
      </c>
      <c r="Y11" s="40">
        <v>1512.4787691647607</v>
      </c>
      <c r="Z11" s="39"/>
      <c r="AA11" s="40"/>
      <c r="AB11" s="39"/>
      <c r="AC11" s="40"/>
      <c r="AD11" s="39"/>
      <c r="AE11" s="40"/>
      <c r="AF11" s="39"/>
      <c r="AG11" s="40"/>
      <c r="AH11" s="39"/>
      <c r="AI11" s="40"/>
      <c r="AJ11" s="39"/>
      <c r="AK11" s="40"/>
      <c r="AL11" s="39"/>
      <c r="AM11" s="40"/>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c r="AA12" s="40"/>
      <c r="AB12" s="39"/>
      <c r="AC12" s="40"/>
      <c r="AD12" s="39"/>
      <c r="AE12" s="40"/>
      <c r="AF12" s="39"/>
      <c r="AG12" s="40"/>
      <c r="AH12" s="39"/>
      <c r="AI12" s="40"/>
      <c r="AJ12" s="39"/>
      <c r="AK12" s="40"/>
      <c r="AL12" s="39"/>
      <c r="AM12" s="40"/>
      <c r="AN12" s="39"/>
      <c r="AO12" s="40"/>
      <c r="AP12" s="39"/>
      <c r="AQ12" s="40"/>
      <c r="AR12" s="39"/>
      <c r="AS12" s="40"/>
      <c r="AT12" s="39"/>
      <c r="AU12" s="40"/>
      <c r="AV12" s="39"/>
      <c r="AW12" s="40"/>
    </row>
    <row r="13" spans="1:49" x14ac:dyDescent="0.2">
      <c r="A13" t="s">
        <v>17</v>
      </c>
      <c r="B13" s="93">
        <v>1000</v>
      </c>
      <c r="C13" s="94">
        <v>1000</v>
      </c>
      <c r="D13" s="93">
        <v>1001.5113045648616</v>
      </c>
      <c r="E13" s="94">
        <v>1001.5113045648616</v>
      </c>
      <c r="F13" s="93">
        <v>1003.1109402352696</v>
      </c>
      <c r="G13" s="94">
        <v>1003.1109402352696</v>
      </c>
      <c r="H13" s="93">
        <v>1004.7915562782681</v>
      </c>
      <c r="I13" s="94">
        <v>1004.7915562782681</v>
      </c>
      <c r="J13" s="93">
        <v>1006.5428420637016</v>
      </c>
      <c r="K13" s="94">
        <v>1006.5428420637016</v>
      </c>
      <c r="L13" s="93">
        <v>1008.3508855677567</v>
      </c>
      <c r="M13" s="94">
        <v>1008.3508855677567</v>
      </c>
      <c r="N13" s="93">
        <v>1010.1974732650064</v>
      </c>
      <c r="O13" s="94">
        <v>1010.1974732650064</v>
      </c>
      <c r="P13" s="93">
        <v>1012.059530590898</v>
      </c>
      <c r="Q13" s="94">
        <v>1012.059530590898</v>
      </c>
      <c r="R13" s="93">
        <v>1013.9086940286711</v>
      </c>
      <c r="S13" s="94">
        <v>1013.9086940286711</v>
      </c>
      <c r="T13" s="93">
        <v>1015.7110436421533</v>
      </c>
      <c r="U13" s="94">
        <v>1015.7110436421533</v>
      </c>
      <c r="V13" s="93">
        <v>1017.4267403873889</v>
      </c>
      <c r="W13" s="94">
        <v>1017.4267403873889</v>
      </c>
      <c r="X13" s="93">
        <v>1019.0068787103012</v>
      </c>
      <c r="Y13" s="94">
        <v>1019.0068787103012</v>
      </c>
      <c r="Z13" s="93"/>
      <c r="AA13" s="94"/>
      <c r="AB13" s="93"/>
      <c r="AC13" s="94"/>
      <c r="AD13" s="93"/>
      <c r="AE13" s="94"/>
      <c r="AF13" s="93"/>
      <c r="AG13" s="94"/>
      <c r="AH13" s="93"/>
      <c r="AI13" s="94"/>
      <c r="AJ13" s="93"/>
      <c r="AK13" s="94"/>
      <c r="AL13" s="93"/>
      <c r="AM13" s="94"/>
      <c r="AN13" s="93"/>
      <c r="AO13" s="94"/>
      <c r="AP13" s="93"/>
      <c r="AQ13" s="94"/>
      <c r="AR13" s="93"/>
      <c r="AS13" s="94"/>
      <c r="AT13" s="93"/>
      <c r="AU13" s="94"/>
      <c r="AV13" s="93"/>
      <c r="AW13" s="94"/>
    </row>
    <row r="14" spans="1:49" x14ac:dyDescent="0.2">
      <c r="A14" t="s">
        <v>36</v>
      </c>
      <c r="B14" s="39">
        <v>1457.0034251455234</v>
      </c>
      <c r="C14" s="40">
        <v>1457.0034251455236</v>
      </c>
      <c r="D14" s="39">
        <v>1459.2054010729646</v>
      </c>
      <c r="E14" s="40">
        <v>1459.2054010729648</v>
      </c>
      <c r="F14" s="39">
        <v>1461.536075723734</v>
      </c>
      <c r="G14" s="40">
        <v>1461.5360757237343</v>
      </c>
      <c r="H14" s="39">
        <v>1463.9847390547375</v>
      </c>
      <c r="I14" s="40">
        <v>1463.9847390547377</v>
      </c>
      <c r="J14" s="39">
        <v>1466.5363684425229</v>
      </c>
      <c r="K14" s="40">
        <v>1466.5363684425231</v>
      </c>
      <c r="L14" s="39">
        <v>1469.170694020743</v>
      </c>
      <c r="M14" s="40">
        <v>1469.1706940207432</v>
      </c>
      <c r="N14" s="39">
        <v>1471.8611786204674</v>
      </c>
      <c r="O14" s="40">
        <v>1471.8611786204676</v>
      </c>
      <c r="P14" s="39">
        <v>1474.5742025221089</v>
      </c>
      <c r="Q14" s="40">
        <v>1474.5742025221091</v>
      </c>
      <c r="R14" s="39">
        <v>1477.2684399845982</v>
      </c>
      <c r="S14" s="40">
        <v>1477.2684399845984</v>
      </c>
      <c r="T14" s="39">
        <v>1479.8944695447515</v>
      </c>
      <c r="U14" s="40">
        <v>1479.8944695447517</v>
      </c>
      <c r="V14" s="39">
        <v>1482.3942455790707</v>
      </c>
      <c r="W14" s="40">
        <v>1482.3942455790709</v>
      </c>
      <c r="X14" s="39">
        <v>1484.6965125277577</v>
      </c>
      <c r="Y14" s="40">
        <v>1484.6965125277579</v>
      </c>
      <c r="Z14" s="39"/>
      <c r="AA14" s="40"/>
      <c r="AB14" s="39"/>
      <c r="AC14" s="40"/>
      <c r="AD14" s="39"/>
      <c r="AE14" s="40"/>
      <c r="AF14" s="39"/>
      <c r="AG14" s="40"/>
      <c r="AH14" s="39"/>
      <c r="AI14" s="40"/>
      <c r="AJ14" s="39"/>
      <c r="AK14" s="40"/>
      <c r="AL14" s="39"/>
      <c r="AM14" s="40"/>
      <c r="AN14" s="39"/>
      <c r="AO14" s="40"/>
      <c r="AP14" s="39"/>
      <c r="AQ14" s="40"/>
      <c r="AR14" s="39"/>
      <c r="AS14" s="40"/>
      <c r="AT14" s="39"/>
      <c r="AU14" s="40"/>
      <c r="AV14" s="39"/>
      <c r="AW14" s="40"/>
    </row>
    <row r="15" spans="1:49" x14ac:dyDescent="0.2">
      <c r="A15" t="s">
        <v>18</v>
      </c>
      <c r="B15" s="144">
        <v>1000</v>
      </c>
      <c r="C15" s="145">
        <v>1000</v>
      </c>
      <c r="D15" s="144">
        <v>992.00209464661305</v>
      </c>
      <c r="E15" s="145">
        <v>992.00209464661305</v>
      </c>
      <c r="F15" s="144">
        <v>981.17604560822781</v>
      </c>
      <c r="G15" s="145">
        <v>981.17604560822781</v>
      </c>
      <c r="H15" s="144">
        <v>967.12874720870877</v>
      </c>
      <c r="I15" s="145">
        <v>967.12874720870877</v>
      </c>
      <c r="J15" s="144">
        <v>949.434305316272</v>
      </c>
      <c r="K15" s="145">
        <v>949.434305316272</v>
      </c>
      <c r="L15" s="144">
        <v>927.64814463487539</v>
      </c>
      <c r="M15" s="145">
        <v>927.64814463487539</v>
      </c>
      <c r="N15" s="144">
        <v>901.32418887268159</v>
      </c>
      <c r="O15" s="145">
        <v>901.32418887268159</v>
      </c>
      <c r="P15" s="144">
        <v>870.05112093230957</v>
      </c>
      <c r="Q15" s="145">
        <v>870.05112093230957</v>
      </c>
      <c r="R15" s="144">
        <v>833.50786059648499</v>
      </c>
      <c r="S15" s="145">
        <v>833.50786059648499</v>
      </c>
      <c r="T15" s="144">
        <v>791.55801295600577</v>
      </c>
      <c r="U15" s="145">
        <v>791.55801295600577</v>
      </c>
      <c r="V15" s="144">
        <v>744.44179092571949</v>
      </c>
      <c r="W15" s="145">
        <v>744.44179092571949</v>
      </c>
      <c r="X15" s="144">
        <v>693.27622939806281</v>
      </c>
      <c r="Y15" s="145">
        <v>693.27622939806281</v>
      </c>
      <c r="Z15" s="144"/>
      <c r="AA15" s="145"/>
      <c r="AB15" s="144"/>
      <c r="AC15" s="145"/>
      <c r="AD15" s="144"/>
      <c r="AE15" s="145"/>
      <c r="AF15" s="144"/>
      <c r="AG15" s="145"/>
      <c r="AH15" s="144"/>
      <c r="AI15" s="145"/>
      <c r="AJ15" s="144"/>
      <c r="AK15" s="145"/>
      <c r="AL15" s="144"/>
      <c r="AM15" s="145"/>
      <c r="AN15" s="144"/>
      <c r="AO15" s="145"/>
      <c r="AP15" s="144"/>
      <c r="AQ15" s="145"/>
      <c r="AR15" s="144"/>
      <c r="AS15" s="145"/>
      <c r="AT15" s="144"/>
      <c r="AU15" s="145"/>
      <c r="AV15" s="144"/>
      <c r="AW15" s="145"/>
    </row>
    <row r="16" spans="1:49" s="27" customFormat="1" x14ac:dyDescent="0.2">
      <c r="A16" t="s">
        <v>61</v>
      </c>
      <c r="B16" s="39">
        <v>1000</v>
      </c>
      <c r="C16" s="40">
        <v>1000</v>
      </c>
      <c r="D16" s="39">
        <v>997.64557697133978</v>
      </c>
      <c r="E16" s="40">
        <v>995.13844634006421</v>
      </c>
      <c r="F16" s="39">
        <v>995.28490871965141</v>
      </c>
      <c r="G16" s="40">
        <v>989.24513004144558</v>
      </c>
      <c r="H16" s="39">
        <v>992.92617229151779</v>
      </c>
      <c r="I16" s="40">
        <v>982.25058342078319</v>
      </c>
      <c r="J16" s="39">
        <v>990.5799729388176</v>
      </c>
      <c r="K16" s="40">
        <v>974.11530984937838</v>
      </c>
      <c r="L16" s="39">
        <v>988.25917496036459</v>
      </c>
      <c r="M16" s="40">
        <v>964.8560629388553</v>
      </c>
      <c r="N16" s="39">
        <v>985.97807273671731</v>
      </c>
      <c r="O16" s="40">
        <v>954.59821170190253</v>
      </c>
      <c r="P16" s="39">
        <v>983.75010134631214</v>
      </c>
      <c r="Q16" s="40">
        <v>943.669267561173</v>
      </c>
      <c r="R16" s="39">
        <v>981.58236983085408</v>
      </c>
      <c r="S16" s="40">
        <v>932.79410305954423</v>
      </c>
      <c r="T16" s="39">
        <v>979.46261934510983</v>
      </c>
      <c r="U16" s="40">
        <v>923.54169689270259</v>
      </c>
      <c r="V16" s="39">
        <v>977.32474415901686</v>
      </c>
      <c r="W16" s="40">
        <v>919.52197353938152</v>
      </c>
      <c r="X16" s="39">
        <v>974.93972975276267</v>
      </c>
      <c r="Y16" s="40">
        <v>930.41735232885867</v>
      </c>
      <c r="Z16" s="39"/>
      <c r="AA16" s="40"/>
      <c r="AB16" s="39"/>
      <c r="AC16" s="40"/>
      <c r="AD16" s="39"/>
      <c r="AE16" s="40"/>
      <c r="AF16" s="39"/>
      <c r="AG16" s="40"/>
      <c r="AH16" s="39"/>
      <c r="AI16" s="40"/>
      <c r="AJ16" s="39"/>
      <c r="AK16" s="40"/>
      <c r="AL16" s="39"/>
      <c r="AM16" s="40"/>
      <c r="AN16" s="39"/>
      <c r="AO16" s="40"/>
      <c r="AP16" s="39"/>
      <c r="AQ16" s="40"/>
      <c r="AR16" s="39"/>
      <c r="AS16" s="40"/>
      <c r="AT16" s="39"/>
      <c r="AU16" s="40"/>
      <c r="AV16" s="39"/>
      <c r="AW16" s="40"/>
    </row>
    <row r="17" spans="1:49" x14ac:dyDescent="0.2">
      <c r="A17" t="s">
        <v>62</v>
      </c>
      <c r="B17" s="33">
        <v>1000.0000000000002</v>
      </c>
      <c r="C17" s="34">
        <v>999.99999999999977</v>
      </c>
      <c r="D17" s="33">
        <v>999.39068434311071</v>
      </c>
      <c r="E17" s="34">
        <v>1018.8764228745518</v>
      </c>
      <c r="F17" s="33">
        <v>998.81710442853955</v>
      </c>
      <c r="G17" s="34">
        <v>1038.1368416100463</v>
      </c>
      <c r="H17" s="33">
        <v>998.27983563810449</v>
      </c>
      <c r="I17" s="34">
        <v>1057.6680173390905</v>
      </c>
      <c r="J17" s="33">
        <v>997.77945043589409</v>
      </c>
      <c r="K17" s="34">
        <v>1077.3324180778432</v>
      </c>
      <c r="L17" s="33">
        <v>997.31618553653038</v>
      </c>
      <c r="M17" s="34">
        <v>1096.9762827609038</v>
      </c>
      <c r="N17" s="33">
        <v>996.88925422441707</v>
      </c>
      <c r="O17" s="34">
        <v>1116.4547818798233</v>
      </c>
      <c r="P17" s="33">
        <v>996.49543869311594</v>
      </c>
      <c r="Q17" s="34">
        <v>1135.6886546343719</v>
      </c>
      <c r="R17" s="33">
        <v>996.12604749830791</v>
      </c>
      <c r="S17" s="34">
        <v>1154.794980270136</v>
      </c>
      <c r="T17" s="33">
        <v>995.75987723567437</v>
      </c>
      <c r="U17" s="34">
        <v>1174.3981238897682</v>
      </c>
      <c r="V17" s="33">
        <v>995.34461820113393</v>
      </c>
      <c r="W17" s="34">
        <v>1196.4642059515104</v>
      </c>
      <c r="X17" s="33">
        <v>994.73704583747269</v>
      </c>
      <c r="Y17" s="34">
        <v>1227.0472470806967</v>
      </c>
      <c r="Z17" s="33"/>
      <c r="AA17" s="34"/>
      <c r="AB17" s="33"/>
      <c r="AC17" s="34"/>
      <c r="AD17" s="33"/>
      <c r="AE17" s="34"/>
      <c r="AF17" s="33"/>
      <c r="AG17" s="34"/>
      <c r="AH17" s="33"/>
      <c r="AI17" s="34"/>
      <c r="AJ17" s="33"/>
      <c r="AK17" s="34"/>
      <c r="AL17" s="33"/>
      <c r="AM17" s="34"/>
      <c r="AN17" s="33"/>
      <c r="AO17" s="34"/>
      <c r="AP17" s="33"/>
      <c r="AQ17" s="34"/>
      <c r="AR17" s="33"/>
      <c r="AS17" s="34"/>
      <c r="AT17" s="33"/>
      <c r="AU17" s="34"/>
      <c r="AV17" s="33"/>
      <c r="AW17" s="34"/>
    </row>
    <row r="18" spans="1:49" x14ac:dyDescent="0.2">
      <c r="A18" t="s">
        <v>19</v>
      </c>
      <c r="B18" s="31">
        <v>27857.010133999996</v>
      </c>
      <c r="C18" s="32">
        <v>1236.7674480000003</v>
      </c>
      <c r="D18" s="31">
        <v>27290.254629948347</v>
      </c>
      <c r="E18" s="32">
        <v>1158.6977909815741</v>
      </c>
      <c r="F18" s="31">
        <v>26658.80150779882</v>
      </c>
      <c r="G18" s="32">
        <v>1082.4045511291363</v>
      </c>
      <c r="H18" s="31">
        <v>25955.847077323855</v>
      </c>
      <c r="I18" s="32">
        <v>1007.9437880457617</v>
      </c>
      <c r="J18" s="31">
        <v>25174.262951429373</v>
      </c>
      <c r="K18" s="32">
        <v>935.36714520556109</v>
      </c>
      <c r="L18" s="31">
        <v>24306.915076251251</v>
      </c>
      <c r="M18" s="32">
        <v>864.71153593907616</v>
      </c>
      <c r="N18" s="31">
        <v>23347.114128044206</v>
      </c>
      <c r="O18" s="32">
        <v>795.98571596168131</v>
      </c>
      <c r="P18" s="31">
        <v>22289.428571971446</v>
      </c>
      <c r="Q18" s="32">
        <v>729.14490422405459</v>
      </c>
      <c r="R18" s="31">
        <v>21130.998957631138</v>
      </c>
      <c r="S18" s="32">
        <v>664.04711154510517</v>
      </c>
      <c r="T18" s="31">
        <v>19873.893216888457</v>
      </c>
      <c r="U18" s="32">
        <v>600.36636951521405</v>
      </c>
      <c r="V18" s="31">
        <v>18530.208608430381</v>
      </c>
      <c r="W18" s="32">
        <v>537.38640810950028</v>
      </c>
      <c r="X18" s="31">
        <v>17136.472864099414</v>
      </c>
      <c r="Y18" s="32">
        <v>473.37197967133665</v>
      </c>
      <c r="Z18" s="31"/>
      <c r="AA18" s="32"/>
      <c r="AB18" s="31"/>
      <c r="AC18" s="32"/>
      <c r="AD18" s="31"/>
      <c r="AE18" s="32"/>
      <c r="AF18" s="31"/>
      <c r="AG18" s="32"/>
      <c r="AH18" s="31"/>
      <c r="AI18" s="32"/>
      <c r="AJ18" s="31"/>
      <c r="AK18" s="32"/>
      <c r="AL18" s="31"/>
      <c r="AM18" s="32"/>
      <c r="AN18" s="31"/>
      <c r="AO18" s="32"/>
      <c r="AP18" s="31"/>
      <c r="AQ18" s="32"/>
      <c r="AR18" s="31"/>
      <c r="AS18" s="32"/>
      <c r="AT18" s="31"/>
      <c r="AU18" s="32"/>
      <c r="AV18" s="31"/>
      <c r="AW18" s="32"/>
    </row>
    <row r="19" spans="1:49" x14ac:dyDescent="0.2">
      <c r="A19" t="s">
        <v>3</v>
      </c>
      <c r="B19" s="39">
        <v>1886.3937399999966</v>
      </c>
      <c r="C19" s="40">
        <v>262.78711299999759</v>
      </c>
      <c r="D19" s="39">
        <v>1844.7366373211739</v>
      </c>
      <c r="E19" s="40">
        <v>260.66777030836522</v>
      </c>
      <c r="F19" s="39">
        <v>1799.0369775551299</v>
      </c>
      <c r="G19" s="40">
        <v>257.78745437782908</v>
      </c>
      <c r="H19" s="39">
        <v>1748.8481199568578</v>
      </c>
      <c r="I19" s="40">
        <v>254.02372390522279</v>
      </c>
      <c r="J19" s="39">
        <v>1693.7011553213929</v>
      </c>
      <c r="K19" s="40">
        <v>249.25041066324874</v>
      </c>
      <c r="L19" s="39">
        <v>1633.1243417000487</v>
      </c>
      <c r="M19" s="40">
        <v>243.34608134046249</v>
      </c>
      <c r="N19" s="39">
        <v>1566.6698238563245</v>
      </c>
      <c r="O19" s="40">
        <v>236.20973570091436</v>
      </c>
      <c r="P19" s="39">
        <v>1493.962283236651</v>
      </c>
      <c r="Q19" s="40">
        <v>227.78648096550793</v>
      </c>
      <c r="R19" s="39">
        <v>1414.7762309174254</v>
      </c>
      <c r="S19" s="40">
        <v>218.11367568462487</v>
      </c>
      <c r="T19" s="39">
        <v>1329.1721234246641</v>
      </c>
      <c r="U19" s="40">
        <v>207.41132802808784</v>
      </c>
      <c r="V19" s="39">
        <v>1237.7856929884442</v>
      </c>
      <c r="W19" s="40">
        <v>196.29696701969834</v>
      </c>
      <c r="X19" s="39">
        <v>1142.6287861466922</v>
      </c>
      <c r="Y19" s="40">
        <v>186.4576376242776</v>
      </c>
      <c r="Z19" s="39"/>
      <c r="AA19" s="40"/>
      <c r="AB19" s="39"/>
      <c r="AC19" s="40"/>
      <c r="AD19" s="39"/>
      <c r="AE19" s="40"/>
      <c r="AF19" s="39"/>
      <c r="AG19" s="40"/>
      <c r="AH19" s="39"/>
      <c r="AI19" s="40"/>
      <c r="AJ19" s="39"/>
      <c r="AK19" s="40"/>
      <c r="AL19" s="39"/>
      <c r="AM19" s="40"/>
      <c r="AN19" s="39"/>
      <c r="AO19" s="40"/>
      <c r="AP19" s="39"/>
      <c r="AQ19" s="40"/>
      <c r="AR19" s="39"/>
      <c r="AS19" s="40"/>
      <c r="AT19" s="39"/>
      <c r="AU19" s="40"/>
      <c r="AV19" s="39"/>
      <c r="AW19" s="40"/>
    </row>
    <row r="20" spans="1:49" x14ac:dyDescent="0.2">
      <c r="A20" t="s">
        <v>114</v>
      </c>
      <c r="B20" s="79">
        <v>26548.356269999993</v>
      </c>
      <c r="C20" s="80">
        <v>1408.5418709999938</v>
      </c>
      <c r="D20" s="79">
        <v>25996.933807481633</v>
      </c>
      <c r="E20" s="80">
        <v>1338.1147774499941</v>
      </c>
      <c r="F20" s="79">
        <v>25384.988753270936</v>
      </c>
      <c r="G20" s="80">
        <v>1267.6876838999945</v>
      </c>
      <c r="H20" s="79">
        <v>24706.093287364514</v>
      </c>
      <c r="I20" s="80">
        <v>1197.2605903499943</v>
      </c>
      <c r="J20" s="79">
        <v>23953.508900054778</v>
      </c>
      <c r="K20" s="80">
        <v>1126.8334967999951</v>
      </c>
      <c r="L20" s="79">
        <v>23120.482847621544</v>
      </c>
      <c r="M20" s="80">
        <v>1056.4064032499953</v>
      </c>
      <c r="N20" s="79">
        <v>22200.663996417083</v>
      </c>
      <c r="O20" s="80">
        <v>985.97930969999561</v>
      </c>
      <c r="P20" s="79">
        <v>21188.85510886761</v>
      </c>
      <c r="Q20" s="80">
        <v>915.55221614999596</v>
      </c>
      <c r="R20" s="79">
        <v>20082.224020184651</v>
      </c>
      <c r="S20" s="80">
        <v>845.12512259999642</v>
      </c>
      <c r="T20" s="79">
        <v>18882.465622802287</v>
      </c>
      <c r="U20" s="80">
        <v>774.69802904999653</v>
      </c>
      <c r="V20" s="79">
        <v>17600.465356382116</v>
      </c>
      <c r="W20" s="80">
        <v>704.27093549999688</v>
      </c>
      <c r="X20" s="79">
        <v>16269.404523113762</v>
      </c>
      <c r="Y20" s="80">
        <v>633.84384194999711</v>
      </c>
      <c r="Z20" s="79"/>
      <c r="AA20" s="80"/>
      <c r="AB20" s="79"/>
      <c r="AC20" s="80"/>
      <c r="AD20" s="79"/>
      <c r="AE20" s="80"/>
      <c r="AF20" s="79"/>
      <c r="AG20" s="80"/>
      <c r="AH20" s="79"/>
      <c r="AI20" s="80"/>
      <c r="AJ20" s="79"/>
      <c r="AK20" s="80"/>
      <c r="AL20" s="79"/>
      <c r="AM20" s="80"/>
      <c r="AN20" s="79"/>
      <c r="AO20" s="80"/>
      <c r="AP20" s="79"/>
      <c r="AQ20" s="80"/>
      <c r="AR20" s="79"/>
      <c r="AS20" s="80"/>
      <c r="AT20" s="79"/>
      <c r="AU20" s="80"/>
      <c r="AV20" s="79"/>
      <c r="AW20" s="80"/>
    </row>
    <row r="21" spans="1:49" x14ac:dyDescent="0.2">
      <c r="A21" t="s">
        <v>76</v>
      </c>
      <c r="B21" s="79">
        <v>24661.96252999999</v>
      </c>
      <c r="C21" s="80">
        <v>1145.7547579999939</v>
      </c>
      <c r="D21" s="79">
        <v>24152.198063766795</v>
      </c>
      <c r="E21" s="80">
        <v>1077.5205405645734</v>
      </c>
      <c r="F21" s="79">
        <v>23585.955067029179</v>
      </c>
      <c r="G21" s="80">
        <v>1010.1848892779083</v>
      </c>
      <c r="H21" s="79">
        <v>22957.251946657794</v>
      </c>
      <c r="I21" s="80">
        <v>943.85213539457118</v>
      </c>
      <c r="J21" s="79">
        <v>22259.818705584024</v>
      </c>
      <c r="K21" s="80">
        <v>878.62510854443121</v>
      </c>
      <c r="L21" s="79">
        <v>21487.373970911598</v>
      </c>
      <c r="M21" s="80">
        <v>814.59723070537143</v>
      </c>
      <c r="N21" s="79">
        <v>20634.014135025252</v>
      </c>
      <c r="O21" s="80">
        <v>751.838592086772</v>
      </c>
      <c r="P21" s="79">
        <v>19694.917021700639</v>
      </c>
      <c r="Q21" s="80">
        <v>690.3740027579023</v>
      </c>
      <c r="R21" s="79">
        <v>18667.475825907364</v>
      </c>
      <c r="S21" s="80">
        <v>630.14413160527113</v>
      </c>
      <c r="T21" s="79">
        <v>17553.325097051493</v>
      </c>
      <c r="U21" s="80">
        <v>570.92983505745815</v>
      </c>
      <c r="V21" s="79">
        <v>16362.715188900731</v>
      </c>
      <c r="W21" s="80">
        <v>512.17291239675558</v>
      </c>
      <c r="X21" s="79">
        <v>15126.817744426786</v>
      </c>
      <c r="Y21" s="80">
        <v>452.42284723357807</v>
      </c>
      <c r="Z21" s="79"/>
      <c r="AA21" s="80"/>
      <c r="AB21" s="79"/>
      <c r="AC21" s="80"/>
      <c r="AD21" s="79"/>
      <c r="AE21" s="80"/>
      <c r="AF21" s="79"/>
      <c r="AG21" s="80"/>
      <c r="AH21" s="79"/>
      <c r="AI21" s="80"/>
      <c r="AJ21" s="79"/>
      <c r="AK21" s="80"/>
      <c r="AL21" s="79"/>
      <c r="AM21" s="80"/>
      <c r="AN21" s="79"/>
      <c r="AO21" s="80"/>
      <c r="AP21" s="79"/>
      <c r="AQ21" s="80"/>
      <c r="AR21" s="79"/>
      <c r="AS21" s="80"/>
      <c r="AT21" s="79"/>
      <c r="AU21" s="80"/>
      <c r="AV21" s="79"/>
      <c r="AW21" s="80"/>
    </row>
    <row r="22" spans="1:49" x14ac:dyDescent="0.2">
      <c r="A22" t="s">
        <v>28</v>
      </c>
      <c r="B22" s="39">
        <v>6533.6044688320717</v>
      </c>
      <c r="C22" s="40">
        <v>379.90788307663411</v>
      </c>
      <c r="D22" s="39">
        <v>6399.6718212379419</v>
      </c>
      <c r="E22" s="40">
        <v>363.34820788301914</v>
      </c>
      <c r="F22" s="39">
        <v>6250.5823114897848</v>
      </c>
      <c r="G22" s="40">
        <v>346.46979448505209</v>
      </c>
      <c r="H22" s="39">
        <v>6084.7526696347013</v>
      </c>
      <c r="I22" s="40">
        <v>329.27423415068091</v>
      </c>
      <c r="J22" s="39">
        <v>5900.5265163741478</v>
      </c>
      <c r="K22" s="40">
        <v>311.76437139393818</v>
      </c>
      <c r="L22" s="39">
        <v>5696.2475146661136</v>
      </c>
      <c r="M22" s="40">
        <v>293.94556929839285</v>
      </c>
      <c r="N22" s="39">
        <v>5470.3616708035688</v>
      </c>
      <c r="O22" s="40">
        <v>275.82675206142346</v>
      </c>
      <c r="P22" s="39">
        <v>5221.6016526649009</v>
      </c>
      <c r="Q22" s="40">
        <v>257.42291666651204</v>
      </c>
      <c r="R22" s="39">
        <v>4949.2822687244616</v>
      </c>
      <c r="S22" s="40">
        <v>238.75909254805208</v>
      </c>
      <c r="T22" s="39">
        <v>4653.826528822633</v>
      </c>
      <c r="U22" s="40">
        <v>219.87824767721389</v>
      </c>
      <c r="V22" s="39">
        <v>4337.8983002063551</v>
      </c>
      <c r="W22" s="40">
        <v>200.86062348861736</v>
      </c>
      <c r="X22" s="39">
        <v>4009.5798467201435</v>
      </c>
      <c r="Y22" s="40">
        <v>181.88296876794641</v>
      </c>
      <c r="Z22" s="39"/>
      <c r="AA22" s="40"/>
      <c r="AB22" s="39"/>
      <c r="AC22" s="40"/>
      <c r="AD22" s="39"/>
      <c r="AE22" s="40"/>
      <c r="AF22" s="39"/>
      <c r="AG22" s="40"/>
      <c r="AH22" s="39"/>
      <c r="AI22" s="40"/>
      <c r="AJ22" s="39"/>
      <c r="AK22" s="40"/>
      <c r="AL22" s="39"/>
      <c r="AM22" s="40"/>
      <c r="AN22" s="39"/>
      <c r="AO22" s="40"/>
      <c r="AP22" s="39"/>
      <c r="AQ22" s="40"/>
      <c r="AR22" s="39"/>
      <c r="AS22" s="40"/>
      <c r="AT22" s="39"/>
      <c r="AU22" s="40"/>
      <c r="AV22" s="39"/>
      <c r="AW22" s="40"/>
    </row>
    <row r="23" spans="1:49" x14ac:dyDescent="0.2">
      <c r="A23" t="s">
        <v>7</v>
      </c>
      <c r="B23" s="110">
        <v>3278.5018080150408</v>
      </c>
      <c r="C23" s="8">
        <v>0</v>
      </c>
      <c r="D23" s="110">
        <v>3214.0977360274196</v>
      </c>
      <c r="E23" s="8">
        <v>0</v>
      </c>
      <c r="F23" s="110">
        <v>3142.0177747062362</v>
      </c>
      <c r="G23" s="8">
        <v>0</v>
      </c>
      <c r="H23" s="110">
        <v>3061.4285696409302</v>
      </c>
      <c r="I23" s="8">
        <v>0</v>
      </c>
      <c r="J23" s="110">
        <v>2971.4540335621368</v>
      </c>
      <c r="K23" s="8">
        <v>0</v>
      </c>
      <c r="L23" s="110">
        <v>2871.2129610600691</v>
      </c>
      <c r="M23" s="8">
        <v>0</v>
      </c>
      <c r="N23" s="110">
        <v>2759.8717922751939</v>
      </c>
      <c r="O23" s="8">
        <v>0</v>
      </c>
      <c r="P23" s="110">
        <v>2636.7405980578405</v>
      </c>
      <c r="Q23" s="8">
        <v>0</v>
      </c>
      <c r="R23" s="110">
        <v>2501.4274705990792</v>
      </c>
      <c r="S23" s="8">
        <v>0</v>
      </c>
      <c r="T23" s="110">
        <v>2354.1135628698016</v>
      </c>
      <c r="U23" s="8">
        <v>0</v>
      </c>
      <c r="V23" s="110">
        <v>2196.1443405992923</v>
      </c>
      <c r="W23" s="8">
        <v>0</v>
      </c>
      <c r="X23" s="110">
        <v>2031.6847312275522</v>
      </c>
      <c r="Y23" s="8">
        <v>0</v>
      </c>
      <c r="Z23" s="110"/>
      <c r="AA23" s="8"/>
      <c r="AB23" s="110"/>
      <c r="AC23" s="8"/>
      <c r="AD23" s="110"/>
      <c r="AE23" s="8"/>
      <c r="AF23" s="110"/>
      <c r="AG23" s="8"/>
      <c r="AH23" s="110"/>
      <c r="AI23" s="8"/>
      <c r="AJ23" s="110"/>
      <c r="AK23" s="8"/>
      <c r="AL23" s="110"/>
      <c r="AM23" s="8"/>
      <c r="AN23" s="110"/>
      <c r="AO23" s="8"/>
      <c r="AP23" s="110"/>
      <c r="AQ23" s="8"/>
      <c r="AR23" s="110"/>
      <c r="AS23" s="8"/>
      <c r="AT23" s="110"/>
      <c r="AU23" s="8"/>
      <c r="AV23" s="110"/>
      <c r="AW23" s="8"/>
    </row>
    <row r="24" spans="1:49" x14ac:dyDescent="0.2">
      <c r="A24" t="s">
        <v>8</v>
      </c>
      <c r="B24" s="93">
        <v>3196.3846373657216</v>
      </c>
      <c r="C24" s="8">
        <v>0</v>
      </c>
      <c r="D24" s="93">
        <v>3133.5937084453649</v>
      </c>
      <c r="E24" s="8">
        <v>0</v>
      </c>
      <c r="F24" s="93">
        <v>3063.3191437003652</v>
      </c>
      <c r="G24" s="8">
        <v>0</v>
      </c>
      <c r="H24" s="93">
        <v>2984.7484668158527</v>
      </c>
      <c r="I24" s="8">
        <v>0</v>
      </c>
      <c r="J24" s="93">
        <v>2897.0275376496088</v>
      </c>
      <c r="K24" s="8">
        <v>0</v>
      </c>
      <c r="L24" s="93">
        <v>2799.297218730766</v>
      </c>
      <c r="M24" s="8">
        <v>0</v>
      </c>
      <c r="N24" s="93">
        <v>2690.7448317328717</v>
      </c>
      <c r="O24" s="8">
        <v>0</v>
      </c>
      <c r="P24" s="93">
        <v>2570.6977262180867</v>
      </c>
      <c r="Q24" s="8">
        <v>0</v>
      </c>
      <c r="R24" s="93">
        <v>2438.7738072952889</v>
      </c>
      <c r="S24" s="8">
        <v>0</v>
      </c>
      <c r="T24" s="93">
        <v>2295.1496935218579</v>
      </c>
      <c r="U24" s="8">
        <v>0</v>
      </c>
      <c r="V24" s="93">
        <v>2141.1371544673766</v>
      </c>
      <c r="W24" s="8">
        <v>0</v>
      </c>
      <c r="X24" s="93">
        <v>1980.7967900204831</v>
      </c>
      <c r="Y24" s="8">
        <v>0</v>
      </c>
      <c r="Z24" s="93"/>
      <c r="AA24" s="8"/>
      <c r="AB24" s="93"/>
      <c r="AC24" s="8"/>
      <c r="AD24" s="93"/>
      <c r="AE24" s="8"/>
      <c r="AF24" s="93"/>
      <c r="AG24" s="8"/>
      <c r="AH24" s="93"/>
      <c r="AI24" s="8"/>
      <c r="AJ24" s="93"/>
      <c r="AK24" s="8"/>
      <c r="AL24" s="93"/>
      <c r="AM24" s="8"/>
      <c r="AN24" s="93"/>
      <c r="AO24" s="8"/>
      <c r="AP24" s="93"/>
      <c r="AQ24" s="8"/>
      <c r="AR24" s="93"/>
      <c r="AS24" s="8"/>
      <c r="AT24" s="93"/>
      <c r="AU24" s="8"/>
      <c r="AV24" s="93"/>
      <c r="AW24" s="8"/>
    </row>
    <row r="25" spans="1:49" x14ac:dyDescent="0.2">
      <c r="A25" t="s">
        <v>0</v>
      </c>
      <c r="B25" s="39">
        <v>3195.0476040000012</v>
      </c>
      <c r="C25" s="40">
        <v>91.012690000004255</v>
      </c>
      <c r="D25" s="39">
        <v>3138.0536503708627</v>
      </c>
      <c r="E25" s="40">
        <v>81.149649910913581</v>
      </c>
      <c r="F25" s="39">
        <v>3072.8357469156213</v>
      </c>
      <c r="G25" s="40">
        <v>72.121175760393911</v>
      </c>
      <c r="H25" s="39">
        <v>2998.5730811007402</v>
      </c>
      <c r="I25" s="40">
        <v>63.893444726928706</v>
      </c>
      <c r="J25" s="39">
        <v>2914.4085122336105</v>
      </c>
      <c r="K25" s="40">
        <v>56.427913825259637</v>
      </c>
      <c r="L25" s="39">
        <v>2819.4905851810377</v>
      </c>
      <c r="M25" s="40">
        <v>49.680291038978083</v>
      </c>
      <c r="N25" s="39">
        <v>2713.0346460559958</v>
      </c>
      <c r="O25" s="40">
        <v>43.59875539632305</v>
      </c>
      <c r="P25" s="39">
        <v>2594.4321959034619</v>
      </c>
      <c r="Q25" s="40">
        <v>38.120939142152523</v>
      </c>
      <c r="R25" s="39">
        <v>2463.4310363371292</v>
      </c>
      <c r="S25" s="40">
        <v>33.168021777808242</v>
      </c>
      <c r="T25" s="39">
        <v>2320.4641627885467</v>
      </c>
      <c r="U25" s="40">
        <v>28.632263574788801</v>
      </c>
      <c r="V25" s="39">
        <v>2167.3763080308681</v>
      </c>
      <c r="W25" s="40">
        <v>24.346822930682549</v>
      </c>
      <c r="X25" s="39">
        <v>2009.5162679058278</v>
      </c>
      <c r="Y25" s="40">
        <v>20.000072732016196</v>
      </c>
      <c r="Z25" s="39"/>
      <c r="AA25" s="40"/>
      <c r="AB25" s="39"/>
      <c r="AC25" s="40"/>
      <c r="AD25" s="39"/>
      <c r="AE25" s="40"/>
      <c r="AF25" s="39"/>
      <c r="AG25" s="40"/>
      <c r="AH25" s="39"/>
      <c r="AI25" s="40"/>
      <c r="AJ25" s="39"/>
      <c r="AK25" s="40"/>
      <c r="AL25" s="39"/>
      <c r="AM25" s="40"/>
      <c r="AN25" s="39"/>
      <c r="AO25" s="40"/>
      <c r="AP25" s="39"/>
      <c r="AQ25" s="40"/>
      <c r="AR25" s="39"/>
      <c r="AS25" s="40"/>
      <c r="AT25" s="39"/>
      <c r="AU25" s="40"/>
      <c r="AV25" s="39"/>
      <c r="AW25" s="40"/>
    </row>
    <row r="26" spans="1:49" x14ac:dyDescent="0.2">
      <c r="A26" t="s">
        <v>27</v>
      </c>
      <c r="B26" s="31">
        <v>5036.2953101960647</v>
      </c>
      <c r="C26" s="32">
        <v>74.905331803938267</v>
      </c>
      <c r="D26" s="31">
        <v>4848.4297477496975</v>
      </c>
      <c r="E26" s="32">
        <v>69.157532699761902</v>
      </c>
      <c r="F26" s="31">
        <v>4652.5887571142266</v>
      </c>
      <c r="G26" s="32">
        <v>63.659540766709995</v>
      </c>
      <c r="H26" s="31">
        <v>4448.5632961962538</v>
      </c>
      <c r="I26" s="32">
        <v>58.412477741716714</v>
      </c>
      <c r="J26" s="31">
        <v>4236.2192064843148</v>
      </c>
      <c r="K26" s="32">
        <v>53.416590310606026</v>
      </c>
      <c r="L26" s="31">
        <v>4015.5384756469707</v>
      </c>
      <c r="M26" s="32">
        <v>48.670209779299086</v>
      </c>
      <c r="N26" s="31">
        <v>3786.6754023100134</v>
      </c>
      <c r="O26" s="32">
        <v>44.168959676527336</v>
      </c>
      <c r="P26" s="31">
        <v>3550.0437493907202</v>
      </c>
      <c r="Q26" s="32">
        <v>39.903769221296038</v>
      </c>
      <c r="R26" s="31">
        <v>3306.4643338334158</v>
      </c>
      <c r="S26" s="32">
        <v>35.857848158834145</v>
      </c>
      <c r="T26" s="31">
        <v>3057.4549879368656</v>
      </c>
      <c r="U26" s="32">
        <v>32.00070350468765</v>
      </c>
      <c r="V26" s="31">
        <v>2805.9313100893664</v>
      </c>
      <c r="W26" s="32">
        <v>28.273990271754485</v>
      </c>
      <c r="X26" s="31">
        <v>2558.3926513393349</v>
      </c>
      <c r="Y26" s="32">
        <v>24.549476379496483</v>
      </c>
      <c r="Z26" s="31"/>
      <c r="AA26" s="32"/>
      <c r="AB26" s="31"/>
      <c r="AC26" s="32"/>
      <c r="AD26" s="31"/>
      <c r="AE26" s="32"/>
      <c r="AF26" s="31"/>
      <c r="AG26" s="32"/>
      <c r="AH26" s="31"/>
      <c r="AI26" s="32"/>
      <c r="AJ26" s="31"/>
      <c r="AK26" s="32"/>
      <c r="AL26" s="31"/>
      <c r="AM26" s="32"/>
      <c r="AN26" s="31"/>
      <c r="AO26" s="32"/>
      <c r="AP26" s="31"/>
      <c r="AQ26" s="32"/>
      <c r="AR26" s="31"/>
      <c r="AS26" s="32"/>
      <c r="AT26" s="31"/>
      <c r="AU26" s="32"/>
      <c r="AV26" s="31"/>
      <c r="AW26" s="32"/>
    </row>
    <row r="27" spans="1:49" x14ac:dyDescent="0.2">
      <c r="A27" t="s">
        <v>2</v>
      </c>
      <c r="B27" s="33">
        <v>6425.1981590000414</v>
      </c>
      <c r="C27" s="34">
        <v>273.22915400000028</v>
      </c>
      <c r="D27" s="33">
        <v>6439.4675698436276</v>
      </c>
      <c r="E27" s="34">
        <v>258.95841403178218</v>
      </c>
      <c r="F27" s="33">
        <v>6453.2647090966902</v>
      </c>
      <c r="G27" s="34">
        <v>245.16060861425692</v>
      </c>
      <c r="H27" s="33">
        <v>6466.5581096740461</v>
      </c>
      <c r="I27" s="34">
        <v>231.86978082729297</v>
      </c>
      <c r="J27" s="33">
        <v>6479.3016529185652</v>
      </c>
      <c r="K27" s="34">
        <v>219.12655789705548</v>
      </c>
      <c r="L27" s="33">
        <v>6491.4501711059083</v>
      </c>
      <c r="M27" s="34">
        <v>206.98041713665921</v>
      </c>
      <c r="N27" s="33">
        <v>6502.9369415030633</v>
      </c>
      <c r="O27" s="34">
        <v>195.49240310770193</v>
      </c>
      <c r="P27" s="33">
        <v>6513.6836145027273</v>
      </c>
      <c r="Q27" s="34">
        <v>184.74203847378047</v>
      </c>
      <c r="R27" s="33">
        <v>6523.5875642734136</v>
      </c>
      <c r="S27" s="34">
        <v>174.84145123632075</v>
      </c>
      <c r="T27" s="33">
        <v>6532.4641791300855</v>
      </c>
      <c r="U27" s="34">
        <v>165.96922293148612</v>
      </c>
      <c r="V27" s="33">
        <v>6539.9645096588256</v>
      </c>
      <c r="W27" s="34">
        <v>158.46269265456061</v>
      </c>
      <c r="X27" s="33">
        <v>6545.3167443359598</v>
      </c>
      <c r="Y27" s="34">
        <v>153.10757833997371</v>
      </c>
      <c r="Z27" s="33"/>
      <c r="AA27" s="34"/>
      <c r="AB27" s="33"/>
      <c r="AC27" s="34"/>
      <c r="AD27" s="33"/>
      <c r="AE27" s="34"/>
      <c r="AF27" s="33"/>
      <c r="AG27" s="34"/>
      <c r="AH27" s="33"/>
      <c r="AI27" s="34"/>
      <c r="AJ27" s="33"/>
      <c r="AK27" s="34"/>
      <c r="AL27" s="33"/>
      <c r="AM27" s="34"/>
      <c r="AN27" s="33"/>
      <c r="AO27" s="34"/>
      <c r="AP27" s="33"/>
      <c r="AQ27" s="34"/>
      <c r="AR27" s="33"/>
      <c r="AS27" s="34"/>
      <c r="AT27" s="33"/>
      <c r="AU27" s="34"/>
      <c r="AV27" s="33"/>
      <c r="AW27" s="34"/>
    </row>
    <row r="28" spans="1:49" x14ac:dyDescent="0.2">
      <c r="A28" t="s">
        <v>35</v>
      </c>
      <c r="B28" s="39">
        <v>13763.097676000029</v>
      </c>
      <c r="C28" s="40">
        <v>382.36647899999997</v>
      </c>
      <c r="D28" s="39">
        <v>13494.594448859634</v>
      </c>
      <c r="E28" s="40">
        <v>359.55053752363438</v>
      </c>
      <c r="F28" s="39">
        <v>13193.928488530386</v>
      </c>
      <c r="G28" s="40">
        <v>337.21334010086872</v>
      </c>
      <c r="H28" s="39">
        <v>12857.574597047678</v>
      </c>
      <c r="I28" s="40">
        <v>315.36031054792534</v>
      </c>
      <c r="J28" s="39">
        <v>12481.818863121236</v>
      </c>
      <c r="K28" s="40">
        <v>293.99350678859884</v>
      </c>
      <c r="L28" s="39">
        <v>12062.918315859148</v>
      </c>
      <c r="M28" s="40">
        <v>273.10773574912798</v>
      </c>
      <c r="N28" s="39">
        <v>11597.32978024968</v>
      </c>
      <c r="O28" s="40">
        <v>252.68485769068971</v>
      </c>
      <c r="P28" s="39">
        <v>11082.12561814392</v>
      </c>
      <c r="Q28" s="40">
        <v>232.6833689595278</v>
      </c>
      <c r="R28" s="39">
        <v>10515.669142884029</v>
      </c>
      <c r="S28" s="40">
        <v>213.01950857423799</v>
      </c>
      <c r="T28" s="39">
        <v>9898.8261005352051</v>
      </c>
      <c r="U28" s="40">
        <v>193.52863612524888</v>
      </c>
      <c r="V28" s="39">
        <v>9237.5839825099247</v>
      </c>
      <c r="W28" s="40">
        <v>173.87235828936059</v>
      </c>
      <c r="X28" s="39">
        <v>8550.4272179637464</v>
      </c>
      <c r="Y28" s="40">
        <v>153.25861992894161</v>
      </c>
      <c r="Z28" s="39"/>
      <c r="AA28" s="40"/>
      <c r="AB28" s="39"/>
      <c r="AC28" s="40"/>
      <c r="AD28" s="39"/>
      <c r="AE28" s="40"/>
      <c r="AF28" s="39"/>
      <c r="AG28" s="40"/>
      <c r="AH28" s="39"/>
      <c r="AI28" s="40"/>
      <c r="AJ28" s="39"/>
      <c r="AK28" s="40"/>
      <c r="AL28" s="39"/>
      <c r="AM28" s="40"/>
      <c r="AN28" s="39"/>
      <c r="AO28" s="40"/>
      <c r="AP28" s="39"/>
      <c r="AQ28" s="40"/>
      <c r="AR28" s="39"/>
      <c r="AS28" s="40"/>
      <c r="AT28" s="39"/>
      <c r="AU28" s="40"/>
      <c r="AV28" s="39"/>
      <c r="AW28" s="40"/>
    </row>
    <row r="29" spans="1:49" x14ac:dyDescent="0.2">
      <c r="A29" t="s">
        <v>53</v>
      </c>
      <c r="B29" s="33">
        <v>14362.768558000025</v>
      </c>
      <c r="C29" s="34">
        <v>817.26650999999993</v>
      </c>
      <c r="D29" s="33">
        <v>14070.265738134476</v>
      </c>
      <c r="E29" s="34">
        <v>763.98411966236313</v>
      </c>
      <c r="F29" s="33">
        <v>13744.432733991647</v>
      </c>
      <c r="G29" s="34">
        <v>712.11636624996174</v>
      </c>
      <c r="H29" s="33">
        <v>13381.763576317186</v>
      </c>
      <c r="I29" s="34">
        <v>661.69698577944519</v>
      </c>
      <c r="J29" s="33">
        <v>12978.584830369746</v>
      </c>
      <c r="K29" s="34">
        <v>612.75489540368915</v>
      </c>
      <c r="L29" s="33">
        <v>12531.219899355583</v>
      </c>
      <c r="M29" s="34">
        <v>565.30680780829982</v>
      </c>
      <c r="N29" s="33">
        <v>12036.220857313785</v>
      </c>
      <c r="O29" s="34">
        <v>519.3474190905157</v>
      </c>
      <c r="P29" s="33">
        <v>11490.787053512413</v>
      </c>
      <c r="Q29" s="34">
        <v>474.83132845552512</v>
      </c>
      <c r="R29" s="33">
        <v>10893.441613864245</v>
      </c>
      <c r="S29" s="34">
        <v>431.64180049043466</v>
      </c>
      <c r="T29" s="33">
        <v>10245.243541160416</v>
      </c>
      <c r="U29" s="34">
        <v>389.52865980344018</v>
      </c>
      <c r="V29" s="33">
        <v>9552.4127797978854</v>
      </c>
      <c r="W29" s="34">
        <v>347.96057178529566</v>
      </c>
      <c r="X29" s="33">
        <v>8833.7381773888701</v>
      </c>
      <c r="Y29" s="34">
        <v>305.67711818285528</v>
      </c>
      <c r="Z29" s="33"/>
      <c r="AA29" s="34"/>
      <c r="AB29" s="33"/>
      <c r="AC29" s="34"/>
      <c r="AD29" s="33"/>
      <c r="AE29" s="34"/>
      <c r="AF29" s="33"/>
      <c r="AG29" s="34"/>
      <c r="AH29" s="33"/>
      <c r="AI29" s="34"/>
      <c r="AJ29" s="33"/>
      <c r="AK29" s="34"/>
      <c r="AL29" s="33"/>
      <c r="AM29" s="34"/>
      <c r="AN29" s="33"/>
      <c r="AO29" s="34"/>
      <c r="AP29" s="33"/>
      <c r="AQ29" s="34"/>
      <c r="AR29" s="33"/>
      <c r="AS29" s="34"/>
      <c r="AT29" s="33"/>
      <c r="AU29" s="34"/>
      <c r="AV29" s="33"/>
      <c r="AW29" s="34"/>
    </row>
    <row r="30" spans="1:49" x14ac:dyDescent="0.2">
      <c r="A30" t="s">
        <v>48</v>
      </c>
      <c r="B30" s="112">
        <v>2924829.9599999995</v>
      </c>
      <c r="D30" s="112">
        <v>2865451.5333834123</v>
      </c>
      <c r="F30" s="112">
        <v>2799420.0249893581</v>
      </c>
      <c r="H30" s="112">
        <v>2726000.7490963372</v>
      </c>
      <c r="J30" s="112">
        <v>2644421.4184305621</v>
      </c>
      <c r="L30" s="112">
        <v>2553902.9267242257</v>
      </c>
      <c r="N30" s="112">
        <v>2453705.7815097906</v>
      </c>
      <c r="P30" s="112">
        <v>2343210.64142593</v>
      </c>
      <c r="R30" s="112">
        <v>2222049.4409734821</v>
      </c>
      <c r="T30" s="112">
        <v>2090337.8134924332</v>
      </c>
      <c r="V30" s="112">
        <v>1949168.4603231596</v>
      </c>
      <c r="X30" s="112">
        <v>1801983.9482338694</v>
      </c>
      <c r="Z30" s="112"/>
      <c r="AB30" s="112"/>
      <c r="AD30" s="112"/>
      <c r="AF30" s="112"/>
      <c r="AH30" s="112"/>
      <c r="AJ30" s="112"/>
      <c r="AL30" s="112"/>
      <c r="AN30" s="112"/>
      <c r="AP30" s="112"/>
      <c r="AR30" s="112"/>
      <c r="AT30" s="112"/>
      <c r="AV30" s="112"/>
    </row>
    <row r="31" spans="1:49" x14ac:dyDescent="0.2">
      <c r="A31" t="s">
        <v>47</v>
      </c>
      <c r="B31" s="77">
        <v>1</v>
      </c>
      <c r="D31" s="77">
        <v>0.97822030048550723</v>
      </c>
      <c r="F31" s="77">
        <v>0.9541557482871974</v>
      </c>
      <c r="H31" s="77">
        <v>0.92758169713563066</v>
      </c>
      <c r="J31" s="77">
        <v>0.89826490799738856</v>
      </c>
      <c r="L31" s="77">
        <v>0.86597442352103915</v>
      </c>
      <c r="N31" s="77">
        <v>0.83049645485730972</v>
      </c>
      <c r="P31" s="77">
        <v>0.79166104553266547</v>
      </c>
      <c r="R31" s="77">
        <v>0.74938453861859256</v>
      </c>
      <c r="T31" s="77">
        <v>0.70374513574431197</v>
      </c>
      <c r="V31" s="77">
        <v>0.65514606436598044</v>
      </c>
      <c r="X31" s="77">
        <v>0.60477486065177044</v>
      </c>
      <c r="Z31" s="77"/>
      <c r="AB31" s="77"/>
      <c r="AD31" s="77"/>
      <c r="AF31" s="77"/>
      <c r="AH31" s="77"/>
      <c r="AJ31" s="77"/>
      <c r="AL31" s="77"/>
      <c r="AN31" s="77"/>
      <c r="AP31" s="77"/>
      <c r="AR31" s="77"/>
      <c r="AT31" s="77"/>
      <c r="AV31" s="77"/>
    </row>
    <row r="32" spans="1:49" x14ac:dyDescent="0.2">
      <c r="A32" t="s">
        <v>64</v>
      </c>
      <c r="B32" s="83">
        <v>14734457.915000005</v>
      </c>
      <c r="D32" s="83">
        <v>14435325.516531983</v>
      </c>
      <c r="F32" s="83">
        <v>14102677.522922929</v>
      </c>
      <c r="H32" s="83">
        <v>13732813.432445977</v>
      </c>
      <c r="J32" s="83">
        <v>13321840.145154057</v>
      </c>
      <c r="L32" s="83">
        <v>12865834.555356635</v>
      </c>
      <c r="N32" s="83">
        <v>12361069.419090962</v>
      </c>
      <c r="P32" s="83">
        <v>11804425.554058742</v>
      </c>
      <c r="R32" s="83">
        <v>11194050.687103219</v>
      </c>
      <c r="T32" s="83">
        <v>10530525.659006597</v>
      </c>
      <c r="V32" s="83">
        <v>9819353.9482715074</v>
      </c>
      <c r="X32" s="83">
        <v>9077880.2370463125</v>
      </c>
      <c r="Z32" s="83"/>
      <c r="AB32" s="83"/>
      <c r="AD32" s="83"/>
      <c r="AF32" s="83"/>
      <c r="AH32" s="83"/>
      <c r="AJ32" s="83"/>
      <c r="AL32" s="83"/>
      <c r="AN32" s="83"/>
      <c r="AP32" s="83"/>
      <c r="AR32" s="83"/>
      <c r="AT32" s="83"/>
      <c r="AV32" s="83"/>
    </row>
    <row r="33" spans="1:49 16319:16384" x14ac:dyDescent="0.2">
      <c r="A33" t="s">
        <v>54</v>
      </c>
      <c r="B33" s="111">
        <v>7019665.6909999941</v>
      </c>
      <c r="D33" s="111">
        <v>6877155.6910757441</v>
      </c>
      <c r="F33" s="111">
        <v>6718678.3424164187</v>
      </c>
      <c r="H33" s="111">
        <v>6542470.7087706104</v>
      </c>
      <c r="J33" s="111">
        <v>6346678.2916784985</v>
      </c>
      <c r="L33" s="111">
        <v>6129431.9555486739</v>
      </c>
      <c r="N33" s="111">
        <v>5888956.0282724323</v>
      </c>
      <c r="P33" s="111">
        <v>5623764.4834158756</v>
      </c>
      <c r="R33" s="111">
        <v>5332974.8510365896</v>
      </c>
      <c r="T33" s="111">
        <v>5016863.8728234768</v>
      </c>
      <c r="V33" s="111">
        <v>4678053.4722086014</v>
      </c>
      <c r="X33" s="111">
        <v>4324806.8653989406</v>
      </c>
      <c r="Z33" s="111"/>
      <c r="AB33" s="111"/>
      <c r="AD33" s="111"/>
      <c r="AF33" s="111"/>
      <c r="AH33" s="111"/>
      <c r="AJ33" s="111"/>
      <c r="AL33" s="111"/>
      <c r="AN33" s="111"/>
      <c r="AP33" s="111"/>
      <c r="AR33" s="111"/>
      <c r="AT33" s="111"/>
      <c r="AV33" s="111"/>
    </row>
    <row r="34" spans="1:49 16319:16384" x14ac:dyDescent="0.2">
      <c r="A34" t="s">
        <v>75</v>
      </c>
      <c r="B34" s="111">
        <v>1136879.4410000113</v>
      </c>
      <c r="D34" s="111">
        <v>1113798.8926522373</v>
      </c>
      <c r="F34" s="111">
        <v>1088132.4907430562</v>
      </c>
      <c r="H34" s="111">
        <v>1059594.6819655881</v>
      </c>
      <c r="J34" s="111">
        <v>1027884.8600742287</v>
      </c>
      <c r="L34" s="111">
        <v>992700.45317950437</v>
      </c>
      <c r="N34" s="111">
        <v>953753.84189508017</v>
      </c>
      <c r="P34" s="111">
        <v>910804.37084345543</v>
      </c>
      <c r="R34" s="111">
        <v>863709.15151288733</v>
      </c>
      <c r="T34" s="111">
        <v>812512.97491058346</v>
      </c>
      <c r="V34" s="111">
        <v>757640.47095340805</v>
      </c>
      <c r="X34" s="111">
        <v>700429.91686687421</v>
      </c>
      <c r="Z34" s="111"/>
      <c r="AB34" s="111"/>
      <c r="AD34" s="111"/>
      <c r="AF34" s="111"/>
      <c r="AH34" s="111"/>
      <c r="AJ34" s="111"/>
      <c r="AL34" s="111"/>
      <c r="AN34" s="111"/>
      <c r="AP34" s="111"/>
      <c r="AR34" s="111"/>
      <c r="AT34" s="111"/>
      <c r="AV34" s="111"/>
    </row>
    <row r="35" spans="1:49 16319:16384" x14ac:dyDescent="0.2">
      <c r="A35" t="s">
        <v>78</v>
      </c>
      <c r="B35" s="192">
        <v>1</v>
      </c>
      <c r="D35" s="192">
        <v>1.0015113060377812</v>
      </c>
      <c r="F35" s="192">
        <v>1.0031109413688379</v>
      </c>
      <c r="H35" s="192">
        <v>1.0047915560228962</v>
      </c>
      <c r="J35" s="192">
        <v>1.0065428417791857</v>
      </c>
      <c r="L35" s="192">
        <v>1.00835088485811</v>
      </c>
      <c r="N35" s="192">
        <v>1.0101974729621268</v>
      </c>
      <c r="P35" s="192">
        <v>1.0120595307749318</v>
      </c>
      <c r="R35" s="192">
        <v>1.0139086939120825</v>
      </c>
      <c r="T35" s="192">
        <v>1.0157110433332333</v>
      </c>
      <c r="V35" s="192">
        <v>1.0174267403938364</v>
      </c>
      <c r="X35" s="192">
        <v>1.0190068786195408</v>
      </c>
      <c r="Z35" s="192"/>
      <c r="AB35" s="192"/>
      <c r="AD35" s="192"/>
      <c r="AF35" s="192"/>
      <c r="AH35" s="192"/>
      <c r="AJ35" s="192"/>
      <c r="AL35" s="192"/>
      <c r="AN35" s="192"/>
      <c r="AP35" s="192"/>
      <c r="AR35" s="192"/>
      <c r="AT35" s="192"/>
      <c r="AV35" s="192"/>
    </row>
    <row r="36" spans="1:49 16319:16384" x14ac:dyDescent="0.2">
      <c r="A36" t="s">
        <v>21</v>
      </c>
      <c r="B36" s="35">
        <v>0.47195767671988198</v>
      </c>
      <c r="C36" s="36">
        <v>0.31738834428178964</v>
      </c>
      <c r="D36" s="35">
        <v>0.4719681336755811</v>
      </c>
      <c r="E36" s="36">
        <v>0.31884082933639185</v>
      </c>
      <c r="F36" s="35">
        <v>0.4719780823518222</v>
      </c>
      <c r="G36" s="36">
        <v>0.32030507132765251</v>
      </c>
      <c r="H36" s="35">
        <v>0.47198749420365427</v>
      </c>
      <c r="I36" s="36">
        <v>0.32177226824369692</v>
      </c>
      <c r="J36" s="35">
        <v>0.47199634162324816</v>
      </c>
      <c r="K36" s="36">
        <v>0.32323221405967761</v>
      </c>
      <c r="L36" s="35">
        <v>0.47200460311567966</v>
      </c>
      <c r="M36" s="36">
        <v>0.32467397303695722</v>
      </c>
      <c r="N36" s="35">
        <v>0.47201227709180488</v>
      </c>
      <c r="O36" s="36">
        <v>0.32608774527079232</v>
      </c>
      <c r="P36" s="35">
        <v>0.4720194073752238</v>
      </c>
      <c r="Q36" s="36">
        <v>0.32746888191883267</v>
      </c>
      <c r="R36" s="35">
        <v>0.47202614044080637</v>
      </c>
      <c r="S36" s="36">
        <v>0.32882695771637782</v>
      </c>
      <c r="T36" s="35">
        <v>0.47203285811592199</v>
      </c>
      <c r="U36" s="36">
        <v>0.3302070809845325</v>
      </c>
      <c r="V36" s="35">
        <v>0.47204052886862508</v>
      </c>
      <c r="W36" s="36">
        <v>0.33174655297411937</v>
      </c>
      <c r="X36" s="35">
        <v>0.4720518528383354</v>
      </c>
      <c r="Y36" s="36">
        <v>0.33385882544725753</v>
      </c>
      <c r="Z36" s="35"/>
      <c r="AA36" s="36"/>
      <c r="AB36" s="35"/>
      <c r="AC36" s="36"/>
      <c r="AD36" s="35"/>
      <c r="AE36" s="36"/>
      <c r="AF36" s="35"/>
      <c r="AG36" s="36"/>
      <c r="AH36" s="35"/>
      <c r="AI36" s="36"/>
      <c r="AJ36" s="35"/>
      <c r="AK36" s="36"/>
      <c r="AL36" s="35"/>
      <c r="AM36" s="36"/>
      <c r="AN36" s="35"/>
      <c r="AO36" s="36"/>
      <c r="AP36" s="35"/>
      <c r="AQ36" s="36"/>
      <c r="AR36" s="35"/>
      <c r="AS36" s="36"/>
      <c r="AT36" s="35"/>
      <c r="AU36" s="36"/>
      <c r="AV36" s="35"/>
      <c r="AW36" s="36"/>
    </row>
    <row r="37" spans="1:49 16319:16384" x14ac:dyDescent="0.2">
      <c r="B37" s="37">
        <v>2.1403217525954466E-2</v>
      </c>
      <c r="C37" s="38">
        <v>0.3496246130199252</v>
      </c>
      <c r="D37" s="37">
        <v>2.0982147039590292E-2</v>
      </c>
      <c r="E37" s="38">
        <v>0.34707789329534705</v>
      </c>
      <c r="F37" s="37">
        <v>2.0566971694143673E-2</v>
      </c>
      <c r="G37" s="38">
        <v>0.34453570110931525</v>
      </c>
      <c r="H37" s="37">
        <v>2.0159627391667611E-2</v>
      </c>
      <c r="I37" s="38">
        <v>0.34200931031453025</v>
      </c>
      <c r="J37" s="37">
        <v>1.9762273286605549E-2</v>
      </c>
      <c r="K37" s="38">
        <v>0.33951211291110567</v>
      </c>
      <c r="L37" s="37">
        <v>1.9377255667618561E-2</v>
      </c>
      <c r="M37" s="38">
        <v>0.33705989078112447</v>
      </c>
      <c r="N37" s="37">
        <v>1.9007018729745445E-2</v>
      </c>
      <c r="O37" s="38">
        <v>0.33467126785585699</v>
      </c>
      <c r="P37" s="37">
        <v>1.8653895931837895E-2</v>
      </c>
      <c r="Q37" s="38">
        <v>0.33236823165280477</v>
      </c>
      <c r="R37" s="37">
        <v>1.8319664575206528E-2</v>
      </c>
      <c r="S37" s="38">
        <v>0.33017722156434898</v>
      </c>
      <c r="T37" s="37">
        <v>1.8004550104326212E-2</v>
      </c>
      <c r="U37" s="38">
        <v>0.32813182236356686</v>
      </c>
      <c r="V37" s="37">
        <v>1.7704686596131954E-2</v>
      </c>
      <c r="W37" s="38">
        <v>0.32628063009329583</v>
      </c>
      <c r="X37" s="37">
        <v>1.7404345266795535E-2</v>
      </c>
      <c r="Y37" s="38">
        <v>0.32471666146417044</v>
      </c>
      <c r="Z37" s="37"/>
      <c r="AA37" s="38"/>
      <c r="AB37" s="37"/>
      <c r="AC37" s="38"/>
      <c r="AD37" s="37"/>
      <c r="AE37" s="38"/>
      <c r="AF37" s="37"/>
      <c r="AG37" s="38"/>
      <c r="AH37" s="37"/>
      <c r="AI37" s="38"/>
      <c r="AJ37" s="37"/>
      <c r="AK37" s="38"/>
      <c r="AL37" s="37"/>
      <c r="AM37" s="38"/>
      <c r="AN37" s="37"/>
      <c r="AO37" s="38"/>
      <c r="AP37" s="37"/>
      <c r="AQ37" s="38"/>
      <c r="AR37" s="37"/>
      <c r="AS37" s="38"/>
      <c r="AT37" s="37"/>
      <c r="AU37" s="38"/>
      <c r="AV37" s="37"/>
      <c r="AW37" s="38"/>
    </row>
    <row r="38" spans="1:49 16319:16384" x14ac:dyDescent="0.2">
      <c r="A38" t="s">
        <v>22</v>
      </c>
      <c r="B38" s="35">
        <v>0.18079094942242827</v>
      </c>
      <c r="C38" s="36">
        <v>6.0565413429233668E-2</v>
      </c>
      <c r="D38" s="35">
        <v>0.17766157969185919</v>
      </c>
      <c r="E38" s="36">
        <v>5.9685565328623E-2</v>
      </c>
      <c r="F38" s="35">
        <v>0.17452355297191993</v>
      </c>
      <c r="G38" s="36">
        <v>5.8813075665934716E-2</v>
      </c>
      <c r="H38" s="35">
        <v>0.17138964037443069</v>
      </c>
      <c r="I38" s="36">
        <v>5.7952118396373035E-2</v>
      </c>
      <c r="J38" s="35">
        <v>0.1682757987654922</v>
      </c>
      <c r="K38" s="36">
        <v>5.7107618740304289E-2</v>
      </c>
      <c r="L38" s="35">
        <v>0.16520148538184096</v>
      </c>
      <c r="M38" s="36">
        <v>5.628490861573076E-2</v>
      </c>
      <c r="N38" s="35">
        <v>0.16219029819028105</v>
      </c>
      <c r="O38" s="36">
        <v>5.548963855860653E-2</v>
      </c>
      <c r="P38" s="35">
        <v>0.15927028985636876</v>
      </c>
      <c r="Q38" s="36">
        <v>5.4726802573983629E-2</v>
      </c>
      <c r="R38" s="35">
        <v>0.15647458695460001</v>
      </c>
      <c r="S38" s="36">
        <v>5.3998952085492977E-2</v>
      </c>
      <c r="T38" s="35">
        <v>0.15384278030329249</v>
      </c>
      <c r="U38" s="36">
        <v>5.3301958819791474E-2</v>
      </c>
      <c r="V38" s="35">
        <v>0.15142470165245731</v>
      </c>
      <c r="W38" s="36">
        <v>5.2613891689633596E-2</v>
      </c>
      <c r="X38" s="35">
        <v>0.14929517127758063</v>
      </c>
      <c r="Y38" s="36">
        <v>5.1860856649228043E-2</v>
      </c>
      <c r="Z38" s="35"/>
      <c r="AA38" s="36"/>
      <c r="AB38" s="35"/>
      <c r="AC38" s="36"/>
      <c r="AD38" s="35"/>
      <c r="AE38" s="36"/>
      <c r="AF38" s="35"/>
      <c r="AG38" s="36"/>
      <c r="AH38" s="35"/>
      <c r="AI38" s="36"/>
      <c r="AJ38" s="35"/>
      <c r="AK38" s="36"/>
      <c r="AL38" s="35"/>
      <c r="AM38" s="36"/>
      <c r="AN38" s="35"/>
      <c r="AO38" s="36"/>
      <c r="AP38" s="35"/>
      <c r="AQ38" s="36"/>
      <c r="AR38" s="35"/>
      <c r="AS38" s="36"/>
      <c r="AT38" s="35"/>
      <c r="AU38" s="36"/>
      <c r="AV38" s="35"/>
      <c r="AW38" s="36"/>
    </row>
    <row r="39" spans="1:49 16319:16384" x14ac:dyDescent="0.2">
      <c r="A39" t="s">
        <v>23</v>
      </c>
      <c r="B39" s="37">
        <v>0.23064923795098771</v>
      </c>
      <c r="C39" s="38">
        <v>0.22092201281804777</v>
      </c>
      <c r="D39" s="37">
        <v>0.23596216514509727</v>
      </c>
      <c r="E39" s="38">
        <v>0.22349090163744015</v>
      </c>
      <c r="F39" s="37">
        <v>0.24206882320680617</v>
      </c>
      <c r="G39" s="38">
        <v>0.22649628399890942</v>
      </c>
      <c r="H39" s="37">
        <v>0.24913685499879176</v>
      </c>
      <c r="I39" s="38">
        <v>0.23004237297483679</v>
      </c>
      <c r="J39" s="37">
        <v>0.25737800806401268</v>
      </c>
      <c r="K39" s="38">
        <v>0.23426796527998542</v>
      </c>
      <c r="L39" s="37">
        <v>0.26706186905010804</v>
      </c>
      <c r="M39" s="38">
        <v>0.2393635432559352</v>
      </c>
      <c r="N39" s="37">
        <v>0.27853279449608004</v>
      </c>
      <c r="O39" s="38">
        <v>0.2455978784387042</v>
      </c>
      <c r="P39" s="37">
        <v>0.29223196967434001</v>
      </c>
      <c r="Q39" s="38">
        <v>0.25336807183803917</v>
      </c>
      <c r="R39" s="37">
        <v>0.30872120988475649</v>
      </c>
      <c r="S39" s="38">
        <v>0.26329675740852115</v>
      </c>
      <c r="T39" s="37">
        <v>0.32869574712109861</v>
      </c>
      <c r="U39" s="38">
        <v>0.27644656889343006</v>
      </c>
      <c r="V39" s="37">
        <v>0.35293528787816486</v>
      </c>
      <c r="W39" s="38">
        <v>0.29487662929925007</v>
      </c>
      <c r="X39" s="37">
        <v>0.38195238870002673</v>
      </c>
      <c r="Y39" s="38">
        <v>0.32344030680961872</v>
      </c>
      <c r="Z39" s="37"/>
      <c r="AA39" s="38"/>
      <c r="AB39" s="37"/>
      <c r="AC39" s="38"/>
      <c r="AD39" s="37"/>
      <c r="AE39" s="38"/>
      <c r="AF39" s="37"/>
      <c r="AG39" s="38"/>
      <c r="AH39" s="37"/>
      <c r="AI39" s="38"/>
      <c r="AJ39" s="37"/>
      <c r="AK39" s="38"/>
      <c r="AL39" s="37"/>
      <c r="AM39" s="38"/>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9.6569518637566507E-2</v>
      </c>
      <c r="E42" s="126"/>
      <c r="F42" s="167">
        <f>6.1%+(1-6.1%)*(1-SUM(F26:G26)/SUM($B$26:$C$26))</f>
        <v>0.13355834335290084</v>
      </c>
      <c r="G42" s="126"/>
      <c r="H42" s="167">
        <f>6.1%+(1-6.1%)*(1-SUM(H26:I26)/SUM($B$26:$C$26))</f>
        <v>0.17200467206238246</v>
      </c>
      <c r="I42" s="126"/>
      <c r="J42" s="167">
        <f>6.1%+(1-6.1%)*(1-SUM(J26:K26)/SUM($B$26:$C$26))</f>
        <v>0.21193310626634021</v>
      </c>
      <c r="K42" s="126"/>
      <c r="L42" s="167">
        <f>6.1%+(1-6.1%)*(1-SUM(L26:M26)/SUM($B$26:$C$26))</f>
        <v>0.25334726164810484</v>
      </c>
      <c r="M42" s="126"/>
      <c r="N42" s="167">
        <f>6.1%+(1-6.1%)*(1-SUM(N26:O26)/SUM($B$26:$C$26))</f>
        <v>0.2962195953830139</v>
      </c>
      <c r="O42" s="126"/>
      <c r="P42" s="167">
        <f>6.1%+(1-6.1%)*(1-SUM(P26:Q26)/SUM($B$26:$C$26))</f>
        <v>0.34047575978985001</v>
      </c>
      <c r="Q42" s="126"/>
      <c r="R42" s="167">
        <f>6.1%+(1-6.1%)*(1-SUM(R26:S26)/SUM($B$26:$C$26))</f>
        <v>0.38596804377011174</v>
      </c>
      <c r="S42" s="126"/>
      <c r="T42" s="167">
        <f>6.1%+(1-6.1%)*(1-SUM(T26:U26)/SUM($B$26:$C$26))</f>
        <v>0.43242320201140394</v>
      </c>
      <c r="U42" s="126"/>
      <c r="V42" s="167">
        <f>6.1%+(1-6.1%)*(1-SUM(V26:W26)/SUM($B$26:$C$26))</f>
        <v>0.47931631656750556</v>
      </c>
      <c r="W42" s="126"/>
      <c r="X42" s="167">
        <f>6.1%+(1-6.1%)*(1-SUM(X26:Y26)/SUM($B$26:$C$26))</f>
        <v>0.52547692258487921</v>
      </c>
      <c r="Y42" s="152"/>
      <c r="Z42" s="167">
        <f>6.1%+(1-6.1%)*(1-SUM(Z26:AA26)/SUM($B$26:$C$26))</f>
        <v>1</v>
      </c>
      <c r="AA42" s="126"/>
      <c r="AB42" s="167">
        <f>6.1%+(1-6.1%)*(1-SUM(AB26:AC26)/SUM($B$26:$C$26))</f>
        <v>1</v>
      </c>
      <c r="AC42" s="126"/>
      <c r="AD42" s="167">
        <f>6.1%+(1-6.1%)*(1-SUM(AD26:AE26)/SUM($B$26:$C$26))</f>
        <v>1</v>
      </c>
      <c r="AE42" s="126"/>
      <c r="AF42" s="167">
        <f>6.1%+(1-6.1%)*(1-SUM(AF26:AG26)/SUM($B$26:$C$26))</f>
        <v>1</v>
      </c>
      <c r="AG42" s="126"/>
      <c r="AH42" s="167">
        <f>6.1%+(1-6.1%)*(1-SUM(AH26:AI26)/SUM($B$26:$C$26))</f>
        <v>1</v>
      </c>
      <c r="AI42" s="126"/>
      <c r="AJ42" s="167">
        <f>6.1%+(1-6.1%)*(1-SUM(AJ26:AK26)/SUM($B$26:$C$26))</f>
        <v>1</v>
      </c>
      <c r="AK42" s="126"/>
      <c r="AL42" s="167">
        <f>6.1%+(1-6.1%)*(1-SUM(AL26:AM26)/SUM($B$26:$C$26))</f>
        <v>1</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0.57432378574222376</v>
      </c>
      <c r="E43" s="126"/>
      <c r="F43" s="152">
        <f t="array" ref="F43">SUM(F15:G15*F27:G27)/SUM(F15:G15*F27:G27,F13:G13*F26:G26)</f>
        <v>0.58145504302211415</v>
      </c>
      <c r="G43" s="126"/>
      <c r="H43" s="152">
        <f t="array" ref="H43">SUM(H15:I15*H27:I27)/SUM(H15:I15*H27:I27,H13:I13*H26:I26)</f>
        <v>0.58856654989053936</v>
      </c>
      <c r="I43" s="126"/>
      <c r="J43" s="152">
        <f t="array" ref="J43">SUM(J15:K15*J27:K27)/SUM(J15:K15*J27:K27,J13:K13*J26:K26)</f>
        <v>0.59562307084409583</v>
      </c>
      <c r="K43" s="126"/>
      <c r="L43" s="152">
        <f t="array" ref="L43">SUM(L15:M15*L27:M27)/SUM(L15:M15*L27:M27,L13:M13*L26:M26)</f>
        <v>0.60258202037385333</v>
      </c>
      <c r="M43" s="126"/>
      <c r="N43" s="152">
        <f t="array" ref="N43">SUM(N15:O15*N27:O27)/SUM(N15:O15*N27:O27,N13:O13*N26:O26)</f>
        <v>0.60939068812389108</v>
      </c>
      <c r="O43" s="126"/>
      <c r="P43" s="152">
        <f t="array" ref="P43">SUM(P15:Q15*P27:Q27)/SUM(P15:Q15*P27:Q27,P13:Q13*P26:Q26)</f>
        <v>0.61598576559399887</v>
      </c>
      <c r="Q43" s="126"/>
      <c r="R43" s="152">
        <f t="array" ref="R43">SUM(R15:S15*R27:S27)/SUM(R15:S15*R27:S27,R13:S13*R26:S26)</f>
        <v>0.62229062891691977</v>
      </c>
      <c r="S43" s="126"/>
      <c r="T43" s="152">
        <f t="array" ref="T43">SUM(T15:U15*T27:U27)/SUM(T15:U15*T27:U27,T13:U13*T26:U26)</f>
        <v>0.62820822907087093</v>
      </c>
      <c r="U43" s="126"/>
      <c r="V43" s="152">
        <f t="array" ref="V43">SUM(V15:W15*V27:W27)/SUM(V15:W15*V27:W27,V13:W13*V26:W26)</f>
        <v>0.63360504072005075</v>
      </c>
      <c r="W43" s="126"/>
      <c r="X43" s="152">
        <f t="array" ref="X43">SUM(X15:Y15*X27:Y27)/SUM(X15:Y15*X27:Y27,X13:Y13*X26:Y26)</f>
        <v>0.63825259958638347</v>
      </c>
      <c r="Y43" s="126"/>
      <c r="Z43" s="152" t="e">
        <f t="array" ref="Z43">SUM(Z15:AA15*Z27:AA27)/SUM(Z15:AA15*Z27:AA27,Z13:AA13*Z26:AA26)</f>
        <v>#DIV/0!</v>
      </c>
      <c r="AA43" s="126"/>
      <c r="AB43" s="152" t="e">
        <f t="array" ref="AB43">SUM(AB15:AC15*AB27:AC27)/SUM(AB15:AC15*AB27:AC27,AB13:AC13*AB26:AC26)</f>
        <v>#DIV/0!</v>
      </c>
      <c r="AC43" s="126"/>
      <c r="AD43" s="152" t="e">
        <f t="array" ref="AD43">SUM(AD15:AE15*AD27:AE27)/SUM(AD15:AE15*AD27:AE27,AD13:AE13*AD26:AE26)</f>
        <v>#DIV/0!</v>
      </c>
      <c r="AE43" s="126"/>
      <c r="AF43" s="152" t="e">
        <f t="array" ref="AF43">SUM(AF15:AG15*AF27:AG27)/SUM(AF15:AG15*AF27:AG27,AF13:AG13*AF26:AG26)</f>
        <v>#DIV/0!</v>
      </c>
      <c r="AG43" s="126"/>
      <c r="AH43" s="152" t="e">
        <f t="array" ref="AH43">SUM(AH15:AI15*AH27:AI27)/SUM(AH15:AI15*AH27:AI27,AH13:AI13*AH26:AI26)</f>
        <v>#DIV/0!</v>
      </c>
      <c r="AI43" s="126"/>
      <c r="AJ43" s="152" t="e">
        <f t="array" ref="AJ43">SUM(AJ15:AK15*AJ27:AK27)/SUM(AJ15:AK15*AJ27:AK27,AJ13:AK13*AJ26:AK26)</f>
        <v>#DIV/0!</v>
      </c>
      <c r="AK43" s="126"/>
      <c r="AL43" s="152" t="e">
        <f t="array" ref="AL43">SUM(AL15:AM15*AL27:AM27)/SUM(AL15:AM15*AL27:AM27,AL13:AM13*AL26:AM26)</f>
        <v>#DIV/0!</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0.29754226190682431</v>
      </c>
      <c r="D44" s="183">
        <f>(SUM(D11:E11*D24:E24)+D34)/D32</f>
        <v>0.29754225326427347</v>
      </c>
      <c r="F44" s="183">
        <f>(SUM(F11:G11*F24:G24)+F34)/F32</f>
        <v>0.29754225362050701</v>
      </c>
      <c r="H44" s="183">
        <f>(SUM(H11:I11*H24:I24)+H34)/H32</f>
        <v>0.29754226177904325</v>
      </c>
      <c r="J44" s="183">
        <f>(SUM(J11:K11*J24:K24)+J34)/J32</f>
        <v>0.29754226200435008</v>
      </c>
      <c r="L44" s="183">
        <f>(SUM(L11:M11*L24:M24)+L34)/L32</f>
        <v>0.29754226308016246</v>
      </c>
      <c r="N44" s="183">
        <f>(SUM(N11:O11*N24:O24)+N34)/N32</f>
        <v>0.29754226269413792</v>
      </c>
      <c r="P44" s="183">
        <f>(SUM(P11:Q11*P24:Q24)+P34)/P32</f>
        <v>0.29754226167125369</v>
      </c>
      <c r="R44" s="183">
        <f>(SUM(R11:S11*R24:S24)+R34)/R32</f>
        <v>0.29754226219312124</v>
      </c>
      <c r="T44" s="183">
        <f>(SUM(T11:U11*T24:U24)+T34)/T32</f>
        <v>0.29754226240515802</v>
      </c>
      <c r="V44" s="183">
        <f>(SUM(V11:W11*V24:W24)+V34)/V32</f>
        <v>0.29754226196273659</v>
      </c>
      <c r="X44" s="183">
        <f>(SUM(X11:Y11*X24:Y24)+X34)/X32</f>
        <v>0.29754225965108111</v>
      </c>
      <c r="Z44" s="183" t="e">
        <f>(SUM(Z11:AA11*Z24:AA24)+Z34)/Z32</f>
        <v>#DIV/0!</v>
      </c>
      <c r="AB44" s="183" t="e">
        <f>(SUM(AB11:AC11*AB24:AC24)+AB34)/AB32</f>
        <v>#DIV/0!</v>
      </c>
      <c r="AD44" s="183" t="e">
        <f>(SUM(AD11:AE11*AD24:AE24)+AD34)/AD32</f>
        <v>#DIV/0!</v>
      </c>
      <c r="AF44" s="183" t="e">
        <f>(SUM(AF11:AG11*AF24:AG24)+AF34)/AF32</f>
        <v>#DIV/0!</v>
      </c>
      <c r="AH44" s="183" t="e">
        <f>(SUM(AH11:AI11*AH24:AI24)+AH34)/AH32</f>
        <v>#DIV/0!</v>
      </c>
      <c r="AJ44" s="183" t="e">
        <f>(SUM(AJ11:AK11*AJ24:AK24)+AJ34)/AJ32</f>
        <v>#DIV/0!</v>
      </c>
      <c r="AL44" s="183" t="e">
        <f>(SUM(AL11:AM11*AL24:AM24)+AL34)/AL32</f>
        <v>#DIV/0!</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0.22038438859564063</v>
      </c>
      <c r="F45" s="183">
        <f>SUM(F11:G11*F24:G24)/F32</f>
        <v>0.22038438845806732</v>
      </c>
      <c r="H45" s="183">
        <f>SUM(H11:I11*H24:I24)/H32</f>
        <v>0.22038438825386117</v>
      </c>
      <c r="J45" s="183">
        <f>SUM(J11:K11*J24:K24)/J32</f>
        <v>0.22038438825159146</v>
      </c>
      <c r="L45" s="183">
        <f>SUM(L11:M11*L24:M24)/L32</f>
        <v>0.22038438817447298</v>
      </c>
      <c r="N45" s="183">
        <f>SUM(N11:O11*N24:O24)/N32</f>
        <v>0.22038438827737733</v>
      </c>
      <c r="P45" s="183">
        <f>SUM(P11:Q11*P24:Q24)/P32</f>
        <v>0.22038438840817978</v>
      </c>
      <c r="R45" s="183">
        <f>SUM(R11:S11*R24:S24)/R32</f>
        <v>0.22038438827818754</v>
      </c>
      <c r="T45" s="183">
        <f>SUM(T11:U11*T24:U24)/T32</f>
        <v>0.22038438812414782</v>
      </c>
      <c r="V45" s="183">
        <f>SUM(V11:W11*V24:W24)/V32</f>
        <v>0.22038438834450583</v>
      </c>
      <c r="X45" s="183">
        <f>SUM(X11:Y11*X24:Y24)/X32</f>
        <v>0.22038438814618291</v>
      </c>
      <c r="Z45" s="183" t="e">
        <f>SUM(Z11:AA11*Z24:AA24)/Z32</f>
        <v>#DIV/0!</v>
      </c>
      <c r="AB45" s="183" t="e">
        <f>SUM(AB11:AC11*AB24:AC24)/AB32</f>
        <v>#DIV/0!</v>
      </c>
      <c r="AD45" s="183" t="e">
        <f>SUM(AD11:AE11*AD24:AE24)/AD32</f>
        <v>#DIV/0!</v>
      </c>
      <c r="AF45" s="183" t="e">
        <f>SUM(AF11:AG11*AF24:AG24)/AF32</f>
        <v>#DIV/0!</v>
      </c>
      <c r="AH45" s="183" t="e">
        <f>SUM(AH11:AI11*AH24:AI24)/AH32</f>
        <v>#DIV/0!</v>
      </c>
      <c r="AJ45" s="183" t="e">
        <f>SUM(AJ11:AK11*AJ24:AK24)/AJ32</f>
        <v>#DIV/0!</v>
      </c>
      <c r="AL45" s="183" t="e">
        <f>SUM(AL11:AM11*AL24:AM24)/AL32</f>
        <v>#DIV/0!</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7.7157873574883462E-2</v>
      </c>
      <c r="D46" s="183">
        <f>D34/D32</f>
        <v>7.715786466863285E-2</v>
      </c>
      <c r="F46" s="183">
        <f>F34/F32</f>
        <v>7.7157865162439679E-2</v>
      </c>
      <c r="H46" s="183">
        <f>H34/H32</f>
        <v>7.7157873525182066E-2</v>
      </c>
      <c r="J46" s="183">
        <f>J34/J32</f>
        <v>7.7157873752758649E-2</v>
      </c>
      <c r="L46" s="183">
        <f>L34/L32</f>
        <v>7.7157874905689483E-2</v>
      </c>
      <c r="N46" s="183">
        <f>N34/N32</f>
        <v>7.7157874416760586E-2</v>
      </c>
      <c r="P46" s="183">
        <f>P34/P32</f>
        <v>7.7157873263073912E-2</v>
      </c>
      <c r="R46" s="183">
        <f>R34/R32</f>
        <v>7.7157873914933714E-2</v>
      </c>
      <c r="T46" s="183">
        <f>T34/T32</f>
        <v>7.715787428101023E-2</v>
      </c>
      <c r="V46" s="183">
        <f>V34/V32</f>
        <v>7.7157873618230746E-2</v>
      </c>
      <c r="X46" s="183">
        <f>X34/X32</f>
        <v>7.7157871504898196E-2</v>
      </c>
      <c r="Z46" s="183" t="e">
        <f>Z34/Z32</f>
        <v>#DIV/0!</v>
      </c>
      <c r="AB46" s="183" t="e">
        <f>AB34/AB32</f>
        <v>#DIV/0!</v>
      </c>
      <c r="AD46" s="183" t="e">
        <f>AD34/AD32</f>
        <v>#DIV/0!</v>
      </c>
      <c r="AF46" s="183" t="e">
        <f>AF34/AF32</f>
        <v>#DIV/0!</v>
      </c>
      <c r="AH46" s="183" t="e">
        <f>AH34/AH32</f>
        <v>#DIV/0!</v>
      </c>
      <c r="AJ46" s="183" t="e">
        <f>AJ34/AJ32</f>
        <v>#DIV/0!</v>
      </c>
      <c r="AL46" s="183" t="e">
        <f>AL34/AL32</f>
        <v>#DIV/0!</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0.98035564049885271</v>
      </c>
      <c r="E48" s="181"/>
      <c r="F48" s="181">
        <f>F24/$B$24</f>
        <v>0.95836999962087743</v>
      </c>
      <c r="G48" s="181"/>
      <c r="H48" s="181">
        <f>H24/$B$24</f>
        <v>0.93378889133809395</v>
      </c>
      <c r="I48" s="181"/>
      <c r="J48" s="181">
        <f>J24/$B$24</f>
        <v>0.90634509494989135</v>
      </c>
      <c r="K48" s="181"/>
      <c r="L48" s="181">
        <f>L24/$B$24</f>
        <v>0.87576982632408951</v>
      </c>
      <c r="M48" s="181"/>
      <c r="N48" s="181">
        <f>N24/$B$24</f>
        <v>0.84180883623268521</v>
      </c>
      <c r="O48" s="181"/>
      <c r="P48" s="181">
        <f>P24/$B$24</f>
        <v>0.80425168365741784</v>
      </c>
      <c r="Q48" s="181"/>
      <c r="R48" s="181">
        <f>R24/$B$24</f>
        <v>0.76297882888874957</v>
      </c>
      <c r="S48" s="181"/>
      <c r="T48" s="181">
        <f>T24/$B$24</f>
        <v>0.71804552765382756</v>
      </c>
      <c r="U48" s="181"/>
      <c r="V48" s="181">
        <f>V24/$B$24</f>
        <v>0.66986217160397199</v>
      </c>
      <c r="W48" s="181"/>
      <c r="X48" s="181">
        <f>X24/$B$24</f>
        <v>0.61969913347254202</v>
      </c>
      <c r="Y48" s="181"/>
      <c r="Z48" s="181">
        <f>Z24/$B$24</f>
        <v>0</v>
      </c>
      <c r="AA48" s="181"/>
      <c r="AB48" s="181">
        <f>AB24/$B$24</f>
        <v>0</v>
      </c>
      <c r="AC48" s="181"/>
      <c r="AD48" s="181">
        <f>AD24/$B$24</f>
        <v>0</v>
      </c>
      <c r="AE48" s="181"/>
      <c r="AF48" s="181">
        <f>AF24/$B$24</f>
        <v>0</v>
      </c>
      <c r="AG48" s="181"/>
      <c r="AH48" s="181">
        <f>AH24/$B$24</f>
        <v>0</v>
      </c>
      <c r="AI48" s="181"/>
      <c r="AJ48" s="181">
        <f>AJ24/$B$24</f>
        <v>0</v>
      </c>
      <c r="AK48" s="181"/>
      <c r="AL48" s="181">
        <f>AL24/$B$24</f>
        <v>0</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0.9999999985293031</v>
      </c>
      <c r="E49" s="181"/>
      <c r="F49" s="181">
        <f>F13/F35/$B$13*$B$35</f>
        <v>0.99999999886994717</v>
      </c>
      <c r="G49" s="181"/>
      <c r="H49" s="181">
        <f>H13/H35/$B$13*$B$35</f>
        <v>1.0000000002541543</v>
      </c>
      <c r="I49" s="181"/>
      <c r="J49" s="181">
        <f>J13/J35/$B$13*$B$35</f>
        <v>1.0000000002826663</v>
      </c>
      <c r="K49" s="181"/>
      <c r="L49" s="181">
        <f>L13/L35/$B$13*$B$35</f>
        <v>1.0000000007037697</v>
      </c>
      <c r="M49" s="181"/>
      <c r="N49" s="181">
        <f>N13/N35/$B$13*$B$35</f>
        <v>1.0000000002998222</v>
      </c>
      <c r="O49" s="181"/>
      <c r="P49" s="181">
        <f>P13/P35/$B$13*$B$35</f>
        <v>0.99999999981815912</v>
      </c>
      <c r="Q49" s="181"/>
      <c r="R49" s="181">
        <f>R13/R35/$B$13*$B$35</f>
        <v>1.0000000001149891</v>
      </c>
      <c r="S49" s="181"/>
      <c r="T49" s="181">
        <f>T13/T35/$B$13*$B$35</f>
        <v>1.0000000003041416</v>
      </c>
      <c r="U49" s="181"/>
      <c r="V49" s="181">
        <f>V13/V35/$B$13*$B$35</f>
        <v>0.99999999999366296</v>
      </c>
      <c r="W49" s="181"/>
      <c r="X49" s="181">
        <f>X13/X35/$B$13*$B$35</f>
        <v>1.0000000000890674</v>
      </c>
      <c r="Y49" s="181"/>
      <c r="Z49" s="181" t="e">
        <f>Z13/Z35/$B$13*$B$35</f>
        <v>#DIV/0!</v>
      </c>
      <c r="AA49" s="181"/>
      <c r="AB49" s="181" t="e">
        <f>AB13/AB35/$B$13*$B$35</f>
        <v>#DIV/0!</v>
      </c>
      <c r="AC49" s="181"/>
      <c r="AD49" s="181" t="e">
        <f>AD13/AD35/$B$13*$B$35</f>
        <v>#DIV/0!</v>
      </c>
      <c r="AE49" s="181"/>
      <c r="AF49" s="181" t="e">
        <f>AF13/AF35/$B$13*$B$35</f>
        <v>#DIV/0!</v>
      </c>
      <c r="AG49" s="181"/>
      <c r="AH49" s="181" t="e">
        <f>AH13/AH35/$B$13*$B$35</f>
        <v>#DIV/0!</v>
      </c>
      <c r="AI49" s="181"/>
      <c r="AJ49" s="181" t="e">
        <f>AJ13/AJ35/$B$13*$B$35</f>
        <v>#DIV/0!</v>
      </c>
      <c r="AK49" s="181"/>
      <c r="AL49" s="181" t="e">
        <f>AL13/AL35/$B$13*$B$35</f>
        <v>#DIV/0!</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-397599.01128063817</v>
      </c>
      <c r="F51" s="27">
        <f>F30-F10*F23</f>
        <v>-388436.70326339453</v>
      </c>
      <c r="H51" s="27">
        <f>H30-H10*H23</f>
        <v>-378249.60529942717</v>
      </c>
      <c r="J51" s="27">
        <f>J30-J10*J23</f>
        <v>-366929.98419549875</v>
      </c>
      <c r="L51" s="27">
        <f>L30-L10*L23</f>
        <v>-354370.14306796622</v>
      </c>
      <c r="N51" s="27">
        <f>N30-N10*N23</f>
        <v>-340467.04503310099</v>
      </c>
      <c r="P51" s="27">
        <f>P30-P10*P23</f>
        <v>-325134.95213235635</v>
      </c>
      <c r="R51" s="27">
        <f>R30-R10*R23</f>
        <v>-308323.23054799251</v>
      </c>
      <c r="T51" s="27">
        <f>T30-T10*T23</f>
        <v>-290047.54379429668</v>
      </c>
      <c r="V51" s="27">
        <f>V30-V10*V23</f>
        <v>-270459.23095831415</v>
      </c>
      <c r="X51" s="27">
        <f>X30-X10*X23</f>
        <v>-250036.42484085076</v>
      </c>
      <c r="Z51" s="27">
        <f>Z30-Z10*Z23</f>
        <v>0</v>
      </c>
      <c r="AB51" s="27">
        <f>AB30-AB10*AB23</f>
        <v>0</v>
      </c>
      <c r="AD51" s="27">
        <f>AD30-AD10*AD23</f>
        <v>0</v>
      </c>
      <c r="AF51" s="27">
        <f>AF30-AF10*AF23</f>
        <v>0</v>
      </c>
      <c r="AH51" s="27">
        <f>AH30-AH10*AH23</f>
        <v>0</v>
      </c>
      <c r="AJ51" s="27">
        <f>AJ30-AJ10*AJ23</f>
        <v>0</v>
      </c>
      <c r="AL51" s="27">
        <f>AL30-AL10*AL23</f>
        <v>0</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1997578.2860476752</v>
      </c>
      <c r="F52" s="27">
        <f t="array" ref="F52">Calibration!sL*SUM(F13:G13*F26:G26)</f>
        <v>1918852.1117815215</v>
      </c>
      <c r="H52" s="27">
        <f t="array" ref="H52">Calibration!sL*SUM(H13:I13*H26:I26)</f>
        <v>1836779.7232977543</v>
      </c>
      <c r="J52" s="27">
        <f t="array" ref="J52">Calibration!sL*SUM(J13:K13*J26:K26)</f>
        <v>1751251.6663766699</v>
      </c>
      <c r="L52" s="27">
        <f t="array" ref="L52">Calibration!sL*SUM(L13:M13*L26:M26)</f>
        <v>1662201.078034939</v>
      </c>
      <c r="N52" s="27">
        <f t="array" ref="N52">Calibration!sL*SUM(N13:O13*N26:O26)</f>
        <v>1569627.7273550064</v>
      </c>
      <c r="P52" s="27">
        <f t="array" ref="P52">Calibration!sL*SUM(P13:Q13*P26:Q26)</f>
        <v>1473635.3625107144</v>
      </c>
      <c r="R52" s="27">
        <f t="array" ref="R52">Calibration!sL*SUM(R13:S13*R26:S26)</f>
        <v>1374494.5882860455</v>
      </c>
      <c r="T52" s="27">
        <f t="array" ref="T52">Calibration!sL*SUM(T13:U13*T26:U26)</f>
        <v>1272764.4062581682</v>
      </c>
      <c r="V52" s="27">
        <f t="array" ref="V52">Calibration!sL*SUM(V13:W13*V26:W26)</f>
        <v>1169581.0676041362</v>
      </c>
      <c r="X52" s="27">
        <f t="array" ref="X52">Calibration!sL*SUM(X13:Y13*X26:Y26)</f>
        <v>1067548.6294548565</v>
      </c>
      <c r="Z52" s="27">
        <f t="array" ref="Z52">Calibration!sL*SUM(Z13:AA13*Z26:AA26)</f>
        <v>0</v>
      </c>
      <c r="AB52" s="27">
        <f t="array" ref="AB52">Calibration!sL*SUM(AB13:AC13*AB26:AC26)</f>
        <v>0</v>
      </c>
      <c r="AD52" s="27">
        <f t="array" ref="AD52">Calibration!sL*SUM(AD13:AE13*AD26:AE26)</f>
        <v>0</v>
      </c>
      <c r="AF52" s="27">
        <f t="array" ref="AF52">Calibration!sL*SUM(AF13:AG13*AF26:AG26)</f>
        <v>0</v>
      </c>
      <c r="AH52" s="27">
        <f t="array" ref="AH52">Calibration!sL*SUM(AH13:AI13*AH26:AI26)</f>
        <v>0</v>
      </c>
      <c r="AJ52" s="27">
        <f t="array" ref="AJ52">Calibration!sL*SUM(AJ13:AK13*AJ26:AK26)</f>
        <v>0</v>
      </c>
      <c r="AL52" s="27">
        <f t="array" ref="AL52">Calibration!sL*SUM(AL13:AM13*AL26:AM26)</f>
        <v>0</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2695139.3691558735</v>
      </c>
      <c r="F53" s="27">
        <f t="array" ref="F53">Calibration!sK*SUM(F15:G15*F27:G27)</f>
        <v>2665726.1510570529</v>
      </c>
      <c r="H53" s="27">
        <f t="array" ref="H53">Calibration!sK*SUM(H15:I15*H27:I27)</f>
        <v>2627562.4997497024</v>
      </c>
      <c r="J53" s="27">
        <f t="array" ref="J53">Calibration!sK*SUM(J15:K15*J27:K27)</f>
        <v>2579489.1353605376</v>
      </c>
      <c r="L53" s="27">
        <f t="array" ref="L53">Calibration!sK*SUM(L15:M15*L27:M27)</f>
        <v>2520299.8737302055</v>
      </c>
      <c r="N53" s="27">
        <f t="array" ref="N53">Calibration!sK*SUM(N15:O15*N27:O27)</f>
        <v>2448780.6403719047</v>
      </c>
      <c r="P53" s="27">
        <f t="array" ref="P53">Calibration!sK*SUM(P15:Q15*P27:Q27)</f>
        <v>2363814.4778321972</v>
      </c>
      <c r="R53" s="27">
        <f t="array" ref="R53">Calibration!sK*SUM(R15:S15*R27:S27)</f>
        <v>2264532.3819601191</v>
      </c>
      <c r="T53" s="27">
        <f t="array" ref="T53">Calibration!sK*SUM(T15:U15*T27:U27)</f>
        <v>2150561.5137250982</v>
      </c>
      <c r="V53" s="27">
        <f t="array" ref="V53">Calibration!sK*SUM(V15:W15*V27:W27)</f>
        <v>2022550.914513285</v>
      </c>
      <c r="X53" s="27">
        <f t="array" ref="X53">Calibration!sK*SUM(X15:Y15*X27:Y27)</f>
        <v>1883539.9705854955</v>
      </c>
      <c r="Z53" s="27">
        <f t="array" ref="Z53">Calibration!sK*SUM(Z15:AA15*Z27:AA27)</f>
        <v>0</v>
      </c>
      <c r="AB53" s="27">
        <f t="array" ref="AB53">Calibration!sK*SUM(AB15:AC15*AB27:AC27)</f>
        <v>0</v>
      </c>
      <c r="AD53" s="27">
        <f t="array" ref="AD53">Calibration!sK*SUM(AD15:AE15*AD27:AE27)</f>
        <v>0</v>
      </c>
      <c r="AF53" s="27">
        <f t="array" ref="AF53">Calibration!sK*SUM(AF15:AG15*AF27:AG27)</f>
        <v>0</v>
      </c>
      <c r="AH53" s="27">
        <f t="array" ref="AH53">Calibration!sK*SUM(AH15:AI15*AH27:AI27)</f>
        <v>0</v>
      </c>
      <c r="AJ53" s="27">
        <f t="array" ref="AJ53">Calibration!sK*SUM(AJ15:AK15*AJ27:AK27)</f>
        <v>0</v>
      </c>
      <c r="AL53" s="27">
        <f t="array" ref="AL53">Calibration!sK*SUM(AL15:AM15*AL27:AM27)</f>
        <v>0</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0.19850273068672877</v>
      </c>
      <c r="F55" s="183">
        <f>F30/F32</f>
        <v>0.19850273257961787</v>
      </c>
      <c r="H55" s="183">
        <f>H30/H32</f>
        <v>0.19850271486654897</v>
      </c>
      <c r="J55" s="183">
        <f>J30/J32</f>
        <v>0.19850271356037064</v>
      </c>
      <c r="L55" s="183">
        <f>L30/L32</f>
        <v>0.19850270231097594</v>
      </c>
      <c r="N55" s="183">
        <f>N30/N32</f>
        <v>0.19850271026875579</v>
      </c>
      <c r="P55" s="183">
        <f>P30/P32</f>
        <v>0.19850272515973966</v>
      </c>
      <c r="R55" s="183">
        <f>R30/R32</f>
        <v>0.1985027139044071</v>
      </c>
      <c r="T55" s="183">
        <f>T30/T32</f>
        <v>0.19850270358579861</v>
      </c>
      <c r="V55" s="183">
        <f>V30/V32</f>
        <v>0.19850271928188004</v>
      </c>
      <c r="X55" s="183">
        <f>X30/X32</f>
        <v>0.19850272323268547</v>
      </c>
      <c r="Z55" s="183" t="e">
        <f>Z30/Z32</f>
        <v>#DIV/0!</v>
      </c>
      <c r="AB55" s="183" t="e">
        <f>AB30/AB32</f>
        <v>#DIV/0!</v>
      </c>
      <c r="AD55" s="183" t="e">
        <f>AD30/AD32</f>
        <v>#DIV/0!</v>
      </c>
      <c r="AF55" s="183" t="e">
        <f>AF30/AF32</f>
        <v>#DIV/0!</v>
      </c>
      <c r="AH55" s="183" t="e">
        <f>AH30/AH32</f>
        <v>#DIV/0!</v>
      </c>
      <c r="AJ55" s="183" t="e">
        <f>AJ30/AJ32</f>
        <v>#DIV/0!</v>
      </c>
      <c r="AL55" s="183" t="e">
        <f>AL30/AL32</f>
        <v>#DIV/0!</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3.1881508575840725E-2</v>
      </c>
      <c r="F56" s="183">
        <f>(Model!$C$52*F5*F20+F2*G5*G20)/F32</f>
        <v>3.4543454954003919E-2</v>
      </c>
      <c r="H56" s="183">
        <f>(Model!$C$52*H5*H20+H2*I5*I20)/H32</f>
        <v>3.7196676255621876E-2</v>
      </c>
      <c r="J56" s="183">
        <f>(Model!$C$52*J5*J20+J2*K5*K20)/J32</f>
        <v>3.9828225702048123E-2</v>
      </c>
      <c r="L56" s="183">
        <f>(Model!$C$52*L5*L20+L2*M5*M20)/L32</f>
        <v>4.2422198352427373E-2</v>
      </c>
      <c r="N56" s="183">
        <f>(Model!$C$52*N5*N20+N2*O5*O20)/N32</f>
        <v>4.4959190270546956E-2</v>
      </c>
      <c r="P56" s="183">
        <f>(Model!$C$52*P5*P20+P2*Q5*Q20)/P32</f>
        <v>4.7415768756578575E-2</v>
      </c>
      <c r="R56" s="183">
        <f>(Model!$C$52*R5*R20+R2*S5*S20)/R32</f>
        <v>4.9763550337902571E-2</v>
      </c>
      <c r="T56" s="183">
        <f>(Model!$C$52*T5*T20+T2*U5*U20)/T32</f>
        <v>5.1967138883614247E-2</v>
      </c>
      <c r="V56" s="183">
        <f>(Model!$C$52*V5*V20+V2*W5*W20)/V32</f>
        <v>5.3978322868807591E-2</v>
      </c>
      <c r="X56" s="183">
        <f>(Model!$C$52*X5*X20+X2*Y5*Y20)/X32</f>
        <v>5.5715142766352387E-2</v>
      </c>
      <c r="Z56" s="183" t="e">
        <f>(Model!$C$52*Z5*Z20+Z2*AA5*AA20)/Z32</f>
        <v>#DIV/0!</v>
      </c>
      <c r="AB56" s="183" t="e">
        <f>(Model!$C$52*AB5*AB20+AB2*AC5*AC20)/AB32</f>
        <v>#DIV/0!</v>
      </c>
      <c r="AD56" s="183" t="e">
        <f>(Model!$C$52*AD5*AD20+AD2*AE5*AE20)/AD32</f>
        <v>#DIV/0!</v>
      </c>
      <c r="AF56" s="183" t="e">
        <f>(Model!$C$52*AF5*AF20+AF2*AG5*AG20)/AF32</f>
        <v>#DIV/0!</v>
      </c>
      <c r="AH56" s="183" t="e">
        <f>(Model!$C$52*AH5*AH20+AH2*AI5*AI20)/AH32</f>
        <v>#DIV/0!</v>
      </c>
      <c r="AJ56" s="183" t="e">
        <f>(Model!$C$52*AJ5*AJ20+AJ2*AK5*AK20)/AJ32</f>
        <v>#DIV/0!</v>
      </c>
      <c r="AL56" s="183" t="e">
        <f>(Model!$C$52*AL5*AL20+AL2*AM5*AM20)/AL32</f>
        <v>#DIV/0!</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0.15591963373097439</v>
      </c>
      <c r="F57" s="183">
        <f t="array" ref="F57">SUM(Model!tauL*F13:G13*F26:G26)/F32</f>
        <v>0.15330753762461422</v>
      </c>
      <c r="H57" s="183">
        <f t="array" ref="H57">SUM(Model!tauL*H13:I13*H26:I26)/H32</f>
        <v>0.15070273549637836</v>
      </c>
      <c r="J57" s="183">
        <f t="array" ref="J57">SUM(Model!tauL*J13:K13*J26:K26)/J32</f>
        <v>0.14811802840663055</v>
      </c>
      <c r="L57" s="183">
        <f t="array" ref="L57">SUM(Model!tauL*L13:M13*L26:M26)/L32</f>
        <v>0.14556909307926216</v>
      </c>
      <c r="N57" s="183">
        <f t="array" ref="N57">SUM(Model!tauL*N13:O13*N26:O26)/N32</f>
        <v>0.14307514526723245</v>
      </c>
      <c r="P57" s="183">
        <f t="array" ref="P57">SUM(Model!tauL*P13:Q13*P26:Q26)/P32</f>
        <v>0.14065939856346515</v>
      </c>
      <c r="R57" s="183">
        <f t="array" ref="R57">SUM(Model!tauL*R13:S13*R26:S26)/R32</f>
        <v>0.1383500575832714</v>
      </c>
      <c r="T57" s="183">
        <f t="array" ref="T57">SUM(Model!tauL*T13:U13*T26:U26)/T32</f>
        <v>0.13618257753363705</v>
      </c>
      <c r="V57" s="183">
        <f t="array" ref="V57">SUM(Model!tauL*V13:W13*V26:W26)/V32</f>
        <v>0.13420570993287451</v>
      </c>
      <c r="X57" s="183">
        <f t="array" ref="X57">SUM(Model!tauL*X13:Y13*X26:Y26)/X32</f>
        <v>0.13250333141874956</v>
      </c>
      <c r="Y57" s="183"/>
      <c r="Z57" s="183" t="e">
        <f t="array" ref="Z57">SUM(Model!tauL*Z13:AA13*Z26:AA26)/Z32</f>
        <v>#DIV/0!</v>
      </c>
      <c r="AB57" s="183" t="e">
        <f t="array" ref="AB57">SUM(Model!tauL*AB13:AC13*AB26:AC26)/AB32</f>
        <v>#DIV/0!</v>
      </c>
      <c r="AD57" s="183" t="e">
        <f t="array" ref="AD57">SUM(Model!tauL*AD13:AE13*AD26:AE26)/AD32</f>
        <v>#DIV/0!</v>
      </c>
      <c r="AF57" s="183" t="e">
        <f t="array" ref="AF57">SUM(Model!tauL*AF13:AG13*AF26:AG26)/AF32</f>
        <v>#DIV/0!</v>
      </c>
      <c r="AH57" s="183" t="e">
        <f t="array" ref="AH57">SUM(Model!tauL*AH13:AI13*AH26:AI26)/AH32</f>
        <v>#DIV/0!</v>
      </c>
      <c r="AJ57" s="183" t="e">
        <f t="array" ref="AJ57">SUM(Model!tauL*AJ13:AK13*AJ26:AK26)/AJ32</f>
        <v>#DIV/0!</v>
      </c>
      <c r="AL57" s="183" t="e">
        <f t="array" ref="AL57">SUM(Model!tauL*AL13:AM13*AL26:AM26)/AL32</f>
        <v>#DIV/0!</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1.0701588379913656E-2</v>
      </c>
      <c r="F58" s="183">
        <f t="array" ref="F58">SUM(Model!tauY/(1+Model!tauY)*F3:G3*F18:G18)/F32</f>
        <v>1.0651740000999735E-2</v>
      </c>
      <c r="H58" s="183">
        <f t="array" ref="H58">SUM(Model!tauY/(1+Model!tauY)*H3:I3*H18:I18)/H32</f>
        <v>1.0603303114548743E-2</v>
      </c>
      <c r="J58" s="183">
        <f t="array" ref="J58">SUM(Model!tauY/(1+Model!tauY)*J3:K3*J18:K18)/J32</f>
        <v>1.0556459451691931E-2</v>
      </c>
      <c r="L58" s="183">
        <f t="array" ref="L58">SUM(Model!tauY/(1+Model!tauY)*L3:M3*L18:M18)/L32</f>
        <v>1.0511410879286417E-2</v>
      </c>
      <c r="N58" s="183">
        <f t="array" ref="N58">SUM(Model!tauY/(1+Model!tauY)*N3:O3*N18:O18)/N32</f>
        <v>1.0468374730976357E-2</v>
      </c>
      <c r="P58" s="183">
        <f t="array" ref="P58">SUM(Model!tauY/(1+Model!tauY)*P3:Q3*P18:Q18)/P32</f>
        <v>1.0427557839695945E-2</v>
      </c>
      <c r="R58" s="183">
        <f t="array" ref="R58">SUM(Model!tauY/(1+Model!tauY)*R3:S3*R18:S18)/R32</f>
        <v>1.0389105983233145E-2</v>
      </c>
      <c r="T58" s="183">
        <f t="array" ref="T58">SUM(Model!tauY/(1+Model!tauY)*T3:U3*T18:U18)/T32</f>
        <v>1.0352987168547318E-2</v>
      </c>
      <c r="V58" s="183">
        <f t="array" ref="V58">SUM(Model!tauY/(1+Model!tauY)*V3:W3*V18:W18)/V32</f>
        <v>1.0318686480197965E-2</v>
      </c>
      <c r="X58" s="183">
        <f t="array" ref="X58">SUM(Model!tauY/(1+Model!tauY)*X3:Y3*X18:Y18)/X32</f>
        <v>1.0284249047583498E-2</v>
      </c>
      <c r="Y58" s="183"/>
      <c r="Z58" s="183" t="e">
        <f t="array" ref="Z58">SUM(Model!tauY/(1+Model!tauY)*Z3:AA3*Z18:AA18)/Z32</f>
        <v>#DIV/0!</v>
      </c>
      <c r="AB58" s="183" t="e">
        <f t="array" ref="AB58">SUM(Model!tauY/(1+Model!tauY)*AB3:AC3*AB18:AC18)/AB32</f>
        <v>#DIV/0!</v>
      </c>
      <c r="AD58" s="183" t="e">
        <f t="array" ref="AD58">SUM(Model!tauY/(1+Model!tauY)*AD3:AE3*AD18:AE18)/AD32</f>
        <v>#DIV/0!</v>
      </c>
      <c r="AF58" s="183" t="e">
        <f t="array" ref="AF58">SUM(Model!tauY/(1+Model!tauY)*AF3:AG3*AF18:AG18)/AF32</f>
        <v>#DIV/0!</v>
      </c>
      <c r="AH58" s="183" t="e">
        <f t="array" ref="AH58">SUM(Model!tauY/(1+Model!tauY)*AH3:AI3*AH18:AI18)/AH32</f>
        <v>#DIV/0!</v>
      </c>
      <c r="AJ58" s="183" t="e">
        <f t="array" ref="AJ58">SUM(Model!tauY/(1+Model!tauY)*AJ3:AK3*AJ18:AK18)/AJ32</f>
        <v>#DIV/0!</v>
      </c>
      <c r="AL58" s="183" t="e">
        <f t="array" ref="AL58">SUM(Model!tauY/(1+Model!tauY)*AL3:AM3*AL18:AM18)/AL32</f>
        <v>#DIV/0!</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3.2449767173603518E-3</v>
      </c>
      <c r="F59" s="183">
        <f>(F2*G5*G20)/F32</f>
        <v>5.9395248510586973E-3</v>
      </c>
      <c r="H59" s="183">
        <f>(H2*I5*I20)/H32</f>
        <v>8.6248950010091446E-3</v>
      </c>
      <c r="J59" s="183">
        <f>(J2*K5*K20)/J32</f>
        <v>1.1287993955202138E-2</v>
      </c>
      <c r="L59" s="183">
        <f>(L2*M5*M20)/L32</f>
        <v>1.391274670166927E-2</v>
      </c>
      <c r="N59" s="183">
        <f>(N2*O5*O20)/N32</f>
        <v>1.6479554777259403E-2</v>
      </c>
      <c r="P59" s="183">
        <f>(P2*Q5*Q20)/P32</f>
        <v>1.8964774007855581E-2</v>
      </c>
      <c r="R59" s="183">
        <f>(R2*S5*S20)/R32</f>
        <v>2.1339807660503942E-2</v>
      </c>
      <c r="T59" s="183">
        <f>(T2*U5*U20)/T32</f>
        <v>2.3569079462180793E-2</v>
      </c>
      <c r="V59" s="183">
        <f>(V2*W5*W20)/V32</f>
        <v>2.5604317894326049E-2</v>
      </c>
      <c r="X59" s="183">
        <f>(X2*Y5*Y20)/X32</f>
        <v>2.7363860150869584E-2</v>
      </c>
      <c r="Z59" s="183" t="e">
        <f>(Z2*AA5*AA20)/Z32</f>
        <v>#DIV/0!</v>
      </c>
      <c r="AB59" s="183" t="e">
        <f>(AB2*AC5*AC20)/AB32</f>
        <v>#DIV/0!</v>
      </c>
      <c r="AD59" s="183" t="e">
        <f>(AD2*AE5*AE20)/AD32</f>
        <v>#DIV/0!</v>
      </c>
      <c r="AF59" s="183" t="e">
        <f>(AF2*AG5*AG20)/AF32</f>
        <v>#DIV/0!</v>
      </c>
      <c r="AH59" s="183" t="e">
        <f>(AH2*AI5*AI20)/AH32</f>
        <v>#DIV/0!</v>
      </c>
      <c r="AJ59" s="183" t="e">
        <f>(AJ2*AK5*AK20)/AJ32</f>
        <v>#DIV/0!</v>
      </c>
      <c r="AL59" s="183" t="e">
        <f>(AL2*AM5*AM20)/AL32</f>
        <v>#DIV/0!</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2.863653185848037E-2</v>
      </c>
      <c r="F60" s="183">
        <f>Model!$C$52*F5*F20/F32</f>
        <v>2.8603930102945221E-2</v>
      </c>
      <c r="H60" s="183">
        <f>Model!$C$52*H5*H20/H32</f>
        <v>2.8571781254612731E-2</v>
      </c>
      <c r="J60" s="183">
        <f>Model!$C$52*J5*J20/J32</f>
        <v>2.854023174684598E-2</v>
      </c>
      <c r="L60" s="183">
        <f>Model!$C$52*L5*L20/L32</f>
        <v>2.8509451650758105E-2</v>
      </c>
      <c r="N60" s="183">
        <f>Model!$C$52*N5*N20/N32</f>
        <v>2.8479635493287553E-2</v>
      </c>
      <c r="P60" s="183">
        <f>Model!$C$52*P5*P20/P32</f>
        <v>2.845099474872299E-2</v>
      </c>
      <c r="R60" s="183">
        <f>Model!$C$52*R5*R20/R32</f>
        <v>2.8423742677398632E-2</v>
      </c>
      <c r="T60" s="183">
        <f>Model!$C$52*T5*T20/T32</f>
        <v>2.839805942143345E-2</v>
      </c>
      <c r="V60" s="183">
        <f>Model!$C$52*V5*V20/V32</f>
        <v>2.8374004974481542E-2</v>
      </c>
      <c r="X60" s="183">
        <f>Model!$C$52*X5*X20/X32</f>
        <v>2.8351282615482809E-2</v>
      </c>
      <c r="Z60" s="183" t="e">
        <f>Model!$C$52*Z5*Z20/Z32</f>
        <v>#DIV/0!</v>
      </c>
      <c r="AB60" s="183" t="e">
        <f>Model!$C$52*AB5*AB20/AB32</f>
        <v>#DIV/0!</v>
      </c>
      <c r="AD60" s="183" t="e">
        <f>Model!$C$52*AD5*AD20/AD32</f>
        <v>#DIV/0!</v>
      </c>
      <c r="AF60" s="183" t="e">
        <f>Model!$C$52*AF5*AF20/AF32</f>
        <v>#DIV/0!</v>
      </c>
      <c r="AH60" s="183" t="e">
        <f>Model!$C$52*AH5*AH20/AH32</f>
        <v>#DIV/0!</v>
      </c>
      <c r="AJ60" s="183" t="e">
        <f>Model!$C$52*AJ5*AJ20/AJ32</f>
        <v>#DIV/0!</v>
      </c>
      <c r="AL60" s="183" t="e">
        <f>Model!$C$52*AL5*AL20/AL32</f>
        <v>#DIV/0!</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1.0095858768540564</v>
      </c>
      <c r="F62">
        <f>F13/F15</f>
        <v>1.0223557176362215</v>
      </c>
      <c r="H62">
        <f>H13/H15</f>
        <v>1.038942911353075</v>
      </c>
      <c r="J62">
        <f>J13/J15</f>
        <v>1.0601500666530117</v>
      </c>
      <c r="L62">
        <f>L13/L15</f>
        <v>1.0869971458463339</v>
      </c>
      <c r="N62">
        <f>N13/N15</f>
        <v>1.1207925913188865</v>
      </c>
      <c r="P62">
        <f>P13/P15</f>
        <v>1.1632184664119716</v>
      </c>
      <c r="R62">
        <f>R13/R15</f>
        <v>1.2164356714081683</v>
      </c>
      <c r="T62">
        <f>T13/T15</f>
        <v>1.2831795358233657</v>
      </c>
      <c r="V62">
        <f>V13/V15</f>
        <v>1.3666975078363217</v>
      </c>
      <c r="X62">
        <f>X13/X15</f>
        <v>1.4698425180321761</v>
      </c>
      <c r="Z62" t="e">
        <f>Z13/Z15</f>
        <v>#DIV/0!</v>
      </c>
      <c r="AB62" t="e">
        <f>AB13/AB15</f>
        <v>#DIV/0!</v>
      </c>
      <c r="AD62" t="e">
        <f>AD13/AD15</f>
        <v>#DIV/0!</v>
      </c>
      <c r="AF62" t="e">
        <f>AF13/AF15</f>
        <v>#DIV/0!</v>
      </c>
      <c r="AH62" t="e">
        <f>AH13/AH15</f>
        <v>#DIV/0!</v>
      </c>
      <c r="AJ62" t="e">
        <f>AJ13/AJ15</f>
        <v>#DIV/0!</v>
      </c>
      <c r="AL62" t="e">
        <f>AL13/AL15</f>
        <v>#DIV/0!</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0.99939027257913959</v>
      </c>
      <c r="E65" s="181"/>
      <c r="F65" s="181">
        <f t="array" ref="F65">SQRT((F9:G9*$B$22:$C$22+F10:G10*$B$23:$C$23+F11:G11*$B$24:$C$24+F4:G4*($B$25:$C$25-$B$19:$C$19))/($B$9:$C$9*$B$22:$C$22+$B$10:$C$10*$B$23:$C$23+$B$11:$C$11*$B$24:$C$24+$B$4:$C$4*($B$25:$C$25-$B$19:$C$19))*(F9:G9*F22:G22+F10:G10*F23:G23+F11:G11*F24:G24+F4:G4*(F25:G25-F19:G19))/($B$9:$C$9*F22:G22+$B$10:$C$10*F23:G23+$B$11:$C$11*F24:G24+$B$4:$C$4*(F25:G25-F19:G19)))</f>
        <v>0.9988162415020323</v>
      </c>
      <c r="G65" s="181"/>
      <c r="H65" s="181">
        <f t="array" ref="H65">SQRT((H9:I9*$B$22:$C$22+H10:I10*$B$23:$C$23+H11:I11*$B$24:$C$24+H4:I4*($B$25:$C$25-$B$19:$C$19))/($B$9:$C$9*$B$22:$C$22+$B$10:$C$10*$B$23:$C$23+$B$11:$C$11*$B$24:$C$24+$B$4:$C$4*($B$25:$C$25-$B$19:$C$19))*(H9:I9*H22:I22+H10:I10*H23:I23+H11:I11*H24:I24+H4:I4*(H25:I25-H19:I19))/($B$9:$C$9*H22:I22+$B$10:$C$10*H23:I23+$B$11:$C$11*H24:I24+$B$4:$C$4*(H25:I25-H19:I19)))</f>
        <v>0.99827849105959476</v>
      </c>
      <c r="I65" s="181"/>
      <c r="J65" s="181">
        <f t="array" ref="J65">SQRT((J9:K9*$B$22:$C$22+J10:K10*$B$23:$C$23+J11:K11*$B$24:$C$24+J4:K4*($B$25:$C$25-$B$19:$C$19))/($B$9:$C$9*$B$22:$C$22+$B$10:$C$10*$B$23:$C$23+$B$11:$C$11*$B$24:$C$24+$B$4:$C$4*($B$25:$C$25-$B$19:$C$19))*(J9:K9*J22:K22+J10:K10*J23:K23+J11:K11*J24:K24+J4:K4*(J25:K25-J19:K19))/($B$9:$C$9*J22:K22+$B$10:$C$10*J23:K23+$B$11:$C$11*J24:K24+$B$4:$C$4*(J25:K25-J19:K19)))</f>
        <v>0.99777760149940475</v>
      </c>
      <c r="K65" s="181"/>
      <c r="L65" s="181">
        <f t="array" ref="L65">SQRT((L9:M9*$B$22:$C$22+L10:M10*$B$23:$C$23+L11:M11*$B$24:$C$24+L4:M4*($B$25:$C$25-$B$19:$C$19))/($B$9:$C$9*$B$22:$C$22+$B$10:$C$10*$B$23:$C$23+$B$11:$C$11*$B$24:$C$24+$B$4:$C$4*($B$25:$C$25-$B$19:$C$19))*(L9:M9*L22:M22+L10:M10*L23:M23+L11:M11*L24:M24+L4:M4*(L25:M25-L19:M19))/($B$9:$C$9*L22:M22+$B$10:$C$10*L23:M23+$B$11:$C$11*L24:M24+$B$4:$C$4*(L25:M25-L19:M19)))</f>
        <v>0.99731382044335404</v>
      </c>
      <c r="M65" s="181"/>
      <c r="N65" s="181">
        <f t="array" ref="N65">SQRT((N9:O9*$B$22:$C$22+N10:O10*$B$23:$C$23+N11:O11*$B$24:$C$24+N4:O4*($B$25:$C$25-$B$19:$C$19))/($B$9:$C$9*$B$22:$C$22+$B$10:$C$10*$B$23:$C$23+$B$11:$C$11*$B$24:$C$24+$B$4:$C$4*($B$25:$C$25-$B$19:$C$19))*(N9:O9*N22:O22+N10:O10*N23:O23+N11:O11*N24:O24+N4:O4*(N25:O25-N19:O19))/($B$9:$C$9*N22:O22+$B$10:$C$10*N23:O23+$B$11:$C$11*N24:O24+$B$4:$C$4*(N25:O25-N19:O19)))</f>
        <v>0.99688636865821389</v>
      </c>
      <c r="O65" s="181"/>
      <c r="P65" s="181">
        <f t="array" ref="P65">SQRT((P9:Q9*$B$22:$C$22+P10:Q10*$B$23:$C$23+P11:Q11*$B$24:$C$24+P4:Q4*($B$25:$C$25-$B$19:$C$19))/($B$9:$C$9*$B$22:$C$22+$B$10:$C$10*$B$23:$C$23+$B$11:$C$11*$B$24:$C$24+$B$4:$C$4*($B$25:$C$25-$B$19:$C$19))*(P9:Q9*P22:Q22+P10:Q10*P23:Q23+P11:Q11*P24:Q24+P4:Q4*(P25:Q25-P19:Q19))/($B$9:$C$9*P22:Q22+$B$10:$C$10*P23:Q23+$B$11:$C$11*P24:Q24+$B$4:$C$4*(P25:Q25-P19:Q19)))</f>
        <v>0.99649203443669188</v>
      </c>
      <c r="Q65" s="181"/>
      <c r="R65" s="181">
        <f t="array" ref="R65">SQRT((R9:S9*$B$22:$C$22+R10:S10*$B$23:$C$23+R11:S11*$B$24:$C$24+R4:S4*($B$25:$C$25-$B$19:$C$19))/($B$9:$C$9*$B$22:$C$22+$B$10:$C$10*$B$23:$C$23+$B$11:$C$11*$B$24:$C$24+$B$4:$C$4*($B$25:$C$25-$B$19:$C$19))*(R9:S9*R22:S22+R10:S10*R23:S23+R11:S11*R24:S24+R4:S4*(R25:S25-R19:S19))/($B$9:$C$9*R22:S22+$B$10:$C$10*R23:S23+$B$11:$C$11*R24:S24+$B$4:$C$4*(R25:S25-R19:S19)))</f>
        <v>0.99612212535881284</v>
      </c>
      <c r="S65" s="181"/>
      <c r="T65" s="181">
        <f t="array" ref="T65">SQRT((T9:U9*$B$22:$C$22+T10:U10*$B$23:$C$23+T11:U11*$B$24:$C$24+T4:U4*($B$25:$C$25-$B$19:$C$19))/($B$9:$C$9*$B$22:$C$22+$B$10:$C$10*$B$23:$C$23+$B$11:$C$11*$B$24:$C$24+$B$4:$C$4*($B$25:$C$25-$B$19:$C$19))*(T9:U9*T22:U22+T10:U10*T23:U23+T11:U11*T24:U24+T4:U4*(T25:U25-T19:U19))/($B$9:$C$9*T22:U22+$B$10:$C$10*T23:U23+$B$11:$C$11*T24:U24+$B$4:$C$4*(T25:U25-T19:U19)))</f>
        <v>0.99575541770646725</v>
      </c>
      <c r="U65" s="181"/>
      <c r="V65" s="181">
        <f t="array" ref="V65">SQRT((V9:W9*$B$22:$C$22+V10:W10*$B$23:$C$23+V11:W11*$B$24:$C$24+V4:W4*($B$25:$C$25-$B$19:$C$19))/($B$9:$C$9*$B$22:$C$22+$B$10:$C$10*$B$23:$C$23+$B$11:$C$11*$B$24:$C$24+$B$4:$C$4*($B$25:$C$25-$B$19:$C$19))*(V9:W9*V22:W22+V10:W10*V23:W23+V11:W11*V24:W24+V4:W4*(V25:W25-V19:W19))/($B$9:$C$9*V22:W22+$B$10:$C$10*V23:W23+$B$11:$C$11*V24:W24+$B$4:$C$4*(V25:W25-V19:W19)))</f>
        <v>0.99533953668878838</v>
      </c>
      <c r="W65" s="181"/>
      <c r="X65" s="181">
        <f t="array" ref="X65">SQRT((X9:Y9*$B$22:$C$22+X10:Y10*$B$23:$C$23+X11:Y11*$B$24:$C$24+X4:Y4*($B$25:$C$25-$B$19:$C$19))/($B$9:$C$9*$B$22:$C$22+$B$10:$C$10*$B$23:$C$23+$B$11:$C$11*$B$24:$C$24+$B$4:$C$4*($B$25:$C$25-$B$19:$C$19))*(X9:Y9*X22:Y22+X10:Y10*X23:Y23+X11:Y11*X24:Y24+X4:Y4*(X25:Y25-X19:Y19))/($B$9:$C$9*X22:Y22+$B$10:$C$10*X23:Y23+$B$11:$C$11*X24:Y24+$B$4:$C$4*(X25:Y25-X19:Y19)))</f>
        <v>0.99473105676978391</v>
      </c>
      <c r="Y65" s="181"/>
      <c r="Z65" s="181" t="e">
        <f t="array" ref="Z65">SQRT((Z9:AA9*$B$22:$C$22+Z10:AA10*$B$23:$C$23+Z11:AA11*$B$24:$C$24+Z4:AA4*($B$25:$C$25-$B$19:$C$19))/($B$9:$C$9*$B$22:$C$22+$B$10:$C$10*$B$23:$C$23+$B$11:$C$11*$B$24:$C$24+$B$4:$C$4*($B$25:$C$25-$B$19:$C$19))*(Z9:AA9*Z22:AA22+Z10:AA10*Z23:AA23+Z11:AA11*Z24:AA24+Z4:AA4*(Z25:AA25-Z19:AA19))/($B$9:$C$9*Z22:AA22+$B$10:$C$10*Z23:AA23+$B$11:$C$11*Z24:AA24+$B$4:$C$4*(Z25:AA25-Z19:AA19)))</f>
        <v>#DIV/0!</v>
      </c>
      <c r="AA65" s="181"/>
      <c r="AB65" s="181" t="e">
        <f t="array" ref="AB65">SQRT((AB9:AC9*$B$22:$C$22+AB10:AC10*$B$23:$C$23+AB11:AC11*$B$24:$C$24+AB4:AC4*($B$25:$C$25-$B$19:$C$19))/($B$9:$C$9*$B$22:$C$22+$B$10:$C$10*$B$23:$C$23+$B$11:$C$11*$B$24:$C$24+$B$4:$C$4*($B$25:$C$25-$B$19:$C$19))*(AB9:AC9*AB22:AC22+AB10:AC10*AB23:AC23+AB11:AC11*AB24:AC24+AB4:AC4*(AB25:AC25-AB19:AC19))/($B$9:$C$9*AB22:AC22+$B$10:$C$10*AB23:AC23+$B$11:$C$11*AB24:AC24+$B$4:$C$4*(AB25:AC25-AB19:AC19)))</f>
        <v>#DIV/0!</v>
      </c>
      <c r="AC65" s="181"/>
      <c r="AD65" s="181" t="e">
        <f t="array" ref="AD65">SQRT((AD9:AE9*$B$22:$C$22+AD10:AE10*$B$23:$C$23+AD11:AE11*$B$24:$C$24+AD4:AE4*($B$25:$C$25-$B$19:$C$19))/($B$9:$C$9*$B$22:$C$22+$B$10:$C$10*$B$23:$C$23+$B$11:$C$11*$B$24:$C$24+$B$4:$C$4*($B$25:$C$25-$B$19:$C$19))*(AD9:AE9*AD22:AE22+AD10:AE10*AD23:AE23+AD11:AE11*AD24:AE24+AD4:AE4*(AD25:AE25-AD19:AE19))/($B$9:$C$9*AD22:AE22+$B$10:$C$10*AD23:AE23+$B$11:$C$11*AD24:AE24+$B$4:$C$4*(AD25:AE25-AD19:AE19)))</f>
        <v>#DIV/0!</v>
      </c>
      <c r="AE65" s="181"/>
      <c r="AF65" s="181" t="e">
        <f t="array" ref="AF65">SQRT((AF9:AG9*$B$22:$C$22+AF10:AG10*$B$23:$C$23+AF11:AG11*$B$24:$C$24+AF4:AG4*($B$25:$C$25-$B$19:$C$19))/($B$9:$C$9*$B$22:$C$22+$B$10:$C$10*$B$23:$C$23+$B$11:$C$11*$B$24:$C$24+$B$4:$C$4*($B$25:$C$25-$B$19:$C$19))*(AF9:AG9*AF22:AG22+AF10:AG10*AF23:AG23+AF11:AG11*AF24:AG24+AF4:AG4*(AF25:AG25-AF19:AG19))/($B$9:$C$9*AF22:AG22+$B$10:$C$10*AF23:AG23+$B$11:$C$11*AF24:AG24+$B$4:$C$4*(AF25:AG25-AF19:AG19)))</f>
        <v>#DIV/0!</v>
      </c>
      <c r="AG65" s="181"/>
      <c r="AH65" s="181" t="e">
        <f t="array" ref="AH65">SQRT((AH9:AI9*$B$22:$C$22+AH10:AI10*$B$23:$C$23+AH11:AI11*$B$24:$C$24+AH4:AI4*($B$25:$C$25-$B$19:$C$19))/($B$9:$C$9*$B$22:$C$22+$B$10:$C$10*$B$23:$C$23+$B$11:$C$11*$B$24:$C$24+$B$4:$C$4*($B$25:$C$25-$B$19:$C$19))*(AH9:AI9*AH22:AI22+AH10:AI10*AH23:AI23+AH11:AI11*AH24:AI24+AH4:AI4*(AH25:AI25-AH19:AI19))/($B$9:$C$9*AH22:AI22+$B$10:$C$10*AH23:AI23+$B$11:$C$11*AH24:AI24+$B$4:$C$4*(AH25:AI25-AH19:AI19)))</f>
        <v>#DIV/0!</v>
      </c>
      <c r="AI65" s="181"/>
      <c r="AJ65" s="181" t="e">
        <f t="array" ref="AJ65">SQRT((AJ9:AK9*$B$22:$C$22+AJ10:AK10*$B$23:$C$23+AJ11:AK11*$B$24:$C$24+AJ4:AK4*($B$25:$C$25-$B$19:$C$19))/($B$9:$C$9*$B$22:$C$22+$B$10:$C$10*$B$23:$C$23+$B$11:$C$11*$B$24:$C$24+$B$4:$C$4*($B$25:$C$25-$B$19:$C$19))*(AJ9:AK9*AJ22:AK22+AJ10:AK10*AJ23:AK23+AJ11:AK11*AJ24:AK24+AJ4:AK4*(AJ25:AK25-AJ19:AK19))/($B$9:$C$9*AJ22:AK22+$B$10:$C$10*AJ23:AK23+$B$11:$C$11*AJ24:AK24+$B$4:$C$4*(AJ25:AK25-AJ19:AK19)))</f>
        <v>#DIV/0!</v>
      </c>
      <c r="AK65" s="181"/>
      <c r="AL65" s="181" t="e">
        <f t="array" ref="AL65">SQRT((AL9:AM9*$B$22:$C$22+AL10:AM10*$B$23:$C$23+AL11:AM11*$B$24:$C$24+AL4:AM4*($B$25:$C$25-$B$19:$C$19))/($B$9:$C$9*$B$22:$C$22+$B$10:$C$10*$B$23:$C$23+$B$11:$C$11*$B$24:$C$24+$B$4:$C$4*($B$25:$C$25-$B$19:$C$19))*(AL9:AM9*AL22:AM22+AL10:AM10*AL23:AM23+AL11:AM11*AL24:AM24+AL4:AM4*(AL25:AM25-AL19:AM19))/($B$9:$C$9*AL22:AM22+$B$10:$C$10*AL23:AM23+$B$11:$C$11*AL24:AM24+$B$4:$C$4*(AL25:AM25-AL19:AM19)))</f>
        <v>#DIV/0!</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0.9993296374610855</v>
      </c>
      <c r="E66" s="181"/>
      <c r="F66" s="181">
        <f t="array" ref="F66">SQRT((F9:G9*$B$22:$C$22)/($B$9:$C$9*$B$22:$C$22)*(F9:G9*F22:G22)/($B$9:$C$9*F22:G22))</f>
        <v>0.99869805154433167</v>
      </c>
      <c r="G66" s="181"/>
      <c r="H66" s="181">
        <f t="array" ref="H66">SQRT((H9:I9*$B$22:$C$22)/($B$9:$C$9*$B$22:$C$22)*(H9:I9*H22:I22)/($B$9:$C$9*H22:I22))</f>
        <v>0.99810597182588712</v>
      </c>
      <c r="I66" s="181"/>
      <c r="J66" s="181">
        <f t="array" ref="J66">SQRT((J9:K9*$B$22:$C$22)/($B$9:$C$9*$B$22:$C$22)*(J9:K9*J22:K22)/($B$9:$C$9*J22:K22))</f>
        <v>0.99755411967788166</v>
      </c>
      <c r="K66" s="181"/>
      <c r="L66" s="181">
        <f t="array" ref="L66">SQRT((L9:M9*$B$22:$C$22)/($B$9:$C$9*$B$22:$C$22)*(L9:M9*L22:M22)/($B$9:$C$9*L22:M22))</f>
        <v>0.99704284548855793</v>
      </c>
      <c r="M66" s="181"/>
      <c r="N66" s="181">
        <f t="array" ref="N66">SQRT((N9:O9*$B$22:$C$22)/($B$9:$C$9*$B$22:$C$22)*(N9:O9*N22:O22)/($B$9:$C$9*N22:O22))</f>
        <v>0.99657136116555767</v>
      </c>
      <c r="O66" s="181"/>
      <c r="P66" s="181">
        <f t="array" ref="P66">SQRT((P9:Q9*$B$22:$C$22)/($B$9:$C$9*$B$22:$C$22)*(P9:Q9*P22:Q22)/($B$9:$C$9*P22:Q22))</f>
        <v>0.99613618511534474</v>
      </c>
      <c r="Q66" s="181"/>
      <c r="R66" s="181">
        <f t="array" ref="R66">SQRT((R9:S9*$B$22:$C$22)/($B$9:$C$9*$B$22:$C$22)*(R9:S9*R22:S22)/($B$9:$C$9*R22:S22))</f>
        <v>0.99572776903398219</v>
      </c>
      <c r="S66" s="181"/>
      <c r="T66" s="181">
        <f t="array" ref="T66">SQRT((T9:U9*$B$22:$C$22)/($B$9:$C$9*$B$22:$C$22)*(T9:U9*T22:U22)/($B$9:$C$9*T22:U22))</f>
        <v>0.99532269329904166</v>
      </c>
      <c r="U66" s="181"/>
      <c r="V66" s="181">
        <f t="array" ref="V66">SQRT((V9:W9*$B$22:$C$22)/($B$9:$C$9*$B$22:$C$22)*(V9:W9*V22:W22)/($B$9:$C$9*V22:W22))</f>
        <v>0.99486304559575145</v>
      </c>
      <c r="W66" s="181"/>
      <c r="X66" s="181">
        <f t="array" ref="X66">SQRT((X9:Y9*$B$22:$C$22)/($B$9:$C$9*$B$22:$C$22)*(X9:Y9*X22:Y22)/($B$9:$C$9*X22:Y22))</f>
        <v>0.99419001481140046</v>
      </c>
      <c r="Y66" s="181"/>
      <c r="Z66" s="181" t="e">
        <f t="array" ref="Z66">SQRT((Z9:AA9*$B$22:$C$22)/($B$9:$C$9*$B$22:$C$22)*(Z9:AA9*Z22:AA22)/($B$9:$C$9*Z22:AA22))</f>
        <v>#DIV/0!</v>
      </c>
      <c r="AA66" s="181"/>
      <c r="AB66" s="181" t="e">
        <f t="array" ref="AB66">SQRT((AB9:AC9*$B$22:$C$22)/($B$9:$C$9*$B$22:$C$22)*(AB9:AC9*AB22:AC22)/($B$9:$C$9*AB22:AC22))</f>
        <v>#DIV/0!</v>
      </c>
      <c r="AC66" s="181"/>
      <c r="AD66" s="181" t="e">
        <f t="array" ref="AD66">SQRT((AD9:AE9*$B$22:$C$22)/($B$9:$C$9*$B$22:$C$22)*(AD9:AE9*AD22:AE22)/($B$9:$C$9*AD22:AE22))</f>
        <v>#DIV/0!</v>
      </c>
      <c r="AE66" s="181"/>
      <c r="AF66" s="181" t="e">
        <f t="array" ref="AF66">SQRT((AF9:AG9*$B$22:$C$22)/($B$9:$C$9*$B$22:$C$22)*(AF9:AG9*AF22:AG22)/($B$9:$C$9*AF22:AG22))</f>
        <v>#DIV/0!</v>
      </c>
      <c r="AG66" s="181"/>
      <c r="AH66" s="181" t="e">
        <f t="array" ref="AH66">SQRT((AH9:AI9*$B$22:$C$22)/($B$9:$C$9*$B$22:$C$22)*(AH9:AI9*AH22:AI22)/($B$9:$C$9*AH22:AI22))</f>
        <v>#DIV/0!</v>
      </c>
      <c r="AI66" s="181"/>
      <c r="AJ66" s="181" t="e">
        <f t="array" ref="AJ66">SQRT((AJ9:AK9*$B$22:$C$22)/($B$9:$C$9*$B$22:$C$22)*(AJ9:AK9*AJ22:AK22)/($B$9:$C$9*AJ22:AK22))</f>
        <v>#DIV/0!</v>
      </c>
      <c r="AK66" s="181"/>
      <c r="AL66" s="181" t="e">
        <f t="array" ref="AL66">SQRT((AL9:AM9*$B$22:$C$22)/($B$9:$C$9*$B$22:$C$22)*(AL9:AM9*AL22:AM22)/($B$9:$C$9*AL22:AM22))</f>
        <v>#DIV/0!</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t="e">
        <f t="array" ref="Z67">SQRT((Z4:AA4*$B$19:$C$19)/($B$4:$C$4*$B$19:$C$19)*(Z4:AA4*Z19:AA19)/($B$4:$C$4*Z19:AA19))</f>
        <v>#DIV/0!</v>
      </c>
      <c r="AA67" s="181"/>
      <c r="AB67" s="181" t="e">
        <f t="array" ref="AB67">SQRT((AB4:AC4*$B$19:$C$19)/($B$4:$C$4*$B$19:$C$19)*(AB4:AC4*AB19:AC19)/($B$4:$C$4*AB19:AC19))</f>
        <v>#DIV/0!</v>
      </c>
      <c r="AC67" s="181"/>
      <c r="AD67" s="181" t="e">
        <f t="array" ref="AD67">SQRT((AD4:AE4*$B$19:$C$19)/($B$4:$C$4*$B$19:$C$19)*(AD4:AE4*AD19:AE19)/($B$4:$C$4*AD19:AE19))</f>
        <v>#DIV/0!</v>
      </c>
      <c r="AE67" s="181"/>
      <c r="AF67" s="181" t="e">
        <f t="array" ref="AF67">SQRT((AF4:AG4*$B$19:$C$19)/($B$4:$C$4*$B$19:$C$19)*(AF4:AG4*AF19:AG19)/($B$4:$C$4*AF19:AG19))</f>
        <v>#DIV/0!</v>
      </c>
      <c r="AG67" s="181"/>
      <c r="AH67" s="181" t="e">
        <f t="array" ref="AH67">SQRT((AH4:AI4*$B$19:$C$19)/($B$4:$C$4*$B$19:$C$19)*(AH4:AI4*AH19:AI19)/($B$4:$C$4*AH19:AI19))</f>
        <v>#DIV/0!</v>
      </c>
      <c r="AI67" s="181"/>
      <c r="AJ67" s="181" t="e">
        <f t="array" ref="AJ67">SQRT((AJ4:AK4*$B$19:$C$19)/($B$4:$C$4*$B$19:$C$19)*(AJ4:AK4*AJ19:AK19)/($B$4:$C$4*AJ19:AK19))</f>
        <v>#DIV/0!</v>
      </c>
      <c r="AK67" s="181"/>
      <c r="AL67" s="181" t="e">
        <f t="array" ref="AL67">SQRT((AL4:AM4*$B$19:$C$19)/($B$4:$C$4*$B$19:$C$19)*(AL4:AM4*AL19:AM19)/($B$4:$C$4*AL19:AM19))</f>
        <v>#DIV/0!</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0.9993296374610855</v>
      </c>
      <c r="E68" s="181"/>
      <c r="F68" s="181">
        <f>F66/F67</f>
        <v>0.99869805154433167</v>
      </c>
      <c r="G68" s="181"/>
      <c r="H68" s="181">
        <f>H66/H67</f>
        <v>0.99810597182588712</v>
      </c>
      <c r="I68" s="181"/>
      <c r="J68" s="181">
        <f>J66/J67</f>
        <v>0.99755411967788166</v>
      </c>
      <c r="K68" s="181"/>
      <c r="L68" s="181">
        <f>L66/L67</f>
        <v>0.99704284548855793</v>
      </c>
      <c r="M68" s="181"/>
      <c r="N68" s="181">
        <f>N66/N67</f>
        <v>0.99657136116555767</v>
      </c>
      <c r="O68" s="181"/>
      <c r="P68" s="181">
        <f>P66/P67</f>
        <v>0.99613618511534474</v>
      </c>
      <c r="Q68" s="181"/>
      <c r="R68" s="181">
        <f>R66/R67</f>
        <v>0.99572776903398219</v>
      </c>
      <c r="S68" s="181"/>
      <c r="T68" s="181">
        <f>T66/T67</f>
        <v>0.99532269329904166</v>
      </c>
      <c r="U68" s="181"/>
      <c r="V68" s="181">
        <f>V66/V67</f>
        <v>0.99486304559575145</v>
      </c>
      <c r="W68" s="181"/>
      <c r="X68" s="181">
        <f>X66/X67</f>
        <v>0.99419001481140046</v>
      </c>
      <c r="Y68" s="181"/>
      <c r="Z68" s="181" t="e">
        <f>Z66/Z67</f>
        <v>#DIV/0!</v>
      </c>
      <c r="AA68" s="181"/>
      <c r="AB68" s="181" t="e">
        <f>AB66/AB67</f>
        <v>#DIV/0!</v>
      </c>
      <c r="AC68" s="181"/>
      <c r="AD68" s="181" t="e">
        <f>AD66/AD67</f>
        <v>#DIV/0!</v>
      </c>
      <c r="AE68" s="181"/>
      <c r="AF68" s="181" t="e">
        <f>AF66/AF67</f>
        <v>#DIV/0!</v>
      </c>
      <c r="AG68" s="181"/>
      <c r="AH68" s="181" t="e">
        <f>AH66/AH67</f>
        <v>#DIV/0!</v>
      </c>
      <c r="AI68" s="181"/>
      <c r="AJ68" s="181" t="e">
        <f>AJ66/AJ67</f>
        <v>#DIV/0!</v>
      </c>
      <c r="AK68" s="181"/>
      <c r="AL68" s="181" t="e">
        <f>AL66/AL67</f>
        <v>#DIV/0!</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0.98029615907915024</v>
      </c>
      <c r="E69" s="181"/>
      <c r="F69" s="181">
        <f>F32/F65/($B$32)</f>
        <v>0.9582565951198555</v>
      </c>
      <c r="G69" s="181"/>
      <c r="H69" s="181">
        <f>H32/H65/($B$32)</f>
        <v>0.93362751731750038</v>
      </c>
      <c r="I69" s="181"/>
      <c r="J69" s="181">
        <f>J32/J65/($B$32)</f>
        <v>0.90614209247437993</v>
      </c>
      <c r="K69" s="181"/>
      <c r="L69" s="181">
        <f>L32/L65/($B$32)</f>
        <v>0.87553187608181293</v>
      </c>
      <c r="M69" s="181"/>
      <c r="N69" s="181">
        <f>N32/N65/($B$32)</f>
        <v>0.84154283211082004</v>
      </c>
      <c r="O69" s="181"/>
      <c r="P69" s="181">
        <f>P32/P65/($B$32)</f>
        <v>0.80396448347610538</v>
      </c>
      <c r="Q69" s="181"/>
      <c r="R69" s="181">
        <f>R32/R65/($B$32)</f>
        <v>0.76267677220922858</v>
      </c>
      <c r="S69" s="181"/>
      <c r="T69" s="181">
        <f>T32/T65/($B$32)</f>
        <v>0.71773348802433701</v>
      </c>
      <c r="U69" s="181"/>
      <c r="V69" s="181">
        <f>V32/V65/($B$32)</f>
        <v>0.6695414937000389</v>
      </c>
      <c r="W69" s="181"/>
      <c r="X69" s="181">
        <f>X32/X65/($B$32)</f>
        <v>0.6193620748161317</v>
      </c>
      <c r="Y69" s="181"/>
      <c r="Z69" s="181" t="e">
        <f>Z32/Z65/($B$32)</f>
        <v>#DIV/0!</v>
      </c>
      <c r="AA69" s="181"/>
      <c r="AB69" s="181" t="e">
        <f>AB32/AB65/($B$32)</f>
        <v>#DIV/0!</v>
      </c>
      <c r="AC69" s="181"/>
      <c r="AD69" s="181" t="e">
        <f>AD32/AD65/($B$32)</f>
        <v>#DIV/0!</v>
      </c>
      <c r="AE69" s="181"/>
      <c r="AF69" s="181" t="e">
        <f>AF32/AF65/($B$32)</f>
        <v>#DIV/0!</v>
      </c>
      <c r="AG69" s="181"/>
      <c r="AH69" s="181" t="e">
        <f>AH32/AH65/($B$32)</f>
        <v>#DIV/0!</v>
      </c>
      <c r="AI69" s="181"/>
      <c r="AJ69" s="181" t="e">
        <f>AJ32/AJ65/($B$32)</f>
        <v>#DIV/0!</v>
      </c>
      <c r="AK69" s="181"/>
      <c r="AL69" s="181" t="e">
        <f>AL32/AL65/($B$32)</f>
        <v>#DIV/0!</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0.97965483369085926</v>
      </c>
      <c r="E70" s="129"/>
      <c r="F70" s="129">
        <f>F18/$B$18</f>
        <v>0.95698717771801578</v>
      </c>
      <c r="G70" s="129"/>
      <c r="H70" s="129">
        <f>H18/$B$18</f>
        <v>0.93175279588401572</v>
      </c>
      <c r="I70" s="129"/>
      <c r="J70" s="129">
        <f>J18/$B$18</f>
        <v>0.90369579615091999</v>
      </c>
      <c r="K70" s="129"/>
      <c r="L70" s="129">
        <f>L18/$B$18</f>
        <v>0.87256008305730592</v>
      </c>
      <c r="M70" s="129"/>
      <c r="N70" s="129">
        <f>N18/$B$18</f>
        <v>0.83810552588874643</v>
      </c>
      <c r="O70" s="129"/>
      <c r="P70" s="129">
        <f>P18/$B$18</f>
        <v>0.80013714554265059</v>
      </c>
      <c r="Q70" s="129"/>
      <c r="R70" s="129">
        <f>R18/$B$18</f>
        <v>0.7585522945924611</v>
      </c>
      <c r="S70" s="129"/>
      <c r="T70" s="129">
        <f>T18/$B$18</f>
        <v>0.71342520684342936</v>
      </c>
      <c r="U70" s="129"/>
      <c r="V70" s="129">
        <f>V18/$B$18</f>
        <v>0.66519014493281592</v>
      </c>
      <c r="W70" s="129"/>
      <c r="X70" s="129">
        <f>X18/$B$18</f>
        <v>0.61515836702030102</v>
      </c>
      <c r="Y70" s="129"/>
      <c r="Z70" s="129">
        <f>Z18/$B$18</f>
        <v>0</v>
      </c>
      <c r="AA70" s="129"/>
      <c r="AB70" s="129">
        <f>AB18/$B$18</f>
        <v>0</v>
      </c>
      <c r="AC70" s="129"/>
      <c r="AD70" s="129">
        <f>AD18/$B$18</f>
        <v>0</v>
      </c>
      <c r="AE70" s="129"/>
      <c r="AF70" s="129">
        <f>AF18/$B$18</f>
        <v>0</v>
      </c>
      <c r="AG70" s="129"/>
      <c r="AH70" s="129">
        <f>AH18/$B$18</f>
        <v>0</v>
      </c>
      <c r="AI70" s="129"/>
      <c r="AJ70" s="129">
        <f>AJ18/$B$18</f>
        <v>0</v>
      </c>
      <c r="AK70" s="129"/>
      <c r="AL70" s="129">
        <f>AL18/$B$18</f>
        <v>0</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0.93687604153499182</v>
      </c>
      <c r="E71" s="129"/>
      <c r="F71" s="129">
        <f>G18/$C$18</f>
        <v>0.8751884219458661</v>
      </c>
      <c r="G71" s="129"/>
      <c r="H71" s="129">
        <f>I18/$C$18</f>
        <v>0.81498246875411096</v>
      </c>
      <c r="I71" s="129"/>
      <c r="J71" s="129">
        <f>K18/$C$18</f>
        <v>0.75629993877843471</v>
      </c>
      <c r="K71" s="129"/>
      <c r="L71" s="129">
        <f>M18/$C$18</f>
        <v>0.69917067864085303</v>
      </c>
      <c r="M71" s="129"/>
      <c r="N71" s="129">
        <f>O18/$C$18</f>
        <v>0.64360176785772027</v>
      </c>
      <c r="O71" s="129"/>
      <c r="P71" s="129">
        <f>Q18/$C$18</f>
        <v>0.58955699828869879</v>
      </c>
      <c r="Q71" s="129"/>
      <c r="R71" s="129">
        <f>S18/$C$18</f>
        <v>0.53692156324048479</v>
      </c>
      <c r="S71" s="129"/>
      <c r="T71" s="129">
        <f>U18/$C$18</f>
        <v>0.4854318978770647</v>
      </c>
      <c r="U71" s="129"/>
      <c r="V71" s="129">
        <f>W18/$C$18</f>
        <v>0.43450885530543182</v>
      </c>
      <c r="W71" s="129"/>
      <c r="X71" s="129">
        <f>Y18/$C$18</f>
        <v>0.38274938464529878</v>
      </c>
      <c r="Y71" s="129"/>
      <c r="Z71" s="129">
        <f>AA18/$C$18</f>
        <v>0</v>
      </c>
      <c r="AA71" s="129"/>
      <c r="AB71" s="129">
        <f>AC18/$C$18</f>
        <v>0</v>
      </c>
      <c r="AC71" s="129"/>
      <c r="AD71" s="129">
        <f>AE18/$C$18</f>
        <v>0</v>
      </c>
      <c r="AE71" s="129"/>
      <c r="AF71" s="129">
        <f>AG18/$C$18</f>
        <v>0</v>
      </c>
      <c r="AG71" s="129"/>
      <c r="AH71" s="129">
        <f>AI18/$C$18</f>
        <v>0</v>
      </c>
      <c r="AI71" s="129"/>
      <c r="AJ71" s="129">
        <f>AK18/$C$18</f>
        <v>0</v>
      </c>
      <c r="AK71" s="129"/>
      <c r="AL71" s="129">
        <f>AM18/$C$18</f>
        <v>0</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0.99193513461357452</v>
      </c>
      <c r="E72" s="129"/>
      <c r="F72" s="129">
        <f>G19/$C$19</f>
        <v>0.98097449085272093</v>
      </c>
      <c r="G72" s="129"/>
      <c r="H72" s="129">
        <f>I19/$C$19</f>
        <v>0.9666521352788906</v>
      </c>
      <c r="I72" s="129"/>
      <c r="J72" s="129">
        <f>K19/$C$19</f>
        <v>0.94848795215940074</v>
      </c>
      <c r="K72" s="129"/>
      <c r="L72" s="129">
        <f>M19/$C$19</f>
        <v>0.92601984382873725</v>
      </c>
      <c r="M72" s="129"/>
      <c r="N72" s="129">
        <f>O19/$C$19</f>
        <v>0.89886346786311599</v>
      </c>
      <c r="O72" s="129"/>
      <c r="P72" s="129">
        <f>Q19/$C$19</f>
        <v>0.86680993738650347</v>
      </c>
      <c r="Q72" s="129"/>
      <c r="R72" s="129">
        <f>S19/$C$19</f>
        <v>0.8300014151935482</v>
      </c>
      <c r="S72" s="129"/>
      <c r="T72" s="129">
        <f>U19/$C$19</f>
        <v>0.78927511193476885</v>
      </c>
      <c r="U72" s="129"/>
      <c r="V72" s="129">
        <f>W19/$C$19</f>
        <v>0.74698094887057931</v>
      </c>
      <c r="W72" s="129"/>
      <c r="X72" s="129">
        <f>Y19/$C$19</f>
        <v>0.70953874219958157</v>
      </c>
      <c r="Y72" s="129"/>
      <c r="Z72" s="129">
        <f>AA19/$C$19</f>
        <v>0</v>
      </c>
      <c r="AA72" s="129"/>
      <c r="AB72" s="129">
        <f>AC19/$C$19</f>
        <v>0</v>
      </c>
      <c r="AC72" s="129"/>
      <c r="AD72" s="129">
        <f>AE19/$C$19</f>
        <v>0</v>
      </c>
      <c r="AE72" s="129"/>
      <c r="AF72" s="129">
        <f>AG19/$C$19</f>
        <v>0</v>
      </c>
      <c r="AG72" s="129"/>
      <c r="AH72" s="129">
        <f>AI19/$C$19</f>
        <v>0</v>
      </c>
      <c r="AI72" s="129"/>
      <c r="AJ72" s="129">
        <f>AK19/$C$19</f>
        <v>0</v>
      </c>
      <c r="AK72" s="129"/>
      <c r="AL72" s="129">
        <f>AM19/$C$19</f>
        <v>0</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0.47641153352875115</v>
      </c>
      <c r="D73" s="183">
        <f t="array" ref="D73">SUM(D9:E9*D22:E22)/D32</f>
        <v>0.47641154217130161</v>
      </c>
      <c r="E73" s="129"/>
      <c r="F73" s="183">
        <f t="array" ref="F73">SUM(F9:G9*F22:G22)/F32</f>
        <v>0.47641154181506828</v>
      </c>
      <c r="G73" s="129"/>
      <c r="H73" s="183">
        <f t="array" ref="H73">SUM(H9:I9*H22:I22)/H32</f>
        <v>0.47641153365653199</v>
      </c>
      <c r="I73" s="129"/>
      <c r="J73" s="183">
        <f t="array" ref="J73">SUM(J9:K9*J22:K22)/J32</f>
        <v>0.47641153343122511</v>
      </c>
      <c r="K73" s="129"/>
      <c r="L73" s="183">
        <f t="array" ref="L73">SUM(L9:M9*L22:M22)/L32</f>
        <v>0.4764115323554125</v>
      </c>
      <c r="M73" s="129"/>
      <c r="N73" s="183">
        <f t="array" ref="N73">SUM(N9:O9*N22:O22)/N32</f>
        <v>0.47641153274143733</v>
      </c>
      <c r="O73" s="129"/>
      <c r="P73" s="183">
        <f t="array" ref="P73">SUM(P9:Q9*P22:Q22)/P32</f>
        <v>0.47641153376432149</v>
      </c>
      <c r="Q73" s="129"/>
      <c r="R73" s="183">
        <f t="array" ref="R73">SUM(R9:S9*R22:S22)/R32</f>
        <v>0.476411533242454</v>
      </c>
      <c r="S73" s="129"/>
      <c r="T73" s="183">
        <f t="array" ref="T73">SUM(T9:U9*T22:U22)/T32</f>
        <v>0.47641153303041733</v>
      </c>
      <c r="U73" s="129"/>
      <c r="V73" s="183">
        <f t="array" ref="V73">SUM(V9:W9*V22:W22)/V32</f>
        <v>0.47641153347283882</v>
      </c>
      <c r="W73" s="129"/>
      <c r="X73" s="183">
        <f t="array" ref="X73">SUM(X9:Y9*X22:Y22)/X32</f>
        <v>0.47641153578449413</v>
      </c>
      <c r="Y73" s="129"/>
      <c r="Z73" s="183" t="e">
        <f t="array" ref="Z73">SUM(Z9:AA9*Z22:AA22)/Z32</f>
        <v>#DIV/0!</v>
      </c>
      <c r="AA73" s="129"/>
      <c r="AB73" s="183" t="e">
        <f t="array" ref="AB73">SUM(AB9:AC9*AB22:AC22)/AB32</f>
        <v>#DIV/0!</v>
      </c>
      <c r="AC73" s="129"/>
      <c r="AD73" s="183" t="e">
        <f t="array" ref="AD73">SUM(AD9:AE9*AD22:AE22)/AD32</f>
        <v>#DIV/0!</v>
      </c>
      <c r="AE73" s="129"/>
      <c r="AF73" s="183" t="e">
        <f t="array" ref="AF73">SUM(AF9:AG9*AF22:AG22)/AF32</f>
        <v>#DIV/0!</v>
      </c>
      <c r="AG73" s="129"/>
      <c r="AH73" s="183" t="e">
        <f t="array" ref="AH73">SUM(AH9:AI9*AH22:AI22)/AH32</f>
        <v>#DIV/0!</v>
      </c>
      <c r="AI73" s="129"/>
      <c r="AJ73" s="183" t="e">
        <f t="array" ref="AJ73">SUM(AJ9:AK9*AJ22:AK22)/AJ32</f>
        <v>#DIV/0!</v>
      </c>
      <c r="AK73" s="129"/>
      <c r="AL73" s="183" t="e">
        <f t="array" ref="AL73">SUM(AL9:AM9*AL22:AM22)/AL32</f>
        <v>#DIV/0!</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0.22604620456442481</v>
      </c>
      <c r="K74" s="129"/>
      <c r="L74" s="183">
        <f t="array" ref="L74">SUM(L10:M10*L23:M23)/L32</f>
        <v>0.22604620456442487</v>
      </c>
      <c r="M74" s="129"/>
      <c r="N74" s="183">
        <f t="array" ref="N74">SUM(N10:O10*N23:O23)/N32</f>
        <v>0.22604620456442481</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0.22604620456442481</v>
      </c>
      <c r="W74" s="129"/>
      <c r="X74" s="183">
        <f t="array" ref="X74">SUM(X10:Y10*X23:Y23)/X32</f>
        <v>0.22604620456442484</v>
      </c>
      <c r="Y74" s="129"/>
      <c r="Z74" s="183" t="e">
        <f t="array" ref="Z74">SUM(Z10:AA10*Z23:AA23)/Z32</f>
        <v>#DIV/0!</v>
      </c>
      <c r="AA74" s="129"/>
      <c r="AB74" s="183" t="e">
        <f t="array" ref="AB74">SUM(AB10:AC10*AB23:AC23)/AB32</f>
        <v>#DIV/0!</v>
      </c>
      <c r="AC74" s="129"/>
      <c r="AD74" s="183" t="e">
        <f t="array" ref="AD74">SUM(AD10:AE10*AD23:AE23)/AD32</f>
        <v>#DIV/0!</v>
      </c>
      <c r="AE74" s="129"/>
      <c r="AF74" s="183" t="e">
        <f t="array" ref="AF74">SUM(AF10:AG10*AF23:AG23)/AF32</f>
        <v>#DIV/0!</v>
      </c>
      <c r="AG74" s="129"/>
      <c r="AH74" s="183" t="e">
        <f t="array" ref="AH74">SUM(AH10:AI10*AH23:AI23)/AH32</f>
        <v>#DIV/0!</v>
      </c>
      <c r="AI74" s="129"/>
      <c r="AJ74" s="183" t="e">
        <f t="array" ref="AJ74">SUM(AJ10:AK10*AJ23:AK23)/AJ32</f>
        <v>#DIV/0!</v>
      </c>
      <c r="AK74" s="129"/>
      <c r="AL74" s="183" t="e">
        <f t="array" ref="AL74">SUM(AL10:AM10*AL23:AM23)/AL32</f>
        <v>#DIV/0!</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0.22038438859564063</v>
      </c>
      <c r="E75" s="129"/>
      <c r="F75" s="183">
        <f t="array" ref="F75">SUM(F11:G11*F24:G24)/F32</f>
        <v>0.22038438845806732</v>
      </c>
      <c r="G75" s="129"/>
      <c r="H75" s="183">
        <f t="array" ref="H75">SUM(H11:I11*H24:I24)/H32</f>
        <v>0.22038438825386117</v>
      </c>
      <c r="I75" s="129"/>
      <c r="J75" s="183">
        <f t="array" ref="J75">SUM(J11:K11*J24:K24)/J32</f>
        <v>0.22038438825159146</v>
      </c>
      <c r="K75" s="129"/>
      <c r="L75" s="183">
        <f t="array" ref="L75">SUM(L11:M11*L24:M24)/L32</f>
        <v>0.22038438817447298</v>
      </c>
      <c r="M75" s="129"/>
      <c r="N75" s="183">
        <f t="array" ref="N75">SUM(N11:O11*N24:O24)/N32</f>
        <v>0.22038438827737733</v>
      </c>
      <c r="O75" s="129"/>
      <c r="P75" s="183">
        <f t="array" ref="P75">SUM(P11:Q11*P24:Q24)/P32</f>
        <v>0.22038438840817978</v>
      </c>
      <c r="Q75" s="129"/>
      <c r="R75" s="183">
        <f t="array" ref="R75">SUM(R11:S11*R24:S24)/R32</f>
        <v>0.22038438827818754</v>
      </c>
      <c r="S75" s="129"/>
      <c r="T75" s="183">
        <f t="array" ref="T75">SUM(T11:U11*T24:U24)/T32</f>
        <v>0.22038438812414782</v>
      </c>
      <c r="U75" s="129"/>
      <c r="V75" s="183">
        <f t="array" ref="V75">SUM(V11:W11*V24:W24)/V32</f>
        <v>0.22038438834450583</v>
      </c>
      <c r="W75" s="129"/>
      <c r="X75" s="183">
        <f t="array" ref="X75">SUM(X11:Y11*X24:Y24)/X32</f>
        <v>0.22038438814618291</v>
      </c>
      <c r="Y75" s="129"/>
      <c r="Z75" s="183" t="e">
        <f t="array" ref="Z75">SUM(Z11:AA11*Z24:AA24)/Z32</f>
        <v>#DIV/0!</v>
      </c>
      <c r="AA75" s="129"/>
      <c r="AB75" s="183" t="e">
        <f t="array" ref="AB75">SUM(AB11:AC11*AB24:AC24)/AB32</f>
        <v>#DIV/0!</v>
      </c>
      <c r="AC75" s="129"/>
      <c r="AD75" s="183" t="e">
        <f t="array" ref="AD75">SUM(AD11:AE11*AD24:AE24)/AD32</f>
        <v>#DIV/0!</v>
      </c>
      <c r="AE75" s="129"/>
      <c r="AF75" s="183" t="e">
        <f t="array" ref="AF75">SUM(AF11:AG11*AF24:AG24)/AF32</f>
        <v>#DIV/0!</v>
      </c>
      <c r="AG75" s="129"/>
      <c r="AH75" s="183" t="e">
        <f t="array" ref="AH75">SUM(AH11:AI11*AH24:AI24)/AH32</f>
        <v>#DIV/0!</v>
      </c>
      <c r="AI75" s="129"/>
      <c r="AJ75" s="183" t="e">
        <f t="array" ref="AJ75">SUM(AJ11:AK11*AJ24:AK24)/AJ32</f>
        <v>#DIV/0!</v>
      </c>
      <c r="AK75" s="129"/>
      <c r="AL75" s="183" t="e">
        <f t="array" ref="AL75">SUM(AL11:AM11*AL24:AM24)/AL32</f>
        <v>#DIV/0!</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0.22301874374724862</v>
      </c>
      <c r="D76" s="183">
        <f t="array" ref="D76">SUM(D12:E12*D25:E25)/D32</f>
        <v>0.22300870850435622</v>
      </c>
      <c r="E76" s="129"/>
      <c r="F76" s="183">
        <f t="array" ref="F76">SUM(F12:G12*F25:G25)/F32</f>
        <v>0.22300424281588405</v>
      </c>
      <c r="G76" s="129"/>
      <c r="H76" s="183">
        <f t="array" ref="H76">SUM(H12:I12*H25:I25)/H32</f>
        <v>0.22300357759118022</v>
      </c>
      <c r="I76" s="129"/>
      <c r="J76" s="183">
        <f t="array" ref="J76">SUM(J12:K12*J25:K25)/J32</f>
        <v>0.22300495980200899</v>
      </c>
      <c r="K76" s="129"/>
      <c r="L76" s="183">
        <f t="array" ref="L76">SUM(L12:M12*L25:M25)/L32</f>
        <v>0.22300697742343098</v>
      </c>
      <c r="M76" s="129"/>
      <c r="N76" s="183">
        <f t="array" ref="N76">SUM(N12:O12*N25:O25)/N32</f>
        <v>0.22300929701073091</v>
      </c>
      <c r="O76" s="129"/>
      <c r="P76" s="183">
        <f t="array" ref="P76">SUM(P12:Q12*P25:Q25)/P32</f>
        <v>0.2230140825565593</v>
      </c>
      <c r="Q76" s="129"/>
      <c r="R76" s="183">
        <f t="array" ref="R76">SUM(R12:S12*R25:S25)/R32</f>
        <v>0.22302910071608795</v>
      </c>
      <c r="S76" s="129"/>
      <c r="T76" s="183">
        <f t="array" ref="T76">SUM(T12:U12*T25:U25)/T32</f>
        <v>0.22307494444536008</v>
      </c>
      <c r="U76" s="129"/>
      <c r="V76" s="183">
        <f t="array" ref="V76">SUM(V12:W12*V25:W25)/V32</f>
        <v>0.22320441268413158</v>
      </c>
      <c r="W76" s="129"/>
      <c r="X76" s="183">
        <f t="array" ref="X76">SUM(X12:Y12*X25:Y25)/X32</f>
        <v>0.22356720816336653</v>
      </c>
      <c r="Y76" s="129"/>
      <c r="Z76" s="183" t="e">
        <f t="array" ref="Z76">SUM(Z12:AA12*Z25:AA25)/Z32</f>
        <v>#DIV/0!</v>
      </c>
      <c r="AA76" s="129"/>
      <c r="AB76" s="183" t="e">
        <f t="array" ref="AB76">SUM(AB12:AC12*AB25:AC25)/AB32</f>
        <v>#DIV/0!</v>
      </c>
      <c r="AC76" s="129"/>
      <c r="AD76" s="183" t="e">
        <f t="array" ref="AD76">SUM(AD12:AE12*AD25:AE25)/AD32</f>
        <v>#DIV/0!</v>
      </c>
      <c r="AE76" s="129"/>
      <c r="AF76" s="183" t="e">
        <f t="array" ref="AF76">SUM(AF12:AG12*AF25:AG25)/AF32</f>
        <v>#DIV/0!</v>
      </c>
      <c r="AG76" s="129"/>
      <c r="AH76" s="183" t="e">
        <f t="array" ref="AH76">SUM(AH12:AI12*AH25:AI25)/AH32</f>
        <v>#DIV/0!</v>
      </c>
      <c r="AI76" s="129"/>
      <c r="AJ76" s="183" t="e">
        <f t="array" ref="AJ76">SUM(AJ12:AK12*AJ25:AK25)/AJ32</f>
        <v>#DIV/0!</v>
      </c>
      <c r="AK76" s="129"/>
      <c r="AL76" s="183" t="e">
        <f t="array" ref="AL76">SUM(AL12:AM12*AL25:AM25)/AL32</f>
        <v>#DIV/0!</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0.14586087017236518</v>
      </c>
      <c r="D77" s="183">
        <f t="array" ref="D77">SUM(D4:E4*D19:E19)/D32</f>
        <v>0.14585084383572339</v>
      </c>
      <c r="E77" s="129"/>
      <c r="F77" s="183">
        <f t="array" ref="F77">SUM(F4:G4*F19:G19)/F32</f>
        <v>0.14584637765344438</v>
      </c>
      <c r="G77" s="129"/>
      <c r="H77" s="183">
        <f t="array" ref="H77">SUM(H4:I4*H19:I19)/H32</f>
        <v>0.14584570406599817</v>
      </c>
      <c r="I77" s="129"/>
      <c r="J77" s="183">
        <f t="array" ref="J77">SUM(J4:K4*J19:K19)/J32</f>
        <v>0.14584708604925037</v>
      </c>
      <c r="K77" s="129"/>
      <c r="L77" s="183">
        <f t="array" ref="L77">SUM(L4:M4*L19:M19)/L32</f>
        <v>0.1458491025177415</v>
      </c>
      <c r="M77" s="129"/>
      <c r="N77" s="183">
        <f t="array" ref="N77">SUM(N4:O4*N19:O19)/N32</f>
        <v>0.1458514225939703</v>
      </c>
      <c r="O77" s="129"/>
      <c r="P77" s="183">
        <f t="array" ref="P77">SUM(P4:Q4*P19:Q19)/P32</f>
        <v>0.14585620929348536</v>
      </c>
      <c r="Q77" s="129"/>
      <c r="R77" s="183">
        <f t="array" ref="R77">SUM(R4:S4*R19:S19)/R32</f>
        <v>0.14587122680115425</v>
      </c>
      <c r="S77" s="129"/>
      <c r="T77" s="183">
        <f t="array" ref="T77">SUM(T4:U4*T19:U19)/T32</f>
        <v>0.14591707016434982</v>
      </c>
      <c r="U77" s="129"/>
      <c r="V77" s="183">
        <f t="array" ref="V77">SUM(V4:W4*V19:W19)/V32</f>
        <v>0.14604653906590084</v>
      </c>
      <c r="W77" s="129"/>
      <c r="X77" s="183">
        <f t="array" ref="X77">SUM(X4:Y4*X19:Y19)/X32</f>
        <v>0.14640933665846831</v>
      </c>
      <c r="Y77" s="129"/>
      <c r="Z77" s="183" t="e">
        <f t="array" ref="Z77">SUM(Z4:AA4*Z19:AA19)/Z32</f>
        <v>#DIV/0!</v>
      </c>
      <c r="AA77" s="129"/>
      <c r="AB77" s="183" t="e">
        <f t="array" ref="AB77">SUM(AB4:AC4*AB19:AC19)/AB32</f>
        <v>#DIV/0!</v>
      </c>
      <c r="AC77" s="129"/>
      <c r="AD77" s="183" t="e">
        <f t="array" ref="AD77">SUM(AD4:AE4*AD19:AE19)/AD32</f>
        <v>#DIV/0!</v>
      </c>
      <c r="AE77" s="129"/>
      <c r="AF77" s="183" t="e">
        <f t="array" ref="AF77">SUM(AF4:AG4*AF19:AG19)/AF32</f>
        <v>#DIV/0!</v>
      </c>
      <c r="AG77" s="129"/>
      <c r="AH77" s="183" t="e">
        <f t="array" ref="AH77">SUM(AH4:AI4*AH19:AI19)/AH32</f>
        <v>#DIV/0!</v>
      </c>
      <c r="AI77" s="129"/>
      <c r="AJ77" s="183" t="e">
        <f t="array" ref="AJ77">SUM(AJ4:AK4*AJ19:AK19)/AJ32</f>
        <v>#DIV/0!</v>
      </c>
      <c r="AK77" s="129"/>
      <c r="AL77" s="183" t="e">
        <f t="array" ref="AL77">SUM(AL4:AM4*AL19:AM19)/AL32</f>
        <v>#DIV/0!</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0.341178260712871</v>
      </c>
      <c r="E78" s="129"/>
      <c r="F78" s="183">
        <f t="array" ref="F78">SUM(F13:G13*F26:G26)/F32</f>
        <v>0.33546255714778639</v>
      </c>
      <c r="G78" s="129"/>
      <c r="H78" s="183">
        <f t="array" ref="H78">SUM(H13:I13*H26:I26)/H32</f>
        <v>0.32976281402790403</v>
      </c>
      <c r="I78" s="129"/>
      <c r="J78" s="183">
        <f t="array" ref="J78">SUM(J13:K13*J26:K26)/J32</f>
        <v>0.32410704221629283</v>
      </c>
      <c r="K78" s="129"/>
      <c r="L78" s="183">
        <f t="array" ref="L78">SUM(L13:M13*L26:M26)/L32</f>
        <v>0.31852954500922764</v>
      </c>
      <c r="M78" s="129"/>
      <c r="N78" s="183">
        <f t="array" ref="N78">SUM(N13:O13*N26:O26)/N32</f>
        <v>0.31307236969104352</v>
      </c>
      <c r="O78" s="129"/>
      <c r="P78" s="183">
        <f t="array" ref="P78">SUM(P13:Q13*P26:Q26)/P32</f>
        <v>0.30778631148918645</v>
      </c>
      <c r="Q78" s="129"/>
      <c r="R78" s="183">
        <f t="array" ref="R78">SUM(R13:S13*R26:S26)/R32</f>
        <v>0.30273308682361982</v>
      </c>
      <c r="S78" s="129"/>
      <c r="T78" s="183">
        <f t="array" ref="T78">SUM(T13:U13*T26:U26)/T32</f>
        <v>0.29799027762269509</v>
      </c>
      <c r="U78" s="129"/>
      <c r="V78" s="183">
        <f t="array" ref="V78">SUM(V13:W13*V26:W26)/V32</f>
        <v>0.29366456036984723</v>
      </c>
      <c r="W78" s="129"/>
      <c r="X78" s="183">
        <f t="array" ref="X78">SUM(X13:Y13*X26:Y26)/X32</f>
        <v>0.28993947119008273</v>
      </c>
      <c r="Y78" s="129"/>
      <c r="Z78" s="183" t="e">
        <f t="array" ref="Z78">SUM(Z13:AA13*Z26:AA26)/Z32</f>
        <v>#DIV/0!</v>
      </c>
      <c r="AA78" s="129"/>
      <c r="AB78" s="183" t="e">
        <f t="array" ref="AB78">SUM(AB13:AC13*AB26:AC26)/AB32</f>
        <v>#DIV/0!</v>
      </c>
      <c r="AC78" s="129"/>
      <c r="AD78" s="183" t="e">
        <f t="array" ref="AD78">SUM(AD13:AE13*AD26:AE26)/AD32</f>
        <v>#DIV/0!</v>
      </c>
      <c r="AE78" s="129"/>
      <c r="AF78" s="183" t="e">
        <f t="array" ref="AF78">SUM(AF13:AG13*AF26:AG26)/AF32</f>
        <v>#DIV/0!</v>
      </c>
      <c r="AG78" s="129"/>
      <c r="AH78" s="183" t="e">
        <f t="array" ref="AH78">SUM(AH13:AI13*AH26:AI26)/AH32</f>
        <v>#DIV/0!</v>
      </c>
      <c r="AI78" s="129"/>
      <c r="AJ78" s="183" t="e">
        <f t="array" ref="AJ78">SUM(AJ13:AK13*AJ26:AK26)/AJ32</f>
        <v>#DIV/0!</v>
      </c>
      <c r="AK78" s="129"/>
      <c r="AL78" s="183" t="e">
        <f t="array" ref="AL78">SUM(AL13:AM13*AL26:AM26)/AL32</f>
        <v>#DIV/0!</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0.46031886147837281</v>
      </c>
      <c r="F79" s="183">
        <f t="array" ref="F79">SUM(F15:G15*F27:G27)/F32</f>
        <v>0.46603451396735035</v>
      </c>
      <c r="H79" s="183">
        <f t="array" ref="H79">SUM(H15:I15*H27:I27)/H32</f>
        <v>0.47173452154403744</v>
      </c>
      <c r="J79" s="183">
        <f t="array" ref="J79">SUM(J15:K15*J27:K27)/J32</f>
        <v>0.47739032038753698</v>
      </c>
      <c r="L79" s="183">
        <f t="array" ref="L79">SUM(L15:M15*L27:M27)/L32</f>
        <v>0.48296802515322496</v>
      </c>
      <c r="N79" s="183">
        <f t="array" ref="N79">SUM(N15:O15*N27:O27)/N32</f>
        <v>0.48842508613597474</v>
      </c>
      <c r="P79" s="183">
        <f t="array" ref="P79">SUM(P15:Q15*P27:Q27)/P32</f>
        <v>0.49371083083751621</v>
      </c>
      <c r="R79" s="183">
        <f t="array" ref="R79">SUM(R15:S15*R27:S27)/R32</f>
        <v>0.49876433421079575</v>
      </c>
      <c r="T79" s="183">
        <f t="array" ref="T79">SUM(T15:U15*T27:U27)/T32</f>
        <v>0.50350749861371891</v>
      </c>
      <c r="V79" s="183">
        <f t="array" ref="V79">SUM(V15:W15*V27:W27)/V32</f>
        <v>0.50783271171862776</v>
      </c>
      <c r="X79" s="183">
        <f t="array" ref="X79">SUM(X15:Y15*X27:Y27)/X32</f>
        <v>0.51155757027744464</v>
      </c>
      <c r="Z79" s="183" t="e">
        <f t="array" ref="Z79">SUM(Z15:AA15*Z27:AA27)/Z32</f>
        <v>#DIV/0!</v>
      </c>
      <c r="AB79" s="183" t="e">
        <f t="array" ref="AB79">SUM(AB15:AC15*AB27:AC27)/AB32</f>
        <v>#DIV/0!</v>
      </c>
      <c r="AD79" s="183" t="e">
        <f t="array" ref="AD79">SUM(AD15:AE15*AD27:AE27)/AD32</f>
        <v>#DIV/0!</v>
      </c>
      <c r="AF79" s="183" t="e">
        <f t="array" ref="AF79">SUM(AF15:AG15*AF27:AG27)/AF32</f>
        <v>#DIV/0!</v>
      </c>
      <c r="AH79" s="183" t="e">
        <f t="array" ref="AH79">SUM(AH15:AI15*AH27:AI27)/AH32</f>
        <v>#DIV/0!</v>
      </c>
      <c r="AJ79" s="183" t="e">
        <f t="array" ref="AJ79">SUM(AJ15:AK15*AJ27:AK27)/AJ32</f>
        <v>#DIV/0!</v>
      </c>
      <c r="AL79" s="183" t="e">
        <f t="array" ref="AL79">SUM(AL15:AM15*AL27:AM27)/AL32</f>
        <v>#DIV/0!</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0.19850273068672877</v>
      </c>
      <c r="F80" s="195">
        <f>F55</f>
        <v>0.19850273257961787</v>
      </c>
      <c r="H80" s="195">
        <f>H55</f>
        <v>0.19850271486654897</v>
      </c>
      <c r="J80" s="195">
        <f>J55</f>
        <v>0.19850271356037064</v>
      </c>
      <c r="L80" s="195">
        <f>L55</f>
        <v>0.19850270231097594</v>
      </c>
      <c r="N80" s="195">
        <f>N55</f>
        <v>0.19850271026875579</v>
      </c>
      <c r="P80" s="195">
        <f>P55</f>
        <v>0.19850272515973966</v>
      </c>
      <c r="R80" s="195">
        <f>R55</f>
        <v>0.1985027139044071</v>
      </c>
      <c r="T80" s="195">
        <f>T55</f>
        <v>0.19850270358579861</v>
      </c>
      <c r="V80" s="195">
        <f>V55</f>
        <v>0.19850271928188004</v>
      </c>
      <c r="X80" s="195">
        <f>X55</f>
        <v>0.19850272323268547</v>
      </c>
      <c r="Z80" s="195" t="e">
        <f>Z55</f>
        <v>#DIV/0!</v>
      </c>
      <c r="AB80" s="195" t="e">
        <f>AB55</f>
        <v>#DIV/0!</v>
      </c>
      <c r="AD80" s="195" t="e">
        <f>AD55</f>
        <v>#DIV/0!</v>
      </c>
      <c r="AF80" s="195" t="e">
        <f>AF55</f>
        <v>#DIV/0!</v>
      </c>
      <c r="AH80" s="195" t="e">
        <f>AH55</f>
        <v>#DIV/0!</v>
      </c>
      <c r="AJ80" s="195" t="e">
        <f>AJ55</f>
        <v>#DIV/0!</v>
      </c>
      <c r="AL80" s="195" t="e">
        <f>AL55</f>
        <v>#DIV/0!</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-2.7543473877696067E-2</v>
      </c>
      <c r="F81" s="195">
        <f>F51/F$32</f>
        <v>-2.7543471984806962E-2</v>
      </c>
      <c r="H81" s="195">
        <f>H51/H$32</f>
        <v>-2.7543489697875873E-2</v>
      </c>
      <c r="J81" s="195">
        <f>J51/J$32</f>
        <v>-2.7543491004054191E-2</v>
      </c>
      <c r="L81" s="195">
        <f>L51/L$32</f>
        <v>-2.7543502253448902E-2</v>
      </c>
      <c r="N81" s="195">
        <f>N51/N$32</f>
        <v>-2.7543494295669047E-2</v>
      </c>
      <c r="P81" s="195">
        <f>P51/P$32</f>
        <v>-2.7543479404685177E-2</v>
      </c>
      <c r="R81" s="195">
        <f>R51/R$32</f>
        <v>-2.7543490660017725E-2</v>
      </c>
      <c r="T81" s="195">
        <f>T51/T$32</f>
        <v>-2.7543500978626213E-2</v>
      </c>
      <c r="V81" s="195">
        <f>V51/V$32</f>
        <v>-2.7543485282544772E-2</v>
      </c>
      <c r="X81" s="195">
        <f>X51/X$32</f>
        <v>-2.7543481331739356E-2</v>
      </c>
      <c r="Z81" s="195" t="e">
        <f>Z51/Z$32</f>
        <v>#DIV/0!</v>
      </c>
      <c r="AB81" s="195" t="e">
        <f>AB51/AB$32</f>
        <v>#DIV/0!</v>
      </c>
      <c r="AD81" s="195" t="e">
        <f>AD51/AD$32</f>
        <v>#DIV/0!</v>
      </c>
      <c r="AF81" s="195" t="e">
        <f>AF51/AF$32</f>
        <v>#DIV/0!</v>
      </c>
      <c r="AH81" s="195" t="e">
        <f>AH51/AH$32</f>
        <v>#DIV/0!</v>
      </c>
      <c r="AJ81" s="195" t="e">
        <f>AJ51/AJ$32</f>
        <v>#DIV/0!</v>
      </c>
      <c r="AL81" s="195" t="e">
        <f>AL51/AL$32</f>
        <v>#DIV/0!</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0.13838124285870512</v>
      </c>
      <c r="F82" s="195">
        <f>F52/F$32</f>
        <v>0.1360629645443257</v>
      </c>
      <c r="H82" s="195">
        <f>H52/H$32</f>
        <v>0.13375115975565993</v>
      </c>
      <c r="J82" s="195">
        <f>J52/J$32</f>
        <v>0.13145718964460806</v>
      </c>
      <c r="L82" s="195">
        <f>L52/L$32</f>
        <v>0.1291949675618119</v>
      </c>
      <c r="N82" s="195">
        <f>N52/N$32</f>
        <v>0.12698154780449711</v>
      </c>
      <c r="P82" s="195">
        <f>P52/P$32</f>
        <v>0.12483753281870046</v>
      </c>
      <c r="R82" s="195">
        <f>R52/R$32</f>
        <v>0.12278795466502709</v>
      </c>
      <c r="T82" s="195">
        <f>T52/T$32</f>
        <v>0.12086428042360756</v>
      </c>
      <c r="V82" s="195">
        <f>V52/V$32</f>
        <v>0.11910977786985839</v>
      </c>
      <c r="X82" s="195">
        <f>X52/X$32</f>
        <v>0.11759888890120529</v>
      </c>
      <c r="Z82" s="195" t="e">
        <f>Z52/Z$32</f>
        <v>#DIV/0!</v>
      </c>
      <c r="AB82" s="195" t="e">
        <f>AB52/AB$32</f>
        <v>#DIV/0!</v>
      </c>
      <c r="AD82" s="195" t="e">
        <f>AD52/AD$32</f>
        <v>#DIV/0!</v>
      </c>
      <c r="AF82" s="195" t="e">
        <f>AF52/AF$32</f>
        <v>#DIV/0!</v>
      </c>
      <c r="AH82" s="195" t="e">
        <f>AH52/AH$32</f>
        <v>#DIV/0!</v>
      </c>
      <c r="AJ82" s="195" t="e">
        <f>AJ52/AJ$32</f>
        <v>#DIV/0!</v>
      </c>
      <c r="AL82" s="195" t="e">
        <f>AL52/AL$32</f>
        <v>#DIV/0!</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0.18670444016446175</v>
      </c>
      <c r="F83" s="195">
        <f>F53/F$32</f>
        <v>0.18902269776247091</v>
      </c>
      <c r="H83" s="195">
        <f>H53/H$32</f>
        <v>0.19133460981430536</v>
      </c>
      <c r="J83" s="195">
        <f>J53/J$32</f>
        <v>0.19362859088943885</v>
      </c>
      <c r="L83" s="195">
        <f>L53/L$32</f>
        <v>0.19589089715761107</v>
      </c>
      <c r="N83" s="195">
        <f>N53/N$32</f>
        <v>0.19810427054069477</v>
      </c>
      <c r="P83" s="195">
        <f>P53/P$32</f>
        <v>0.20024815837136958</v>
      </c>
      <c r="R83" s="195">
        <f>R53/R$32</f>
        <v>0.20229784956835242</v>
      </c>
      <c r="T83" s="195">
        <f>T53/T$32</f>
        <v>0.20422166787901569</v>
      </c>
      <c r="V83" s="195">
        <f>V53/V$32</f>
        <v>0.20597596595133563</v>
      </c>
      <c r="X83" s="195">
        <f>X53/X$32</f>
        <v>0.20748676138057826</v>
      </c>
      <c r="Z83" s="195" t="e">
        <f>Z53/Z$32</f>
        <v>#DIV/0!</v>
      </c>
      <c r="AB83" s="195" t="e">
        <f>AB53/AB$32</f>
        <v>#DIV/0!</v>
      </c>
      <c r="AD83" s="195" t="e">
        <f>AD53/AD$32</f>
        <v>#DIV/0!</v>
      </c>
      <c r="AF83" s="195" t="e">
        <f>AF53/AF$32</f>
        <v>#DIV/0!</v>
      </c>
      <c r="AH83" s="195" t="e">
        <f>AH53/AH$32</f>
        <v>#DIV/0!</v>
      </c>
      <c r="AJ83" s="195" t="e">
        <f>AJ53/AJ$32</f>
        <v>#DIV/0!</v>
      </c>
      <c r="AL83" s="195" t="e">
        <f>AL53/AL$32</f>
        <v>#DIV/0!</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3"/>
  <dimension ref="A1:XFD83"/>
  <sheetViews>
    <sheetView showGridLines="0" topLeftCell="AC1" workbookViewId="0">
      <pane ySplit="1" topLeftCell="A4" activePane="bottomLeft" state="frozen"/>
      <selection pane="bottomLef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c r="AP1" s="91"/>
      <c r="AR1" s="91"/>
      <c r="AT1" s="91"/>
      <c r="AV1" s="91"/>
    </row>
    <row r="2" spans="1:49" x14ac:dyDescent="0.2">
      <c r="A2" s="190" t="s">
        <v>139</v>
      </c>
      <c r="B2" s="188">
        <v>5.7716594496607888E-3</v>
      </c>
      <c r="C2" s="189"/>
      <c r="D2" s="188">
        <v>5.9206043101945431E-2</v>
      </c>
      <c r="E2" s="189"/>
      <c r="F2" s="188">
        <v>0.11785983951050434</v>
      </c>
      <c r="G2" s="189"/>
      <c r="H2" s="188">
        <v>0.18255209349067184</v>
      </c>
      <c r="I2" s="189"/>
      <c r="J2" s="188">
        <v>0.25429138958453151</v>
      </c>
      <c r="K2" s="189"/>
      <c r="L2" s="188">
        <v>0.33433920065221795</v>
      </c>
      <c r="M2" s="189"/>
      <c r="N2" s="188">
        <v>0.42432759063533293</v>
      </c>
      <c r="O2" s="189"/>
      <c r="P2" s="188">
        <v>0.52640292765818009</v>
      </c>
      <c r="Q2" s="189"/>
      <c r="R2" s="188">
        <v>0.64348610141450735</v>
      </c>
      <c r="S2" s="189"/>
      <c r="T2" s="188">
        <v>0.77968572588962604</v>
      </c>
      <c r="U2" s="189"/>
      <c r="V2" s="188">
        <v>0.94100271794272472</v>
      </c>
      <c r="W2" s="189"/>
      <c r="X2" s="188">
        <v>1.1365749805031986</v>
      </c>
      <c r="Y2" s="189"/>
      <c r="Z2" s="188">
        <v>1.3809699791230148</v>
      </c>
      <c r="AA2" s="189"/>
      <c r="AB2" s="188">
        <v>1.6985710183342884</v>
      </c>
      <c r="AC2" s="189"/>
      <c r="AD2" s="188">
        <v>2.1322163136068646</v>
      </c>
      <c r="AE2" s="189"/>
      <c r="AF2" s="188">
        <v>2.7599866791200158</v>
      </c>
      <c r="AG2" s="189"/>
      <c r="AH2" s="188">
        <v>3.7238758709983708</v>
      </c>
      <c r="AI2" s="189"/>
      <c r="AJ2" s="188">
        <v>5.2559053522660442</v>
      </c>
      <c r="AK2" s="189"/>
      <c r="AL2" s="188">
        <v>7.5875433004420101</v>
      </c>
      <c r="AM2" s="189"/>
      <c r="AN2" s="188"/>
      <c r="AO2" s="189"/>
      <c r="AP2" s="188"/>
      <c r="AQ2" s="189"/>
      <c r="AR2" s="188"/>
      <c r="AS2" s="189"/>
      <c r="AT2" s="188"/>
      <c r="AU2" s="189"/>
      <c r="AV2" s="188"/>
      <c r="AW2" s="189"/>
    </row>
    <row r="3" spans="1:49" x14ac:dyDescent="0.2">
      <c r="A3" t="s">
        <v>12</v>
      </c>
      <c r="B3" s="81">
        <v>1000</v>
      </c>
      <c r="C3" s="82">
        <v>1000</v>
      </c>
      <c r="D3" s="81">
        <v>998.82895882413777</v>
      </c>
      <c r="E3" s="82">
        <v>1023.498573259918</v>
      </c>
      <c r="F3" s="81">
        <v>997.68552603102148</v>
      </c>
      <c r="G3" s="82">
        <v>1049.7717584152017</v>
      </c>
      <c r="H3" s="81">
        <v>996.56086723993383</v>
      </c>
      <c r="I3" s="82">
        <v>1079.2999777851007</v>
      </c>
      <c r="J3" s="81">
        <v>995.44551118040613</v>
      </c>
      <c r="K3" s="82">
        <v>1112.6761424931003</v>
      </c>
      <c r="L3" s="81">
        <v>994.32940548779914</v>
      </c>
      <c r="M3" s="82">
        <v>1150.6408318630117</v>
      </c>
      <c r="N3" s="81">
        <v>993.20223598943801</v>
      </c>
      <c r="O3" s="82">
        <v>1194.143486384419</v>
      </c>
      <c r="P3" s="81">
        <v>992.05385609208565</v>
      </c>
      <c r="Q3" s="82">
        <v>1244.4162435441406</v>
      </c>
      <c r="R3" s="81">
        <v>990.87534997018668</v>
      </c>
      <c r="S3" s="82">
        <v>1303.1025546986514</v>
      </c>
      <c r="T3" s="81">
        <v>989.66085863063631</v>
      </c>
      <c r="U3" s="82">
        <v>1372.4550763954119</v>
      </c>
      <c r="V3" s="81">
        <v>988.41077372363623</v>
      </c>
      <c r="W3" s="82">
        <v>1455.6655871448138</v>
      </c>
      <c r="X3" s="81">
        <v>987.13727508002</v>
      </c>
      <c r="Y3" s="82">
        <v>1557.4304227019979</v>
      </c>
      <c r="Z3" s="81">
        <v>985.87380896658226</v>
      </c>
      <c r="AA3" s="82">
        <v>1684.9629210914168</v>
      </c>
      <c r="AB3" s="81">
        <v>984.69082142443483</v>
      </c>
      <c r="AC3" s="82">
        <v>1849.8733857513732</v>
      </c>
      <c r="AD3" s="81">
        <v>983.71957669995538</v>
      </c>
      <c r="AE3" s="82">
        <v>2071.7405796685598</v>
      </c>
      <c r="AF3" s="81">
        <v>983.17715314690997</v>
      </c>
      <c r="AG3" s="82">
        <v>2384.7658195605418</v>
      </c>
      <c r="AH3" s="81">
        <v>983.35000440169358</v>
      </c>
      <c r="AI3" s="82">
        <v>2848.5218494074534</v>
      </c>
      <c r="AJ3" s="81">
        <v>984.42874524349145</v>
      </c>
      <c r="AK3" s="82">
        <v>3556.3160941460601</v>
      </c>
      <c r="AL3" s="81">
        <v>986.16820475468853</v>
      </c>
      <c r="AM3" s="82">
        <v>4596.1164592560826</v>
      </c>
      <c r="AN3" s="81"/>
      <c r="AO3" s="82"/>
      <c r="AP3" s="81"/>
      <c r="AQ3" s="82"/>
      <c r="AR3" s="81"/>
      <c r="AS3" s="82"/>
      <c r="AT3" s="81"/>
      <c r="AU3" s="82"/>
      <c r="AV3" s="81"/>
      <c r="AW3" s="82"/>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c r="AO4" s="96"/>
      <c r="AP4" s="95"/>
      <c r="AQ4" s="96"/>
      <c r="AR4" s="95"/>
      <c r="AS4" s="96"/>
      <c r="AT4" s="95"/>
      <c r="AU4" s="96"/>
      <c r="AV4" s="95"/>
      <c r="AW4" s="96"/>
    </row>
    <row r="5" spans="1:49" x14ac:dyDescent="0.2">
      <c r="A5" t="s">
        <v>115</v>
      </c>
      <c r="B5" s="39">
        <v>1000</v>
      </c>
      <c r="C5" s="40">
        <v>1000</v>
      </c>
      <c r="D5" s="39">
        <v>998.77074511118519</v>
      </c>
      <c r="E5" s="40">
        <v>1020.3645697112667</v>
      </c>
      <c r="F5" s="39">
        <v>997.56952191837831</v>
      </c>
      <c r="G5" s="40">
        <v>1042.5176690014557</v>
      </c>
      <c r="H5" s="39">
        <v>996.38710086664787</v>
      </c>
      <c r="I5" s="40">
        <v>1066.6707082159169</v>
      </c>
      <c r="J5" s="39">
        <v>995.21355233319139</v>
      </c>
      <c r="K5" s="40">
        <v>1093.0587796370128</v>
      </c>
      <c r="L5" s="39">
        <v>994.0383038741453</v>
      </c>
      <c r="M5" s="40">
        <v>1121.944723439879</v>
      </c>
      <c r="N5" s="39">
        <v>992.85047399866767</v>
      </c>
      <c r="O5" s="40">
        <v>1153.6152946110444</v>
      </c>
      <c r="P5" s="39">
        <v>991.63932317552315</v>
      </c>
      <c r="Q5" s="40">
        <v>1188.3836853647208</v>
      </c>
      <c r="R5" s="39">
        <v>990.39537538224249</v>
      </c>
      <c r="S5" s="40">
        <v>1226.5817895190207</v>
      </c>
      <c r="T5" s="39">
        <v>989.11235107993787</v>
      </c>
      <c r="U5" s="40">
        <v>1268.5460210186752</v>
      </c>
      <c r="V5" s="39">
        <v>987.7905573383548</v>
      </c>
      <c r="W5" s="40">
        <v>1314.5898731561063</v>
      </c>
      <c r="X5" s="39">
        <v>986.4427797952535</v>
      </c>
      <c r="Y5" s="40">
        <v>1364.9446557185859</v>
      </c>
      <c r="Z5" s="39">
        <v>985.10438664727576</v>
      </c>
      <c r="AA5" s="40">
        <v>1419.6399415949143</v>
      </c>
      <c r="AB5" s="39">
        <v>983.85012259860048</v>
      </c>
      <c r="AC5" s="40">
        <v>1478.2703119996372</v>
      </c>
      <c r="AD5" s="39">
        <v>982.81954223118703</v>
      </c>
      <c r="AE5" s="40">
        <v>1539.5458492364824</v>
      </c>
      <c r="AF5" s="39">
        <v>982.24365837148594</v>
      </c>
      <c r="AG5" s="40">
        <v>1600.5521939970274</v>
      </c>
      <c r="AH5" s="39">
        <v>982.42719739663119</v>
      </c>
      <c r="AI5" s="40">
        <v>1656.0256024465903</v>
      </c>
      <c r="AJ5" s="39">
        <v>983.57210834545754</v>
      </c>
      <c r="AK5" s="40">
        <v>1699.1631718344752</v>
      </c>
      <c r="AL5" s="39">
        <v>985.41635118327952</v>
      </c>
      <c r="AM5" s="40">
        <v>1725.7387207552117</v>
      </c>
      <c r="AN5" s="39"/>
      <c r="AO5" s="40"/>
      <c r="AP5" s="39"/>
      <c r="AQ5" s="40"/>
      <c r="AR5" s="39"/>
      <c r="AS5" s="40"/>
      <c r="AT5" s="39"/>
      <c r="AU5" s="40"/>
      <c r="AV5" s="39"/>
      <c r="AW5" s="40"/>
    </row>
    <row r="6" spans="1:49" x14ac:dyDescent="0.2">
      <c r="A6" t="s">
        <v>77</v>
      </c>
      <c r="B6" s="39">
        <v>1000.0000000000003</v>
      </c>
      <c r="C6" s="40">
        <v>1000.0000000000002</v>
      </c>
      <c r="D6" s="39">
        <v>998.67684366653498</v>
      </c>
      <c r="E6" s="40">
        <v>1025.2752311307979</v>
      </c>
      <c r="F6" s="39">
        <v>997.3841009331984</v>
      </c>
      <c r="G6" s="40">
        <v>1053.3434370974426</v>
      </c>
      <c r="H6" s="39">
        <v>996.11182466889557</v>
      </c>
      <c r="I6" s="40">
        <v>1084.685046709624</v>
      </c>
      <c r="J6" s="39">
        <v>994.8493226499113</v>
      </c>
      <c r="K6" s="40">
        <v>1119.8940079743741</v>
      </c>
      <c r="L6" s="39">
        <v>993.58521888080907</v>
      </c>
      <c r="M6" s="40">
        <v>1159.7135938184554</v>
      </c>
      <c r="N6" s="39">
        <v>992.30781328595162</v>
      </c>
      <c r="O6" s="40">
        <v>1205.0989667471729</v>
      </c>
      <c r="P6" s="39">
        <v>991.00556693674605</v>
      </c>
      <c r="Q6" s="40">
        <v>1257.2921148243204</v>
      </c>
      <c r="R6" s="39">
        <v>989.6683078208049</v>
      </c>
      <c r="S6" s="40">
        <v>1317.9528438794341</v>
      </c>
      <c r="T6" s="39">
        <v>988.28930733932134</v>
      </c>
      <c r="U6" s="40">
        <v>1389.3599591587706</v>
      </c>
      <c r="V6" s="39">
        <v>986.86892007863037</v>
      </c>
      <c r="W6" s="40">
        <v>1474.7465383470042</v>
      </c>
      <c r="X6" s="39">
        <v>985.42090628854589</v>
      </c>
      <c r="Y6" s="40">
        <v>1578.87427105556</v>
      </c>
      <c r="Z6" s="39">
        <v>983.98326994733611</v>
      </c>
      <c r="AA6" s="40">
        <v>1709.0616042053468</v>
      </c>
      <c r="AB6" s="39">
        <v>982.63626782147071</v>
      </c>
      <c r="AC6" s="40">
        <v>1877.0926617223647</v>
      </c>
      <c r="AD6" s="39">
        <v>981.52968132049648</v>
      </c>
      <c r="AE6" s="40">
        <v>2102.8437832834297</v>
      </c>
      <c r="AF6" s="39">
        <v>980.91140144253029</v>
      </c>
      <c r="AG6" s="40">
        <v>2421.0407743336923</v>
      </c>
      <c r="AH6" s="39">
        <v>981.1084465294922</v>
      </c>
      <c r="AI6" s="40">
        <v>2892.1761553482347</v>
      </c>
      <c r="AJ6" s="39">
        <v>982.33773263050887</v>
      </c>
      <c r="AK6" s="40">
        <v>3611.007524407531</v>
      </c>
      <c r="AL6" s="39">
        <v>984.31834069636704</v>
      </c>
      <c r="AM6" s="40">
        <v>4666.8859030202293</v>
      </c>
      <c r="AN6" s="39"/>
      <c r="AO6" s="40"/>
      <c r="AP6" s="39"/>
      <c r="AQ6" s="40"/>
      <c r="AR6" s="39"/>
      <c r="AS6" s="40"/>
      <c r="AT6" s="39"/>
      <c r="AU6" s="40"/>
      <c r="AV6" s="39"/>
      <c r="AW6" s="40"/>
    </row>
    <row r="7" spans="1:49" x14ac:dyDescent="0.2">
      <c r="A7" t="s">
        <v>13</v>
      </c>
      <c r="B7" s="31">
        <v>1015.9116825427475</v>
      </c>
      <c r="C7" s="32">
        <v>1015.9116825427475</v>
      </c>
      <c r="D7" s="31">
        <v>1014.6628681403777</v>
      </c>
      <c r="E7" s="32">
        <v>1014.6628681403777</v>
      </c>
      <c r="F7" s="31">
        <v>1013.4425314654638</v>
      </c>
      <c r="G7" s="32">
        <v>1013.4425314654638</v>
      </c>
      <c r="H7" s="31">
        <v>1012.2412961053265</v>
      </c>
      <c r="I7" s="32">
        <v>1012.2412961053265</v>
      </c>
      <c r="J7" s="31">
        <v>1011.0490744401571</v>
      </c>
      <c r="K7" s="32">
        <v>1011.0490744401571</v>
      </c>
      <c r="L7" s="31">
        <v>1009.8551258007218</v>
      </c>
      <c r="M7" s="32">
        <v>1009.8551258007218</v>
      </c>
      <c r="N7" s="31">
        <v>1008.6483955533508</v>
      </c>
      <c r="O7" s="32">
        <v>1008.6483955533508</v>
      </c>
      <c r="P7" s="31">
        <v>1007.417973282797</v>
      </c>
      <c r="Q7" s="32">
        <v>1007.417973282797</v>
      </c>
      <c r="R7" s="31">
        <v>1006.1542321871299</v>
      </c>
      <c r="S7" s="32">
        <v>1006.1542321871299</v>
      </c>
      <c r="T7" s="31">
        <v>1004.8507928094324</v>
      </c>
      <c r="U7" s="32">
        <v>1004.8507928094324</v>
      </c>
      <c r="V7" s="31">
        <v>1003.5079671054463</v>
      </c>
      <c r="W7" s="32">
        <v>1003.5079671054463</v>
      </c>
      <c r="X7" s="31">
        <v>1002.1387441539409</v>
      </c>
      <c r="Y7" s="32">
        <v>1002.1387441539409</v>
      </c>
      <c r="Z7" s="31">
        <v>1000.7790549190752</v>
      </c>
      <c r="AA7" s="32">
        <v>1000.7790549190752</v>
      </c>
      <c r="AB7" s="31">
        <v>999.50483341903259</v>
      </c>
      <c r="AC7" s="32">
        <v>999.50483341903259</v>
      </c>
      <c r="AD7" s="31">
        <v>998.45785478397806</v>
      </c>
      <c r="AE7" s="32">
        <v>998.45785478397806</v>
      </c>
      <c r="AF7" s="31">
        <v>997.87280764311993</v>
      </c>
      <c r="AG7" s="32">
        <v>997.87280764311993</v>
      </c>
      <c r="AH7" s="31">
        <v>998.05926708296749</v>
      </c>
      <c r="AI7" s="32">
        <v>998.05926708296749</v>
      </c>
      <c r="AJ7" s="31">
        <v>999.22239549135122</v>
      </c>
      <c r="AK7" s="32">
        <v>999.22239549135122</v>
      </c>
      <c r="AL7" s="31">
        <v>1001.0959833357404</v>
      </c>
      <c r="AM7" s="32">
        <v>1001.0959833357404</v>
      </c>
      <c r="AN7" s="31"/>
      <c r="AO7" s="32"/>
      <c r="AP7" s="31"/>
      <c r="AQ7" s="32"/>
      <c r="AR7" s="31"/>
      <c r="AS7" s="32"/>
      <c r="AT7" s="31"/>
      <c r="AU7" s="32"/>
      <c r="AV7" s="31"/>
      <c r="AW7" s="32"/>
    </row>
    <row r="8" spans="1:49" x14ac:dyDescent="0.2">
      <c r="B8" s="33">
        <v>1005.7716594496609</v>
      </c>
      <c r="C8" s="34">
        <v>1005.7716594496609</v>
      </c>
      <c r="D8" s="33">
        <v>1080.7763184052899</v>
      </c>
      <c r="E8" s="34">
        <v>1080.7763184052899</v>
      </c>
      <c r="F8" s="33">
        <v>1165.3886341568325</v>
      </c>
      <c r="G8" s="34">
        <v>1165.3886341568325</v>
      </c>
      <c r="H8" s="33">
        <v>1261.3936790659102</v>
      </c>
      <c r="I8" s="34">
        <v>1261.3936790659102</v>
      </c>
      <c r="J8" s="33">
        <v>1371.014215608481</v>
      </c>
      <c r="K8" s="34">
        <v>1371.014215608481</v>
      </c>
      <c r="L8" s="33">
        <v>1497.0548254507419</v>
      </c>
      <c r="M8" s="34">
        <v>1497.0548254507419</v>
      </c>
      <c r="N8" s="33">
        <v>1643.1260930934188</v>
      </c>
      <c r="O8" s="34">
        <v>1643.1260930934188</v>
      </c>
      <c r="P8" s="33">
        <v>1813.9523365219275</v>
      </c>
      <c r="Q8" s="34">
        <v>1813.9523365219275</v>
      </c>
      <c r="R8" s="33">
        <v>2015.870123322645</v>
      </c>
      <c r="S8" s="34">
        <v>2015.870123322645</v>
      </c>
      <c r="T8" s="33">
        <v>2257.6132462410178</v>
      </c>
      <c r="U8" s="34">
        <v>2257.6132462410178</v>
      </c>
      <c r="V8" s="33">
        <v>2551.622516775984</v>
      </c>
      <c r="W8" s="34">
        <v>2551.622516775984</v>
      </c>
      <c r="X8" s="33">
        <v>2916.3066011798828</v>
      </c>
      <c r="Y8" s="34">
        <v>2916.3066011798828</v>
      </c>
      <c r="Z8" s="33">
        <v>3380.1200821014413</v>
      </c>
      <c r="AA8" s="34">
        <v>3380.1200821014413</v>
      </c>
      <c r="AB8" s="33">
        <v>3989.2174212262066</v>
      </c>
      <c r="AC8" s="34">
        <v>3989.2174212262066</v>
      </c>
      <c r="AD8" s="33">
        <v>4822.1906245242444</v>
      </c>
      <c r="AE8" s="34">
        <v>4822.1906245242444</v>
      </c>
      <c r="AF8" s="33">
        <v>6018.0549286651385</v>
      </c>
      <c r="AG8" s="34">
        <v>6018.0549286651385</v>
      </c>
      <c r="AH8" s="33">
        <v>7822.8593851529886</v>
      </c>
      <c r="AI8" s="34">
        <v>7822.8593851529886</v>
      </c>
      <c r="AJ8" s="33">
        <v>10629.803981052641</v>
      </c>
      <c r="AK8" s="34">
        <v>10629.803981052641</v>
      </c>
      <c r="AL8" s="33">
        <v>14819.855989734784</v>
      </c>
      <c r="AM8" s="34">
        <v>14819.855989734784</v>
      </c>
      <c r="AN8" s="33"/>
      <c r="AO8" s="34"/>
      <c r="AP8" s="33"/>
      <c r="AQ8" s="34"/>
      <c r="AR8" s="33"/>
      <c r="AS8" s="34"/>
      <c r="AT8" s="33"/>
      <c r="AU8" s="34"/>
      <c r="AV8" s="33"/>
      <c r="AW8" s="34"/>
    </row>
    <row r="9" spans="1:49" x14ac:dyDescent="0.2">
      <c r="A9" t="s">
        <v>14</v>
      </c>
      <c r="B9" s="39">
        <v>1015.9116825427475</v>
      </c>
      <c r="C9" s="40">
        <v>1005.7716594496609</v>
      </c>
      <c r="D9" s="39">
        <v>1014.6628681403777</v>
      </c>
      <c r="E9" s="40">
        <v>1080.7763184052899</v>
      </c>
      <c r="F9" s="39">
        <v>1013.4425314654638</v>
      </c>
      <c r="G9" s="40">
        <v>1165.3886341568325</v>
      </c>
      <c r="H9" s="39">
        <v>1012.2412961053265</v>
      </c>
      <c r="I9" s="40">
        <v>1261.3936790659102</v>
      </c>
      <c r="J9" s="39">
        <v>1011.0490744401571</v>
      </c>
      <c r="K9" s="40">
        <v>1371.014215608481</v>
      </c>
      <c r="L9" s="39">
        <v>1009.8551258007218</v>
      </c>
      <c r="M9" s="40">
        <v>1497.0548254507419</v>
      </c>
      <c r="N9" s="39">
        <v>1008.6483955533508</v>
      </c>
      <c r="O9" s="40">
        <v>1643.1260930934188</v>
      </c>
      <c r="P9" s="39">
        <v>1007.417973282797</v>
      </c>
      <c r="Q9" s="40">
        <v>1813.9523365219275</v>
      </c>
      <c r="R9" s="39">
        <v>1006.1542321871299</v>
      </c>
      <c r="S9" s="40">
        <v>2015.870123322645</v>
      </c>
      <c r="T9" s="39">
        <v>1004.8507928094324</v>
      </c>
      <c r="U9" s="40">
        <v>2257.6132462410178</v>
      </c>
      <c r="V9" s="39">
        <v>1003.5079671054463</v>
      </c>
      <c r="W9" s="40">
        <v>2551.622516775984</v>
      </c>
      <c r="X9" s="39">
        <v>1002.1387441539409</v>
      </c>
      <c r="Y9" s="40">
        <v>2916.3066011798828</v>
      </c>
      <c r="Z9" s="39">
        <v>1000.7790549190752</v>
      </c>
      <c r="AA9" s="40">
        <v>3380.1200821014413</v>
      </c>
      <c r="AB9" s="39">
        <v>999.50483341903259</v>
      </c>
      <c r="AC9" s="40">
        <v>3989.2174212262066</v>
      </c>
      <c r="AD9" s="39">
        <v>998.45785478397806</v>
      </c>
      <c r="AE9" s="40">
        <v>4822.1906245242444</v>
      </c>
      <c r="AF9" s="39">
        <v>997.87280764311993</v>
      </c>
      <c r="AG9" s="40">
        <v>6018.0549286651385</v>
      </c>
      <c r="AH9" s="39">
        <v>998.05926708296749</v>
      </c>
      <c r="AI9" s="40">
        <v>7822.8593851529886</v>
      </c>
      <c r="AJ9" s="39">
        <v>999.22239549135122</v>
      </c>
      <c r="AK9" s="40">
        <v>10629.803981052641</v>
      </c>
      <c r="AL9" s="39">
        <v>1001.0959833357404</v>
      </c>
      <c r="AM9" s="40">
        <v>14819.855989734784</v>
      </c>
      <c r="AN9" s="39"/>
      <c r="AO9" s="40"/>
      <c r="AP9" s="39"/>
      <c r="AQ9" s="40"/>
      <c r="AR9" s="39"/>
      <c r="AS9" s="40"/>
      <c r="AT9" s="39"/>
      <c r="AU9" s="40"/>
      <c r="AV9" s="39"/>
      <c r="AW9" s="40"/>
    </row>
    <row r="10" spans="1:49" x14ac:dyDescent="0.2">
      <c r="A10" t="s">
        <v>15</v>
      </c>
      <c r="B10" s="39">
        <v>1015.9116825427475</v>
      </c>
      <c r="C10" s="40">
        <v>1005.7716594496609</v>
      </c>
      <c r="D10" s="39">
        <v>1014.6628681403777</v>
      </c>
      <c r="E10" s="40">
        <v>1080.7763184052899</v>
      </c>
      <c r="F10" s="39">
        <v>1013.4425314654638</v>
      </c>
      <c r="G10" s="40">
        <v>1165.3886341568325</v>
      </c>
      <c r="H10" s="39">
        <v>1012.2412961053265</v>
      </c>
      <c r="I10" s="40">
        <v>1261.3936790659102</v>
      </c>
      <c r="J10" s="39">
        <v>1011.0490744401571</v>
      </c>
      <c r="K10" s="40">
        <v>1371.014215608481</v>
      </c>
      <c r="L10" s="39">
        <v>1009.8551258007218</v>
      </c>
      <c r="M10" s="40">
        <v>1497.0548254507419</v>
      </c>
      <c r="N10" s="39">
        <v>1008.6483955533508</v>
      </c>
      <c r="O10" s="40">
        <v>1643.1260930934188</v>
      </c>
      <c r="P10" s="39">
        <v>1007.417973282797</v>
      </c>
      <c r="Q10" s="40">
        <v>1813.9523365219275</v>
      </c>
      <c r="R10" s="39">
        <v>1006.1542321871299</v>
      </c>
      <c r="S10" s="40">
        <v>2015.870123322645</v>
      </c>
      <c r="T10" s="39">
        <v>1004.8507928094324</v>
      </c>
      <c r="U10" s="40">
        <v>2257.6132462410178</v>
      </c>
      <c r="V10" s="39">
        <v>1003.5079671054463</v>
      </c>
      <c r="W10" s="40">
        <v>2551.622516775984</v>
      </c>
      <c r="X10" s="39">
        <v>1002.1387441539409</v>
      </c>
      <c r="Y10" s="40">
        <v>2916.3066011798828</v>
      </c>
      <c r="Z10" s="39">
        <v>1000.7790549190752</v>
      </c>
      <c r="AA10" s="40">
        <v>3380.1200821014413</v>
      </c>
      <c r="AB10" s="39">
        <v>999.50483341903259</v>
      </c>
      <c r="AC10" s="40">
        <v>3989.2174212262066</v>
      </c>
      <c r="AD10" s="39">
        <v>998.45785478397806</v>
      </c>
      <c r="AE10" s="40">
        <v>4822.1906245242444</v>
      </c>
      <c r="AF10" s="39">
        <v>997.87280764311993</v>
      </c>
      <c r="AG10" s="40">
        <v>6018.0549286651385</v>
      </c>
      <c r="AH10" s="39">
        <v>998.05926708296749</v>
      </c>
      <c r="AI10" s="40">
        <v>7822.8593851529886</v>
      </c>
      <c r="AJ10" s="39">
        <v>999.22239549135122</v>
      </c>
      <c r="AK10" s="40">
        <v>10629.803981052641</v>
      </c>
      <c r="AL10" s="39">
        <v>1001.0959833357404</v>
      </c>
      <c r="AM10" s="40">
        <v>14819.855989734784</v>
      </c>
      <c r="AN10" s="39"/>
      <c r="AO10" s="40"/>
      <c r="AP10" s="39"/>
      <c r="AQ10" s="40"/>
      <c r="AR10" s="39"/>
      <c r="AS10" s="40"/>
      <c r="AT10" s="39"/>
      <c r="AU10" s="40"/>
      <c r="AV10" s="39"/>
      <c r="AW10" s="40"/>
    </row>
    <row r="11" spans="1:49" x14ac:dyDescent="0.2">
      <c r="A11" t="s">
        <v>29</v>
      </c>
      <c r="B11" s="39">
        <v>1015.9116825427475</v>
      </c>
      <c r="C11" s="40">
        <v>1005.7716594496609</v>
      </c>
      <c r="D11" s="39">
        <v>1014.6628681403777</v>
      </c>
      <c r="E11" s="40">
        <v>1080.7763184052899</v>
      </c>
      <c r="F11" s="39">
        <v>1013.4425314654638</v>
      </c>
      <c r="G11" s="40">
        <v>1165.3886341568325</v>
      </c>
      <c r="H11" s="39">
        <v>1012.2412961053265</v>
      </c>
      <c r="I11" s="40">
        <v>1261.3936790659102</v>
      </c>
      <c r="J11" s="39">
        <v>1011.0490744401571</v>
      </c>
      <c r="K11" s="40">
        <v>1371.014215608481</v>
      </c>
      <c r="L11" s="39">
        <v>1009.8551258007218</v>
      </c>
      <c r="M11" s="40">
        <v>1497.0548254507419</v>
      </c>
      <c r="N11" s="39">
        <v>1008.6483955533508</v>
      </c>
      <c r="O11" s="40">
        <v>1643.1260930934188</v>
      </c>
      <c r="P11" s="39">
        <v>1007.417973282797</v>
      </c>
      <c r="Q11" s="40">
        <v>1813.9523365219275</v>
      </c>
      <c r="R11" s="39">
        <v>1006.1542321871299</v>
      </c>
      <c r="S11" s="40">
        <v>2015.870123322645</v>
      </c>
      <c r="T11" s="39">
        <v>1004.8507928094324</v>
      </c>
      <c r="U11" s="40">
        <v>2257.6132462410178</v>
      </c>
      <c r="V11" s="39">
        <v>1003.5079671054463</v>
      </c>
      <c r="W11" s="40">
        <v>2551.622516775984</v>
      </c>
      <c r="X11" s="39">
        <v>1002.1387441539409</v>
      </c>
      <c r="Y11" s="40">
        <v>2916.3066011798828</v>
      </c>
      <c r="Z11" s="39">
        <v>1000.7790549190752</v>
      </c>
      <c r="AA11" s="40">
        <v>3380.1200821014413</v>
      </c>
      <c r="AB11" s="39">
        <v>999.50483341903259</v>
      </c>
      <c r="AC11" s="40">
        <v>3989.2174212262066</v>
      </c>
      <c r="AD11" s="39">
        <v>998.45785478397806</v>
      </c>
      <c r="AE11" s="40">
        <v>4822.1906245242444</v>
      </c>
      <c r="AF11" s="39">
        <v>997.87280764311993</v>
      </c>
      <c r="AG11" s="40">
        <v>6018.0549286651385</v>
      </c>
      <c r="AH11" s="39">
        <v>998.05926708296749</v>
      </c>
      <c r="AI11" s="40">
        <v>7822.8593851529886</v>
      </c>
      <c r="AJ11" s="39">
        <v>999.22239549135122</v>
      </c>
      <c r="AK11" s="40">
        <v>10629.803981052641</v>
      </c>
      <c r="AL11" s="39">
        <v>1001.0959833357404</v>
      </c>
      <c r="AM11" s="40">
        <v>14819.855989734784</v>
      </c>
      <c r="AN11" s="39"/>
      <c r="AO11" s="40"/>
      <c r="AP11" s="39"/>
      <c r="AQ11" s="40"/>
      <c r="AR11" s="39"/>
      <c r="AS11" s="40"/>
      <c r="AT11" s="39"/>
      <c r="AU11" s="40"/>
      <c r="AV11" s="39"/>
      <c r="AW11" s="40"/>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c r="AO12" s="40"/>
      <c r="AP12" s="39"/>
      <c r="AQ12" s="40"/>
      <c r="AR12" s="39"/>
      <c r="AS12" s="40"/>
      <c r="AT12" s="39"/>
      <c r="AU12" s="40"/>
      <c r="AV12" s="39"/>
      <c r="AW12" s="40"/>
    </row>
    <row r="13" spans="1:49" x14ac:dyDescent="0.2">
      <c r="A13" t="s">
        <v>17</v>
      </c>
      <c r="B13" s="93">
        <v>1000</v>
      </c>
      <c r="C13" s="94">
        <v>1000</v>
      </c>
      <c r="D13" s="93">
        <v>1002.812961045784</v>
      </c>
      <c r="E13" s="94">
        <v>1002.812961045784</v>
      </c>
      <c r="F13" s="93">
        <v>1005.9823378774036</v>
      </c>
      <c r="G13" s="94">
        <v>1005.9823378774036</v>
      </c>
      <c r="H13" s="93">
        <v>1009.5563718694011</v>
      </c>
      <c r="I13" s="94">
        <v>1009.5563718694011</v>
      </c>
      <c r="J13" s="93">
        <v>1013.59573193829</v>
      </c>
      <c r="K13" s="94">
        <v>1013.59573193829</v>
      </c>
      <c r="L13" s="93">
        <v>1018.1778165821703</v>
      </c>
      <c r="M13" s="94">
        <v>1018.1778165821703</v>
      </c>
      <c r="N13" s="93">
        <v>1023.4037687910603</v>
      </c>
      <c r="O13" s="94">
        <v>1023.4037687910603</v>
      </c>
      <c r="P13" s="93">
        <v>1029.4078471694179</v>
      </c>
      <c r="Q13" s="94">
        <v>1029.4078471694179</v>
      </c>
      <c r="R13" s="93">
        <v>1036.3730188051911</v>
      </c>
      <c r="S13" s="94">
        <v>1036.3730188051911</v>
      </c>
      <c r="T13" s="93">
        <v>1044.5553233884648</v>
      </c>
      <c r="U13" s="94">
        <v>1044.5553233884648</v>
      </c>
      <c r="V13" s="93">
        <v>1054.3242266838965</v>
      </c>
      <c r="W13" s="94">
        <v>1054.3242266838965</v>
      </c>
      <c r="X13" s="93">
        <v>1066.2311002872138</v>
      </c>
      <c r="Y13" s="94">
        <v>1066.2311002872138</v>
      </c>
      <c r="Z13" s="93">
        <v>1081.1296881758908</v>
      </c>
      <c r="AA13" s="94">
        <v>1081.1296881758908</v>
      </c>
      <c r="AB13" s="93">
        <v>1100.3935955758952</v>
      </c>
      <c r="AC13" s="94">
        <v>1100.3935955758952</v>
      </c>
      <c r="AD13" s="93">
        <v>1126.3109504595323</v>
      </c>
      <c r="AE13" s="94">
        <v>1126.3109504595323</v>
      </c>
      <c r="AF13" s="93">
        <v>1162.7611578024307</v>
      </c>
      <c r="AG13" s="94">
        <v>1162.7611578024307</v>
      </c>
      <c r="AH13" s="93">
        <v>1216.1155219373256</v>
      </c>
      <c r="AI13" s="94">
        <v>1216.1155219373256</v>
      </c>
      <c r="AJ13" s="93">
        <v>1295.2601607654349</v>
      </c>
      <c r="AK13" s="94">
        <v>1295.2601607654349</v>
      </c>
      <c r="AL13" s="93">
        <v>1405.8072784181102</v>
      </c>
      <c r="AM13" s="94">
        <v>1405.8072784181102</v>
      </c>
      <c r="AN13" s="93"/>
      <c r="AO13" s="94"/>
      <c r="AP13" s="93"/>
      <c r="AQ13" s="94"/>
      <c r="AR13" s="93"/>
      <c r="AS13" s="94"/>
      <c r="AT13" s="93"/>
      <c r="AU13" s="94"/>
      <c r="AV13" s="93"/>
      <c r="AW13" s="94"/>
    </row>
    <row r="14" spans="1:49" x14ac:dyDescent="0.2">
      <c r="A14" t="s">
        <v>36</v>
      </c>
      <c r="B14" s="39">
        <v>1457.0034251455234</v>
      </c>
      <c r="C14" s="40">
        <v>1457.0034251455236</v>
      </c>
      <c r="D14" s="39">
        <v>1461.1019190240315</v>
      </c>
      <c r="E14" s="40">
        <v>1461.1019190240318</v>
      </c>
      <c r="F14" s="39">
        <v>1465.7197119232781</v>
      </c>
      <c r="G14" s="40">
        <v>1465.7197119232783</v>
      </c>
      <c r="H14" s="39">
        <v>1470.9270916912051</v>
      </c>
      <c r="I14" s="40">
        <v>1470.9270916912053</v>
      </c>
      <c r="J14" s="39">
        <v>1476.8124531469721</v>
      </c>
      <c r="K14" s="40">
        <v>1476.8124531469723</v>
      </c>
      <c r="L14" s="39">
        <v>1483.4885661674125</v>
      </c>
      <c r="M14" s="40">
        <v>1483.4885661674127</v>
      </c>
      <c r="N14" s="39">
        <v>1491.1027964354121</v>
      </c>
      <c r="O14" s="40">
        <v>1491.1027964354123</v>
      </c>
      <c r="P14" s="39">
        <v>1499.8507591975213</v>
      </c>
      <c r="Q14" s="40">
        <v>1499.8507591975215</v>
      </c>
      <c r="R14" s="39">
        <v>1509.9990381275693</v>
      </c>
      <c r="S14" s="40">
        <v>1509.9990381275695</v>
      </c>
      <c r="T14" s="39">
        <v>1521.9206839309829</v>
      </c>
      <c r="U14" s="40">
        <v>1521.9206839309832</v>
      </c>
      <c r="V14" s="39">
        <v>1536.1540094923423</v>
      </c>
      <c r="W14" s="40">
        <v>1536.1540094923425</v>
      </c>
      <c r="X14" s="39">
        <v>1553.5023651151505</v>
      </c>
      <c r="Y14" s="40">
        <v>1553.5023651151507</v>
      </c>
      <c r="Z14" s="39">
        <v>1575.2096586987846</v>
      </c>
      <c r="AA14" s="40">
        <v>1575.2096586987848</v>
      </c>
      <c r="AB14" s="39">
        <v>1603.2772377622771</v>
      </c>
      <c r="AC14" s="40">
        <v>1603.2772377622773</v>
      </c>
      <c r="AD14" s="39">
        <v>1641.0389125984482</v>
      </c>
      <c r="AE14" s="40">
        <v>1641.0389125984486</v>
      </c>
      <c r="AF14" s="39">
        <v>1694.1469895443158</v>
      </c>
      <c r="AG14" s="40">
        <v>1694.1469895443161</v>
      </c>
      <c r="AH14" s="39">
        <v>1771.8844808353192</v>
      </c>
      <c r="AI14" s="40">
        <v>1771.8844808353194</v>
      </c>
      <c r="AJ14" s="39">
        <v>1887.1984906897796</v>
      </c>
      <c r="AK14" s="40">
        <v>1887.1984906897801</v>
      </c>
      <c r="AL14" s="39">
        <v>2048.266019749693</v>
      </c>
      <c r="AM14" s="40">
        <v>2048.266019749693</v>
      </c>
      <c r="AN14" s="39"/>
      <c r="AO14" s="40"/>
      <c r="AP14" s="39"/>
      <c r="AQ14" s="40"/>
      <c r="AR14" s="39"/>
      <c r="AS14" s="40"/>
      <c r="AT14" s="39"/>
      <c r="AU14" s="40"/>
      <c r="AV14" s="39"/>
      <c r="AW14" s="40"/>
    </row>
    <row r="15" spans="1:49" x14ac:dyDescent="0.2">
      <c r="A15" t="s">
        <v>18</v>
      </c>
      <c r="B15" s="144">
        <v>1000</v>
      </c>
      <c r="C15" s="145">
        <v>1000</v>
      </c>
      <c r="D15" s="144">
        <v>987.35807105385686</v>
      </c>
      <c r="E15" s="145">
        <v>987.35807105385686</v>
      </c>
      <c r="F15" s="144">
        <v>973.60350531640142</v>
      </c>
      <c r="G15" s="145">
        <v>973.60350531640142</v>
      </c>
      <c r="H15" s="144">
        <v>958.62004587961133</v>
      </c>
      <c r="I15" s="145">
        <v>958.62004587961133</v>
      </c>
      <c r="J15" s="144">
        <v>942.26601334740724</v>
      </c>
      <c r="K15" s="145">
        <v>942.26601334740724</v>
      </c>
      <c r="L15" s="144">
        <v>924.36780837043398</v>
      </c>
      <c r="M15" s="145">
        <v>924.36780837043398</v>
      </c>
      <c r="N15" s="144">
        <v>904.70986090751637</v>
      </c>
      <c r="O15" s="145">
        <v>904.70986090751637</v>
      </c>
      <c r="P15" s="144">
        <v>883.02050190050113</v>
      </c>
      <c r="Q15" s="145">
        <v>883.02050190050113</v>
      </c>
      <c r="R15" s="144">
        <v>858.94946602417167</v>
      </c>
      <c r="S15" s="145">
        <v>858.94946602417167</v>
      </c>
      <c r="T15" s="144">
        <v>832.03312212572916</v>
      </c>
      <c r="U15" s="145">
        <v>832.03312212572916</v>
      </c>
      <c r="V15" s="144">
        <v>801.6379257503977</v>
      </c>
      <c r="W15" s="145">
        <v>801.6379257503977</v>
      </c>
      <c r="X15" s="144">
        <v>766.86828263260884</v>
      </c>
      <c r="Y15" s="145">
        <v>766.86828263260884</v>
      </c>
      <c r="Z15" s="144">
        <v>726.41322270060402</v>
      </c>
      <c r="AA15" s="145">
        <v>726.41322270060402</v>
      </c>
      <c r="AB15" s="144">
        <v>678.29301954718881</v>
      </c>
      <c r="AC15" s="145">
        <v>678.29301954718881</v>
      </c>
      <c r="AD15" s="144">
        <v>619.46616044728046</v>
      </c>
      <c r="AE15" s="145">
        <v>619.46616044728046</v>
      </c>
      <c r="AF15" s="144">
        <v>545.35758949750834</v>
      </c>
      <c r="AG15" s="145">
        <v>545.35758949750834</v>
      </c>
      <c r="AH15" s="144">
        <v>449.91347893499136</v>
      </c>
      <c r="AI15" s="145">
        <v>449.91347893499136</v>
      </c>
      <c r="AJ15" s="144">
        <v>328.49863408858437</v>
      </c>
      <c r="AK15" s="145">
        <v>328.49863408858437</v>
      </c>
      <c r="AL15" s="144">
        <v>188.58307034882429</v>
      </c>
      <c r="AM15" s="145">
        <v>188.58307034882429</v>
      </c>
      <c r="AN15" s="144"/>
      <c r="AO15" s="145"/>
      <c r="AP15" s="144"/>
      <c r="AQ15" s="145"/>
      <c r="AR15" s="144"/>
      <c r="AS15" s="145"/>
      <c r="AT15" s="144"/>
      <c r="AU15" s="145"/>
      <c r="AV15" s="144"/>
      <c r="AW15" s="145"/>
    </row>
    <row r="16" spans="1:49" s="27" customFormat="1" x14ac:dyDescent="0.2">
      <c r="A16" t="s">
        <v>61</v>
      </c>
      <c r="B16" s="39">
        <v>1000</v>
      </c>
      <c r="C16" s="40">
        <v>1000</v>
      </c>
      <c r="D16" s="39">
        <v>995.64801037480584</v>
      </c>
      <c r="E16" s="40">
        <v>991.79972905233001</v>
      </c>
      <c r="F16" s="39">
        <v>991.0558567189986</v>
      </c>
      <c r="G16" s="40">
        <v>982.95902723892902</v>
      </c>
      <c r="H16" s="39">
        <v>986.17747106371075</v>
      </c>
      <c r="I16" s="40">
        <v>973.39697449272614</v>
      </c>
      <c r="J16" s="39">
        <v>980.95918615087726</v>
      </c>
      <c r="K16" s="40">
        <v>963.01650095589662</v>
      </c>
      <c r="L16" s="39">
        <v>975.33773546320299</v>
      </c>
      <c r="M16" s="40">
        <v>951.70116330181168</v>
      </c>
      <c r="N16" s="39">
        <v>969.23733049291809</v>
      </c>
      <c r="O16" s="40">
        <v>939.30802807539487</v>
      </c>
      <c r="P16" s="39">
        <v>962.56589891014892</v>
      </c>
      <c r="Q16" s="40">
        <v>925.66004438967957</v>
      </c>
      <c r="R16" s="39">
        <v>955.20930107823222</v>
      </c>
      <c r="S16" s="40">
        <v>910.53229561647981</v>
      </c>
      <c r="T16" s="39">
        <v>947.02276420521957</v>
      </c>
      <c r="U16" s="40">
        <v>893.6316433420327</v>
      </c>
      <c r="V16" s="39">
        <v>937.81729196942194</v>
      </c>
      <c r="W16" s="40">
        <v>874.56413296778464</v>
      </c>
      <c r="X16" s="39">
        <v>927.33775978926553</v>
      </c>
      <c r="Y16" s="40">
        <v>852.78183730245792</v>
      </c>
      <c r="Z16" s="39">
        <v>915.22627889782916</v>
      </c>
      <c r="AA16" s="40">
        <v>827.49493922375848</v>
      </c>
      <c r="AB16" s="39">
        <v>900.95974398554506</v>
      </c>
      <c r="AC16" s="40">
        <v>797.52696257755326</v>
      </c>
      <c r="AD16" s="39">
        <v>883.74493497741742</v>
      </c>
      <c r="AE16" s="40">
        <v>761.09030675174017</v>
      </c>
      <c r="AF16" s="39">
        <v>862.35911113704253</v>
      </c>
      <c r="AG16" s="40">
        <v>715.51780053293976</v>
      </c>
      <c r="AH16" s="39">
        <v>835.00025447892847</v>
      </c>
      <c r="AI16" s="40">
        <v>657.30809117342528</v>
      </c>
      <c r="AJ16" s="39">
        <v>799.56777687586282</v>
      </c>
      <c r="AK16" s="40">
        <v>583.95541394072734</v>
      </c>
      <c r="AL16" s="39">
        <v>755.93448150747236</v>
      </c>
      <c r="AM16" s="40">
        <v>502.45548989152269</v>
      </c>
      <c r="AN16" s="39"/>
      <c r="AO16" s="40"/>
      <c r="AP16" s="39"/>
      <c r="AQ16" s="40"/>
      <c r="AR16" s="39"/>
      <c r="AS16" s="40"/>
      <c r="AT16" s="39"/>
      <c r="AU16" s="40"/>
      <c r="AV16" s="39"/>
      <c r="AW16" s="40"/>
    </row>
    <row r="17" spans="1:49" x14ac:dyDescent="0.2">
      <c r="A17" t="s">
        <v>62</v>
      </c>
      <c r="B17" s="33">
        <v>1000.0000000000002</v>
      </c>
      <c r="C17" s="34">
        <v>999.99999999999977</v>
      </c>
      <c r="D17" s="33">
        <v>998.88310428787474</v>
      </c>
      <c r="E17" s="34">
        <v>1035.6409778341422</v>
      </c>
      <c r="F17" s="33">
        <v>997.7934117801766</v>
      </c>
      <c r="G17" s="34">
        <v>1075.5801925326889</v>
      </c>
      <c r="H17" s="33">
        <v>996.72247916485424</v>
      </c>
      <c r="I17" s="34">
        <v>1120.5923203073507</v>
      </c>
      <c r="J17" s="33">
        <v>995.66127024980494</v>
      </c>
      <c r="K17" s="34">
        <v>1171.6375605770231</v>
      </c>
      <c r="L17" s="33">
        <v>994.60016697097944</v>
      </c>
      <c r="M17" s="34">
        <v>1229.9230544149596</v>
      </c>
      <c r="N17" s="33">
        <v>993.52943326683396</v>
      </c>
      <c r="O17" s="34">
        <v>1296.9983657858756</v>
      </c>
      <c r="P17" s="33">
        <v>992.43945744745895</v>
      </c>
      <c r="Q17" s="34">
        <v>1374.8856517195463</v>
      </c>
      <c r="R17" s="33">
        <v>991.32184602234861</v>
      </c>
      <c r="S17" s="34">
        <v>1466.291334619702</v>
      </c>
      <c r="T17" s="33">
        <v>990.1711306952069</v>
      </c>
      <c r="U17" s="34">
        <v>1574.9385803809892</v>
      </c>
      <c r="V17" s="33">
        <v>988.98778373706261</v>
      </c>
      <c r="W17" s="34">
        <v>1706.1215773276358</v>
      </c>
      <c r="X17" s="33">
        <v>987.78342499629048</v>
      </c>
      <c r="Y17" s="34">
        <v>1867.6599639390865</v>
      </c>
      <c r="Z17" s="33">
        <v>986.58970768472545</v>
      </c>
      <c r="AA17" s="34">
        <v>2071.616106825531</v>
      </c>
      <c r="AB17" s="33">
        <v>985.47307236818574</v>
      </c>
      <c r="AC17" s="34">
        <v>2337.5087267826088</v>
      </c>
      <c r="AD17" s="33">
        <v>984.55707399813218</v>
      </c>
      <c r="AE17" s="34">
        <v>2698.4794042192038</v>
      </c>
      <c r="AF17" s="33">
        <v>984.04580510889491</v>
      </c>
      <c r="AG17" s="34">
        <v>3212.9598388497416</v>
      </c>
      <c r="AH17" s="33">
        <v>984.20870470958187</v>
      </c>
      <c r="AI17" s="34">
        <v>3984.048691851493</v>
      </c>
      <c r="AJ17" s="33">
        <v>985.22583690655222</v>
      </c>
      <c r="AK17" s="34">
        <v>5176.3175326708806</v>
      </c>
      <c r="AL17" s="33">
        <v>986.86774424650901</v>
      </c>
      <c r="AM17" s="34">
        <v>6951.8160950965448</v>
      </c>
      <c r="AN17" s="33"/>
      <c r="AO17" s="34"/>
      <c r="AP17" s="33"/>
      <c r="AQ17" s="34"/>
      <c r="AR17" s="33"/>
      <c r="AS17" s="34"/>
      <c r="AT17" s="33"/>
      <c r="AU17" s="34"/>
      <c r="AV17" s="33"/>
      <c r="AW17" s="34"/>
    </row>
    <row r="18" spans="1:49" x14ac:dyDescent="0.2">
      <c r="A18" t="s">
        <v>19</v>
      </c>
      <c r="B18" s="31">
        <v>27857.010133999996</v>
      </c>
      <c r="C18" s="32">
        <v>1236.7674480000003</v>
      </c>
      <c r="D18" s="31">
        <v>28003.490363138331</v>
      </c>
      <c r="E18" s="32">
        <v>1144.6138736900407</v>
      </c>
      <c r="F18" s="31">
        <v>28132.696759020157</v>
      </c>
      <c r="G18" s="32">
        <v>1053.6196397062777</v>
      </c>
      <c r="H18" s="31">
        <v>28243.19462648128</v>
      </c>
      <c r="I18" s="32">
        <v>963.75782224326429</v>
      </c>
      <c r="J18" s="31">
        <v>28333.041840628244</v>
      </c>
      <c r="K18" s="32">
        <v>875.01029218458007</v>
      </c>
      <c r="L18" s="31">
        <v>28399.635581587125</v>
      </c>
      <c r="M18" s="32">
        <v>787.38714817893049</v>
      </c>
      <c r="N18" s="31">
        <v>28439.526459621589</v>
      </c>
      <c r="O18" s="32">
        <v>700.92975969500424</v>
      </c>
      <c r="P18" s="31">
        <v>28448.101115976904</v>
      </c>
      <c r="Q18" s="32">
        <v>615.74562599897797</v>
      </c>
      <c r="R18" s="31">
        <v>28419.138224834052</v>
      </c>
      <c r="S18" s="32">
        <v>532.03590661830276</v>
      </c>
      <c r="T18" s="31">
        <v>28344.104971517383</v>
      </c>
      <c r="U18" s="32">
        <v>450.142589862607</v>
      </c>
      <c r="V18" s="31">
        <v>28211.035586776958</v>
      </c>
      <c r="W18" s="32">
        <v>370.61811134221915</v>
      </c>
      <c r="X18" s="31">
        <v>28002.651346737133</v>
      </c>
      <c r="Y18" s="32">
        <v>294.31681442708037</v>
      </c>
      <c r="Z18" s="31">
        <v>27693.074429871198</v>
      </c>
      <c r="AA18" s="32">
        <v>222.51570634518234</v>
      </c>
      <c r="AB18" s="31">
        <v>27241.750048906539</v>
      </c>
      <c r="AC18" s="32">
        <v>157.05573553366179</v>
      </c>
      <c r="AD18" s="31">
        <v>26581.597750375255</v>
      </c>
      <c r="AE18" s="32">
        <v>100.43041552473001</v>
      </c>
      <c r="AF18" s="31">
        <v>25594.754683077226</v>
      </c>
      <c r="AG18" s="32">
        <v>55.599837905709066</v>
      </c>
      <c r="AH18" s="31">
        <v>24061.782630988117</v>
      </c>
      <c r="AI18" s="32">
        <v>25.018802510709918</v>
      </c>
      <c r="AJ18" s="31">
        <v>21558.951612703884</v>
      </c>
      <c r="AK18" s="32">
        <v>8.5564605535210472</v>
      </c>
      <c r="AL18" s="31">
        <v>17285.738535591612</v>
      </c>
      <c r="AM18" s="32">
        <v>2.1753780367081097</v>
      </c>
      <c r="AN18" s="31"/>
      <c r="AO18" s="32"/>
      <c r="AP18" s="31"/>
      <c r="AQ18" s="32"/>
      <c r="AR18" s="31"/>
      <c r="AS18" s="32"/>
      <c r="AT18" s="31"/>
      <c r="AU18" s="32"/>
      <c r="AV18" s="31"/>
      <c r="AW18" s="32"/>
    </row>
    <row r="19" spans="1:49" x14ac:dyDescent="0.2">
      <c r="A19" t="s">
        <v>3</v>
      </c>
      <c r="B19" s="39">
        <v>1886.3937399999966</v>
      </c>
      <c r="C19" s="40">
        <v>262.78711299999759</v>
      </c>
      <c r="D19" s="39">
        <v>1890.1461635134306</v>
      </c>
      <c r="E19" s="40">
        <v>270.6134615422842</v>
      </c>
      <c r="F19" s="39">
        <v>1892.819355268362</v>
      </c>
      <c r="G19" s="40">
        <v>279.37035284659822</v>
      </c>
      <c r="H19" s="39">
        <v>1894.2832500301065</v>
      </c>
      <c r="I19" s="40">
        <v>289.16420773214423</v>
      </c>
      <c r="J19" s="39">
        <v>1894.3705332930847</v>
      </c>
      <c r="K19" s="40">
        <v>300.10259513797109</v>
      </c>
      <c r="L19" s="39">
        <v>1892.8674882446032</v>
      </c>
      <c r="M19" s="40">
        <v>312.28512452429328</v>
      </c>
      <c r="N19" s="39">
        <v>1889.5044385449849</v>
      </c>
      <c r="O19" s="40">
        <v>325.79648071483712</v>
      </c>
      <c r="P19" s="39">
        <v>1883.9383811054458</v>
      </c>
      <c r="Q19" s="40">
        <v>340.67836106662088</v>
      </c>
      <c r="R19" s="39">
        <v>1875.7313143780832</v>
      </c>
      <c r="S19" s="40">
        <v>356.89593761104373</v>
      </c>
      <c r="T19" s="39">
        <v>1864.3162936331103</v>
      </c>
      <c r="U19" s="40">
        <v>374.27588570740573</v>
      </c>
      <c r="V19" s="39">
        <v>1848.9442711569206</v>
      </c>
      <c r="W19" s="40">
        <v>392.40570168577204</v>
      </c>
      <c r="X19" s="39">
        <v>1828.5945561878702</v>
      </c>
      <c r="Y19" s="40">
        <v>410.46531594828195</v>
      </c>
      <c r="Z19" s="39">
        <v>1801.8141257072152</v>
      </c>
      <c r="AA19" s="40">
        <v>426.94982915749438</v>
      </c>
      <c r="AB19" s="39">
        <v>1766.4039418229677</v>
      </c>
      <c r="AC19" s="40">
        <v>439.22564518015196</v>
      </c>
      <c r="AD19" s="39">
        <v>1718.756256018771</v>
      </c>
      <c r="AE19" s="40">
        <v>442.88987811775263</v>
      </c>
      <c r="AF19" s="39">
        <v>1652.34373801378</v>
      </c>
      <c r="AG19" s="40">
        <v>431.14510171495647</v>
      </c>
      <c r="AH19" s="39">
        <v>1554.1582391949476</v>
      </c>
      <c r="AI19" s="40">
        <v>395.27763869092422</v>
      </c>
      <c r="AJ19" s="39">
        <v>1396.8613221117098</v>
      </c>
      <c r="AK19" s="40">
        <v>328.57583917163055</v>
      </c>
      <c r="AL19" s="39">
        <v>1125.6289728974721</v>
      </c>
      <c r="AM19" s="40">
        <v>233.07959112423308</v>
      </c>
      <c r="AN19" s="39"/>
      <c r="AO19" s="40"/>
      <c r="AP19" s="39"/>
      <c r="AQ19" s="40"/>
      <c r="AR19" s="39"/>
      <c r="AS19" s="40"/>
      <c r="AT19" s="39"/>
      <c r="AU19" s="40"/>
      <c r="AV19" s="39"/>
      <c r="AW19" s="40"/>
    </row>
    <row r="20" spans="1:49" x14ac:dyDescent="0.2">
      <c r="A20" t="s">
        <v>114</v>
      </c>
      <c r="B20" s="79">
        <v>26548.356269999993</v>
      </c>
      <c r="C20" s="80">
        <v>1408.5418709999938</v>
      </c>
      <c r="D20" s="79">
        <v>26666.686409083431</v>
      </c>
      <c r="E20" s="80">
        <v>1338.1147774499941</v>
      </c>
      <c r="F20" s="79">
        <v>26768.751425875667</v>
      </c>
      <c r="G20" s="80">
        <v>1267.6876838999945</v>
      </c>
      <c r="H20" s="79">
        <v>26853.074485961355</v>
      </c>
      <c r="I20" s="80">
        <v>1197.2605903499943</v>
      </c>
      <c r="J20" s="79">
        <v>26917.681956331573</v>
      </c>
      <c r="K20" s="80">
        <v>1126.8334967999951</v>
      </c>
      <c r="L20" s="79">
        <v>26959.961218559267</v>
      </c>
      <c r="M20" s="80">
        <v>1056.4064032499953</v>
      </c>
      <c r="N20" s="79">
        <v>26976.494379260861</v>
      </c>
      <c r="O20" s="80">
        <v>985.97930969999561</v>
      </c>
      <c r="P20" s="79">
        <v>26962.769811457867</v>
      </c>
      <c r="Q20" s="80">
        <v>915.55221614999596</v>
      </c>
      <c r="R20" s="79">
        <v>26912.789331373828</v>
      </c>
      <c r="S20" s="80">
        <v>845.12512259999642</v>
      </c>
      <c r="T20" s="79">
        <v>26818.447660812828</v>
      </c>
      <c r="U20" s="80">
        <v>774.69802904999653</v>
      </c>
      <c r="V20" s="79">
        <v>26668.54804227647</v>
      </c>
      <c r="W20" s="80">
        <v>704.27093549999688</v>
      </c>
      <c r="X20" s="79">
        <v>26447.15230969428</v>
      </c>
      <c r="Y20" s="80">
        <v>633.84384194999723</v>
      </c>
      <c r="Z20" s="79">
        <v>26130.683634116147</v>
      </c>
      <c r="AA20" s="80">
        <v>563.41674839999746</v>
      </c>
      <c r="AB20" s="79">
        <v>25682.507735668525</v>
      </c>
      <c r="AC20" s="80">
        <v>492.98965484999781</v>
      </c>
      <c r="AD20" s="79">
        <v>25042.173250248434</v>
      </c>
      <c r="AE20" s="80">
        <v>422.56256129999809</v>
      </c>
      <c r="AF20" s="79">
        <v>24102.784750300321</v>
      </c>
      <c r="AG20" s="80">
        <v>352.13546774999827</v>
      </c>
      <c r="AH20" s="79">
        <v>22662.080183072118</v>
      </c>
      <c r="AI20" s="80">
        <v>281.70837419999856</v>
      </c>
      <c r="AJ20" s="79">
        <v>20321.051353702002</v>
      </c>
      <c r="AK20" s="80">
        <v>211.28128064999879</v>
      </c>
      <c r="AL20" s="79">
        <v>16314.021296691702</v>
      </c>
      <c r="AM20" s="80">
        <v>140.85418709999905</v>
      </c>
      <c r="AN20" s="79"/>
      <c r="AO20" s="80"/>
      <c r="AP20" s="79"/>
      <c r="AQ20" s="80"/>
      <c r="AR20" s="79"/>
      <c r="AS20" s="80"/>
      <c r="AT20" s="79"/>
      <c r="AU20" s="80"/>
      <c r="AV20" s="79"/>
      <c r="AW20" s="80"/>
    </row>
    <row r="21" spans="1:49" x14ac:dyDescent="0.2">
      <c r="A21" t="s">
        <v>76</v>
      </c>
      <c r="B21" s="79">
        <v>24661.96252999999</v>
      </c>
      <c r="C21" s="80">
        <v>1145.7547579999939</v>
      </c>
      <c r="D21" s="79">
        <v>24776.543327748193</v>
      </c>
      <c r="E21" s="80">
        <v>1067.7636682545024</v>
      </c>
      <c r="F21" s="79">
        <v>24875.944165896261</v>
      </c>
      <c r="G21" s="80">
        <v>989.43654522066572</v>
      </c>
      <c r="H21" s="79">
        <v>24958.818046770291</v>
      </c>
      <c r="I21" s="80">
        <v>910.78848038134799</v>
      </c>
      <c r="J21" s="79">
        <v>25023.358593377769</v>
      </c>
      <c r="K21" s="80">
        <v>831.85891042214644</v>
      </c>
      <c r="L21" s="79">
        <v>25067.167023508773</v>
      </c>
      <c r="M21" s="80">
        <v>752.72425697602694</v>
      </c>
      <c r="N21" s="79">
        <v>25087.095414548134</v>
      </c>
      <c r="O21" s="80">
        <v>673.50858830954633</v>
      </c>
      <c r="P21" s="79">
        <v>25078.975592781189</v>
      </c>
      <c r="Q21" s="80">
        <v>594.41175244966678</v>
      </c>
      <c r="R21" s="79">
        <v>25037.247916668301</v>
      </c>
      <c r="S21" s="80">
        <v>515.73870337615153</v>
      </c>
      <c r="T21" s="79">
        <v>24954.374535259416</v>
      </c>
      <c r="U21" s="80">
        <v>437.94577246416623</v>
      </c>
      <c r="V21" s="79">
        <v>24819.907856655842</v>
      </c>
      <c r="W21" s="80">
        <v>361.70405122578137</v>
      </c>
      <c r="X21" s="79">
        <v>24618.929566814644</v>
      </c>
      <c r="Y21" s="80">
        <v>287.98766098381674</v>
      </c>
      <c r="Z21" s="79">
        <v>24329.3129865995</v>
      </c>
      <c r="AA21" s="80">
        <v>218.18936587847878</v>
      </c>
      <c r="AB21" s="79">
        <v>23916.616160196401</v>
      </c>
      <c r="AC21" s="80">
        <v>154.25258388185321</v>
      </c>
      <c r="AD21" s="79">
        <v>23323.982381715185</v>
      </c>
      <c r="AE21" s="80">
        <v>98.754141322981397</v>
      </c>
      <c r="AF21" s="79">
        <v>22451.022283639039</v>
      </c>
      <c r="AG21" s="80">
        <v>54.714526743401251</v>
      </c>
      <c r="AH21" s="79">
        <v>21108.457230692013</v>
      </c>
      <c r="AI21" s="80">
        <v>24.631501535921828</v>
      </c>
      <c r="AJ21" s="79">
        <v>18924.609514765008</v>
      </c>
      <c r="AK21" s="80">
        <v>8.425771124511293</v>
      </c>
      <c r="AL21" s="79">
        <v>15188.657722092128</v>
      </c>
      <c r="AM21" s="80">
        <v>2.1423139711738881</v>
      </c>
      <c r="AN21" s="79"/>
      <c r="AO21" s="80"/>
      <c r="AP21" s="79"/>
      <c r="AQ21" s="80"/>
      <c r="AR21" s="79"/>
      <c r="AS21" s="80"/>
      <c r="AT21" s="79"/>
      <c r="AU21" s="80"/>
      <c r="AV21" s="79"/>
      <c r="AW21" s="80"/>
    </row>
    <row r="22" spans="1:49" x14ac:dyDescent="0.2">
      <c r="A22" t="s">
        <v>28</v>
      </c>
      <c r="B22" s="39">
        <v>6533.6044688320717</v>
      </c>
      <c r="C22" s="40">
        <v>379.90788307663411</v>
      </c>
      <c r="D22" s="39">
        <v>6565.8833016001345</v>
      </c>
      <c r="E22" s="40">
        <v>365.38966339930062</v>
      </c>
      <c r="F22" s="39">
        <v>6593.5507283598472</v>
      </c>
      <c r="G22" s="40">
        <v>350.45147329690542</v>
      </c>
      <c r="H22" s="39">
        <v>6616.1727931370915</v>
      </c>
      <c r="I22" s="40">
        <v>335.10307168074564</v>
      </c>
      <c r="J22" s="39">
        <v>6633.1795772667319</v>
      </c>
      <c r="K22" s="40">
        <v>319.353331456126</v>
      </c>
      <c r="L22" s="39">
        <v>6643.8235942782221</v>
      </c>
      <c r="M22" s="40">
        <v>303.20924786222497</v>
      </c>
      <c r="N22" s="39">
        <v>6647.1469464592683</v>
      </c>
      <c r="O22" s="40">
        <v>286.67390000176511</v>
      </c>
      <c r="P22" s="39">
        <v>6641.8945448870782</v>
      </c>
      <c r="Q22" s="40">
        <v>269.74524590483622</v>
      </c>
      <c r="R22" s="39">
        <v>6626.4185043465068</v>
      </c>
      <c r="S22" s="40">
        <v>252.41292897047768</v>
      </c>
      <c r="T22" s="39">
        <v>6598.5188355457894</v>
      </c>
      <c r="U22" s="40">
        <v>234.65467494476809</v>
      </c>
      <c r="V22" s="39">
        <v>6555.1948574061998</v>
      </c>
      <c r="W22" s="40">
        <v>216.43115370123544</v>
      </c>
      <c r="X22" s="39">
        <v>6492.2341664686728</v>
      </c>
      <c r="Y22" s="40">
        <v>197.67989801728714</v>
      </c>
      <c r="Z22" s="39">
        <v>6403.500265229547</v>
      </c>
      <c r="AA22" s="40">
        <v>178.3087305246747</v>
      </c>
      <c r="AB22" s="39">
        <v>6279.6154851933243</v>
      </c>
      <c r="AC22" s="40">
        <v>158.19140961279936</v>
      </c>
      <c r="AD22" s="39">
        <v>6105.3816458549682</v>
      </c>
      <c r="AE22" s="40">
        <v>137.17518802363318</v>
      </c>
      <c r="AF22" s="39">
        <v>5854.4262857214371</v>
      </c>
      <c r="AG22" s="40">
        <v>115.1243777366244</v>
      </c>
      <c r="AH22" s="39">
        <v>5477.8129392374258</v>
      </c>
      <c r="AI22" s="40">
        <v>92.043518382549081</v>
      </c>
      <c r="AJ22" s="39">
        <v>4881.0827182661214</v>
      </c>
      <c r="AK22" s="40">
        <v>68.282566887862558</v>
      </c>
      <c r="AL22" s="39">
        <v>3888.1000159765363</v>
      </c>
      <c r="AM22" s="40">
        <v>44.609566046130958</v>
      </c>
      <c r="AN22" s="39"/>
      <c r="AO22" s="40"/>
      <c r="AP22" s="39"/>
      <c r="AQ22" s="40"/>
      <c r="AR22" s="39"/>
      <c r="AS22" s="40"/>
      <c r="AT22" s="39"/>
      <c r="AU22" s="40"/>
      <c r="AV22" s="39"/>
      <c r="AW22" s="40"/>
    </row>
    <row r="23" spans="1:49" x14ac:dyDescent="0.2">
      <c r="A23" t="s">
        <v>7</v>
      </c>
      <c r="B23" s="110">
        <v>3278.5018080150408</v>
      </c>
      <c r="C23" s="8">
        <v>0</v>
      </c>
      <c r="D23" s="110">
        <v>3300.0241315625576</v>
      </c>
      <c r="E23" s="8">
        <v>0</v>
      </c>
      <c r="F23" s="110">
        <v>3319.6983420924739</v>
      </c>
      <c r="G23" s="8">
        <v>0</v>
      </c>
      <c r="H23" s="110">
        <v>3337.3547055592981</v>
      </c>
      <c r="I23" s="8">
        <v>0</v>
      </c>
      <c r="J23" s="110">
        <v>3352.7627511326855</v>
      </c>
      <c r="K23" s="8">
        <v>0</v>
      </c>
      <c r="L23" s="110">
        <v>3365.6130057027494</v>
      </c>
      <c r="M23" s="8">
        <v>0</v>
      </c>
      <c r="N23" s="110">
        <v>3375.4986357891503</v>
      </c>
      <c r="O23" s="8">
        <v>0</v>
      </c>
      <c r="P23" s="110">
        <v>3381.8789918373968</v>
      </c>
      <c r="Q23" s="8">
        <v>0</v>
      </c>
      <c r="R23" s="110">
        <v>3384.03368658405</v>
      </c>
      <c r="S23" s="8">
        <v>0</v>
      </c>
      <c r="T23" s="110">
        <v>3380.9890365932761</v>
      </c>
      <c r="U23" s="8">
        <v>0</v>
      </c>
      <c r="V23" s="110">
        <v>3371.4017552727669</v>
      </c>
      <c r="W23" s="8">
        <v>0</v>
      </c>
      <c r="X23" s="110">
        <v>3353.3640941023873</v>
      </c>
      <c r="Y23" s="8">
        <v>0</v>
      </c>
      <c r="Z23" s="110">
        <v>3324.0589679344985</v>
      </c>
      <c r="AA23" s="8">
        <v>0</v>
      </c>
      <c r="AB23" s="110">
        <v>3279.1032654419223</v>
      </c>
      <c r="AC23" s="8">
        <v>0</v>
      </c>
      <c r="AD23" s="110">
        <v>3211.2057348131293</v>
      </c>
      <c r="AE23" s="8">
        <v>0</v>
      </c>
      <c r="AF23" s="110">
        <v>3107.2193074064326</v>
      </c>
      <c r="AG23" s="8">
        <v>0</v>
      </c>
      <c r="AH23" s="110">
        <v>2941.4032201283658</v>
      </c>
      <c r="AI23" s="8">
        <v>0</v>
      </c>
      <c r="AJ23" s="110">
        <v>2660.6179734929042</v>
      </c>
      <c r="AK23" s="8">
        <v>0</v>
      </c>
      <c r="AL23" s="110">
        <v>2158.1497926646362</v>
      </c>
      <c r="AM23" s="8">
        <v>0</v>
      </c>
      <c r="AN23" s="110"/>
      <c r="AO23" s="8"/>
      <c r="AP23" s="110"/>
      <c r="AQ23" s="8"/>
      <c r="AR23" s="110"/>
      <c r="AS23" s="8"/>
      <c r="AT23" s="110"/>
      <c r="AU23" s="8"/>
      <c r="AV23" s="110"/>
      <c r="AW23" s="8"/>
    </row>
    <row r="24" spans="1:49" x14ac:dyDescent="0.2">
      <c r="A24" t="s">
        <v>8</v>
      </c>
      <c r="B24" s="93">
        <v>3196.3846373657216</v>
      </c>
      <c r="C24" s="8">
        <v>0</v>
      </c>
      <c r="D24" s="93">
        <v>3217.3678868372722</v>
      </c>
      <c r="E24" s="8">
        <v>0</v>
      </c>
      <c r="F24" s="93">
        <v>3236.5493147560319</v>
      </c>
      <c r="G24" s="8">
        <v>0</v>
      </c>
      <c r="H24" s="93">
        <v>3253.7634363224129</v>
      </c>
      <c r="I24" s="8">
        <v>0</v>
      </c>
      <c r="J24" s="93">
        <v>3268.7855431625921</v>
      </c>
      <c r="K24" s="8">
        <v>0</v>
      </c>
      <c r="L24" s="93">
        <v>3281.3139460834309</v>
      </c>
      <c r="M24" s="8">
        <v>0</v>
      </c>
      <c r="N24" s="93">
        <v>3290.9519687273623</v>
      </c>
      <c r="O24" s="8">
        <v>0</v>
      </c>
      <c r="P24" s="93">
        <v>3297.1725145636346</v>
      </c>
      <c r="Q24" s="8">
        <v>0</v>
      </c>
      <c r="R24" s="93">
        <v>3299.2732408180095</v>
      </c>
      <c r="S24" s="8">
        <v>0</v>
      </c>
      <c r="T24" s="93">
        <v>3296.3048509776372</v>
      </c>
      <c r="U24" s="8">
        <v>0</v>
      </c>
      <c r="V24" s="93">
        <v>3286.9577041561042</v>
      </c>
      <c r="W24" s="8">
        <v>0</v>
      </c>
      <c r="X24" s="93">
        <v>3269.3718362498275</v>
      </c>
      <c r="Y24" s="8">
        <v>0</v>
      </c>
      <c r="Z24" s="93">
        <v>3240.8007202650733</v>
      </c>
      <c r="AA24" s="8">
        <v>0</v>
      </c>
      <c r="AB24" s="93">
        <v>3196.9710297631937</v>
      </c>
      <c r="AC24" s="8">
        <v>0</v>
      </c>
      <c r="AD24" s="93">
        <v>3130.7741400188265</v>
      </c>
      <c r="AE24" s="8">
        <v>0</v>
      </c>
      <c r="AF24" s="93">
        <v>3029.3922775353153</v>
      </c>
      <c r="AG24" s="8">
        <v>0</v>
      </c>
      <c r="AH24" s="93">
        <v>2867.7294129079582</v>
      </c>
      <c r="AI24" s="8">
        <v>0</v>
      </c>
      <c r="AJ24" s="93">
        <v>2593.9770402914651</v>
      </c>
      <c r="AK24" s="8">
        <v>0</v>
      </c>
      <c r="AL24" s="93">
        <v>2104.0942620639266</v>
      </c>
      <c r="AM24" s="8">
        <v>0</v>
      </c>
      <c r="AN24" s="93"/>
      <c r="AO24" s="8"/>
      <c r="AP24" s="93"/>
      <c r="AQ24" s="8"/>
      <c r="AR24" s="93"/>
      <c r="AS24" s="8"/>
      <c r="AT24" s="93"/>
      <c r="AU24" s="8"/>
      <c r="AV24" s="93"/>
      <c r="AW24" s="8"/>
    </row>
    <row r="25" spans="1:49" x14ac:dyDescent="0.2">
      <c r="A25" t="s">
        <v>0</v>
      </c>
      <c r="B25" s="39">
        <v>3195.0476040000012</v>
      </c>
      <c r="C25" s="40">
        <v>91.012690000004255</v>
      </c>
      <c r="D25" s="39">
        <v>3226.9370639702634</v>
      </c>
      <c r="E25" s="40">
        <v>76.758051902049388</v>
      </c>
      <c r="F25" s="39">
        <v>3256.7131605711343</v>
      </c>
      <c r="G25" s="40">
        <v>63.843725598295428</v>
      </c>
      <c r="H25" s="39">
        <v>3284.2887474281129</v>
      </c>
      <c r="I25" s="40">
        <v>52.265263972924494</v>
      </c>
      <c r="J25" s="39">
        <v>3309.5280309263412</v>
      </c>
      <c r="K25" s="40">
        <v>42.009930329433281</v>
      </c>
      <c r="L25" s="39">
        <v>3332.2261332277867</v>
      </c>
      <c r="M25" s="40">
        <v>33.055452065150796</v>
      </c>
      <c r="N25" s="39">
        <v>3352.0804826639401</v>
      </c>
      <c r="O25" s="40">
        <v>25.366605092973128</v>
      </c>
      <c r="P25" s="39">
        <v>3368.6439913461354</v>
      </c>
      <c r="Q25" s="40">
        <v>18.895246183619467</v>
      </c>
      <c r="R25" s="39">
        <v>3381.2527606374006</v>
      </c>
      <c r="S25" s="40">
        <v>13.578145660691222</v>
      </c>
      <c r="T25" s="39">
        <v>3388.9097416860136</v>
      </c>
      <c r="U25" s="40">
        <v>9.3362282005168478</v>
      </c>
      <c r="V25" s="39">
        <v>3390.0958504997157</v>
      </c>
      <c r="W25" s="40">
        <v>6.0742698665736006</v>
      </c>
      <c r="X25" s="39">
        <v>3382.4530579625352</v>
      </c>
      <c r="Y25" s="40">
        <v>3.6812419571170203</v>
      </c>
      <c r="Z25" s="39">
        <v>3362.2398199684721</v>
      </c>
      <c r="AA25" s="40">
        <v>2.0314829543144</v>
      </c>
      <c r="AB25" s="39">
        <v>3323.3667911115645</v>
      </c>
      <c r="AC25" s="40">
        <v>0.98696031178489285</v>
      </c>
      <c r="AD25" s="39">
        <v>3255.6570922488481</v>
      </c>
      <c r="AE25" s="40">
        <v>0.40117852127164372</v>
      </c>
      <c r="AF25" s="39">
        <v>3141.7143127963218</v>
      </c>
      <c r="AG25" s="40">
        <v>0.12650406368417105</v>
      </c>
      <c r="AH25" s="39">
        <v>2951.4683738560643</v>
      </c>
      <c r="AI25" s="40">
        <v>2.7964187379441455E-2</v>
      </c>
      <c r="AJ25" s="39">
        <v>2632.8936828775309</v>
      </c>
      <c r="AK25" s="40">
        <v>3.9364671947777737E-3</v>
      </c>
      <c r="AL25" s="39">
        <v>2096.1713730834294</v>
      </c>
      <c r="AM25" s="40">
        <v>3.5874391708058949E-4</v>
      </c>
      <c r="AN25" s="39"/>
      <c r="AO25" s="40"/>
      <c r="AP25" s="39"/>
      <c r="AQ25" s="40"/>
      <c r="AR25" s="39"/>
      <c r="AS25" s="40"/>
      <c r="AT25" s="39"/>
      <c r="AU25" s="40"/>
      <c r="AV25" s="39"/>
      <c r="AW25" s="40"/>
    </row>
    <row r="26" spans="1:49" x14ac:dyDescent="0.2">
      <c r="A26" t="s">
        <v>27</v>
      </c>
      <c r="B26" s="31">
        <v>5036.2953101960647</v>
      </c>
      <c r="C26" s="32">
        <v>74.905331803938267</v>
      </c>
      <c r="D26" s="31">
        <v>5088.1855365464862</v>
      </c>
      <c r="E26" s="32">
        <v>70.028239138088196</v>
      </c>
      <c r="F26" s="31">
        <v>5136.2571487170717</v>
      </c>
      <c r="G26" s="32">
        <v>65.134933837627983</v>
      </c>
      <c r="H26" s="31">
        <v>5180.0664920940599</v>
      </c>
      <c r="I26" s="32">
        <v>60.222624199584004</v>
      </c>
      <c r="J26" s="31">
        <v>5219.0279970315787</v>
      </c>
      <c r="K26" s="32">
        <v>55.288485648155159</v>
      </c>
      <c r="L26" s="31">
        <v>5252.3742911403933</v>
      </c>
      <c r="M26" s="32">
        <v>50.330505337888553</v>
      </c>
      <c r="N26" s="31">
        <v>5279.1076187233748</v>
      </c>
      <c r="O26" s="32">
        <v>45.348137135179222</v>
      </c>
      <c r="P26" s="31">
        <v>5297.9236652304107</v>
      </c>
      <c r="Q26" s="32">
        <v>40.34426107039603</v>
      </c>
      <c r="R26" s="31">
        <v>5307.107692876416</v>
      </c>
      <c r="S26" s="32">
        <v>35.327385560896168</v>
      </c>
      <c r="T26" s="31">
        <v>5304.3761332456061</v>
      </c>
      <c r="U26" s="32">
        <v>30.315157320944209</v>
      </c>
      <c r="V26" s="31">
        <v>5286.6344580273162</v>
      </c>
      <c r="W26" s="32">
        <v>25.339534304353087</v>
      </c>
      <c r="X26" s="31">
        <v>5249.5792208114144</v>
      </c>
      <c r="Y26" s="32">
        <v>20.45403640093841</v>
      </c>
      <c r="Z26" s="31">
        <v>5187.017526841677</v>
      </c>
      <c r="AA26" s="32">
        <v>15.743675907047061</v>
      </c>
      <c r="AB26" s="31">
        <v>5089.6259814455361</v>
      </c>
      <c r="AC26" s="32">
        <v>11.337374369342442</v>
      </c>
      <c r="AD26" s="31">
        <v>4942.5656368174987</v>
      </c>
      <c r="AE26" s="32">
        <v>7.4187839238021267</v>
      </c>
      <c r="AF26" s="31">
        <v>4720.7411907233054</v>
      </c>
      <c r="AG26" s="32">
        <v>4.2203261969820858</v>
      </c>
      <c r="AH26" s="31">
        <v>4379.6790269120693</v>
      </c>
      <c r="AI26" s="32">
        <v>1.9617162852903243</v>
      </c>
      <c r="AJ26" s="31">
        <v>3841.148886617812</v>
      </c>
      <c r="AK26" s="32">
        <v>0.69652150844078864</v>
      </c>
      <c r="AL26" s="31">
        <v>2982.8456681878074</v>
      </c>
      <c r="AM26" s="32">
        <v>0.18374113608562181</v>
      </c>
      <c r="AN26" s="31"/>
      <c r="AO26" s="32"/>
      <c r="AP26" s="31"/>
      <c r="AQ26" s="32"/>
      <c r="AR26" s="31"/>
      <c r="AS26" s="32"/>
      <c r="AT26" s="31"/>
      <c r="AU26" s="32"/>
      <c r="AV26" s="31"/>
      <c r="AW26" s="32"/>
    </row>
    <row r="27" spans="1:49" x14ac:dyDescent="0.2">
      <c r="A27" t="s">
        <v>2</v>
      </c>
      <c r="B27" s="33">
        <v>6425.1981590000414</v>
      </c>
      <c r="C27" s="34">
        <v>273.22915400000028</v>
      </c>
      <c r="D27" s="33">
        <v>6444.2037430128439</v>
      </c>
      <c r="E27" s="34">
        <v>254.22370322923217</v>
      </c>
      <c r="F27" s="33">
        <v>6462.9713178940856</v>
      </c>
      <c r="G27" s="34">
        <v>235.45599710509728</v>
      </c>
      <c r="H27" s="33">
        <v>6481.5301020276529</v>
      </c>
      <c r="I27" s="34">
        <v>216.89721325115019</v>
      </c>
      <c r="J27" s="33">
        <v>6499.9094828186217</v>
      </c>
      <c r="K27" s="34">
        <v>198.51813727577675</v>
      </c>
      <c r="L27" s="33">
        <v>6518.134215308708</v>
      </c>
      <c r="M27" s="34">
        <v>180.293100527136</v>
      </c>
      <c r="N27" s="33">
        <v>6536.2278722499514</v>
      </c>
      <c r="O27" s="34">
        <v>162.19944499418611</v>
      </c>
      <c r="P27" s="33">
        <v>6554.2025483794177</v>
      </c>
      <c r="Q27" s="34">
        <v>144.22476720419098</v>
      </c>
      <c r="R27" s="33">
        <v>6572.0550088062046</v>
      </c>
      <c r="S27" s="34">
        <v>126.37230966960686</v>
      </c>
      <c r="T27" s="33">
        <v>6589.75603963922</v>
      </c>
      <c r="U27" s="34">
        <v>108.67127262969119</v>
      </c>
      <c r="V27" s="33">
        <v>6607.233825760427</v>
      </c>
      <c r="W27" s="34">
        <v>91.193484461612002</v>
      </c>
      <c r="X27" s="33">
        <v>6624.3504295491066</v>
      </c>
      <c r="Y27" s="34">
        <v>74.076901570129294</v>
      </c>
      <c r="Z27" s="33">
        <v>6640.8673201905876</v>
      </c>
      <c r="AA27" s="34">
        <v>57.560017625567021</v>
      </c>
      <c r="AB27" s="33">
        <v>6656.3979394142134</v>
      </c>
      <c r="AC27" s="34">
        <v>42.02935758972221</v>
      </c>
      <c r="AD27" s="33">
        <v>6670.3581801148157</v>
      </c>
      <c r="AE27" s="34">
        <v>28.069141087958101</v>
      </c>
      <c r="AF27" s="33">
        <v>6681.9599810098352</v>
      </c>
      <c r="AG27" s="34">
        <v>16.467329179466081</v>
      </c>
      <c r="AH27" s="33">
        <v>6690.3864124919583</v>
      </c>
      <c r="AI27" s="34">
        <v>8.0409005014193511</v>
      </c>
      <c r="AJ27" s="33">
        <v>6695.3136448160922</v>
      </c>
      <c r="AK27" s="34">
        <v>3.1137073540785707</v>
      </c>
      <c r="AL27" s="33">
        <v>6697.4329598845206</v>
      </c>
      <c r="AM27" s="34">
        <v>0.99434336581255045</v>
      </c>
      <c r="AN27" s="33"/>
      <c r="AO27" s="34"/>
      <c r="AP27" s="33"/>
      <c r="AQ27" s="34"/>
      <c r="AR27" s="33"/>
      <c r="AS27" s="34"/>
      <c r="AT27" s="33"/>
      <c r="AU27" s="34"/>
      <c r="AV27" s="33"/>
      <c r="AW27" s="34"/>
    </row>
    <row r="28" spans="1:49" x14ac:dyDescent="0.2">
      <c r="A28" t="s">
        <v>35</v>
      </c>
      <c r="B28" s="39">
        <v>13763.097676000029</v>
      </c>
      <c r="C28" s="40">
        <v>382.36647899999997</v>
      </c>
      <c r="D28" s="39">
        <v>13857.401350073043</v>
      </c>
      <c r="E28" s="40">
        <v>356.24959493374632</v>
      </c>
      <c r="F28" s="39">
        <v>13945.414666184766</v>
      </c>
      <c r="G28" s="40">
        <v>330.33964577503684</v>
      </c>
      <c r="H28" s="39">
        <v>14026.709421682564</v>
      </c>
      <c r="I28" s="40">
        <v>304.60861181047795</v>
      </c>
      <c r="J28" s="39">
        <v>14100.656994002211</v>
      </c>
      <c r="K28" s="40">
        <v>279.02697204290939</v>
      </c>
      <c r="L28" s="39">
        <v>14166.365291463133</v>
      </c>
      <c r="M28" s="40">
        <v>253.56894599112627</v>
      </c>
      <c r="N28" s="39">
        <v>14222.607301006046</v>
      </c>
      <c r="O28" s="40">
        <v>228.21284803790866</v>
      </c>
      <c r="P28" s="39">
        <v>14267.68811593055</v>
      </c>
      <c r="Q28" s="40">
        <v>202.95116328638707</v>
      </c>
      <c r="R28" s="39">
        <v>14299.264679995573</v>
      </c>
      <c r="S28" s="40">
        <v>177.79901366670063</v>
      </c>
      <c r="T28" s="39">
        <v>14314.054039159242</v>
      </c>
      <c r="U28" s="40">
        <v>152.80945232073896</v>
      </c>
      <c r="V28" s="39">
        <v>14307.364602512671</v>
      </c>
      <c r="W28" s="40">
        <v>128.09761824856704</v>
      </c>
      <c r="X28" s="39">
        <v>14272.294901715808</v>
      </c>
      <c r="Y28" s="40">
        <v>103.87489735421291</v>
      </c>
      <c r="Z28" s="39">
        <v>14198.296362106288</v>
      </c>
      <c r="AA28" s="40">
        <v>80.498316466105891</v>
      </c>
      <c r="AB28" s="39">
        <v>14068.408516245549</v>
      </c>
      <c r="AC28" s="40">
        <v>58.53742303546445</v>
      </c>
      <c r="AD28" s="39">
        <v>13853.548944917799</v>
      </c>
      <c r="AE28" s="40">
        <v>38.842166762817818</v>
      </c>
      <c r="AF28" s="39">
        <v>13499.813376897073</v>
      </c>
      <c r="AG28" s="40">
        <v>22.543724026785554</v>
      </c>
      <c r="AH28" s="39">
        <v>12898.65514089518</v>
      </c>
      <c r="AI28" s="40">
        <v>10.791962331455482</v>
      </c>
      <c r="AJ28" s="39">
        <v>11816.899127789757</v>
      </c>
      <c r="AK28" s="40">
        <v>4.0025708718458199</v>
      </c>
      <c r="AL28" s="39">
        <v>9753.0726214094429</v>
      </c>
      <c r="AM28" s="40">
        <v>1.1222229278765554</v>
      </c>
      <c r="AN28" s="39"/>
      <c r="AO28" s="40"/>
      <c r="AP28" s="39"/>
      <c r="AQ28" s="40"/>
      <c r="AR28" s="39"/>
      <c r="AS28" s="40"/>
      <c r="AT28" s="39"/>
      <c r="AU28" s="40"/>
      <c r="AV28" s="39"/>
      <c r="AW28" s="40"/>
    </row>
    <row r="29" spans="1:49" x14ac:dyDescent="0.2">
      <c r="A29" t="s">
        <v>53</v>
      </c>
      <c r="B29" s="33">
        <v>14362.768558000025</v>
      </c>
      <c r="C29" s="34">
        <v>817.26650999999993</v>
      </c>
      <c r="D29" s="33">
        <v>14437.744343888151</v>
      </c>
      <c r="E29" s="34">
        <v>753.25489024650199</v>
      </c>
      <c r="F29" s="33">
        <v>14503.811705071224</v>
      </c>
      <c r="G29" s="34">
        <v>690.34748102260312</v>
      </c>
      <c r="H29" s="33">
        <v>14560.228225594688</v>
      </c>
      <c r="I29" s="34">
        <v>628.54540502022871</v>
      </c>
      <c r="J29" s="33">
        <v>14605.989386890198</v>
      </c>
      <c r="K29" s="34">
        <v>567.85857432547925</v>
      </c>
      <c r="L29" s="33">
        <v>14639.749857910419</v>
      </c>
      <c r="M29" s="34">
        <v>508.31815450034367</v>
      </c>
      <c r="N29" s="33">
        <v>14659.727136047397</v>
      </c>
      <c r="O29" s="34">
        <v>449.97784663766117</v>
      </c>
      <c r="P29" s="33">
        <v>14663.539119181914</v>
      </c>
      <c r="Q29" s="34">
        <v>392.93586481997193</v>
      </c>
      <c r="R29" s="33">
        <v>14647.975608947709</v>
      </c>
      <c r="S29" s="34">
        <v>337.35100620059626</v>
      </c>
      <c r="T29" s="33">
        <v>14608.637143741033</v>
      </c>
      <c r="U29" s="34">
        <v>283.4704800989133</v>
      </c>
      <c r="V29" s="33">
        <v>14539.359313576635</v>
      </c>
      <c r="W29" s="34">
        <v>231.67030340186835</v>
      </c>
      <c r="X29" s="33">
        <v>14431.247856665752</v>
      </c>
      <c r="Y29" s="34">
        <v>182.50700226074204</v>
      </c>
      <c r="Z29" s="33">
        <v>14270.991838102273</v>
      </c>
      <c r="AA29" s="34">
        <v>136.78381279955286</v>
      </c>
      <c r="AB29" s="33">
        <v>14037.741908561533</v>
      </c>
      <c r="AC29" s="34">
        <v>95.623695603421936</v>
      </c>
      <c r="AD29" s="33">
        <v>13697.018239207091</v>
      </c>
      <c r="AE29" s="34">
        <v>60.501565192068874</v>
      </c>
      <c r="AF29" s="33">
        <v>13188.21917226597</v>
      </c>
      <c r="AG29" s="34">
        <v>33.100788287953598</v>
      </c>
      <c r="AH29" s="33">
        <v>12398.413169973957</v>
      </c>
      <c r="AI29" s="34">
        <v>14.700949875422612</v>
      </c>
      <c r="AJ29" s="33">
        <v>11109.262890044049</v>
      </c>
      <c r="AK29" s="34">
        <v>4.9580695692657191</v>
      </c>
      <c r="AL29" s="33">
        <v>8907.9142762309802</v>
      </c>
      <c r="AM29" s="34">
        <v>1.2436920509382021</v>
      </c>
      <c r="AN29" s="33"/>
      <c r="AO29" s="34"/>
      <c r="AP29" s="33"/>
      <c r="AQ29" s="34"/>
      <c r="AR29" s="33"/>
      <c r="AS29" s="34"/>
      <c r="AT29" s="33"/>
      <c r="AU29" s="34"/>
      <c r="AV29" s="33"/>
      <c r="AW29" s="34"/>
    </row>
    <row r="30" spans="1:49" x14ac:dyDescent="0.2">
      <c r="A30" t="s">
        <v>48</v>
      </c>
      <c r="B30" s="112">
        <v>2924829.9599999995</v>
      </c>
      <c r="D30" s="112">
        <v>3026484.4387128972</v>
      </c>
      <c r="F30" s="112">
        <v>3129223.3916976145</v>
      </c>
      <c r="H30" s="112">
        <v>3233154.732975191</v>
      </c>
      <c r="J30" s="112">
        <v>3338358.3764717123</v>
      </c>
      <c r="L30" s="112">
        <v>3444875.3745008064</v>
      </c>
      <c r="N30" s="112">
        <v>3552724.8975402899</v>
      </c>
      <c r="P30" s="112">
        <v>3661884.2859134017</v>
      </c>
      <c r="R30" s="112">
        <v>3772305.8689316325</v>
      </c>
      <c r="T30" s="112">
        <v>3883930.7269155667</v>
      </c>
      <c r="V30" s="112">
        <v>3996721.5787595036</v>
      </c>
      <c r="X30" s="112">
        <v>4110704.7114892127</v>
      </c>
      <c r="Z30" s="112">
        <v>4225989.6920979694</v>
      </c>
      <c r="AB30" s="112">
        <v>4342593.7591307461</v>
      </c>
      <c r="AD30" s="112">
        <v>4459392.2476690626</v>
      </c>
      <c r="AF30" s="112">
        <v>4569667.5330908559</v>
      </c>
      <c r="AH30" s="112">
        <v>4644850.532136525</v>
      </c>
      <c r="AJ30" s="112">
        <v>4584473.4457124062</v>
      </c>
      <c r="AL30" s="112">
        <v>4101072.7792518176</v>
      </c>
      <c r="AN30" s="112"/>
      <c r="AP30" s="112"/>
      <c r="AR30" s="112"/>
      <c r="AT30" s="112"/>
      <c r="AV30" s="112"/>
    </row>
    <row r="31" spans="1:49" x14ac:dyDescent="0.2">
      <c r="A31" t="s">
        <v>47</v>
      </c>
      <c r="B31" s="77">
        <v>1</v>
      </c>
      <c r="D31" s="77">
        <v>1.0025088611072455</v>
      </c>
      <c r="F31" s="77">
        <v>1.004110451508355</v>
      </c>
      <c r="H31" s="77">
        <v>1.0047189336821041</v>
      </c>
      <c r="J31" s="77">
        <v>1.0042251599705101</v>
      </c>
      <c r="L31" s="77">
        <v>1.0024898992112201</v>
      </c>
      <c r="N31" s="77">
        <v>0.99933784041725926</v>
      </c>
      <c r="P31" s="77">
        <v>0.9945437250254523</v>
      </c>
      <c r="R31" s="77">
        <v>0.98781626134993616</v>
      </c>
      <c r="T31" s="77">
        <v>0.97877201861086116</v>
      </c>
      <c r="V31" s="77">
        <v>0.96689494809534471</v>
      </c>
      <c r="X31" s="77">
        <v>0.95147069835909892</v>
      </c>
      <c r="Z31" s="77">
        <v>0.93147572332006257</v>
      </c>
      <c r="AB31" s="77">
        <v>0.90538027798341147</v>
      </c>
      <c r="AD31" s="77">
        <v>0.87078489759575328</v>
      </c>
      <c r="AF31" s="77">
        <v>0.82372839524943431</v>
      </c>
      <c r="AH31" s="77">
        <v>0.75738585636590738</v>
      </c>
      <c r="AJ31" s="77">
        <v>0.65985373623897603</v>
      </c>
      <c r="AL31" s="77">
        <v>0.51150776970273504</v>
      </c>
      <c r="AN31" s="77"/>
      <c r="AP31" s="77"/>
      <c r="AR31" s="77"/>
      <c r="AT31" s="77"/>
      <c r="AV31" s="77"/>
    </row>
    <row r="32" spans="1:49" x14ac:dyDescent="0.2">
      <c r="A32" t="s">
        <v>64</v>
      </c>
      <c r="B32" s="83">
        <v>14734457.915000005</v>
      </c>
      <c r="D32" s="83">
        <v>14812953.646870021</v>
      </c>
      <c r="F32" s="83">
        <v>14883344.305624221</v>
      </c>
      <c r="H32" s="83">
        <v>14944768.744196011</v>
      </c>
      <c r="J32" s="83">
        <v>14996083.136551918</v>
      </c>
      <c r="L32" s="83">
        <v>15035782.40483935</v>
      </c>
      <c r="N32" s="83">
        <v>15061926.342633586</v>
      </c>
      <c r="P32" s="83">
        <v>15071987.987630595</v>
      </c>
      <c r="R32" s="83">
        <v>15062671.908963403</v>
      </c>
      <c r="T32" s="83">
        <v>15029624.23300707</v>
      </c>
      <c r="V32" s="83">
        <v>14966977.78336403</v>
      </c>
      <c r="X32" s="83">
        <v>14866589.281736454</v>
      </c>
      <c r="Z32" s="83">
        <v>14716675.286961718</v>
      </c>
      <c r="AB32" s="83">
        <v>14499157.680637935</v>
      </c>
      <c r="AD32" s="83">
        <v>14184062.92390421</v>
      </c>
      <c r="AF32" s="83">
        <v>13716707.43253232</v>
      </c>
      <c r="AH32" s="83">
        <v>12987144.587247882</v>
      </c>
      <c r="AJ32" s="83">
        <v>11761086.942750316</v>
      </c>
      <c r="AL32" s="83">
        <v>9557847.2243610062</v>
      </c>
      <c r="AN32" s="83"/>
      <c r="AP32" s="83"/>
      <c r="AR32" s="83"/>
      <c r="AT32" s="83"/>
      <c r="AV32" s="83"/>
    </row>
    <row r="33" spans="1:49 16319:16384" x14ac:dyDescent="0.2">
      <c r="A33" t="s">
        <v>54</v>
      </c>
      <c r="B33" s="111">
        <v>7019665.6909999941</v>
      </c>
      <c r="D33" s="111">
        <v>7057062.4778686464</v>
      </c>
      <c r="F33" s="111">
        <v>7090596.9052986857</v>
      </c>
      <c r="H33" s="111">
        <v>7119860.2198355496</v>
      </c>
      <c r="J33" s="111">
        <v>7144308.0294191577</v>
      </c>
      <c r="L33" s="111">
        <v>7163220.1792310681</v>
      </c>
      <c r="N33" s="111">
        <v>7175675.4678552486</v>
      </c>
      <c r="P33" s="111">
        <v>7180468.9602429662</v>
      </c>
      <c r="R33" s="111">
        <v>7176030.7046432924</v>
      </c>
      <c r="T33" s="111">
        <v>7160286.3857138464</v>
      </c>
      <c r="V33" s="111">
        <v>7130440.8704516478</v>
      </c>
      <c r="X33" s="111">
        <v>7082614.5858466029</v>
      </c>
      <c r="Z33" s="111">
        <v>7011193.8644709382</v>
      </c>
      <c r="AB33" s="111">
        <v>6907565.9565794375</v>
      </c>
      <c r="AD33" s="111">
        <v>6757451.1663627373</v>
      </c>
      <c r="AF33" s="111">
        <v>6534797.6237199325</v>
      </c>
      <c r="AH33" s="111">
        <v>6187225.4689743267</v>
      </c>
      <c r="AJ33" s="111">
        <v>5603117.4676784044</v>
      </c>
      <c r="AL33" s="111">
        <v>4553468.6533699613</v>
      </c>
      <c r="AN33" s="111"/>
      <c r="AP33" s="111"/>
      <c r="AR33" s="111"/>
      <c r="AT33" s="111"/>
      <c r="AV33" s="111"/>
    </row>
    <row r="34" spans="1:49 16319:16384" x14ac:dyDescent="0.2">
      <c r="A34" t="s">
        <v>75</v>
      </c>
      <c r="B34" s="111">
        <v>1136879.4410000113</v>
      </c>
      <c r="D34" s="111">
        <v>1142935.4908165983</v>
      </c>
      <c r="F34" s="111">
        <v>1148367.1780544694</v>
      </c>
      <c r="H34" s="111">
        <v>1153106.5536387865</v>
      </c>
      <c r="J34" s="111">
        <v>1157064.8328247187</v>
      </c>
      <c r="L34" s="111">
        <v>1160128.9725240408</v>
      </c>
      <c r="N34" s="111">
        <v>1162146.1684970912</v>
      </c>
      <c r="P34" s="111">
        <v>1162922.4953576881</v>
      </c>
      <c r="R34" s="111">
        <v>1162203.654308965</v>
      </c>
      <c r="T34" s="111">
        <v>1159653.7905460142</v>
      </c>
      <c r="V34" s="111">
        <v>1154820.1475235966</v>
      </c>
      <c r="X34" s="111">
        <v>1147074.4277835004</v>
      </c>
      <c r="Z34" s="111">
        <v>1135507.348058077</v>
      </c>
      <c r="AB34" s="111">
        <v>1118724.1644202294</v>
      </c>
      <c r="AD34" s="111">
        <v>1094412.1366335964</v>
      </c>
      <c r="AF34" s="111">
        <v>1058351.9771312694</v>
      </c>
      <c r="AH34" s="111">
        <v>1002060.4601575721</v>
      </c>
      <c r="AJ34" s="111">
        <v>907460.4580613852</v>
      </c>
      <c r="AL34" s="111">
        <v>737463.16780564131</v>
      </c>
      <c r="AN34" s="111"/>
      <c r="AP34" s="111"/>
      <c r="AR34" s="111"/>
      <c r="AT34" s="111"/>
      <c r="AV34" s="111"/>
    </row>
    <row r="35" spans="1:49 16319:16384" x14ac:dyDescent="0.2">
      <c r="A35" t="s">
        <v>78</v>
      </c>
      <c r="B35" s="192">
        <v>1</v>
      </c>
      <c r="D35" s="192">
        <v>1.0028129735715265</v>
      </c>
      <c r="F35" s="192">
        <v>1.0059823383571798</v>
      </c>
      <c r="H35" s="192">
        <v>1.0095563724269339</v>
      </c>
      <c r="J35" s="192">
        <v>1.0135957436441323</v>
      </c>
      <c r="L35" s="192">
        <v>1.0181778170662918</v>
      </c>
      <c r="N35" s="192">
        <v>1.0234037693096918</v>
      </c>
      <c r="P35" s="192">
        <v>1.0294078472249992</v>
      </c>
      <c r="R35" s="192">
        <v>1.0363730178596746</v>
      </c>
      <c r="T35" s="192">
        <v>1.0445553225229789</v>
      </c>
      <c r="V35" s="192">
        <v>1.0543242261536321</v>
      </c>
      <c r="X35" s="192">
        <v>1.0662311065365926</v>
      </c>
      <c r="Z35" s="192">
        <v>1.0811296937952741</v>
      </c>
      <c r="AB35" s="192">
        <v>1.1003935938172069</v>
      </c>
      <c r="AD35" s="192">
        <v>1.1263109522185653</v>
      </c>
      <c r="AF35" s="192">
        <v>1.1627611574522194</v>
      </c>
      <c r="AH35" s="192">
        <v>1.2161155219376343</v>
      </c>
      <c r="AJ35" s="192">
        <v>1.2952601634934771</v>
      </c>
      <c r="AL35" s="192">
        <v>1.4058072780297057</v>
      </c>
      <c r="AN35" s="192"/>
      <c r="AP35" s="192"/>
      <c r="AR35" s="192"/>
      <c r="AT35" s="192"/>
      <c r="AV35" s="192"/>
    </row>
    <row r="36" spans="1:49 16319:16384" x14ac:dyDescent="0.2">
      <c r="A36" t="s">
        <v>21</v>
      </c>
      <c r="B36" s="35">
        <v>0.47195767671988198</v>
      </c>
      <c r="C36" s="36">
        <v>0.31738834428178964</v>
      </c>
      <c r="D36" s="35">
        <v>0.47197693368233035</v>
      </c>
      <c r="E36" s="36">
        <v>0.32011679922855929</v>
      </c>
      <c r="F36" s="35">
        <v>0.47199609379785945</v>
      </c>
      <c r="G36" s="36">
        <v>0.32310529297110768</v>
      </c>
      <c r="H36" s="35">
        <v>0.47201529070749498</v>
      </c>
      <c r="I36" s="36">
        <v>0.32639304631618171</v>
      </c>
      <c r="J36" s="35">
        <v>0.47203467785919145</v>
      </c>
      <c r="K36" s="36">
        <v>0.33002686577175477</v>
      </c>
      <c r="L36" s="35">
        <v>0.4720544207129565</v>
      </c>
      <c r="M36" s="36">
        <v>0.33406332833255714</v>
      </c>
      <c r="N36" s="35">
        <v>0.47207471927877021</v>
      </c>
      <c r="O36" s="36">
        <v>0.33857228468099626</v>
      </c>
      <c r="P36" s="35">
        <v>0.47209577234198763</v>
      </c>
      <c r="Q36" s="36">
        <v>0.34364113576295069</v>
      </c>
      <c r="R36" s="35">
        <v>0.47211777257488885</v>
      </c>
      <c r="S36" s="36">
        <v>0.34938195120852561</v>
      </c>
      <c r="T36" s="35">
        <v>0.47214086705027708</v>
      </c>
      <c r="U36" s="36">
        <v>0.35594209302562735</v>
      </c>
      <c r="V36" s="35">
        <v>0.47216509110706406</v>
      </c>
      <c r="W36" s="36">
        <v>0.3635212748204048</v>
      </c>
      <c r="X36" s="35">
        <v>0.4721902467266757</v>
      </c>
      <c r="Y36" s="36">
        <v>0.37239928913381792</v>
      </c>
      <c r="Z36" s="35">
        <v>0.47221568517107843</v>
      </c>
      <c r="AA36" s="36">
        <v>0.3829823946144148</v>
      </c>
      <c r="AB36" s="35">
        <v>0.47223994159138066</v>
      </c>
      <c r="AC36" s="36">
        <v>0.39588180693662839</v>
      </c>
      <c r="AD36" s="35">
        <v>0.47226017786701124</v>
      </c>
      <c r="AE36" s="36">
        <v>0.4120429910597278</v>
      </c>
      <c r="AF36" s="35">
        <v>0.47227160600625784</v>
      </c>
      <c r="AG36" s="36">
        <v>0.43293256081855924</v>
      </c>
      <c r="AH36" s="35">
        <v>0.47226795432466306</v>
      </c>
      <c r="AI36" s="36">
        <v>0.46068353012774865</v>
      </c>
      <c r="AJ36" s="35">
        <v>0.47224537371554892</v>
      </c>
      <c r="AK36" s="36">
        <v>0.4976900147003625</v>
      </c>
      <c r="AL36" s="35">
        <v>0.47220971404502299</v>
      </c>
      <c r="AM36" s="36">
        <v>0.54407768596248662</v>
      </c>
      <c r="AN36" s="35"/>
      <c r="AO36" s="36"/>
      <c r="AP36" s="35"/>
      <c r="AQ36" s="36"/>
      <c r="AR36" s="35"/>
      <c r="AS36" s="36"/>
      <c r="AT36" s="35"/>
      <c r="AU36" s="36"/>
      <c r="AV36" s="35"/>
      <c r="AW36" s="36"/>
    </row>
    <row r="37" spans="1:49 16319:16384" x14ac:dyDescent="0.2">
      <c r="B37" s="37">
        <v>2.1403217525954466E-2</v>
      </c>
      <c r="C37" s="38">
        <v>0.3496246130199252</v>
      </c>
      <c r="D37" s="37">
        <v>2.0634868605416148E-2</v>
      </c>
      <c r="E37" s="38">
        <v>0.34498681423429417</v>
      </c>
      <c r="F37" s="37">
        <v>1.9860071928302043E-2</v>
      </c>
      <c r="G37" s="38">
        <v>0.34027346378772694</v>
      </c>
      <c r="H37" s="37">
        <v>1.9078370001915642E-2</v>
      </c>
      <c r="I37" s="38">
        <v>0.33548196500998512</v>
      </c>
      <c r="J37" s="37">
        <v>1.8289326292737825E-2</v>
      </c>
      <c r="K37" s="38">
        <v>0.33061004813309491</v>
      </c>
      <c r="L37" s="37">
        <v>1.7492480654469244E-2</v>
      </c>
      <c r="M37" s="38">
        <v>0.32565559829054713</v>
      </c>
      <c r="N37" s="37">
        <v>1.6687203063332733E-2</v>
      </c>
      <c r="O37" s="38">
        <v>0.32061582772572667</v>
      </c>
      <c r="P37" s="37">
        <v>1.5872659395817317E-2</v>
      </c>
      <c r="Q37" s="38">
        <v>0.31548717005828258</v>
      </c>
      <c r="R37" s="37">
        <v>1.5047621902644519E-2</v>
      </c>
      <c r="S37" s="38">
        <v>0.3102642139976865</v>
      </c>
      <c r="T37" s="37">
        <v>1.421027276186872E-2</v>
      </c>
      <c r="U37" s="38">
        <v>0.30493862921687426</v>
      </c>
      <c r="V37" s="37">
        <v>1.3357912474103853E-2</v>
      </c>
      <c r="W37" s="38">
        <v>0.29949757250488618</v>
      </c>
      <c r="X37" s="37">
        <v>1.2486597468947976E-2</v>
      </c>
      <c r="Y37" s="38">
        <v>0.29392180431717341</v>
      </c>
      <c r="Z37" s="37">
        <v>1.1590717278750742E-2</v>
      </c>
      <c r="AA37" s="38">
        <v>0.28818376570976512</v>
      </c>
      <c r="AB37" s="37">
        <v>1.0662667810758893E-2</v>
      </c>
      <c r="AC37" s="38">
        <v>0.28224697553818495</v>
      </c>
      <c r="AD37" s="37">
        <v>9.6932254938716829E-3</v>
      </c>
      <c r="AE37" s="38">
        <v>0.27607127712047314</v>
      </c>
      <c r="AF37" s="37">
        <v>8.6744084998374403E-3</v>
      </c>
      <c r="AG37" s="38">
        <v>0.26963625646401373</v>
      </c>
      <c r="AH37" s="37">
        <v>7.6089415302043493E-3</v>
      </c>
      <c r="AI37" s="38">
        <v>0.26300853772395427</v>
      </c>
      <c r="AJ37" s="37">
        <v>6.5311247116357938E-3</v>
      </c>
      <c r="AK37" s="38">
        <v>0.2564741313463566</v>
      </c>
      <c r="AL37" s="37">
        <v>5.5363135320938856E-3</v>
      </c>
      <c r="AM37" s="38">
        <v>0.25069338954056253</v>
      </c>
      <c r="AN37" s="37"/>
      <c r="AO37" s="38"/>
      <c r="AP37" s="37"/>
      <c r="AQ37" s="38"/>
      <c r="AR37" s="37"/>
      <c r="AS37" s="38"/>
      <c r="AT37" s="37"/>
      <c r="AU37" s="38"/>
      <c r="AV37" s="37"/>
      <c r="AW37" s="38"/>
    </row>
    <row r="38" spans="1:49 16319:16384" x14ac:dyDescent="0.2">
      <c r="A38" t="s">
        <v>22</v>
      </c>
      <c r="B38" s="35">
        <v>0.18079094942242827</v>
      </c>
      <c r="C38" s="36">
        <v>6.0565413429233668E-2</v>
      </c>
      <c r="D38" s="35">
        <v>0.18169826227248398</v>
      </c>
      <c r="E38" s="36">
        <v>6.1180666028736001E-2</v>
      </c>
      <c r="F38" s="35">
        <v>0.1825725131406124</v>
      </c>
      <c r="G38" s="36">
        <v>6.1820159176024798E-2</v>
      </c>
      <c r="H38" s="35">
        <v>0.18340936854349843</v>
      </c>
      <c r="I38" s="36">
        <v>6.248730003499061E-2</v>
      </c>
      <c r="J38" s="35">
        <v>0.18420288320570433</v>
      </c>
      <c r="K38" s="36">
        <v>6.3186097514487602E-2</v>
      </c>
      <c r="L38" s="35">
        <v>0.1849451298785596</v>
      </c>
      <c r="M38" s="36">
        <v>6.392091292611643E-2</v>
      </c>
      <c r="N38" s="35">
        <v>0.18562572151890949</v>
      </c>
      <c r="O38" s="36">
        <v>6.4697120514488601E-2</v>
      </c>
      <c r="P38" s="35">
        <v>0.18623118793173205</v>
      </c>
      <c r="Q38" s="36">
        <v>6.5520986860348393E-2</v>
      </c>
      <c r="R38" s="35">
        <v>0.18674414582490056</v>
      </c>
      <c r="S38" s="36">
        <v>6.6400378473404451E-2</v>
      </c>
      <c r="T38" s="35">
        <v>0.18714212844525885</v>
      </c>
      <c r="U38" s="36">
        <v>6.7345676689239811E-2</v>
      </c>
      <c r="V38" s="35">
        <v>0.18739597281941897</v>
      </c>
      <c r="W38" s="36">
        <v>6.8371009211029135E-2</v>
      </c>
      <c r="X38" s="35">
        <v>0.18746722072169408</v>
      </c>
      <c r="Y38" s="36">
        <v>6.9496662773937706E-2</v>
      </c>
      <c r="Z38" s="35">
        <v>0.18730378022769073</v>
      </c>
      <c r="AA38" s="36">
        <v>7.0753099480646731E-2</v>
      </c>
      <c r="AB38" s="35">
        <v>0.18683182880351806</v>
      </c>
      <c r="AC38" s="36">
        <v>7.2186948988644223E-2</v>
      </c>
      <c r="AD38" s="35">
        <v>0.18593937366867738</v>
      </c>
      <c r="AE38" s="36">
        <v>7.3869891755803038E-2</v>
      </c>
      <c r="AF38" s="35">
        <v>0.18444174398923116</v>
      </c>
      <c r="AG38" s="36">
        <v>7.5905368719586447E-2</v>
      </c>
      <c r="AH38" s="35">
        <v>0.1820180613414599</v>
      </c>
      <c r="AI38" s="36">
        <v>7.840967945810208E-2</v>
      </c>
      <c r="AJ38" s="35">
        <v>0.178169558317222</v>
      </c>
      <c r="AK38" s="36">
        <v>8.1402994156756184E-2</v>
      </c>
      <c r="AL38" s="35">
        <v>0.17256107756380096</v>
      </c>
      <c r="AM38" s="36">
        <v>8.4464002571097041E-2</v>
      </c>
      <c r="AN38" s="35"/>
      <c r="AO38" s="36"/>
      <c r="AP38" s="35"/>
      <c r="AQ38" s="36"/>
      <c r="AR38" s="35"/>
      <c r="AS38" s="36"/>
      <c r="AT38" s="35"/>
      <c r="AU38" s="36"/>
      <c r="AV38" s="35"/>
      <c r="AW38" s="36"/>
    </row>
    <row r="39" spans="1:49 16319:16384" x14ac:dyDescent="0.2">
      <c r="A39" t="s">
        <v>23</v>
      </c>
      <c r="B39" s="37">
        <v>0.23064923795098771</v>
      </c>
      <c r="C39" s="38">
        <v>0.22092201281804777</v>
      </c>
      <c r="D39" s="37">
        <v>0.23012144769980189</v>
      </c>
      <c r="E39" s="38">
        <v>0.22210433498386503</v>
      </c>
      <c r="F39" s="37">
        <v>0.2297316667952165</v>
      </c>
      <c r="G39" s="38">
        <v>0.22347343218728954</v>
      </c>
      <c r="H39" s="37">
        <v>0.2294899775944774</v>
      </c>
      <c r="I39" s="38">
        <v>0.2250536475504763</v>
      </c>
      <c r="J39" s="37">
        <v>0.22941093015639635</v>
      </c>
      <c r="K39" s="38">
        <v>0.22687520255350335</v>
      </c>
      <c r="L39" s="37">
        <v>0.22951471319352892</v>
      </c>
      <c r="M39" s="38">
        <v>0.22897643293279299</v>
      </c>
      <c r="N39" s="37">
        <v>0.22982899808581839</v>
      </c>
      <c r="O39" s="38">
        <v>0.2314061327125902</v>
      </c>
      <c r="P39" s="37">
        <v>0.23039156538636155</v>
      </c>
      <c r="Q39" s="38">
        <v>0.23422783876085604</v>
      </c>
      <c r="R39" s="37">
        <v>0.23125454955080998</v>
      </c>
      <c r="S39" s="38">
        <v>0.23752590398051807</v>
      </c>
      <c r="T39" s="37">
        <v>0.23249123746405748</v>
      </c>
      <c r="U39" s="38">
        <v>0.24141522059234596</v>
      </c>
      <c r="V39" s="37">
        <v>0.23420741877541573</v>
      </c>
      <c r="W39" s="38">
        <v>0.24605781981713867</v>
      </c>
      <c r="X39" s="37">
        <v>0.23656154367400556</v>
      </c>
      <c r="Y39" s="38">
        <v>0.25169102796361814</v>
      </c>
      <c r="Z39" s="37">
        <v>0.23980245808415554</v>
      </c>
      <c r="AA39" s="38">
        <v>0.25867844823625974</v>
      </c>
      <c r="AB39" s="37">
        <v>0.24434545972502217</v>
      </c>
      <c r="AC39" s="38">
        <v>0.26760791286551933</v>
      </c>
      <c r="AD39" s="37">
        <v>0.25093894816840534</v>
      </c>
      <c r="AE39" s="38">
        <v>0.27948844920437821</v>
      </c>
      <c r="AF39" s="37">
        <v>0.26106755324472097</v>
      </c>
      <c r="AG39" s="38">
        <v>0.29617584870288249</v>
      </c>
      <c r="AH39" s="37">
        <v>0.2780503221683876</v>
      </c>
      <c r="AI39" s="38">
        <v>0.32139429926661134</v>
      </c>
      <c r="AJ39" s="37">
        <v>0.31055840585823263</v>
      </c>
      <c r="AK39" s="38">
        <v>0.36390132749425896</v>
      </c>
      <c r="AL39" s="37">
        <v>0.38745425577821851</v>
      </c>
      <c r="AM39" s="38">
        <v>0.45708991680234129</v>
      </c>
      <c r="AN39" s="37"/>
      <c r="AO39" s="38"/>
      <c r="AP39" s="37"/>
      <c r="AQ39" s="38"/>
      <c r="AR39" s="37"/>
      <c r="AS39" s="38"/>
      <c r="AT39" s="37"/>
      <c r="AU39" s="38"/>
      <c r="AV39" s="37"/>
      <c r="AW39" s="38"/>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5.2363021015637876E-2</v>
      </c>
      <c r="E42" s="126"/>
      <c r="F42" s="167">
        <f>6.1%+(1-6.1%)*(1-SUM(F26:G26)/SUM($B$26:$C$26))</f>
        <v>4.443055406885367E-2</v>
      </c>
      <c r="G42" s="126"/>
      <c r="H42" s="167">
        <f>6.1%+(1-6.1%)*(1-SUM(H26:I26)/SUM($B$26:$C$26))</f>
        <v>3.7284617675603947E-2</v>
      </c>
      <c r="I42" s="126"/>
      <c r="J42" s="167">
        <f>6.1%+(1-6.1%)*(1-SUM(J26:K26)/SUM($B$26:$C$26))</f>
        <v>3.1033308193838902E-2</v>
      </c>
      <c r="K42" s="126"/>
      <c r="L42" s="167">
        <f>6.1%+(1-6.1%)*(1-SUM(L26:M26)/SUM($B$26:$C$26))</f>
        <v>2.5817972595820755E-2</v>
      </c>
      <c r="M42" s="126"/>
      <c r="N42" s="167">
        <f>6.1%+(1-6.1%)*(1-SUM(N26:O26)/SUM($B$26:$C$26))</f>
        <v>2.1822013076985572E-2</v>
      </c>
      <c r="O42" s="126"/>
      <c r="P42" s="167">
        <f>6.1%+(1-6.1%)*(1-SUM(P26:Q26)/SUM($B$26:$C$26))</f>
        <v>1.9284521604101344E-2</v>
      </c>
      <c r="Q42" s="126"/>
      <c r="R42" s="167">
        <f>6.1%+(1-6.1%)*(1-SUM(R26:S26)/SUM($B$26:$C$26))</f>
        <v>1.8518956694748213E-2</v>
      </c>
      <c r="S42" s="126"/>
      <c r="T42" s="167">
        <f>6.1%+(1-6.1%)*(1-SUM(T26:U26)/SUM($B$26:$C$26))</f>
        <v>1.9941600280854926E-2</v>
      </c>
      <c r="U42" s="126"/>
      <c r="V42" s="167">
        <f>6.1%+(1-6.1%)*(1-SUM(V26:W26)/SUM($B$26:$C$26))</f>
        <v>2.4115089943394584E-2</v>
      </c>
      <c r="W42" s="126"/>
      <c r="X42" s="167">
        <f>6.1%+(1-6.1%)*(1-SUM(X26:Y26)/SUM($B$26:$C$26))</f>
        <v>3.1820197419204416E-2</v>
      </c>
      <c r="Y42" s="152"/>
      <c r="Z42" s="167">
        <f>6.1%+(1-6.1%)*(1-SUM(Z26:AA26)/SUM($B$26:$C$26))</f>
        <v>4.4179027284398167E-2</v>
      </c>
      <c r="AA42" s="126"/>
      <c r="AB42" s="167">
        <f>6.1%+(1-6.1%)*(1-SUM(AB26:AC26)/SUM($B$26:$C$26))</f>
        <v>6.2880734567303281E-2</v>
      </c>
      <c r="AC42" s="126"/>
      <c r="AD42" s="167">
        <f>6.1%+(1-6.1%)*(1-SUM(AD26:AE26)/SUM($B$26:$C$26))</f>
        <v>9.0617704794833942E-2</v>
      </c>
      <c r="AE42" s="126"/>
      <c r="AF42" s="167">
        <f>6.1%+(1-6.1%)*(1-SUM(AF26:AG26)/SUM($B$26:$C$26))</f>
        <v>0.13195760152118352</v>
      </c>
      <c r="AG42" s="126"/>
      <c r="AH42" s="167">
        <f>6.1%+(1-6.1%)*(1-SUM(AH26:AI26)/SUM($B$26:$C$26))</f>
        <v>0.19503049360778399</v>
      </c>
      <c r="AI42" s="126"/>
      <c r="AJ42" s="167">
        <f>6.1%+(1-6.1%)*(1-SUM(AJ26:AK26)/SUM($B$26:$C$26))</f>
        <v>0.29419854728713102</v>
      </c>
      <c r="AK42" s="126"/>
      <c r="AL42" s="167">
        <f>6.1%+(1-6.1%)*(1-SUM(AL26:AM26)/SUM($B$26:$C$26))</f>
        <v>0.45197521843730948</v>
      </c>
      <c r="AM42" s="126"/>
      <c r="AN42" s="167">
        <f>6.1%+(1-6.1%)*(1-SUM(AN26:AO26)/SUM($B$26:$C$26))</f>
        <v>1</v>
      </c>
      <c r="AO42" s="126"/>
      <c r="AP42" s="167">
        <f>6.1%+(1-6.1%)*(1-SUM(AP26:AQ26)/SUM($B$26:$C$26))</f>
        <v>1</v>
      </c>
      <c r="AQ42" s="126"/>
      <c r="AR42" s="167">
        <f>6.1%+(1-6.1%)*(1-SUM(AR26:AS26)/SUM($B$26:$C$26))</f>
        <v>1</v>
      </c>
      <c r="AS42" s="126"/>
      <c r="AT42" s="167">
        <f>6.1%+(1-6.1%)*(1-SUM(AT26:AU26)/SUM($B$26:$C$26))</f>
        <v>1</v>
      </c>
      <c r="AU42" s="126"/>
      <c r="AV42" s="167">
        <f>6.1%+(1-6.1%)*(1-SUM(AV26:AW26)/SUM($B$26:$C$26))</f>
        <v>1</v>
      </c>
      <c r="XFD42" s="167"/>
    </row>
    <row r="43" spans="1:49 16319:16384" x14ac:dyDescent="0.2">
      <c r="A43" t="s">
        <v>95</v>
      </c>
      <c r="B43" s="152">
        <f>SUM(B15:C15*B27:C27)/SUM(B15:C15*B27:C27,B13:C13*B26:C26)</f>
        <v>0.56058995943839207</v>
      </c>
      <c r="C43" s="126"/>
      <c r="D43" s="152">
        <f t="array" ref="D43">SUM(D15:E15*D27:E27)/SUM(D15:E15*D27:E27,D13:E13*D26:E26)</f>
        <v>0.56113037950882716</v>
      </c>
      <c r="E43" s="126"/>
      <c r="F43" s="152">
        <f t="array" ref="F43">SUM(F15:G15*F27:G27)/SUM(F15:G15*F27:G27,F13:G13*F26:G26)</f>
        <v>0.55483624677550858</v>
      </c>
      <c r="G43" s="126"/>
      <c r="H43" s="152">
        <f t="array" ref="H43">SUM(H15:I15*H27:I27)/SUM(H15:I15*H27:I27,H13:I13*H26:I26)</f>
        <v>0.5482802556327131</v>
      </c>
      <c r="I43" s="126"/>
      <c r="J43" s="152">
        <f t="array" ref="J43">SUM(J15:K15*J27:K27)/SUM(J15:K15*J27:K27,J13:K13*J26:K26)</f>
        <v>0.54141785739970671</v>
      </c>
      <c r="K43" s="126"/>
      <c r="L43" s="152">
        <f t="array" ref="L43">SUM(L15:M15*L27:M27)/SUM(L15:M15*L27:M27,L13:M13*L26:M26)</f>
        <v>0.53419552015736482</v>
      </c>
      <c r="M43" s="126"/>
      <c r="N43" s="152">
        <f t="array" ref="N43">SUM(N15:O15*N27:O27)/SUM(N15:O15*N27:O27,N13:O13*N26:O26)</f>
        <v>0.52654680987212044</v>
      </c>
      <c r="O43" s="126"/>
      <c r="P43" s="152">
        <f t="array" ref="P43">SUM(P15:Q15*P27:Q27)/SUM(P15:Q15*P27:Q27,P13:Q13*P26:Q26)</f>
        <v>0.51838693903670241</v>
      </c>
      <c r="Q43" s="126"/>
      <c r="R43" s="152">
        <f t="array" ref="R43">SUM(R15:S15*R27:S27)/SUM(R15:S15*R27:S27,R13:S13*R26:S26)</f>
        <v>0.50960354145016662</v>
      </c>
      <c r="S43" s="126"/>
      <c r="T43" s="152">
        <f t="array" ref="T43">SUM(T15:U15*T27:U27)/SUM(T15:U15*T27:U27,T13:U13*T26:U26)</f>
        <v>0.50004186387135141</v>
      </c>
      <c r="U43" s="126"/>
      <c r="V43" s="152">
        <f t="array" ref="V43">SUM(V15:W15*V27:W27)/SUM(V15:W15*V27:W27,V13:W13*V26:W26)</f>
        <v>0.48947930241146898</v>
      </c>
      <c r="W43" s="126"/>
      <c r="X43" s="152">
        <f t="array" ref="X43">SUM(X15:Y15*X27:Y27)/SUM(X15:Y15*X27:Y27,X13:Y13*X26:Y26)</f>
        <v>0.47758148666485362</v>
      </c>
      <c r="Y43" s="126"/>
      <c r="Z43" s="152">
        <f t="array" ref="Z43">SUM(Z15:AA15*Z27:AA27)/SUM(Z15:AA15*Z27:AA27,Z13:AA13*Z26:AA26)</f>
        <v>0.4638234609845106</v>
      </c>
      <c r="AA43" s="126"/>
      <c r="AB43" s="152">
        <f t="array" ref="AB43">SUM(AB15:AC15*AB27:AC27)/SUM(AB15:AC15*AB27:AC27,AB13:AC13*AB26:AC26)</f>
        <v>0.44734582765584624</v>
      </c>
      <c r="AC43" s="126"/>
      <c r="AD43" s="152">
        <f t="array" ref="AD43">SUM(AD15:AE15*AD27:AE27)/SUM(AD15:AE15*AD27:AE27,AD13:AE13*AD26:AE26)</f>
        <v>0.42669301376369123</v>
      </c>
      <c r="AE43" s="126"/>
      <c r="AF43" s="152">
        <f t="array" ref="AF43">SUM(AF15:AG15*AF27:AG27)/SUM(AF15:AG15*AF27:AG27,AF13:AG13*AF26:AG26)</f>
        <v>0.3993683435433612</v>
      </c>
      <c r="AG43" s="126"/>
      <c r="AH43" s="152">
        <f t="array" ref="AH43">SUM(AH15:AI15*AH27:AI27)/SUM(AH15:AI15*AH27:AI27,AH13:AI13*AH26:AI26)</f>
        <v>0.36125707339770913</v>
      </c>
      <c r="AI43" s="126"/>
      <c r="AJ43" s="152">
        <f t="array" ref="AJ43">SUM(AJ15:AK15*AJ27:AK27)/SUM(AJ15:AK15*AJ27:AK27,AJ13:AK13*AJ26:AK26)</f>
        <v>0.30661038447708294</v>
      </c>
      <c r="AK43" s="126"/>
      <c r="AL43" s="152">
        <f t="array" ref="AL43">SUM(AL15:AM15*AL27:AM27)/SUM(AL15:AM15*AL27:AM27,AL13:AM13*AL26:AM26)</f>
        <v>0.2314938982022699</v>
      </c>
      <c r="AM43" s="126"/>
      <c r="AN43" s="152" t="e">
        <f t="array" ref="AN43">SUM(AN15:AO15*AN27:AO27)/SUM(AN15:AO15*AN27:AO27,AN13:AO13*AN26:AO26)</f>
        <v>#DIV/0!</v>
      </c>
      <c r="AO43" s="126"/>
      <c r="AP43" s="152" t="e">
        <f t="array" ref="AP43">SUM(AP15:AQ15*AP27:AQ27)/SUM(AP15:AQ15*AP27:AQ27,AP13:AQ13*AP26:AQ26)</f>
        <v>#DIV/0!</v>
      </c>
      <c r="AQ43" s="126"/>
      <c r="AR43" s="152" t="e">
        <f t="array" ref="AR43">SUM(AR15:AS15*AR27:AS27)/SUM(AR15:AS15*AR27:AS27,AR13:AS13*AR26:AS26)</f>
        <v>#DIV/0!</v>
      </c>
      <c r="AS43" s="126"/>
      <c r="AT43" s="152" t="e">
        <f t="array" ref="AT43">SUM(AT15:AU15*AT27:AU27)/SUM(AT15:AU15*AT27:AU27,AT13:AU13*AT26:AU26)</f>
        <v>#DIV/0!</v>
      </c>
      <c r="AU43" s="126"/>
      <c r="AV43" s="152" t="e">
        <f t="array" ref="AV43">SUM(AV15:AW15*AV27:AW27)/SUM(AV15:AW15*AV27:AW27,AV13:AW13*AV26:AW26)</f>
        <v>#DIV/0!</v>
      </c>
    </row>
    <row r="44" spans="1:49 16319:16384" x14ac:dyDescent="0.2">
      <c r="A44" t="s">
        <v>129</v>
      </c>
      <c r="B44" s="183">
        <f>(SUM(B11:C11*B24:C24)+B34)/B32</f>
        <v>0.29754226190682431</v>
      </c>
      <c r="D44" s="183">
        <f>(SUM(D11:E11*D24:E24)+D34)/D32</f>
        <v>0.29754222714853035</v>
      </c>
      <c r="F44" s="183">
        <f>(SUM(F11:G11*F24:G24)+F34)/F32</f>
        <v>0.29754226052139315</v>
      </c>
      <c r="H44" s="183">
        <f>(SUM(H11:I11*H24:I24)+H34)/H32</f>
        <v>0.29754226028882774</v>
      </c>
      <c r="J44" s="183">
        <f>(SUM(J11:K11*J24:K24)+J34)/J32</f>
        <v>0.29754219086095124</v>
      </c>
      <c r="L44" s="183">
        <f>(SUM(L11:M11*L24:M24)+L34)/L32</f>
        <v>0.29754226018180974</v>
      </c>
      <c r="N44" s="183">
        <f>(SUM(N11:O11*N24:O24)+N34)/N32</f>
        <v>0.29754225918047361</v>
      </c>
      <c r="P44" s="183">
        <f>(SUM(P11:Q11*P24:Q24)+P34)/P32</f>
        <v>0.29754225860739464</v>
      </c>
      <c r="R44" s="183">
        <f>(SUM(R11:S11*R24:S24)+R34)/R32</f>
        <v>0.29754225649917809</v>
      </c>
      <c r="T44" s="183">
        <f>(SUM(T11:U11*T24:U24)+T34)/T32</f>
        <v>0.29754225814717794</v>
      </c>
      <c r="V44" s="183">
        <f>(SUM(V11:W11*V24:W24)+V34)/V32</f>
        <v>0.29754225974283049</v>
      </c>
      <c r="X44" s="183">
        <f>(SUM(X11:Y11*X24:Y24)+X34)/X32</f>
        <v>0.29754226272796436</v>
      </c>
      <c r="Z44" s="183">
        <f>(SUM(Z11:AA11*Z24:AA24)+Z34)/Z32</f>
        <v>0.29754226037354076</v>
      </c>
      <c r="AB44" s="183">
        <f>(SUM(AB11:AC11*AB24:AC24)+AB34)/AB32</f>
        <v>0.29754226114322463</v>
      </c>
      <c r="AD44" s="183">
        <f>(SUM(AD11:AE11*AD24:AE24)+AD34)/AD32</f>
        <v>0.29754226211006407</v>
      </c>
      <c r="AF44" s="183">
        <f>(SUM(AF11:AG11*AF24:AG24)+AF34)/AF32</f>
        <v>0.29754226184689775</v>
      </c>
      <c r="AH44" s="183">
        <f>(SUM(AH11:AI11*AH24:AI24)+AH34)/AH32</f>
        <v>0.29754226190652039</v>
      </c>
      <c r="AJ44" s="183">
        <f>(SUM(AJ11:AK11*AJ24:AK24)+AJ34)/AJ32</f>
        <v>0.29754226179478044</v>
      </c>
      <c r="AL44" s="183">
        <f>(SUM(AL11:AM11*AL24:AM24)+AL34)/AL32</f>
        <v>0.2975422619090613</v>
      </c>
      <c r="AN44" s="183" t="e">
        <f>(SUM(AN11:AO11*AN24:AO24)+AN34)/AN32</f>
        <v>#DIV/0!</v>
      </c>
      <c r="AP44" s="183" t="e">
        <f>(SUM(AP11:AQ11*AP24:AQ24)+AP34)/AP32</f>
        <v>#DIV/0!</v>
      </c>
      <c r="AR44" s="183" t="e">
        <f>(SUM(AR11:AS11*AR24:AS24)+AR34)/AR32</f>
        <v>#DIV/0!</v>
      </c>
      <c r="AT44" s="183" t="e">
        <f>(SUM(AT11:AU11*AT24:AU24)+AT34)/AT32</f>
        <v>#DIV/0!</v>
      </c>
      <c r="AV44" s="183" t="e">
        <f>(SUM(AV11:AW11*AV24:AW24)+AV34)/AV32</f>
        <v>#DIV/0!</v>
      </c>
    </row>
    <row r="45" spans="1:49 16319:16384" x14ac:dyDescent="0.2">
      <c r="A45" t="s">
        <v>82</v>
      </c>
      <c r="B45" s="183">
        <f>SUM(B11:C11*B24:C24)/B32</f>
        <v>0.22038438833194082</v>
      </c>
      <c r="D45" s="183">
        <f>SUM(D11:E11*D24:E24)/D32</f>
        <v>0.22038438826890216</v>
      </c>
      <c r="F45" s="183">
        <f>SUM(F11:G11*F24:G24)/F32</f>
        <v>0.22038438830711421</v>
      </c>
      <c r="H45" s="183">
        <f>SUM(H11:I11*H24:I24)/H32</f>
        <v>0.22038438830190857</v>
      </c>
      <c r="J45" s="183">
        <f>SUM(J11:K11*J24:K24)/J32</f>
        <v>0.22038438756733969</v>
      </c>
      <c r="L45" s="183">
        <f>SUM(L11:M11*L24:M24)/L32</f>
        <v>0.22038438829410226</v>
      </c>
      <c r="N45" s="183">
        <f>SUM(N11:O11*N24:O24)/N32</f>
        <v>0.22038438826408402</v>
      </c>
      <c r="P45" s="183">
        <f>SUM(P11:Q11*P24:Q24)/P32</f>
        <v>0.22038438823806547</v>
      </c>
      <c r="R45" s="183">
        <f>SUM(R11:S11*R24:S24)/R32</f>
        <v>0.22038438827147222</v>
      </c>
      <c r="T45" s="183">
        <f>SUM(T11:U11*T24:U24)/T32</f>
        <v>0.22038438829177204</v>
      </c>
      <c r="V45" s="183">
        <f>SUM(V11:W11*V24:W24)/V32</f>
        <v>0.22038438831155246</v>
      </c>
      <c r="X45" s="183">
        <f>SUM(X11:Y11*X24:Y24)/X32</f>
        <v>0.22038438837996732</v>
      </c>
      <c r="Z45" s="183">
        <f>SUM(Z11:AA11*Z24:AA24)/Z32</f>
        <v>0.22038438837346452</v>
      </c>
      <c r="AB45" s="183">
        <f>SUM(AB11:AC11*AB24:AC24)/AB32</f>
        <v>0.2203843883162972</v>
      </c>
      <c r="AD45" s="183">
        <f>SUM(AD11:AE11*AD24:AE24)/AD32</f>
        <v>0.22038438833969332</v>
      </c>
      <c r="AF45" s="183">
        <f>SUM(AF11:AG11*AF24:AG24)/AF32</f>
        <v>0.220384388331192</v>
      </c>
      <c r="AH45" s="183">
        <f>SUM(AH11:AI11*AH24:AI24)/AH32</f>
        <v>0.22038438833194737</v>
      </c>
      <c r="AJ45" s="183">
        <f>SUM(AJ11:AK11*AJ24:AK24)/AJ32</f>
        <v>0.22038438833643012</v>
      </c>
      <c r="AL45" s="183">
        <f>SUM(AL11:AM11*AL24:AM24)/AL32</f>
        <v>0.22038438833204932</v>
      </c>
      <c r="AN45" s="183" t="e">
        <f>SUM(AN11:AO11*AN24:AO24)/AN32</f>
        <v>#DIV/0!</v>
      </c>
      <c r="AP45" s="183" t="e">
        <f>SUM(AP11:AQ11*AP24:AQ24)/AP32</f>
        <v>#DIV/0!</v>
      </c>
      <c r="AR45" s="183" t="e">
        <f>SUM(AR11:AS11*AR24:AS24)/AR32</f>
        <v>#DIV/0!</v>
      </c>
      <c r="AT45" s="183" t="e">
        <f>SUM(AT11:AU11*AT24:AU24)/AT32</f>
        <v>#DIV/0!</v>
      </c>
      <c r="AV45" s="183" t="e">
        <f>SUM(AV11:AW11*AV24:AW24)/AV32</f>
        <v>#DIV/0!</v>
      </c>
      <c r="XCQ45" s="183"/>
    </row>
    <row r="46" spans="1:49 16319:16384" x14ac:dyDescent="0.2">
      <c r="A46" t="s">
        <v>126</v>
      </c>
      <c r="B46" s="183">
        <f>B34/B32</f>
        <v>7.7157873574883462E-2</v>
      </c>
      <c r="D46" s="183">
        <f>D34/D32</f>
        <v>7.7157838879628224E-2</v>
      </c>
      <c r="F46" s="183">
        <f>F34/F32</f>
        <v>7.7157872214278916E-2</v>
      </c>
      <c r="H46" s="183">
        <f>H34/H32</f>
        <v>7.7157871986919174E-2</v>
      </c>
      <c r="J46" s="183">
        <f>J34/J32</f>
        <v>7.7157803293611577E-2</v>
      </c>
      <c r="L46" s="183">
        <f>L34/L32</f>
        <v>7.715787188770748E-2</v>
      </c>
      <c r="N46" s="183">
        <f>N34/N32</f>
        <v>7.7157870916389648E-2</v>
      </c>
      <c r="P46" s="183">
        <f>P34/P32</f>
        <v>7.7157870369329182E-2</v>
      </c>
      <c r="R46" s="183">
        <f>R34/R32</f>
        <v>7.7157868227705859E-2</v>
      </c>
      <c r="T46" s="183">
        <f>T34/T32</f>
        <v>7.7157869855405903E-2</v>
      </c>
      <c r="V46" s="183">
        <f>V34/V32</f>
        <v>7.7157871431278044E-2</v>
      </c>
      <c r="X46" s="183">
        <f>X34/X32</f>
        <v>7.7157874347997008E-2</v>
      </c>
      <c r="Z46" s="183">
        <f>Z34/Z32</f>
        <v>7.7157872000076205E-2</v>
      </c>
      <c r="AB46" s="183">
        <f>AB34/AB32</f>
        <v>7.715787282692739E-2</v>
      </c>
      <c r="AD46" s="183">
        <f>AD34/AD32</f>
        <v>7.7157873770370713E-2</v>
      </c>
      <c r="AF46" s="183">
        <f>AF34/AF32</f>
        <v>7.715787351570573E-2</v>
      </c>
      <c r="AH46" s="183">
        <f>AH34/AH32</f>
        <v>7.7157873574572988E-2</v>
      </c>
      <c r="AJ46" s="183">
        <f>AJ34/AJ32</f>
        <v>7.7157873458350332E-2</v>
      </c>
      <c r="AL46" s="183">
        <f>AL34/AL32</f>
        <v>7.7157873577011968E-2</v>
      </c>
      <c r="AN46" s="183" t="e">
        <f>AN34/AN32</f>
        <v>#DIV/0!</v>
      </c>
      <c r="AP46" s="183" t="e">
        <f>AP34/AP32</f>
        <v>#DIV/0!</v>
      </c>
      <c r="AR46" s="183" t="e">
        <f>AR34/AR32</f>
        <v>#DIV/0!</v>
      </c>
      <c r="AT46" s="183" t="e">
        <f>AT34/AT32</f>
        <v>#DIV/0!</v>
      </c>
      <c r="AV46" s="183" t="e">
        <f>AV34/AV32</f>
        <v>#DIV/0!</v>
      </c>
      <c r="XCS46" s="183"/>
    </row>
    <row r="48" spans="1:49 16319:16384" x14ac:dyDescent="0.2">
      <c r="A48" t="s">
        <v>143</v>
      </c>
      <c r="B48" s="181">
        <f>B24/$B$24</f>
        <v>1</v>
      </c>
      <c r="C48" s="181"/>
      <c r="D48" s="181">
        <f>D24/$B$24</f>
        <v>1.0065646822432621</v>
      </c>
      <c r="E48" s="181"/>
      <c r="F48" s="181">
        <f>F24/$B$24</f>
        <v>1.012565658375649</v>
      </c>
      <c r="G48" s="181"/>
      <c r="H48" s="181">
        <f>H24/$B$24</f>
        <v>1.0179511559046848</v>
      </c>
      <c r="I48" s="181"/>
      <c r="J48" s="181">
        <f>J24/$B$24</f>
        <v>1.0226508740376563</v>
      </c>
      <c r="K48" s="181"/>
      <c r="L48" s="181">
        <f>L24/$B$24</f>
        <v>1.0265704282660122</v>
      </c>
      <c r="M48" s="181"/>
      <c r="N48" s="181">
        <f>N24/$B$24</f>
        <v>1.029585717017955</v>
      </c>
      <c r="O48" s="181"/>
      <c r="P48" s="181">
        <f>P24/$B$24</f>
        <v>1.0315318363189785</v>
      </c>
      <c r="Q48" s="181"/>
      <c r="R48" s="181">
        <f>R24/$B$24</f>
        <v>1.032189055800582</v>
      </c>
      <c r="S48" s="181"/>
      <c r="T48" s="181">
        <f>T24/$B$24</f>
        <v>1.0312603847621618</v>
      </c>
      <c r="U48" s="181"/>
      <c r="V48" s="181">
        <f>V24/$B$24</f>
        <v>1.0283360975182974</v>
      </c>
      <c r="W48" s="181"/>
      <c r="X48" s="181">
        <f>X24/$B$24</f>
        <v>1.0228342978598026</v>
      </c>
      <c r="Y48" s="181"/>
      <c r="Z48" s="181">
        <f>Z24/$B$24</f>
        <v>1.0138957253079395</v>
      </c>
      <c r="AA48" s="181"/>
      <c r="AB48" s="181">
        <f>AB24/$B$24</f>
        <v>1.0001834548916977</v>
      </c>
      <c r="AC48" s="181"/>
      <c r="AD48" s="181">
        <f>AD24/$B$24</f>
        <v>0.97947352875498506</v>
      </c>
      <c r="AE48" s="181"/>
      <c r="AF48" s="181">
        <f>AF24/$B$24</f>
        <v>0.94775586208297136</v>
      </c>
      <c r="AG48" s="181"/>
      <c r="AH48" s="181">
        <f>AH24/$B$24</f>
        <v>0.8971790751914569</v>
      </c>
      <c r="AI48" s="181"/>
      <c r="AJ48" s="181">
        <f>AJ24/$B$24</f>
        <v>0.81153469766056485</v>
      </c>
      <c r="AK48" s="181"/>
      <c r="AL48" s="181">
        <f>AL24/$B$24</f>
        <v>0.65827317446939093</v>
      </c>
      <c r="AM48" s="181"/>
      <c r="AN48" s="181">
        <f>AN24/$B$24</f>
        <v>0</v>
      </c>
      <c r="AO48" s="181"/>
      <c r="AP48" s="181">
        <f>AP24/$B$24</f>
        <v>0</v>
      </c>
      <c r="AQ48" s="181"/>
      <c r="AR48" s="181">
        <f>AR24/$B$24</f>
        <v>0</v>
      </c>
      <c r="AS48" s="181"/>
      <c r="AT48" s="181">
        <f>AT24/$B$24</f>
        <v>0</v>
      </c>
      <c r="AU48" s="181"/>
      <c r="AV48" s="181">
        <f>AV24/$B$24</f>
        <v>0</v>
      </c>
    </row>
    <row r="49" spans="1:48 16321:16384" x14ac:dyDescent="0.2">
      <c r="A49" t="s">
        <v>144</v>
      </c>
      <c r="B49" s="181">
        <f>B13/B35/$B$13*$B$35</f>
        <v>1</v>
      </c>
      <c r="C49" s="181"/>
      <c r="D49" s="181">
        <f>D13/D35/$B$13*$B$35</f>
        <v>0.99999998750939323</v>
      </c>
      <c r="E49" s="181"/>
      <c r="F49" s="181">
        <f>F13/F35/$B$13*$B$35</f>
        <v>0.99999999952307694</v>
      </c>
      <c r="G49" s="181"/>
      <c r="H49" s="181">
        <f>H13/H35/$B$13*$B$35</f>
        <v>0.99999999944774476</v>
      </c>
      <c r="I49" s="181"/>
      <c r="J49" s="181">
        <f>J13/J35/$B$13*$B$35</f>
        <v>0.99999998845117266</v>
      </c>
      <c r="K49" s="181"/>
      <c r="L49" s="181">
        <f>L13/L35/$B$13*$B$35</f>
        <v>0.99999999952452168</v>
      </c>
      <c r="M49" s="181"/>
      <c r="N49" s="181">
        <f>N13/N35/$B$13*$B$35</f>
        <v>0.99999999949322882</v>
      </c>
      <c r="O49" s="181"/>
      <c r="P49" s="181">
        <f>P13/P35/$B$13*$B$35</f>
        <v>0.99999999994600652</v>
      </c>
      <c r="Q49" s="181"/>
      <c r="R49" s="181">
        <f>R13/R35/$B$13*$B$35</f>
        <v>1.0000000009123322</v>
      </c>
      <c r="S49" s="181"/>
      <c r="T49" s="181">
        <f>T13/T35/$B$13*$B$35</f>
        <v>1.0000000008285688</v>
      </c>
      <c r="U49" s="181"/>
      <c r="V49" s="181">
        <f>V13/V35/$B$13*$B$35</f>
        <v>1.0000000005029426</v>
      </c>
      <c r="W49" s="181"/>
      <c r="X49" s="181">
        <f>X13/X35/$B$13*$B$35</f>
        <v>0.99999999413881413</v>
      </c>
      <c r="Y49" s="181"/>
      <c r="Z49" s="181">
        <f>Z13/Z35/$B$13*$B$35</f>
        <v>0.99999999480230417</v>
      </c>
      <c r="AA49" s="181"/>
      <c r="AB49" s="181">
        <f>AB13/AB35/$B$13*$B$35</f>
        <v>1.0000000015982358</v>
      </c>
      <c r="AC49" s="181"/>
      <c r="AD49" s="181">
        <f>AD13/AD35/$B$13*$B$35</f>
        <v>0.99999999843823506</v>
      </c>
      <c r="AE49" s="181"/>
      <c r="AF49" s="181">
        <f>AF13/AF35/$B$13*$B$35</f>
        <v>1.0000000003011893</v>
      </c>
      <c r="AG49" s="181"/>
      <c r="AH49" s="181">
        <f>AH13/AH35/$B$13*$B$35</f>
        <v>0.9999999999997462</v>
      </c>
      <c r="AI49" s="181"/>
      <c r="AJ49" s="181">
        <f>AJ13/AJ35/$B$13*$B$35</f>
        <v>0.99999999789382688</v>
      </c>
      <c r="AK49" s="181"/>
      <c r="AL49" s="181">
        <f>AL13/AL35/$B$13*$B$35</f>
        <v>1.0000000002762857</v>
      </c>
      <c r="AM49" s="181"/>
      <c r="AN49" s="181" t="e">
        <f>AN13/AN35/$B$13*$B$35</f>
        <v>#DIV/0!</v>
      </c>
      <c r="AO49" s="181"/>
      <c r="AP49" s="181" t="e">
        <f>AP13/AP35/$B$13*$B$35</f>
        <v>#DIV/0!</v>
      </c>
      <c r="AQ49" s="181"/>
      <c r="AR49" s="181" t="e">
        <f>AR13/AR35/$B$13*$B$35</f>
        <v>#DIV/0!</v>
      </c>
      <c r="AS49" s="181"/>
      <c r="AT49" s="181" t="e">
        <f>AT13/AT35/$B$13*$B$35</f>
        <v>#DIV/0!</v>
      </c>
      <c r="AU49" s="181"/>
      <c r="AV49" s="181" t="e">
        <f>AV13/AV35/$B$13*$B$35</f>
        <v>#DIV/0!</v>
      </c>
    </row>
    <row r="51" spans="1:48 16321:16384" x14ac:dyDescent="0.2">
      <c r="A51" t="s">
        <v>150</v>
      </c>
      <c r="B51" s="27">
        <f>B30-B10*B23</f>
        <v>-405838.32800000021</v>
      </c>
      <c r="D51" s="27">
        <f>D30-D10*D23</f>
        <v>-321927.51155082649</v>
      </c>
      <c r="F51" s="27">
        <f>F30-F10*F23</f>
        <v>-235100.09981428552</v>
      </c>
      <c r="H51" s="27">
        <f>H30-H10*H23</f>
        <v>-145053.51974336291</v>
      </c>
      <c r="J51" s="27">
        <f>J30-J10*J23</f>
        <v>-51449.299878424499</v>
      </c>
      <c r="L51" s="27">
        <f>L30-L10*L23</f>
        <v>46093.829230310861</v>
      </c>
      <c r="N51" s="27">
        <f>N30-N10*N23</f>
        <v>148033.61435903888</v>
      </c>
      <c r="P51" s="27">
        <f>P30-P10*P23</f>
        <v>254918.60606890265</v>
      </c>
      <c r="R51" s="27">
        <f>R30-R10*R23</f>
        <v>367446.05331127532</v>
      </c>
      <c r="T51" s="27">
        <f>T30-T10*T23</f>
        <v>486541.21301481407</v>
      </c>
      <c r="V51" s="27">
        <f>V30-V10*V23</f>
        <v>613493.05702999607</v>
      </c>
      <c r="X51" s="27">
        <f>X30-X10*X23</f>
        <v>750168.62953452859</v>
      </c>
      <c r="Z51" s="27">
        <f>Z30-Z10*Z23</f>
        <v>899341.09967320552</v>
      </c>
      <c r="AB51" s="27">
        <f>AB30-AB10*AB23</f>
        <v>1065114.1960414117</v>
      </c>
      <c r="AD51" s="27">
        <f>AD30-AD10*AD23</f>
        <v>1253138.6584175373</v>
      </c>
      <c r="AF51" s="27">
        <f>AF30-AF10*AF23</f>
        <v>1469057.8788462887</v>
      </c>
      <c r="AH51" s="27">
        <f>AH30-AH10*AH23</f>
        <v>1709155.7900597276</v>
      </c>
      <c r="AJ51" s="27">
        <f>AJ30-AJ10*AJ23</f>
        <v>1925924.3807514822</v>
      </c>
      <c r="AL51" s="27">
        <f>AL30-AL10*AL23</f>
        <v>1940557.6903783893</v>
      </c>
      <c r="AN51" s="27">
        <f>AN30-AN10*AN23</f>
        <v>0</v>
      </c>
      <c r="AP51" s="27">
        <f>AP30-AP10*AP23</f>
        <v>0</v>
      </c>
      <c r="AQ51" s="27"/>
      <c r="AR51" s="27">
        <f>AR30-AR10*AR23</f>
        <v>0</v>
      </c>
      <c r="AT51" s="27">
        <f>AT30-AT10*AT23</f>
        <v>0</v>
      </c>
      <c r="AV51" s="27">
        <f>AV30-AV10*AV23</f>
        <v>0</v>
      </c>
      <c r="XFD51" s="27"/>
    </row>
    <row r="52" spans="1:48 16321:16384" x14ac:dyDescent="0.2">
      <c r="A52" t="s">
        <v>151</v>
      </c>
      <c r="B52" s="27">
        <f t="array" ref="B52">Calibration!sL*SUM(B13:C13*B26:C26)</f>
        <v>2073093.0976150823</v>
      </c>
      <c r="D52" s="27">
        <f t="array" ref="D52">Calibration!sL*SUM(D13:E13*D26:E26)</f>
        <v>2098046.7026310181</v>
      </c>
      <c r="F52" s="27">
        <f t="array" ref="F52">Calibration!sL*SUM(F13:G13*F26:G26)</f>
        <v>2122295.3576122518</v>
      </c>
      <c r="H52" s="27">
        <f t="array" ref="H52">Calibration!sL*SUM(H13:I13*H26:I26)</f>
        <v>2145762.7346081012</v>
      </c>
      <c r="J52" s="27">
        <f t="array" ref="J52">Calibration!sL*SUM(J13:K13*J26:K26)</f>
        <v>2168337.2716535409</v>
      </c>
      <c r="L52" s="27">
        <f t="array" ref="L52">Calibration!sL*SUM(L13:M13*L26:M26)</f>
        <v>2189863.0570145426</v>
      </c>
      <c r="N52" s="27">
        <f t="array" ref="N52">Calibration!sL*SUM(N13:O13*N26:O26)</f>
        <v>2210131.4801467624</v>
      </c>
      <c r="P52" s="27">
        <f t="array" ref="P52">Calibration!sL*SUM(P13:Q13*P26:Q26)</f>
        <v>2228864.7594854785</v>
      </c>
      <c r="R52" s="27">
        <f t="array" ref="R52">Calibration!sL*SUM(R13:S13*R26:S26)</f>
        <v>2245697.3535830323</v>
      </c>
      <c r="T52" s="27">
        <f t="array" ref="T52">Calibration!sL*SUM(T13:U13*T26:U26)</f>
        <v>2260146.6290253811</v>
      </c>
      <c r="V52" s="27">
        <f t="array" ref="V52">Calibration!sL*SUM(V13:W13*V26:W26)</f>
        <v>2271569.3597836299</v>
      </c>
      <c r="X52" s="27">
        <f t="array" ref="X52">Calibration!sL*SUM(X13:Y13*X26:Y26)</f>
        <v>2279085.2893828563</v>
      </c>
      <c r="Z52" s="27">
        <f t="array" ref="Z52">Calibration!sL*SUM(Z13:AA13*Z26:AA26)</f>
        <v>2281432.1764873043</v>
      </c>
      <c r="AB52" s="27">
        <f t="array" ref="AB52">Calibration!sL*SUM(AB13:AC13*AB26:AC26)</f>
        <v>2276649.287520858</v>
      </c>
      <c r="AD52" s="27">
        <f t="array" ref="AD52">Calibration!sL*SUM(AD13:AE13*AD26:AE26)</f>
        <v>2261299.1243674424</v>
      </c>
      <c r="AF52" s="27">
        <f t="array" ref="AF52">Calibration!sL*SUM(AF13:AG13*AF26:AG26)</f>
        <v>2228356.4763022801</v>
      </c>
      <c r="AH52" s="27">
        <f t="array" ref="AH52">Calibration!sL*SUM(AH13:AI13*AH26:AI26)</f>
        <v>2161262.2800332149</v>
      </c>
      <c r="AJ52" s="27">
        <f t="array" ref="AJ52">Calibration!sL*SUM(AJ13:AK13*AJ26:AK26)</f>
        <v>2018332.7587431686</v>
      </c>
      <c r="AL52" s="27">
        <f t="array" ref="AL52">Calibration!sL*SUM(AL13:AM13*AL26:AM26)</f>
        <v>1700901.6346137363</v>
      </c>
      <c r="AN52" s="27">
        <f t="array" ref="AN52">Calibration!sL*SUM(AN13:AO13*AN26:AO26)</f>
        <v>0</v>
      </c>
      <c r="AP52" s="27">
        <f t="array" ref="AP52">Calibration!sL*SUM(AP13:AQ13*AP26:AQ26)</f>
        <v>0</v>
      </c>
      <c r="AQ52" s="27"/>
      <c r="AR52" s="27">
        <f t="array" ref="AR52">Calibration!sL*SUM(AR13:AS13*AR26:AS26)</f>
        <v>0</v>
      </c>
      <c r="AT52" s="27">
        <f t="array" ref="AT52">Calibration!sL*SUM(AT13:AU13*AT26:AU26)</f>
        <v>0</v>
      </c>
      <c r="AV52" s="27">
        <f t="array" ref="AV52">Calibration!sL*SUM(AV13:AW13*AV26:AW26)</f>
        <v>0</v>
      </c>
    </row>
    <row r="53" spans="1:48 16321:16384" x14ac:dyDescent="0.2">
      <c r="A53" t="s">
        <v>152</v>
      </c>
      <c r="B53" s="27">
        <f t="array" ref="B53">Calibration!sK*SUM(B15:C15*B27:C27)</f>
        <v>2716869.1663849424</v>
      </c>
      <c r="D53" s="27">
        <f t="array" ref="D53">Calibration!sK*SUM(D15:E15*D27:E27)</f>
        <v>2682522.7527870443</v>
      </c>
      <c r="F53" s="27">
        <f t="array" ref="F53">Calibration!sK*SUM(F15:G15*F27:G27)</f>
        <v>2645153.3446678738</v>
      </c>
      <c r="H53" s="27">
        <f t="array" ref="H53">Calibration!sK*SUM(H15:I15*H27:I27)</f>
        <v>2604445.2458148501</v>
      </c>
      <c r="J53" s="27">
        <f t="array" ref="J53">Calibration!sK*SUM(J15:K15*J27:K27)</f>
        <v>2560013.5955617456</v>
      </c>
      <c r="L53" s="27">
        <f t="array" ref="L53">Calibration!sK*SUM(L15:M15*L27:M27)</f>
        <v>2511386.3980236612</v>
      </c>
      <c r="N53" s="27">
        <f t="array" ref="N53">Calibration!sK*SUM(N15:O15*N27:O27)</f>
        <v>2457978.3271814063</v>
      </c>
      <c r="P53" s="27">
        <f t="array" ref="P53">Calibration!sK*SUM(P15:Q15*P27:Q27)</f>
        <v>2399051.1758245365</v>
      </c>
      <c r="R53" s="27">
        <f t="array" ref="R53">Calibration!sK*SUM(R15:S15*R27:S27)</f>
        <v>2333653.3216315769</v>
      </c>
      <c r="T53" s="27">
        <f t="array" ref="T53">Calibration!sK*SUM(T15:U15*T27:U27)</f>
        <v>2260525.1346676555</v>
      </c>
      <c r="V53" s="27">
        <f t="array" ref="V53">Calibration!sK*SUM(V15:W15*V27:W27)</f>
        <v>2177945.3621727899</v>
      </c>
      <c r="X53" s="27">
        <f t="array" ref="X53">Calibration!sK*SUM(X15:Y15*X27:Y27)</f>
        <v>2083480.7973989081</v>
      </c>
      <c r="Z53" s="27">
        <f t="array" ref="Z53">Calibration!sK*SUM(Z15:AA15*Z27:AA27)</f>
        <v>1973569.6941212059</v>
      </c>
      <c r="AB53" s="27">
        <f t="array" ref="AB53">Calibration!sK*SUM(AB15:AC15*AB27:AC27)</f>
        <v>1842833.3861811382</v>
      </c>
      <c r="AD53" s="27">
        <f t="array" ref="AD53">Calibration!sK*SUM(AD15:AE15*AD27:AE27)</f>
        <v>1683008.5129990554</v>
      </c>
      <c r="AF53" s="27">
        <f t="array" ref="AF53">Calibration!sK*SUM(AF15:AG15*AF27:AG27)</f>
        <v>1481665.2189380727</v>
      </c>
      <c r="AH53" s="27">
        <f t="array" ref="AH53">Calibration!sK*SUM(AH15:AI15*AH27:AI27)</f>
        <v>1222356.0584582435</v>
      </c>
      <c r="AJ53" s="27">
        <f t="array" ref="AJ53">Calibration!sK*SUM(AJ15:AK15*AJ27:AK27)</f>
        <v>892487.81537381012</v>
      </c>
      <c r="AL53" s="27">
        <f t="array" ref="AL53">Calibration!sK*SUM(AL15:AM15*AL27:AM27)</f>
        <v>512355.52838717855</v>
      </c>
      <c r="AN53" s="27">
        <f t="array" ref="AN53">Calibration!sK*SUM(AN15:AO15*AN27:AO27)</f>
        <v>0</v>
      </c>
      <c r="AP53" s="27">
        <f t="array" ref="AP53">Calibration!sK*SUM(AP15:AQ15*AP27:AQ27)</f>
        <v>0</v>
      </c>
      <c r="AQ53" s="27"/>
      <c r="AR53" s="27">
        <f t="array" ref="AR53">Calibration!sK*SUM(AR15:AS15*AR27:AS27)</f>
        <v>0</v>
      </c>
      <c r="AT53" s="27">
        <f t="array" ref="AT53">Calibration!sK*SUM(AT15:AU15*AT27:AU27)</f>
        <v>0</v>
      </c>
      <c r="AV53" s="27">
        <f t="array" ref="AV53">Calibration!sK*SUM(AV15:AW15*AV27:AW27)</f>
        <v>0</v>
      </c>
      <c r="XFD53" s="27"/>
    </row>
    <row r="55" spans="1:48 16321:16384" x14ac:dyDescent="0.2">
      <c r="A55" t="s">
        <v>153</v>
      </c>
      <c r="B55" s="183">
        <f>B30/B32</f>
        <v>0.19850271905982084</v>
      </c>
      <c r="D55" s="183">
        <f>D30/D32</f>
        <v>0.20431336726368504</v>
      </c>
      <c r="F55" s="183">
        <f>F30/F32</f>
        <v>0.2102500168940607</v>
      </c>
      <c r="H55" s="183">
        <f>H30/H32</f>
        <v>0.21634023171023153</v>
      </c>
      <c r="J55" s="183">
        <f>J30/J32</f>
        <v>0.22261535536134058</v>
      </c>
      <c r="L55" s="183">
        <f>L30/L32</f>
        <v>0.22911181352239138</v>
      </c>
      <c r="N55" s="183">
        <f>N30/N32</f>
        <v>0.23587453667756378</v>
      </c>
      <c r="P55" s="183">
        <f>P30/P32</f>
        <v>0.24295960751286874</v>
      </c>
      <c r="R55" s="183">
        <f>R30/R32</f>
        <v>0.25044068487522669</v>
      </c>
      <c r="T55" s="183">
        <f>T30/T32</f>
        <v>0.25841835209598479</v>
      </c>
      <c r="V55" s="183">
        <f>V30/V32</f>
        <v>0.26703597991585892</v>
      </c>
      <c r="X55" s="183">
        <f>X30/X32</f>
        <v>0.27650624050932765</v>
      </c>
      <c r="Z55" s="183">
        <f>Z30/Z32</f>
        <v>0.28715654926775463</v>
      </c>
      <c r="AB55" s="183">
        <f>AB30/AB32</f>
        <v>0.29950662340404871</v>
      </c>
      <c r="AD55" s="183">
        <f>AD30/AD32</f>
        <v>0.31439456181160258</v>
      </c>
      <c r="AF55" s="183">
        <f>AF30/AF32</f>
        <v>0.33314609614351332</v>
      </c>
      <c r="AH55" s="183">
        <f>AH30/AH32</f>
        <v>0.35764986683041305</v>
      </c>
      <c r="AJ55" s="183">
        <f>AJ30/AJ32</f>
        <v>0.38980014925732132</v>
      </c>
      <c r="AL55" s="183">
        <f>AL30/AL32</f>
        <v>0.42907913078993543</v>
      </c>
      <c r="AN55" s="183" t="e">
        <f>AN30/AN32</f>
        <v>#DIV/0!</v>
      </c>
      <c r="AP55" s="183" t="e">
        <f>AP30/AP32</f>
        <v>#DIV/0!</v>
      </c>
      <c r="AR55" s="183" t="e">
        <f>AR30/AR32</f>
        <v>#DIV/0!</v>
      </c>
      <c r="AT55" s="183" t="e">
        <f>AT30/AT32</f>
        <v>#DIV/0!</v>
      </c>
      <c r="AV55" s="183" t="e">
        <f>AV30/AV32</f>
        <v>#DIV/0!</v>
      </c>
      <c r="XCS55" s="183"/>
      <c r="XFD55" s="183"/>
    </row>
    <row r="56" spans="1:48 16321:16384" x14ac:dyDescent="0.2">
      <c r="A56" t="s">
        <v>154</v>
      </c>
      <c r="B56" s="183">
        <f>(Model!$C$52*B5*B20+B2*C5*C20)/B32</f>
        <v>2.9221206744340551E-2</v>
      </c>
      <c r="D56" s="183">
        <f>(Model!$C$52*D5*D20+D2*E5*E20)/D32</f>
        <v>3.4066677509636774E-2</v>
      </c>
      <c r="F56" s="183">
        <f>(Model!$C$52*F5*F20+F2*G5*G20)/F32</f>
        <v>3.9014259447282838E-2</v>
      </c>
      <c r="H56" s="183">
        <f>(Model!$C$52*H5*H20+H2*I5*I20)/H32</f>
        <v>4.4086866513050507E-2</v>
      </c>
      <c r="J56" s="183">
        <f>(Model!$C$52*J5*J20+J2*K5*K20)/J32</f>
        <v>4.9310545748820496E-2</v>
      </c>
      <c r="L56" s="183">
        <f>(Model!$C$52*L5*L20+L2*M5*M20)/L32</f>
        <v>5.4715451266746817E-2</v>
      </c>
      <c r="N56" s="183">
        <f>(Model!$C$52*N5*N20+N2*O5*O20)/N32</f>
        <v>6.0338899588812639E-2</v>
      </c>
      <c r="P56" s="183">
        <f>(Model!$C$52*P5*P20+P2*Q5*Q20)/P32</f>
        <v>6.6227287104932545E-2</v>
      </c>
      <c r="R56" s="183">
        <f>(Model!$C$52*R5*R20+R2*S5*S20)/R32</f>
        <v>7.2441476503012511E-2</v>
      </c>
      <c r="T56" s="183">
        <f>(Model!$C$52*T5*T20+T2*U5*U20)/T32</f>
        <v>7.9064452134020427E-2</v>
      </c>
      <c r="V56" s="183">
        <f>(Model!$C$52*V5*V20+V2*W5*W20)/V32</f>
        <v>8.6214241332962294E-2</v>
      </c>
      <c r="X56" s="183">
        <f>(Model!$C$52*X5*X20+X2*Y5*Y20)/X32</f>
        <v>9.4065609085328142E-2</v>
      </c>
      <c r="Z56" s="183">
        <f>(Model!$C$52*Z5*Z20+Z2*AA5*AA20)/Z32</f>
        <v>0.10288717486948555</v>
      </c>
      <c r="AB56" s="183">
        <f>(Model!$C$52*AB5*AB20+AB2*AC5*AC20)/AB32</f>
        <v>0.11310472074247109</v>
      </c>
      <c r="AD56" s="183">
        <f>(Model!$C$52*AD5*AD20+AD2*AE5*AE20)/AD32</f>
        <v>0.1254041332102733</v>
      </c>
      <c r="AF56" s="183">
        <f>(Model!$C$52*AF5*AF20+AF2*AG5*AG20)/AF32</f>
        <v>0.14086947775097605</v>
      </c>
      <c r="AH56" s="183">
        <f>(Model!$C$52*AH5*AH20+AH2*AI5*AI20)/AH32</f>
        <v>0.16104417114140898</v>
      </c>
      <c r="AJ56" s="183">
        <f>(Model!$C$52*AJ5*AJ20+AJ2*AK5*AK20)/AJ32</f>
        <v>0.18747480795963153</v>
      </c>
      <c r="AL56" s="183">
        <f>(Model!$C$52*AL5*AL20+AL2*AM5*AM20)/AL32</f>
        <v>0.2197313942433437</v>
      </c>
      <c r="AN56" s="183" t="e">
        <f>(Model!$C$52*AN5*AN20+AN2*AO5*AO20)/AN32</f>
        <v>#DIV/0!</v>
      </c>
      <c r="AP56" s="183" t="e">
        <f>(Model!$C$52*AP5*AP20+AP2*AQ5*AQ20)/AP32</f>
        <v>#DIV/0!</v>
      </c>
      <c r="AR56" s="183" t="e">
        <f>(Model!$C$52*AR5*AR20+AR2*AS5*AS20)/AR32</f>
        <v>#DIV/0!</v>
      </c>
      <c r="AT56" s="183" t="e">
        <f>(Model!$C$52*AT5*AT20+AT2*AU5*AU20)/AT32</f>
        <v>#DIV/0!</v>
      </c>
      <c r="AV56" s="183" t="e">
        <f>(Model!$C$52*AV5*AV20+AV2*AW5*AW20)/AV32</f>
        <v>#DIV/0!</v>
      </c>
      <c r="XFD56" s="183"/>
    </row>
    <row r="57" spans="1:48 16321:16384" x14ac:dyDescent="0.2">
      <c r="A57" t="s">
        <v>155</v>
      </c>
      <c r="B57" s="183">
        <f t="array" ref="B57">SUM(Model!tauL*B13:C13*B26:C26)/B32</f>
        <v>0.15852881819439493</v>
      </c>
      <c r="D57" s="183">
        <f t="array" ref="D57">SUM(Model!tauL*D13:E13*D26:E26)/D32</f>
        <v>0.15958683680800076</v>
      </c>
      <c r="F57" s="183">
        <f t="array" ref="F57">SUM(Model!tauL*F13:G13*F26:G26)/F32</f>
        <v>0.16066781015830356</v>
      </c>
      <c r="H57" s="183">
        <f t="array" ref="H57">SUM(Model!tauL*H13:I13*H26:I26)/H32</f>
        <v>0.16177673960981925</v>
      </c>
      <c r="J57" s="183">
        <f t="array" ref="J57">SUM(Model!tauL*J13:K13*J26:K26)/J32</f>
        <v>0.16291931469550222</v>
      </c>
      <c r="L57" s="183">
        <f t="array" ref="L57">SUM(Model!tauL*L13:M13*L26:M26)/L32</f>
        <v>0.16410223806407445</v>
      </c>
      <c r="N57" s="183">
        <f t="array" ref="N57">SUM(Model!tauL*N13:O13*N26:O26)/N32</f>
        <v>0.16533361823060128</v>
      </c>
      <c r="P57" s="183">
        <f t="array" ref="P57">SUM(Model!tauL*P13:Q13*P26:Q26)/P32</f>
        <v>0.16662369360274254</v>
      </c>
      <c r="R57" s="183">
        <f t="array" ref="R57">SUM(Model!tauL*R13:S13*R26:S26)/R32</f>
        <v>0.16798588424293942</v>
      </c>
      <c r="T57" s="183">
        <f t="array" ref="T57">SUM(Model!tauL*T13:U13*T26:U26)/T32</f>
        <v>0.16943848973360659</v>
      </c>
      <c r="V57" s="183">
        <f t="array" ref="V57">SUM(Model!tauL*V13:W13*V26:W26)/V32</f>
        <v>0.17100762171599929</v>
      </c>
      <c r="X57" s="183">
        <f t="array" ref="X57">SUM(Model!tauL*X13:Y13*X26:Y26)/X32</f>
        <v>0.17273200478349485</v>
      </c>
      <c r="Y57" s="183"/>
      <c r="Z57" s="183">
        <f t="array" ref="Z57">SUM(Model!tauL*Z13:AA13*Z26:AA26)/Z32</f>
        <v>0.17467125227456484</v>
      </c>
      <c r="AB57" s="183">
        <f t="array" ref="AB57">SUM(Model!tauL*AB13:AC13*AB26:AC26)/AB32</f>
        <v>0.17692000373628544</v>
      </c>
      <c r="AD57" s="183">
        <f t="array" ref="AD57">SUM(Model!tauL*AD13:AE13*AD26:AE26)/AD32</f>
        <v>0.1796308580395268</v>
      </c>
      <c r="AF57" s="183">
        <f t="array" ref="AF57">SUM(Model!tauL*AF13:AG13*AF26:AG26)/AF32</f>
        <v>0.18304521095654497</v>
      </c>
      <c r="AH57" s="183">
        <f t="array" ref="AH57">SUM(Model!tauL*AH13:AI13*AH26:AI26)/AH32</f>
        <v>0.18750695333775974</v>
      </c>
      <c r="AJ57" s="183">
        <f t="array" ref="AJ57">SUM(Model!tauL*AJ13:AK13*AJ26:AK26)/AJ32</f>
        <v>0.19336100190259828</v>
      </c>
      <c r="AL57" s="183">
        <f t="array" ref="AL57">SUM(Model!tauL*AL13:AM13*AL26:AM26)/AL32</f>
        <v>0.20051307315151706</v>
      </c>
      <c r="AN57" s="183" t="e">
        <f t="array" ref="AN57">SUM(Model!tauL*AN13:AO13*AN26:AO26)/AN32</f>
        <v>#DIV/0!</v>
      </c>
      <c r="AP57" s="183" t="e">
        <f t="array" ref="AP57">SUM(Model!tauL*AP13:AQ13*AP26:AQ26)/AP32</f>
        <v>#DIV/0!</v>
      </c>
      <c r="AR57" s="183" t="e">
        <f t="array" ref="AR57">SUM(Model!tauL*AR13:AS13*AR26:AS26)/AR32</f>
        <v>#DIV/0!</v>
      </c>
      <c r="AT57" s="183" t="e">
        <f t="array" ref="AT57">SUM(Model!tauL*AT13:AU13*AT26:AU26)/AT32</f>
        <v>#DIV/0!</v>
      </c>
      <c r="AV57" s="183" t="e">
        <f t="array" ref="AV57">SUM(Model!tauL*AV13:AW13*AV26:AW26)/AV32</f>
        <v>#DIV/0!</v>
      </c>
      <c r="XFD57" s="183"/>
    </row>
    <row r="58" spans="1:48 16321:16384" x14ac:dyDescent="0.2">
      <c r="A58" t="s">
        <v>156</v>
      </c>
      <c r="B58" s="183">
        <f t="array" ref="B58">SUM(Model!tauY/(1+Model!tauY)*B3:C3*B18:C18)/B32</f>
        <v>1.075269412108535E-2</v>
      </c>
      <c r="D58" s="183">
        <f t="array" ref="D58">SUM(Model!tauY/(1+Model!tauY)*D3:E3*D18:E18)/D32</f>
        <v>1.0659852946047479E-2</v>
      </c>
      <c r="F58" s="183">
        <f t="array" ref="F58">SUM(Model!tauY/(1+Model!tauY)*F3:G3*F18:G18)/F32</f>
        <v>1.0567947288474327E-2</v>
      </c>
      <c r="H58" s="183">
        <f t="array" ref="H58">SUM(Model!tauY/(1+Model!tauY)*H3:I3*H18:I18)/H32</f>
        <v>1.0476625587361793E-2</v>
      </c>
      <c r="J58" s="183">
        <f t="array" ref="J58">SUM(Model!tauY/(1+Model!tauY)*J3:K3*J18:K18)/J32</f>
        <v>1.0385494917017884E-2</v>
      </c>
      <c r="L58" s="183">
        <f t="array" ref="L58">SUM(Model!tauY/(1+Model!tauY)*L3:M3*L18:M18)/L32</f>
        <v>1.029412419157011E-2</v>
      </c>
      <c r="N58" s="183">
        <f t="array" ref="N58">SUM(Model!tauY/(1+Model!tauY)*N3:O3*N18:O18)/N32</f>
        <v>1.0202018858149838E-2</v>
      </c>
      <c r="P58" s="183">
        <f t="array" ref="P58">SUM(Model!tauY/(1+Model!tauY)*P3:Q3*P18:Q18)/P32</f>
        <v>1.0108626805193664E-2</v>
      </c>
      <c r="R58" s="183">
        <f t="array" ref="R58">SUM(Model!tauY/(1+Model!tauY)*R3:S3*R18:S18)/R32</f>
        <v>1.0013324129274758E-2</v>
      </c>
      <c r="T58" s="183">
        <f t="array" ref="T58">SUM(Model!tauY/(1+Model!tauY)*T3:U3*T18:U18)/T32</f>
        <v>9.9154102283578079E-3</v>
      </c>
      <c r="V58" s="183">
        <f t="array" ref="V58">SUM(Model!tauY/(1+Model!tauY)*V3:W3*V18:W18)/V32</f>
        <v>9.8141168668973433E-3</v>
      </c>
      <c r="X58" s="183">
        <f t="array" ref="X58">SUM(Model!tauY/(1+Model!tauY)*X3:Y3*X18:Y18)/X32</f>
        <v>9.7086266405046716E-3</v>
      </c>
      <c r="Y58" s="183"/>
      <c r="Z58" s="183">
        <f t="array" ref="Z58">SUM(Model!tauY/(1+Model!tauY)*Z3:AA3*Z18:AA18)/Z32</f>
        <v>9.5981221237042384E-3</v>
      </c>
      <c r="AB58" s="183">
        <f t="array" ref="AB58">SUM(Model!tauY/(1+Model!tauY)*AB3:AC3*AB18:AC18)/AB32</f>
        <v>9.4818989252921405E-3</v>
      </c>
      <c r="AD58" s="183">
        <f t="array" ref="AD58">SUM(Model!tauY/(1+Model!tauY)*AD3:AE3*AD18:AE18)/AD32</f>
        <v>9.3595705618024442E-3</v>
      </c>
      <c r="AF58" s="183">
        <f t="array" ref="AF58">SUM(Model!tauY/(1+Model!tauY)*AF3:AG3*AF18:AG18)/AF32</f>
        <v>9.2314074359922567E-3</v>
      </c>
      <c r="AH58" s="183">
        <f t="array" ref="AH58">SUM(Model!tauY/(1+Model!tauY)*AH3:AI3*AH18:AI18)/AH32</f>
        <v>9.0987423512443166E-3</v>
      </c>
      <c r="AJ58" s="183">
        <f t="array" ref="AJ58">SUM(Model!tauY/(1+Model!tauY)*AJ3:AK3*AJ18:AK18)/AJ32</f>
        <v>8.9643393950915671E-3</v>
      </c>
      <c r="AL58" s="183">
        <f t="array" ref="AL58">SUM(Model!tauY/(1+Model!tauY)*AL3:AM3*AL18:AM18)/AL32</f>
        <v>8.8346633950746687E-3</v>
      </c>
      <c r="AN58" s="183" t="e">
        <f t="array" ref="AN58">SUM(Model!tauY/(1+Model!tauY)*AN3:AO3*AN18:AO18)/AN32</f>
        <v>#DIV/0!</v>
      </c>
      <c r="AP58" s="183" t="e">
        <f t="array" ref="AP58">SUM(Model!tauY/(1+Model!tauY)*AP3:AQ3*AP18:AQ18)/AP32</f>
        <v>#DIV/0!</v>
      </c>
      <c r="AR58" s="183" t="e">
        <f t="array" ref="AR58">SUM(Model!tauY/(1+Model!tauY)*AR3:AS3*AR18:AS18)/AR32</f>
        <v>#DIV/0!</v>
      </c>
      <c r="AT58" s="183" t="e">
        <f t="array" ref="AT58">SUM(Model!tauY/(1+Model!tauY)*AT3:AU3*AT18:AU18)/AT32</f>
        <v>#DIV/0!</v>
      </c>
      <c r="AV58" s="183" t="e">
        <f t="array" ref="AV58">SUM(Model!tauY/(1+Model!tauY)*AV3:AW3*AV18:AW18)/AV32</f>
        <v>#DIV/0!</v>
      </c>
      <c r="XFD58" s="183"/>
    </row>
    <row r="59" spans="1:48 16321:16384" x14ac:dyDescent="0.2">
      <c r="A59" t="s">
        <v>157</v>
      </c>
      <c r="B59" s="183">
        <f>(B2*C5*C20)/B32</f>
        <v>5.5174232040962052E-4</v>
      </c>
      <c r="D59" s="183">
        <f>(D2*E5*E20)/D32</f>
        <v>5.4572407087865931E-3</v>
      </c>
      <c r="F59" s="183">
        <f>(F2*G5*G20)/F32</f>
        <v>1.0465524820084686E-2</v>
      </c>
      <c r="H59" s="183">
        <f>(H2*I5*I20)/H32</f>
        <v>1.5599715393729875E-2</v>
      </c>
      <c r="J59" s="183">
        <f>(J2*K5*K20)/J32</f>
        <v>2.0886086921382167E-2</v>
      </c>
      <c r="L59" s="183">
        <f>(L2*M5*M20)/L32</f>
        <v>2.6355044454520249E-2</v>
      </c>
      <c r="N59" s="183">
        <f>(N2*O5*O20)/N32</f>
        <v>3.2044209233196515E-2</v>
      </c>
      <c r="P59" s="183">
        <f>(P2*Q5*Q20)/P32</f>
        <v>3.8000346430144841E-2</v>
      </c>
      <c r="R59" s="183">
        <f>(R2*S5*S20)/R32</f>
        <v>4.4284799131526761E-2</v>
      </c>
      <c r="T59" s="183">
        <f>(T2*U5*U20)/T32</f>
        <v>5.0981210048815291E-2</v>
      </c>
      <c r="V59" s="183">
        <f>(V2*W5*W20)/V32</f>
        <v>5.8208554176819943E-2</v>
      </c>
      <c r="X59" s="183">
        <f>(X2*Y5*Y20)/X32</f>
        <v>6.6143026966798413E-2</v>
      </c>
      <c r="Z59" s="183">
        <f>(Z2*AA5*AA20)/Z32</f>
        <v>7.5055494840302148E-2</v>
      </c>
      <c r="AB59" s="183">
        <f>(AB2*AC5*AC20)/AB32</f>
        <v>8.5375369796636513E-2</v>
      </c>
      <c r="AD59" s="183">
        <f>(AD2*AE5*AE20)/AD32</f>
        <v>9.7794460693342952E-2</v>
      </c>
      <c r="AF59" s="183">
        <f>(AF2*AG5*AG20)/AF32</f>
        <v>0.1134061799750781</v>
      </c>
      <c r="AH59" s="183">
        <f>(AH2*AI5*AI20)/AH32</f>
        <v>0.13376679586624887</v>
      </c>
      <c r="AJ59" s="183">
        <f>(AJ2*AK5*AK20)/AJ32</f>
        <v>0.16043391536696794</v>
      </c>
      <c r="AL59" s="183">
        <f>(AL2*AM5*AM20)/AL32</f>
        <v>0.1929682699900534</v>
      </c>
      <c r="AN59" s="183" t="e">
        <f>(AN2*AO5*AO20)/AN32</f>
        <v>#DIV/0!</v>
      </c>
      <c r="AP59" s="183" t="e">
        <f>(AP2*AQ5*AQ20)/AP32</f>
        <v>#DIV/0!</v>
      </c>
      <c r="AR59" s="183" t="e">
        <f>(AR2*AS5*AS20)/AR32</f>
        <v>#DIV/0!</v>
      </c>
      <c r="AT59" s="183" t="e">
        <f>(AT2*AU5*AU20)/AT32</f>
        <v>#DIV/0!</v>
      </c>
      <c r="AV59" s="183" t="e">
        <f>(AV2*AW5*AW20)/AV32</f>
        <v>#DIV/0!</v>
      </c>
      <c r="XFD59" s="183"/>
    </row>
    <row r="60" spans="1:48 16321:16384" x14ac:dyDescent="0.2">
      <c r="A60" t="s">
        <v>158</v>
      </c>
      <c r="B60" s="183">
        <f>Model!$C$52*B5*B20/B32</f>
        <v>2.8669464423930927E-2</v>
      </c>
      <c r="D60" s="183">
        <f>Model!$C$52*D5*D20/D32</f>
        <v>2.860943680085018E-2</v>
      </c>
      <c r="F60" s="183">
        <f>Model!$C$52*F5*F20/F32</f>
        <v>2.854873462719815E-2</v>
      </c>
      <c r="H60" s="183">
        <f>Model!$C$52*H5*H20/H32</f>
        <v>2.8487151119320629E-2</v>
      </c>
      <c r="J60" s="183">
        <f>Model!$C$52*J5*J20/J32</f>
        <v>2.8424458827438329E-2</v>
      </c>
      <c r="L60" s="183">
        <f>Model!$C$52*L5*L20/L32</f>
        <v>2.8360406812226572E-2</v>
      </c>
      <c r="N60" s="183">
        <f>Model!$C$52*N5*N20/N32</f>
        <v>2.8294690355616121E-2</v>
      </c>
      <c r="P60" s="183">
        <f>Model!$C$52*P5*P20/P32</f>
        <v>2.82269406747877E-2</v>
      </c>
      <c r="R60" s="183">
        <f>Model!$C$52*R5*R20/R32</f>
        <v>2.8156677371485746E-2</v>
      </c>
      <c r="T60" s="183">
        <f>Model!$C$52*T5*T20/T32</f>
        <v>2.8083242085205139E-2</v>
      </c>
      <c r="V60" s="183">
        <f>Model!$C$52*V5*V20/V32</f>
        <v>2.8005687156142343E-2</v>
      </c>
      <c r="X60" s="183">
        <f>Model!$C$52*X5*X20/X32</f>
        <v>2.7922582118529729E-2</v>
      </c>
      <c r="Z60" s="183">
        <f>Model!$C$52*Z5*Z20/Z32</f>
        <v>2.78316800291834E-2</v>
      </c>
      <c r="AB60" s="183">
        <f>Model!$C$52*AB5*AB20/AB32</f>
        <v>2.7729350945834577E-2</v>
      </c>
      <c r="AD60" s="183">
        <f>Model!$C$52*AD5*AD20/AD32</f>
        <v>2.7609672516930351E-2</v>
      </c>
      <c r="AF60" s="183">
        <f>Model!$C$52*AF5*AF20/AF32</f>
        <v>2.7463297775897948E-2</v>
      </c>
      <c r="AH60" s="183">
        <f>Model!$C$52*AH5*AH20/AH32</f>
        <v>2.727737527516012E-2</v>
      </c>
      <c r="AJ60" s="183">
        <f>Model!$C$52*AJ5*AJ20/AJ32</f>
        <v>2.7040892592663606E-2</v>
      </c>
      <c r="AL60" s="183">
        <f>Model!$C$52*AL5*AL20/AL32</f>
        <v>2.6763124253290319E-2</v>
      </c>
      <c r="AN60" s="183" t="e">
        <f>Model!$C$52*AN5*AN20/AN32</f>
        <v>#DIV/0!</v>
      </c>
      <c r="AP60" s="183" t="e">
        <f>Model!$C$52*AP5*AP20/AP32</f>
        <v>#DIV/0!</v>
      </c>
      <c r="AR60" s="183" t="e">
        <f>Model!$C$52*AR5*AR20/AR32</f>
        <v>#DIV/0!</v>
      </c>
      <c r="AT60" s="183" t="e">
        <f>Model!$C$52*AT5*AT20/AT32</f>
        <v>#DIV/0!</v>
      </c>
      <c r="AV60" s="183" t="e">
        <f>Model!$C$52*AV5*AV20/AV32</f>
        <v>#DIV/0!</v>
      </c>
      <c r="XFD60" s="183"/>
    </row>
    <row r="62" spans="1:48 16321:16384" x14ac:dyDescent="0.2">
      <c r="A62" t="s">
        <v>159</v>
      </c>
      <c r="B62">
        <f>B13/B15</f>
        <v>1</v>
      </c>
      <c r="D62">
        <f>D13/D15</f>
        <v>1.0156527712134173</v>
      </c>
      <c r="F62">
        <f>F13/F15</f>
        <v>1.0332566926723212</v>
      </c>
      <c r="H62">
        <f>H13/H15</f>
        <v>1.0531350520038953</v>
      </c>
      <c r="J62">
        <f>J13/J15</f>
        <v>1.0757001924939258</v>
      </c>
      <c r="L62">
        <f>L13/L15</f>
        <v>1.1014855854587946</v>
      </c>
      <c r="N62">
        <f>N13/N15</f>
        <v>1.1311955501009814</v>
      </c>
      <c r="P62">
        <f>P13/P15</f>
        <v>1.1657802338154677</v>
      </c>
      <c r="R62">
        <f>R13/R15</f>
        <v>1.2065587788327778</v>
      </c>
      <c r="T62">
        <f>T13/T15</f>
        <v>1.2554251695170151</v>
      </c>
      <c r="V62">
        <f>V13/V15</f>
        <v>1.3152125078126313</v>
      </c>
      <c r="X62">
        <f>X13/X15</f>
        <v>1.3903705817991481</v>
      </c>
      <c r="Z62">
        <f>Z13/Z15</f>
        <v>1.488312236603498</v>
      </c>
      <c r="AB62">
        <f>AB13/AB15</f>
        <v>1.6222982750294115</v>
      </c>
      <c r="AD62">
        <f>AD13/AD15</f>
        <v>1.818196089430113</v>
      </c>
      <c r="AF62">
        <f>AF13/AF15</f>
        <v>2.1321077769794989</v>
      </c>
      <c r="AH62">
        <f>AH13/AH15</f>
        <v>2.7029986405742776</v>
      </c>
      <c r="AJ62">
        <f>AJ13/AJ15</f>
        <v>3.9429697001910498</v>
      </c>
      <c r="AL62">
        <f>AL13/AL15</f>
        <v>7.454578376615526</v>
      </c>
      <c r="AN62" t="e">
        <f>AN13/AN15</f>
        <v>#DIV/0!</v>
      </c>
      <c r="AP62" t="e">
        <f>AP13/AP15</f>
        <v>#DIV/0!</v>
      </c>
      <c r="AR62" t="e">
        <f>AR13/AR15</f>
        <v>#DIV/0!</v>
      </c>
      <c r="AT62" t="e">
        <f>AT13/AT15</f>
        <v>#DIV/0!</v>
      </c>
      <c r="AV62" t="e">
        <f>AV13/AV15</f>
        <v>#DIV/0!</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0.99888229155856856</v>
      </c>
      <c r="E65" s="181"/>
      <c r="F65" s="181">
        <f t="array" ref="F65">SQRT((F9:G9*$B$22:$C$22+F10:G10*$B$23:$C$23+F11:G11*$B$24:$C$24+F4:G4*($B$25:$C$25-$B$19:$C$19))/($B$9:$C$9*$B$22:$C$22+$B$10:$C$10*$B$23:$C$23+$B$11:$C$11*$B$24:$C$24+$B$4:$C$4*($B$25:$C$25-$B$19:$C$19))*(F9:G9*F22:G22+F10:G10*F23:G23+F11:G11*F24:G24+F4:G4*(F25:G25-F19:G19))/($B$9:$C$9*F22:G22+$B$10:$C$10*F23:G23+$B$11:$C$11*F24:G24+$B$4:$C$4*(F25:G25-F19:G19)))</f>
        <v>0.99779159401824247</v>
      </c>
      <c r="G65" s="181"/>
      <c r="H65" s="181">
        <f t="array" ref="H65">SQRT((H9:I9*$B$22:$C$22+H10:I10*$B$23:$C$23+H11:I11*$B$24:$C$24+H4:I4*($B$25:$C$25-$B$19:$C$19))/($B$9:$C$9*$B$22:$C$22+$B$10:$C$10*$B$23:$C$23+$B$11:$C$11*$B$24:$C$24+$B$4:$C$4*($B$25:$C$25-$B$19:$C$19))*(H9:I9*H22:I22+H10:I10*H23:I23+H11:I11*H24:I24+H4:I4*(H25:I25-H19:I19))/($B$9:$C$9*H22:I22+$B$10:$C$10*H23:I23+$B$11:$C$11*H24:I24+$B$4:$C$4*(H25:I25-H19:I19)))</f>
        <v>0.99671944076923524</v>
      </c>
      <c r="I65" s="181"/>
      <c r="J65" s="181">
        <f t="array" ref="J65">SQRT((J9:K9*$B$22:$C$22+J10:K10*$B$23:$C$23+J11:K11*$B$24:$C$24+J4:K4*($B$25:$C$25-$B$19:$C$19))/($B$9:$C$9*$B$22:$C$22+$B$10:$C$10*$B$23:$C$23+$B$11:$C$11*$B$24:$C$24+$B$4:$C$4*($B$25:$C$25-$B$19:$C$19))*(J9:K9*J22:K22+J10:K10*J23:K23+J11:K11*J24:K24+J4:K4*(J25:K25-J19:K19))/($B$9:$C$9*J22:K22+$B$10:$C$10*J23:K23+$B$11:$C$11*J24:K24+$B$4:$C$4*(J25:K25-J19:K19)))</f>
        <v>0.99565678127981572</v>
      </c>
      <c r="K65" s="181"/>
      <c r="L65" s="181">
        <f t="array" ref="L65">SQRT((L9:M9*$B$22:$C$22+L10:M10*$B$23:$C$23+L11:M11*$B$24:$C$24+L4:M4*($B$25:$C$25-$B$19:$C$19))/($B$9:$C$9*$B$22:$C$22+$B$10:$C$10*$B$23:$C$23+$B$11:$C$11*$B$24:$C$24+$B$4:$C$4*($B$25:$C$25-$B$19:$C$19))*(L9:M9*L22:M22+L10:M10*L23:M23+L11:M11*L24:M24+L4:M4*(L25:M25-L19:M19))/($B$9:$C$9*L22:M22+$B$10:$C$10*L23:M23+$B$11:$C$11*L24:M24+$B$4:$C$4*(L25:M25-L19:M19)))</f>
        <v>0.99459403636706789</v>
      </c>
      <c r="M65" s="181"/>
      <c r="N65" s="181">
        <f t="array" ref="N65">SQRT((N9:O9*$B$22:$C$22+N10:O10*$B$23:$C$23+N11:O11*$B$24:$C$24+N4:O4*($B$25:$C$25-$B$19:$C$19))/($B$9:$C$9*$B$22:$C$22+$B$10:$C$10*$B$23:$C$23+$B$11:$C$11*$B$24:$C$24+$B$4:$C$4*($B$25:$C$25-$B$19:$C$19))*(N9:O9*N22:O22+N10:O10*N23:O23+N11:O11*N24:O24+N4:O4*(N25:O25-N19:O19))/($B$9:$C$9*N22:O22+$B$10:$C$10*N23:O23+$B$11:$C$11*N24:O24+$B$4:$C$4*(N25:O25-N19:O19)))</f>
        <v>0.99352140329627148</v>
      </c>
      <c r="O65" s="181"/>
      <c r="P65" s="181">
        <f t="array" ref="P65">SQRT((P9:Q9*$B$22:$C$22+P10:Q10*$B$23:$C$23+P11:Q11*$B$24:$C$24+P4:Q4*($B$25:$C$25-$B$19:$C$19))/($B$9:$C$9*$B$22:$C$22+$B$10:$C$10*$B$23:$C$23+$B$11:$C$11*$B$24:$C$24+$B$4:$C$4*($B$25:$C$25-$B$19:$C$19))*(P9:Q9*P22:Q22+P10:Q10*P23:Q23+P11:Q11*P24:Q24+P4:Q4*(P25:Q25-P19:Q19))/($B$9:$C$9*P22:Q22+$B$10:$C$10*P23:Q23+$B$11:$C$11*P24:Q24+$B$4:$C$4*(P25:Q25-P19:Q19)))</f>
        <v>0.99242926576040558</v>
      </c>
      <c r="Q65" s="181"/>
      <c r="R65" s="181">
        <f t="array" ref="R65">SQRT((R9:S9*$B$22:$C$22+R10:S10*$B$23:$C$23+R11:S11*$B$24:$C$24+R4:S4*($B$25:$C$25-$B$19:$C$19))/($B$9:$C$9*$B$22:$C$22+$B$10:$C$10*$B$23:$C$23+$B$11:$C$11*$B$24:$C$24+$B$4:$C$4*($B$25:$C$25-$B$19:$C$19))*(R9:S9*R22:S22+R10:S10*R23:S23+R11:S11*R24:S24+R4:S4*(R25:S25-R19:S19))/($B$9:$C$9*R22:S22+$B$10:$C$10*R23:S23+$B$11:$C$11*R24:S24+$B$4:$C$4*(R25:S25-R19:S19)))</f>
        <v>0.99130920436374403</v>
      </c>
      <c r="S65" s="181"/>
      <c r="T65" s="181">
        <f t="array" ref="T65">SQRT((T9:U9*$B$22:$C$22+T10:U10*$B$23:$C$23+T11:U11*$B$24:$C$24+T4:U4*($B$25:$C$25-$B$19:$C$19))/($B$9:$C$9*$B$22:$C$22+$B$10:$C$10*$B$23:$C$23+$B$11:$C$11*$B$24:$C$24+$B$4:$C$4*($B$25:$C$25-$B$19:$C$19))*(T9:U9*T22:U22+T10:U10*T23:U23+T11:U11*T24:U24+T4:U4*(T25:U25-T19:U19))/($B$9:$C$9*T22:U22+$B$10:$C$10*T23:U23+$B$11:$C$11*T24:U24+$B$4:$C$4*(T25:U25-T19:U19)))</f>
        <v>0.99015572745051428</v>
      </c>
      <c r="U65" s="181"/>
      <c r="V65" s="181">
        <f t="array" ref="V65">SQRT((V9:W9*$B$22:$C$22+V10:W10*$B$23:$C$23+V11:W11*$B$24:$C$24+V4:W4*($B$25:$C$25-$B$19:$C$19))/($B$9:$C$9*$B$22:$C$22+$B$10:$C$10*$B$23:$C$23+$B$11:$C$11*$B$24:$C$24+$B$4:$C$4*($B$25:$C$25-$B$19:$C$19))*(V9:W9*V22:W22+V10:W10*V23:W23+V11:W11*V24:W24+V4:W4*(V25:W25-V19:W19))/($B$9:$C$9*V22:W22+$B$10:$C$10*V23:W23+$B$11:$C$11*V24:W24+$B$4:$C$4*(V25:W25-V19:W19)))</f>
        <v>0.98896929089737595</v>
      </c>
      <c r="W65" s="181"/>
      <c r="X65" s="181">
        <f t="array" ref="X65">SQRT((X9:Y9*$B$22:$C$22+X10:Y10*$B$23:$C$23+X11:Y11*$B$24:$C$24+X4:Y4*($B$25:$C$25-$B$19:$C$19))/($B$9:$C$9*$B$22:$C$22+$B$10:$C$10*$B$23:$C$23+$B$11:$C$11*$B$24:$C$24+$B$4:$C$4*($B$25:$C$25-$B$19:$C$19))*(X9:Y9*X22:Y22+X10:Y10*X23:Y23+X11:Y11*X24:Y24+X4:Y4*(X25:Y25-X19:Y19))/($B$9:$C$9*X22:Y22+$B$10:$C$10*X23:Y23+$B$11:$C$11*X24:Y24+$B$4:$C$4*(X25:Y25-X19:Y19)))</f>
        <v>0.98776152303951559</v>
      </c>
      <c r="Y65" s="181"/>
      <c r="Z65" s="181">
        <f t="array" ref="Z65">SQRT((Z9:AA9*$B$22:$C$22+Z10:AA10*$B$23:$C$23+Z11:AA11*$B$24:$C$24+Z4:AA4*($B$25:$C$25-$B$19:$C$19))/($B$9:$C$9*$B$22:$C$22+$B$10:$C$10*$B$23:$C$23+$B$11:$C$11*$B$24:$C$24+$B$4:$C$4*($B$25:$C$25-$B$19:$C$19))*(Z9:AA9*Z22:AA22+Z10:AA10*Z23:AA23+Z11:AA11*Z24:AA24+Z4:AA4*(Z25:AA25-Z19:AA19))/($B$9:$C$9*Z22:AA22+$B$10:$C$10*Z23:AA23+$B$11:$C$11*Z24:AA24+$B$4:$C$4*(Z25:AA25-Z19:AA19)))</f>
        <v>0.98656415227769367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0.98544380909036955</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0.98452442738237567</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0.9840107924490642</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0.98417326197731603</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0.98519251030396526</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0.98683838994349715</v>
      </c>
      <c r="AM65" s="181"/>
      <c r="AN65" s="181" t="e">
        <f t="array" ref="AN65">SQRT((AN9:AO9*$B$22:$C$22+AN10:AO10*$B$23:$C$23+AN11:AO11*$B$24:$C$24+AN4:AO4*($B$25:$C$25-$B$19:$C$19))/($B$9:$C$9*$B$22:$C$22+$B$10:$C$10*$B$23:$C$23+$B$11:$C$11*$B$24:$C$24+$B$4:$C$4*($B$25:$C$25-$B$19:$C$19))*(AN9:AO9*AN22:AO22+AN10:AO10*AN23:AO23+AN11:AO11*AN24:AO24+AN4:AO4*(AN25:AO25-AN19:AO19))/($B$9:$C$9*AN22:AO22+$B$10:$C$10*AN23:AO23+$B$11:$C$11*AN24:AO24+$B$4:$C$4*(AN25:AO25-AN19:AO19)))</f>
        <v>#DIV/0!</v>
      </c>
      <c r="AO65" s="181"/>
      <c r="AP65" s="181" t="e">
        <f t="array" ref="AP65">SQRT((AP9:AQ9*$B$22:$C$22+AP10:AQ10*$B$23:$C$23+AP11:AQ11*$B$24:$C$24+AP4:AQ4*($B$25:$C$25-$B$19:$C$19))/($B$9:$C$9*$B$22:$C$22+$B$10:$C$10*$B$23:$C$23+$B$11:$C$11*$B$24:$C$24+$B$4:$C$4*($B$25:$C$25-$B$19:$C$19))*(AP9:AQ9*AP22:AQ22+AP10:AQ10*AP23:AQ23+AP11:AQ11*AP24:AQ24+AP4:AQ4*(AP25:AQ25-AP19:AQ19))/($B$9:$C$9*AP22:AQ22+$B$10:$C$10*AP23:AQ23+$B$11:$C$11*AP24:AQ24+$B$4:$C$4*(AP25:AQ25-AP19:AQ19)))</f>
        <v>#DIV/0!</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#DIV/0!</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#DIV/0!</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#DIV/0!</v>
      </c>
    </row>
    <row r="66" spans="1:48 16384:16384" x14ac:dyDescent="0.2">
      <c r="A66" t="s">
        <v>166</v>
      </c>
      <c r="B66" s="181">
        <f t="array" ref="B66">SQRT((B9:C9*$B$22:$C$22)/($B$9:$C$9*$B$22:$C$22)*(B9:C9*B22:C22)/($B$9:$C$9*B22:C22))</f>
        <v>1</v>
      </c>
      <c r="C66" s="181"/>
      <c r="D66" s="181">
        <f t="array" ref="D66">SQRT((D9:E9*$B$22:$C$22)/($B$9:$C$9*$B$22:$C$22)*(D9:E9*D22:E22)/($B$9:$C$9*D22:E22))</f>
        <v>0.99877074511118513</v>
      </c>
      <c r="E66" s="181"/>
      <c r="F66" s="181">
        <f t="array" ref="F66">SQRT((F9:G9*$B$22:$C$22)/($B$9:$C$9*$B$22:$C$22)*(F9:G9*F22:G22)/($B$9:$C$9*F22:G22))</f>
        <v>0.99756952191837822</v>
      </c>
      <c r="G66" s="181"/>
      <c r="H66" s="181">
        <f t="array" ref="H66">SQRT((H9:I9*$B$22:$C$22)/($B$9:$C$9*$B$22:$C$22)*(H9:I9*H22:I22)/($B$9:$C$9*H22:I22))</f>
        <v>0.99638710086664772</v>
      </c>
      <c r="I66" s="181"/>
      <c r="J66" s="181">
        <f t="array" ref="J66">SQRT((J9:K9*$B$22:$C$22)/($B$9:$C$9*$B$22:$C$22)*(J9:K9*J22:K22)/($B$9:$C$9*J22:K22))</f>
        <v>0.99521355233319131</v>
      </c>
      <c r="K66" s="181"/>
      <c r="L66" s="181">
        <f t="array" ref="L66">SQRT((L9:M9*$B$22:$C$22)/($B$9:$C$9*$B$22:$C$22)*(L9:M9*L22:M22)/($B$9:$C$9*L22:M22))</f>
        <v>0.99403830387414527</v>
      </c>
      <c r="M66" s="181"/>
      <c r="N66" s="181">
        <f t="array" ref="N66">SQRT((N9:O9*$B$22:$C$22)/($B$9:$C$9*$B$22:$C$22)*(N9:O9*N22:O22)/($B$9:$C$9*N22:O22))</f>
        <v>0.99285047399866766</v>
      </c>
      <c r="O66" s="181"/>
      <c r="P66" s="181">
        <f t="array" ref="P66">SQRT((P9:Q9*$B$22:$C$22)/($B$9:$C$9*$B$22:$C$22)*(P9:Q9*P22:Q22)/($B$9:$C$9*P22:Q22))</f>
        <v>0.99163932317552317</v>
      </c>
      <c r="Q66" s="181"/>
      <c r="R66" s="181">
        <f t="array" ref="R66">SQRT((R9:S9*$B$22:$C$22)/($B$9:$C$9*$B$22:$C$22)*(R9:S9*R22:S22)/($B$9:$C$9*R22:S22))</f>
        <v>0.99039537538224243</v>
      </c>
      <c r="S66" s="181"/>
      <c r="T66" s="181">
        <f t="array" ref="T66">SQRT((T9:U9*$B$22:$C$22)/($B$9:$C$9*$B$22:$C$22)*(T9:U9*T22:U22)/($B$9:$C$9*T22:U22))</f>
        <v>0.98911235107993789</v>
      </c>
      <c r="U66" s="181"/>
      <c r="V66" s="181">
        <f t="array" ref="V66">SQRT((V9:W9*$B$22:$C$22)/($B$9:$C$9*$B$22:$C$22)*(V9:W9*V22:W22)/($B$9:$C$9*V22:W22))</f>
        <v>0.98779055733835475</v>
      </c>
      <c r="W66" s="181"/>
      <c r="X66" s="181">
        <f t="array" ref="X66">SQRT((X9:Y9*$B$22:$C$22)/($B$9:$C$9*$B$22:$C$22)*(X9:Y9*X22:Y22)/($B$9:$C$9*X22:Y22))</f>
        <v>0.98644277979525352</v>
      </c>
      <c r="Y66" s="181"/>
      <c r="Z66" s="181">
        <f t="array" ref="Z66">SQRT((Z9:AA9*$B$22:$C$22)/($B$9:$C$9*$B$22:$C$22)*(Z9:AA9*Z22:AA22)/($B$9:$C$9*Z22:AA22))</f>
        <v>0.98510438664727573</v>
      </c>
      <c r="AA66" s="181"/>
      <c r="AB66" s="181">
        <f t="array" ref="AB66">SQRT((AB9:AC9*$B$22:$C$22)/($B$9:$C$9*$B$22:$C$22)*(AB9:AC9*AB22:AC22)/($B$9:$C$9*AB22:AC22))</f>
        <v>0.9838501225986005</v>
      </c>
      <c r="AC66" s="181"/>
      <c r="AD66" s="181">
        <f t="array" ref="AD66">SQRT((AD9:AE9*$B$22:$C$22)/($B$9:$C$9*$B$22:$C$22)*(AD9:AE9*AD22:AE22)/($B$9:$C$9*AD22:AE22))</f>
        <v>0.98281954223118695</v>
      </c>
      <c r="AE66" s="181"/>
      <c r="AF66" s="181">
        <f t="array" ref="AF66">SQRT((AF9:AG9*$B$22:$C$22)/($B$9:$C$9*$B$22:$C$22)*(AF9:AG9*AF22:AG22)/($B$9:$C$9*AF22:AG22))</f>
        <v>0.98224365837148586</v>
      </c>
      <c r="AG66" s="181"/>
      <c r="AH66" s="181">
        <f t="array" ref="AH66">SQRT((AH9:AI9*$B$22:$C$22)/($B$9:$C$9*$B$22:$C$22)*(AH9:AI9*AH22:AI22)/($B$9:$C$9*AH22:AI22))</f>
        <v>0.9824271973966312</v>
      </c>
      <c r="AI66" s="181"/>
      <c r="AJ66" s="181">
        <f t="array" ref="AJ66">SQRT((AJ9:AK9*$B$22:$C$22)/($B$9:$C$9*$B$22:$C$22)*(AJ9:AK9*AJ22:AK22)/($B$9:$C$9*AJ22:AK22))</f>
        <v>0.9835721083454575</v>
      </c>
      <c r="AK66" s="181"/>
      <c r="AL66" s="181">
        <f t="array" ref="AL66">SQRT((AL9:AM9*$B$22:$C$22)/($B$9:$C$9*$B$22:$C$22)*(AL9:AM9*AL22:AM22)/($B$9:$C$9*AL22:AM22))</f>
        <v>0.98541635118327942</v>
      </c>
      <c r="AM66" s="181"/>
      <c r="AN66" s="181" t="e">
        <f t="array" ref="AN66">SQRT((AN9:AO9*$B$22:$C$22)/($B$9:$C$9*$B$22:$C$22)*(AN9:AO9*AN22:AO22)/($B$9:$C$9*AN22:AO22))</f>
        <v>#DIV/0!</v>
      </c>
      <c r="AO66" s="181"/>
      <c r="AP66" s="181" t="e">
        <f t="array" ref="AP66">SQRT((AP9:AQ9*$B$22:$C$22)/($B$9:$C$9*$B$22:$C$22)*(AP9:AQ9*AP22:AQ22)/($B$9:$C$9*AP22:AQ22))</f>
        <v>#DIV/0!</v>
      </c>
      <c r="AQ66" s="181"/>
      <c r="AR66" s="181" t="e">
        <f t="array" ref="AR66">SQRT((AR9:AS9*$B$22:$C$22)/($B$9:$C$9*$B$22:$C$22)*(AR9:AS9*AR22:AS22)/($B$9:$C$9*AR22:AS22))</f>
        <v>#DIV/0!</v>
      </c>
      <c r="AS66" s="181"/>
      <c r="AT66" s="181" t="e">
        <f t="array" ref="AT66">SQRT((AT9:AU9*$B$22:$C$22)/($B$9:$C$9*$B$22:$C$22)*(AT9:AU9*AT22:AU22)/($B$9:$C$9*AT22:AU22))</f>
        <v>#DIV/0!</v>
      </c>
      <c r="AU66" s="181"/>
      <c r="AV66" s="181" t="e">
        <f t="array" ref="AV66">SQRT((AV9:AW9*$B$22:$C$22)/($B$9:$C$9*$B$22:$C$22)*(AV9:AW9*AV22:AW22)/($B$9:$C$9*AV22:AW22))</f>
        <v>#DIV/0!</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t="e">
        <f t="array" ref="AN67">SQRT((AN4:AO4*$B$19:$C$19)/($B$4:$C$4*$B$19:$C$19)*(AN4:AO4*AN19:AO19)/($B$4:$C$4*AN19:AO19))</f>
        <v>#DIV/0!</v>
      </c>
      <c r="AO67" s="181"/>
      <c r="AP67" s="181" t="e">
        <f t="array" ref="AP67">SQRT((AP4:AQ4*$B$19:$C$19)/($B$4:$C$4*$B$19:$C$19)*(AP4:AQ4*AP19:AQ19)/($B$4:$C$4*AP19:AQ19))</f>
        <v>#DIV/0!</v>
      </c>
      <c r="AQ67" s="181"/>
      <c r="AR67" s="181" t="e">
        <f t="array" ref="AR67">SQRT((AR4:AS4*$B$19:$C$19)/($B$4:$C$4*$B$19:$C$19)*(AR4:AS4*AR19:AS19)/($B$4:$C$4*AR19:AS19))</f>
        <v>#DIV/0!</v>
      </c>
      <c r="AS67" s="181"/>
      <c r="AT67" s="181" t="e">
        <f t="array" ref="AT67">SQRT((AT4:AU4*$B$19:$C$19)/($B$4:$C$4*$B$19:$C$19)*(AT4:AU4*AT19:AU19)/($B$4:$C$4*AT19:AU19))</f>
        <v>#DIV/0!</v>
      </c>
      <c r="AU67" s="181"/>
      <c r="AV67" s="181" t="e">
        <f t="array" ref="AV67">SQRT((AV4:AW4*$B$19:$C$19)/($B$4:$C$4*$B$19:$C$19)*(AV4:AW4*AV19:AW19)/($B$4:$C$4*AV19:AW19))</f>
        <v>#DIV/0!</v>
      </c>
      <c r="XFD67" s="181"/>
    </row>
    <row r="68" spans="1:48 16384:16384" x14ac:dyDescent="0.2">
      <c r="A68" t="s">
        <v>165</v>
      </c>
      <c r="B68" s="181">
        <f>B66/B67</f>
        <v>1</v>
      </c>
      <c r="C68" s="181"/>
      <c r="D68" s="181">
        <f>D66/D67</f>
        <v>0.99877074511118513</v>
      </c>
      <c r="E68" s="181"/>
      <c r="F68" s="181">
        <f>F66/F67</f>
        <v>0.99756952191837822</v>
      </c>
      <c r="G68" s="181"/>
      <c r="H68" s="181">
        <f>H66/H67</f>
        <v>0.99638710086664772</v>
      </c>
      <c r="I68" s="181"/>
      <c r="J68" s="181">
        <f>J66/J67</f>
        <v>0.99521355233319131</v>
      </c>
      <c r="K68" s="181"/>
      <c r="L68" s="181">
        <f>L66/L67</f>
        <v>0.99403830387414527</v>
      </c>
      <c r="M68" s="181"/>
      <c r="N68" s="181">
        <f>N66/N67</f>
        <v>0.99285047399866766</v>
      </c>
      <c r="O68" s="181"/>
      <c r="P68" s="181">
        <f>P66/P67</f>
        <v>0.99163932317552317</v>
      </c>
      <c r="Q68" s="181"/>
      <c r="R68" s="181">
        <f>R66/R67</f>
        <v>0.99039537538224243</v>
      </c>
      <c r="S68" s="181"/>
      <c r="T68" s="181">
        <f>T66/T67</f>
        <v>0.98911235107993789</v>
      </c>
      <c r="U68" s="181"/>
      <c r="V68" s="181">
        <f>V66/V67</f>
        <v>0.98779055733835475</v>
      </c>
      <c r="W68" s="181"/>
      <c r="X68" s="181">
        <f>X66/X67</f>
        <v>0.98644277979525352</v>
      </c>
      <c r="Y68" s="181"/>
      <c r="Z68" s="181">
        <f>Z66/Z67</f>
        <v>0.98510438664727573</v>
      </c>
      <c r="AA68" s="181"/>
      <c r="AB68" s="181">
        <f>AB66/AB67</f>
        <v>0.9838501225986005</v>
      </c>
      <c r="AC68" s="181"/>
      <c r="AD68" s="181">
        <f>AD66/AD67</f>
        <v>0.98281954223118695</v>
      </c>
      <c r="AE68" s="181"/>
      <c r="AF68" s="181">
        <f>AF66/AF67</f>
        <v>0.98224365837148586</v>
      </c>
      <c r="AG68" s="181"/>
      <c r="AH68" s="181">
        <f>AH66/AH67</f>
        <v>0.9824271973966312</v>
      </c>
      <c r="AI68" s="181"/>
      <c r="AJ68" s="181">
        <f>AJ66/AJ67</f>
        <v>0.9835721083454575</v>
      </c>
      <c r="AK68" s="181"/>
      <c r="AL68" s="181">
        <f>AL66/AL67</f>
        <v>0.98541635118327942</v>
      </c>
      <c r="AM68" s="181"/>
      <c r="AN68" s="181" t="e">
        <f>AN66/AN67</f>
        <v>#DIV/0!</v>
      </c>
      <c r="AO68" s="181"/>
      <c r="AP68" s="181" t="e">
        <f>AP66/AP67</f>
        <v>#DIV/0!</v>
      </c>
      <c r="AQ68" s="181"/>
      <c r="AR68" s="181" t="e">
        <f>AR66/AR67</f>
        <v>#DIV/0!</v>
      </c>
      <c r="AS68" s="181"/>
      <c r="AT68" s="181" t="e">
        <f>AT66/AT67</f>
        <v>#DIV/0!</v>
      </c>
      <c r="AU68" s="181"/>
      <c r="AV68" s="181" t="e">
        <f>AV66/AV67</f>
        <v>#DIV/0!</v>
      </c>
      <c r="XFD68" s="181"/>
    </row>
    <row r="69" spans="1:48 16384:16384" x14ac:dyDescent="0.2">
      <c r="A69" t="s">
        <v>161</v>
      </c>
      <c r="B69" s="181">
        <f>B32/B65/($B$32)</f>
        <v>1</v>
      </c>
      <c r="C69" s="181"/>
      <c r="D69" s="181">
        <f>D32/D65/($B$32)</f>
        <v>1.0064522781814911</v>
      </c>
      <c r="E69" s="181"/>
      <c r="F69" s="181">
        <f>F32/F65/($B$32)</f>
        <v>1.0123402982207186</v>
      </c>
      <c r="G69" s="181"/>
      <c r="H69" s="181">
        <f>H32/H65/($B$32)</f>
        <v>1.0176117367703355</v>
      </c>
      <c r="I69" s="181"/>
      <c r="J69" s="181">
        <f>J32/J65/($B$32)</f>
        <v>1.0221956318827432</v>
      </c>
      <c r="K69" s="181"/>
      <c r="L69" s="181">
        <f>L32/L65/($B$32)</f>
        <v>1.0259968290414079</v>
      </c>
      <c r="M69" s="181"/>
      <c r="N69" s="181">
        <f>N32/N65/($B$32)</f>
        <v>1.0288904336502238</v>
      </c>
      <c r="O69" s="181"/>
      <c r="P69" s="181">
        <f>P32/P65/($B$32)</f>
        <v>1.0307107697527618</v>
      </c>
      <c r="Q69" s="181"/>
      <c r="R69" s="181">
        <f>R32/R65/($B$32)</f>
        <v>1.0312375423989737</v>
      </c>
      <c r="S69" s="181"/>
      <c r="T69" s="181">
        <f>T32/T65/($B$32)</f>
        <v>1.0301736945561426</v>
      </c>
      <c r="U69" s="181"/>
      <c r="V69" s="181">
        <f>V32/V65/($B$32)</f>
        <v>1.0271104435113612</v>
      </c>
      <c r="W69" s="181"/>
      <c r="X69" s="181">
        <f>X32/X65/($B$32)</f>
        <v>1.0214687293407665</v>
      </c>
      <c r="Y69" s="181"/>
      <c r="Z69" s="181">
        <f>Z32/Z65/($B$32)</f>
        <v>1.0123955184360369</v>
      </c>
      <c r="AA69" s="181"/>
      <c r="AB69" s="181">
        <f>AB32/AB65/($B$32)</f>
        <v>0.99856593111530556</v>
      </c>
      <c r="AC69" s="181"/>
      <c r="AD69" s="181">
        <f>AD32/AD65/($B$32)</f>
        <v>0.97777739012949683</v>
      </c>
      <c r="AE69" s="181"/>
      <c r="AF69" s="181">
        <f>AF32/AF65/($B$32)</f>
        <v>0.94605383636252161</v>
      </c>
      <c r="AG69" s="181"/>
      <c r="AH69" s="181">
        <f>AH32/AH65/($B$32)</f>
        <v>0.89558735078044993</v>
      </c>
      <c r="AI69" s="181"/>
      <c r="AJ69" s="181">
        <f>AJ32/AJ65/($B$32)</f>
        <v>0.81019992053224499</v>
      </c>
      <c r="AK69" s="181"/>
      <c r="AL69" s="181">
        <f>AL32/AL65/($B$32)</f>
        <v>0.65732459972932633</v>
      </c>
      <c r="AM69" s="181"/>
      <c r="AN69" s="181" t="e">
        <f>AN32/AN65/($B$32)</f>
        <v>#DIV/0!</v>
      </c>
      <c r="AO69" s="181"/>
      <c r="AP69" s="181" t="e">
        <f>AP32/AP65/($B$32)</f>
        <v>#DIV/0!</v>
      </c>
      <c r="AQ69" s="181"/>
      <c r="AR69" s="181" t="e">
        <f>AR32/AR65/($B$32)</f>
        <v>#DIV/0!</v>
      </c>
      <c r="AS69" s="181"/>
      <c r="AT69" s="181" t="e">
        <f>AT32/AT65/($B$32)</f>
        <v>#DIV/0!</v>
      </c>
      <c r="AU69" s="181"/>
      <c r="AV69" s="181" t="e">
        <f>AV32/AV65/($B$32)</f>
        <v>#DIV/0!</v>
      </c>
    </row>
    <row r="70" spans="1:48 16384:16384" x14ac:dyDescent="0.2">
      <c r="A70" t="s">
        <v>162</v>
      </c>
      <c r="B70" s="129">
        <f>B18/$B$18</f>
        <v>1</v>
      </c>
      <c r="C70" s="129"/>
      <c r="D70" s="129">
        <f>D18/$B$18</f>
        <v>1.0052582896884383</v>
      </c>
      <c r="E70" s="129"/>
      <c r="F70" s="129">
        <f>F18/$B$18</f>
        <v>1.0098964901004821</v>
      </c>
      <c r="G70" s="129"/>
      <c r="H70" s="129">
        <f>H18/$B$18</f>
        <v>1.0138630991130644</v>
      </c>
      <c r="I70" s="129"/>
      <c r="J70" s="129">
        <f>J18/$B$18</f>
        <v>1.0170883990901536</v>
      </c>
      <c r="K70" s="129"/>
      <c r="L70" s="129">
        <f>L18/$B$18</f>
        <v>1.0194789550270094</v>
      </c>
      <c r="M70" s="129"/>
      <c r="N70" s="129">
        <f>N18/$B$18</f>
        <v>1.0209109420867324</v>
      </c>
      <c r="O70" s="129"/>
      <c r="P70" s="129">
        <f>P18/$B$18</f>
        <v>1.0212187517301246</v>
      </c>
      <c r="Q70" s="129"/>
      <c r="R70" s="129">
        <f>R18/$B$18</f>
        <v>1.0201790532483588</v>
      </c>
      <c r="S70" s="129"/>
      <c r="T70" s="129">
        <f>T18/$B$18</f>
        <v>1.017485539014213</v>
      </c>
      <c r="U70" s="129"/>
      <c r="V70" s="129">
        <f>V18/$B$18</f>
        <v>1.0127086665465532</v>
      </c>
      <c r="W70" s="129"/>
      <c r="X70" s="129">
        <f>X18/$B$18</f>
        <v>1.0052281710074613</v>
      </c>
      <c r="Y70" s="129"/>
      <c r="Z70" s="129">
        <f>Z18/$B$18</f>
        <v>0.99411510053159968</v>
      </c>
      <c r="AA70" s="129"/>
      <c r="AB70" s="129">
        <f>AB18/$B$18</f>
        <v>0.97791363530637765</v>
      </c>
      <c r="AC70" s="129"/>
      <c r="AD70" s="129">
        <f>AD18/$B$18</f>
        <v>0.95421574758060357</v>
      </c>
      <c r="AE70" s="129"/>
      <c r="AF70" s="129">
        <f>AF18/$B$18</f>
        <v>0.91879044305039592</v>
      </c>
      <c r="AG70" s="129"/>
      <c r="AH70" s="129">
        <f>AH18/$B$18</f>
        <v>0.86376041489177136</v>
      </c>
      <c r="AI70" s="129"/>
      <c r="AJ70" s="129">
        <f>AJ18/$B$18</f>
        <v>0.77391477078836912</v>
      </c>
      <c r="AK70" s="129"/>
      <c r="AL70" s="129">
        <f>AL18/$B$18</f>
        <v>0.620516647423481</v>
      </c>
      <c r="AM70" s="129"/>
      <c r="AN70" s="129">
        <f>AN18/$B$18</f>
        <v>0</v>
      </c>
      <c r="AO70" s="129"/>
      <c r="AP70" s="129">
        <f>AP18/$B$18</f>
        <v>0</v>
      </c>
      <c r="AQ70" s="129"/>
      <c r="AR70" s="129">
        <f>AR18/$B$18</f>
        <v>0</v>
      </c>
      <c r="AS70" s="129"/>
      <c r="AT70" s="129">
        <f>AT18/$B$18</f>
        <v>0</v>
      </c>
      <c r="AU70" s="129"/>
      <c r="AV70" s="129">
        <f>AV18/$B$18</f>
        <v>0</v>
      </c>
    </row>
    <row r="71" spans="1:48 16384:16384" x14ac:dyDescent="0.2">
      <c r="A71" t="s">
        <v>163</v>
      </c>
      <c r="B71" s="129">
        <f>C18/$C$18</f>
        <v>1</v>
      </c>
      <c r="D71" s="129">
        <f>E18/$C$18</f>
        <v>0.92548835720168499</v>
      </c>
      <c r="E71" s="129"/>
      <c r="F71" s="129">
        <f>G18/$C$18</f>
        <v>0.85191410997282124</v>
      </c>
      <c r="G71" s="129"/>
      <c r="H71" s="129">
        <f>I18/$C$18</f>
        <v>0.7792554888162484</v>
      </c>
      <c r="I71" s="129"/>
      <c r="J71" s="129">
        <f>K18/$C$18</f>
        <v>0.70749783526367516</v>
      </c>
      <c r="K71" s="129"/>
      <c r="L71" s="129">
        <f>M18/$C$18</f>
        <v>0.63664931467288288</v>
      </c>
      <c r="M71" s="129"/>
      <c r="N71" s="129">
        <f>O18/$C$18</f>
        <v>0.56674337671846942</v>
      </c>
      <c r="O71" s="129"/>
      <c r="P71" s="129">
        <f>Q18/$C$18</f>
        <v>0.49786694094731526</v>
      </c>
      <c r="Q71" s="129"/>
      <c r="R71" s="129">
        <f>S18/$C$18</f>
        <v>0.43018265679507328</v>
      </c>
      <c r="S71" s="129"/>
      <c r="T71" s="129">
        <f>U18/$C$18</f>
        <v>0.36396704213920006</v>
      </c>
      <c r="U71" s="129"/>
      <c r="V71" s="129">
        <f>W18/$C$18</f>
        <v>0.29966677400957847</v>
      </c>
      <c r="W71" s="129"/>
      <c r="X71" s="129">
        <f>Y18/$C$18</f>
        <v>0.23797263980631572</v>
      </c>
      <c r="Y71" s="129"/>
      <c r="Z71" s="129">
        <f>AA18/$C$18</f>
        <v>0.17991717578354494</v>
      </c>
      <c r="AA71" s="129"/>
      <c r="AB71" s="129">
        <f>AC18/$C$18</f>
        <v>0.12698889818586312</v>
      </c>
      <c r="AC71" s="129"/>
      <c r="AD71" s="129">
        <f>AE18/$C$18</f>
        <v>8.120396092825527E-2</v>
      </c>
      <c r="AE71" s="129"/>
      <c r="AF71" s="129">
        <f>AG18/$C$18</f>
        <v>4.4955774018487146E-2</v>
      </c>
      <c r="AG71" s="129"/>
      <c r="AH71" s="129">
        <f>AI18/$C$18</f>
        <v>2.0229189045336122E-2</v>
      </c>
      <c r="AI71" s="129"/>
      <c r="AJ71" s="129">
        <f>AK18/$C$18</f>
        <v>6.9184069869868093E-3</v>
      </c>
      <c r="AK71" s="129"/>
      <c r="AL71" s="129">
        <f>AM18/$C$18</f>
        <v>1.7589224556532064E-3</v>
      </c>
      <c r="AM71" s="129"/>
      <c r="AN71" s="129">
        <f>AO18/$C$18</f>
        <v>0</v>
      </c>
      <c r="AO71" s="129"/>
      <c r="AP71" s="129">
        <f>AQ18/$C$18</f>
        <v>0</v>
      </c>
      <c r="AQ71" s="129"/>
      <c r="AR71" s="129">
        <f>AS18/$C$18</f>
        <v>0</v>
      </c>
      <c r="AS71" s="129"/>
      <c r="AT71" s="129">
        <f>AU18/$C$18</f>
        <v>0</v>
      </c>
      <c r="AU71" s="129"/>
      <c r="AV71" s="129">
        <f>AW18/$C$18</f>
        <v>0</v>
      </c>
      <c r="XFD71" s="129"/>
    </row>
    <row r="72" spans="1:48 16384:16384" x14ac:dyDescent="0.2">
      <c r="A72" t="s">
        <v>164</v>
      </c>
      <c r="B72" s="129">
        <f>C19/$C$19</f>
        <v>1</v>
      </c>
      <c r="D72" s="129">
        <f>E19/$C$19</f>
        <v>1.029782086545038</v>
      </c>
      <c r="E72" s="129"/>
      <c r="F72" s="129">
        <f>G19/$C$19</f>
        <v>1.0631052248235657</v>
      </c>
      <c r="G72" s="129"/>
      <c r="H72" s="129">
        <f>I19/$C$19</f>
        <v>1.1003743845389666</v>
      </c>
      <c r="I72" s="129"/>
      <c r="J72" s="129">
        <f>K19/$C$19</f>
        <v>1.1419989044058407</v>
      </c>
      <c r="K72" s="129"/>
      <c r="L72" s="129">
        <f>M19/$C$19</f>
        <v>1.1883578344433356</v>
      </c>
      <c r="M72" s="129"/>
      <c r="N72" s="129">
        <f>O19/$C$19</f>
        <v>1.2397734310313768</v>
      </c>
      <c r="O72" s="129"/>
      <c r="P72" s="129">
        <f>Q19/$C$19</f>
        <v>1.2964043676929622</v>
      </c>
      <c r="Q72" s="129"/>
      <c r="R72" s="129">
        <f>S19/$C$19</f>
        <v>1.358118111412286</v>
      </c>
      <c r="S72" s="129"/>
      <c r="T72" s="129">
        <f>U19/$C$19</f>
        <v>1.4242550992498981</v>
      </c>
      <c r="U72" s="129"/>
      <c r="V72" s="129">
        <f>W19/$C$19</f>
        <v>1.4932456055627645</v>
      </c>
      <c r="W72" s="129"/>
      <c r="X72" s="129">
        <f>Y19/$C$19</f>
        <v>1.5619689689588612</v>
      </c>
      <c r="Y72" s="129"/>
      <c r="Z72" s="129">
        <f>AA19/$C$19</f>
        <v>1.6246985032233994</v>
      </c>
      <c r="AA72" s="129"/>
      <c r="AB72" s="129">
        <f>AC19/$C$19</f>
        <v>1.6714124226485794</v>
      </c>
      <c r="AC72" s="129"/>
      <c r="AD72" s="129">
        <f>AE19/$C$19</f>
        <v>1.6853561541191584</v>
      </c>
      <c r="AE72" s="129"/>
      <c r="AF72" s="129">
        <f>AG19/$C$19</f>
        <v>1.6406630324941407</v>
      </c>
      <c r="AG72" s="129"/>
      <c r="AH72" s="129">
        <f>AI19/$C$19</f>
        <v>1.5041743644823551</v>
      </c>
      <c r="AI72" s="129"/>
      <c r="AJ72" s="129">
        <f>AK19/$C$19</f>
        <v>1.2503498950941083</v>
      </c>
      <c r="AK72" s="129"/>
      <c r="AL72" s="129">
        <f>AM19/$C$19</f>
        <v>0.88695213575497978</v>
      </c>
      <c r="AM72" s="129"/>
      <c r="AN72" s="129">
        <f>AO19/$C$19</f>
        <v>0</v>
      </c>
      <c r="AO72" s="129"/>
      <c r="AP72" s="129">
        <f>AQ19/$C$19</f>
        <v>0</v>
      </c>
      <c r="AQ72" s="129"/>
      <c r="AR72" s="129">
        <f>AS19/$C$19</f>
        <v>0</v>
      </c>
      <c r="AS72" s="129"/>
      <c r="AT72" s="129">
        <f>AU19/$C$19</f>
        <v>0</v>
      </c>
      <c r="AU72" s="129"/>
      <c r="AV72" s="129">
        <f>AW19/$C$19</f>
        <v>0</v>
      </c>
      <c r="XFD72" s="129"/>
    </row>
    <row r="73" spans="1:48 16384:16384" x14ac:dyDescent="0.2">
      <c r="A73" t="s">
        <v>168</v>
      </c>
      <c r="B73" s="183">
        <f t="array" ref="B73">SUM(B9:C9*B22:C22)/B32</f>
        <v>0.47641153352875115</v>
      </c>
      <c r="D73" s="183">
        <f t="array" ref="D73">SUM(D9:E9*D22:E22)/D32</f>
        <v>0.47641156828704501</v>
      </c>
      <c r="E73" s="129"/>
      <c r="F73" s="183">
        <f t="array" ref="F73">SUM(F9:G9*F22:G22)/F32</f>
        <v>0.47641153491418209</v>
      </c>
      <c r="G73" s="129"/>
      <c r="H73" s="183">
        <f t="array" ref="H73">SUM(H9:I9*H22:I22)/H32</f>
        <v>0.47641153514674744</v>
      </c>
      <c r="I73" s="129"/>
      <c r="J73" s="183">
        <f t="array" ref="J73">SUM(J9:K9*J22:K22)/J32</f>
        <v>0.47641160457462384</v>
      </c>
      <c r="K73" s="129"/>
      <c r="L73" s="183">
        <f t="array" ref="L73">SUM(L9:M9*L22:M22)/L32</f>
        <v>0.47641153525376567</v>
      </c>
      <c r="M73" s="129"/>
      <c r="N73" s="183">
        <f t="array" ref="N73">SUM(N9:O9*N22:O22)/N32</f>
        <v>0.47641153625510152</v>
      </c>
      <c r="O73" s="129"/>
      <c r="P73" s="183">
        <f t="array" ref="P73">SUM(P9:Q9*P22:Q22)/P32</f>
        <v>0.47641153682818038</v>
      </c>
      <c r="Q73" s="129"/>
      <c r="R73" s="183">
        <f t="array" ref="R73">SUM(R9:S9*R22:S22)/R32</f>
        <v>0.47641153893639732</v>
      </c>
      <c r="S73" s="129"/>
      <c r="T73" s="183">
        <f t="array" ref="T73">SUM(T9:U9*T22:U22)/T32</f>
        <v>0.47641153728839736</v>
      </c>
      <c r="U73" s="129"/>
      <c r="V73" s="183">
        <f t="array" ref="V73">SUM(V9:W9*V22:W22)/V32</f>
        <v>0.47641153569274458</v>
      </c>
      <c r="W73" s="129"/>
      <c r="X73" s="183">
        <f t="array" ref="X73">SUM(X9:Y9*X22:Y22)/X32</f>
        <v>0.47641153270761089</v>
      </c>
      <c r="Y73" s="129"/>
      <c r="Z73" s="183">
        <f t="array" ref="Z73">SUM(Z9:AA9*Z22:AA22)/Z32</f>
        <v>0.47641153506203465</v>
      </c>
      <c r="AA73" s="129"/>
      <c r="AB73" s="183">
        <f t="array" ref="AB73">SUM(AB9:AC9*AB22:AC22)/AB32</f>
        <v>0.47641153429235078</v>
      </c>
      <c r="AC73" s="129"/>
      <c r="AD73" s="183">
        <f t="array" ref="AD73">SUM(AD9:AE9*AD22:AE22)/AD32</f>
        <v>0.47641153332551117</v>
      </c>
      <c r="AE73" s="129"/>
      <c r="AF73" s="183">
        <f t="array" ref="AF73">SUM(AF9:AG9*AF22:AG22)/AF32</f>
        <v>0.47641153358867744</v>
      </c>
      <c r="AG73" s="129"/>
      <c r="AH73" s="183">
        <f t="array" ref="AH73">SUM(AH9:AI9*AH22:AI22)/AH32</f>
        <v>0.47641153352905485</v>
      </c>
      <c r="AI73" s="129"/>
      <c r="AJ73" s="183">
        <f t="array" ref="AJ73">SUM(AJ9:AK9*AJ22:AK22)/AJ32</f>
        <v>0.47641153364079486</v>
      </c>
      <c r="AK73" s="129"/>
      <c r="AL73" s="183">
        <f t="array" ref="AL73">SUM(AL9:AM9*AL22:AM22)/AL32</f>
        <v>0.476411533526514</v>
      </c>
      <c r="AM73" s="129"/>
      <c r="AN73" s="183" t="e">
        <f t="array" ref="AN73">SUM(AN9:AO9*AN22:AO22)/AN32</f>
        <v>#DIV/0!</v>
      </c>
      <c r="AO73" s="129"/>
      <c r="AP73" s="183" t="e">
        <f t="array" ref="AP73">SUM(AP9:AQ9*AP22:AQ22)/AP32</f>
        <v>#DIV/0!</v>
      </c>
      <c r="AQ73" s="129"/>
      <c r="AR73" s="183" t="e">
        <f t="array" ref="AR73">SUM(AR9:AS9*AR22:AS22)/AR32</f>
        <v>#DIV/0!</v>
      </c>
      <c r="AS73" s="129"/>
      <c r="AT73" s="183" t="e">
        <f t="array" ref="AT73">SUM(AT9:AU9*AT22:AU22)/AT32</f>
        <v>#DIV/0!</v>
      </c>
      <c r="AU73" s="129"/>
      <c r="AV73" s="183" t="e">
        <f t="array" ref="AV73">SUM(AV9:AW9*AV22:AW22)/AV32</f>
        <v>#DIV/0!</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0.22604620456442484</v>
      </c>
      <c r="I74" s="129"/>
      <c r="J74" s="183">
        <f t="array" ref="J74">SUM(J10:K10*J23:K23)/J32</f>
        <v>0.22604620456442484</v>
      </c>
      <c r="K74" s="129"/>
      <c r="L74" s="183">
        <f t="array" ref="L74">SUM(L10:M10*L23:M23)/L32</f>
        <v>0.22604620456442487</v>
      </c>
      <c r="M74" s="129"/>
      <c r="N74" s="183">
        <f t="array" ref="N74">SUM(N10:O10*N23:O23)/N32</f>
        <v>0.22604620456442484</v>
      </c>
      <c r="O74" s="129"/>
      <c r="P74" s="183">
        <f t="array" ref="P74">SUM(P10:Q10*P23:Q23)/P32</f>
        <v>0.22604620456442484</v>
      </c>
      <c r="Q74" s="129"/>
      <c r="R74" s="183">
        <f t="array" ref="R74">SUM(R10:S10*R23:S23)/R32</f>
        <v>0.22604620456442487</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0.22604620456442481</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0.22604620456442484</v>
      </c>
      <c r="AM74" s="129"/>
      <c r="AN74" s="183" t="e">
        <f t="array" ref="AN74">SUM(AN10:AO10*AN23:AO23)/AN32</f>
        <v>#DIV/0!</v>
      </c>
      <c r="AO74" s="129"/>
      <c r="AP74" s="183" t="e">
        <f t="array" ref="AP74">SUM(AP10:AQ10*AP23:AQ23)/AP32</f>
        <v>#DIV/0!</v>
      </c>
      <c r="AQ74" s="129"/>
      <c r="AR74" s="183" t="e">
        <f t="array" ref="AR74">SUM(AR10:AS10*AR23:AS23)/AR32</f>
        <v>#DIV/0!</v>
      </c>
      <c r="AS74" s="129"/>
      <c r="AT74" s="183" t="e">
        <f t="array" ref="AT74">SUM(AT10:AU10*AT23:AU23)/AT32</f>
        <v>#DIV/0!</v>
      </c>
      <c r="AU74" s="129"/>
      <c r="AV74" s="183" t="e">
        <f t="array" ref="AV74">SUM(AV10:AW10*AV23:AW23)/AV32</f>
        <v>#DIV/0!</v>
      </c>
      <c r="XFD74" s="183"/>
    </row>
    <row r="75" spans="1:48 16384:16384" x14ac:dyDescent="0.2">
      <c r="A75" t="s">
        <v>170</v>
      </c>
      <c r="B75" s="183">
        <f t="array" ref="B75">SUM(B11:C11*B24:C24)/B32</f>
        <v>0.22038438833194082</v>
      </c>
      <c r="D75" s="183">
        <f t="array" ref="D75">SUM(D11:E11*D24:E24)/D32</f>
        <v>0.22038438826890216</v>
      </c>
      <c r="E75" s="129"/>
      <c r="F75" s="183">
        <f t="array" ref="F75">SUM(F11:G11*F24:G24)/F32</f>
        <v>0.22038438830711421</v>
      </c>
      <c r="G75" s="129"/>
      <c r="H75" s="183">
        <f t="array" ref="H75">SUM(H11:I11*H24:I24)/H32</f>
        <v>0.22038438830190857</v>
      </c>
      <c r="I75" s="129"/>
      <c r="J75" s="183">
        <f t="array" ref="J75">SUM(J11:K11*J24:K24)/J32</f>
        <v>0.22038438756733969</v>
      </c>
      <c r="K75" s="129"/>
      <c r="L75" s="183">
        <f t="array" ref="L75">SUM(L11:M11*L24:M24)/L32</f>
        <v>0.22038438829410226</v>
      </c>
      <c r="M75" s="129"/>
      <c r="N75" s="183">
        <f t="array" ref="N75">SUM(N11:O11*N24:O24)/N32</f>
        <v>0.22038438826408402</v>
      </c>
      <c r="O75" s="129"/>
      <c r="P75" s="183">
        <f t="array" ref="P75">SUM(P11:Q11*P24:Q24)/P32</f>
        <v>0.22038438823806547</v>
      </c>
      <c r="Q75" s="129"/>
      <c r="R75" s="183">
        <f t="array" ref="R75">SUM(R11:S11*R24:S24)/R32</f>
        <v>0.22038438827147222</v>
      </c>
      <c r="S75" s="129"/>
      <c r="T75" s="183">
        <f t="array" ref="T75">SUM(T11:U11*T24:U24)/T32</f>
        <v>0.22038438829177204</v>
      </c>
      <c r="U75" s="129"/>
      <c r="V75" s="183">
        <f t="array" ref="V75">SUM(V11:W11*V24:W24)/V32</f>
        <v>0.22038438831155246</v>
      </c>
      <c r="W75" s="129"/>
      <c r="X75" s="183">
        <f t="array" ref="X75">SUM(X11:Y11*X24:Y24)/X32</f>
        <v>0.22038438837996732</v>
      </c>
      <c r="Y75" s="129"/>
      <c r="Z75" s="183">
        <f t="array" ref="Z75">SUM(Z11:AA11*Z24:AA24)/Z32</f>
        <v>0.22038438837346452</v>
      </c>
      <c r="AA75" s="129"/>
      <c r="AB75" s="183">
        <f t="array" ref="AB75">SUM(AB11:AC11*AB24:AC24)/AB32</f>
        <v>0.2203843883162972</v>
      </c>
      <c r="AC75" s="129"/>
      <c r="AD75" s="183">
        <f t="array" ref="AD75">SUM(AD11:AE11*AD24:AE24)/AD32</f>
        <v>0.22038438833969332</v>
      </c>
      <c r="AE75" s="129"/>
      <c r="AF75" s="183">
        <f t="array" ref="AF75">SUM(AF11:AG11*AF24:AG24)/AF32</f>
        <v>0.220384388331192</v>
      </c>
      <c r="AG75" s="129"/>
      <c r="AH75" s="183">
        <f t="array" ref="AH75">SUM(AH11:AI11*AH24:AI24)/AH32</f>
        <v>0.22038438833194737</v>
      </c>
      <c r="AI75" s="129"/>
      <c r="AJ75" s="183">
        <f t="array" ref="AJ75">SUM(AJ11:AK11*AJ24:AK24)/AJ32</f>
        <v>0.22038438833643012</v>
      </c>
      <c r="AK75" s="129"/>
      <c r="AL75" s="183">
        <f t="array" ref="AL75">SUM(AL11:AM11*AL24:AM24)/AL32</f>
        <v>0.22038438833204932</v>
      </c>
      <c r="AM75" s="129"/>
      <c r="AN75" s="183" t="e">
        <f t="array" ref="AN75">SUM(AN11:AO11*AN24:AO24)/AN32</f>
        <v>#DIV/0!</v>
      </c>
      <c r="AO75" s="129"/>
      <c r="AP75" s="183" t="e">
        <f t="array" ref="AP75">SUM(AP11:AQ11*AP24:AQ24)/AP32</f>
        <v>#DIV/0!</v>
      </c>
      <c r="AQ75" s="129"/>
      <c r="AR75" s="183" t="e">
        <f t="array" ref="AR75">SUM(AR11:AS11*AR24:AS24)/AR32</f>
        <v>#DIV/0!</v>
      </c>
      <c r="AS75" s="129"/>
      <c r="AT75" s="183" t="e">
        <f t="array" ref="AT75">SUM(AT11:AU11*AT24:AU24)/AT32</f>
        <v>#DIV/0!</v>
      </c>
      <c r="AU75" s="129"/>
      <c r="AV75" s="183" t="e">
        <f t="array" ref="AV75">SUM(AV11:AW11*AV24:AW24)/AV32</f>
        <v>#DIV/0!</v>
      </c>
      <c r="XFD75" s="183"/>
    </row>
    <row r="76" spans="1:48 16384:16384" x14ac:dyDescent="0.2">
      <c r="A76" t="s">
        <v>171</v>
      </c>
      <c r="B76" s="183">
        <f t="array" ref="B76">SUM(B12:C12*B25:C25)/B32</f>
        <v>0.22301874374724862</v>
      </c>
      <c r="D76" s="183">
        <f t="array" ref="D76">SUM(D12:E12*D25:E25)/D32</f>
        <v>0.22302743899899963</v>
      </c>
      <c r="E76" s="129"/>
      <c r="F76" s="183">
        <f t="array" ref="F76">SUM(F12:G12*F25:G25)/F32</f>
        <v>0.22310556135657189</v>
      </c>
      <c r="G76" s="129"/>
      <c r="H76" s="183">
        <f t="array" ref="H76">SUM(H12:I12*H25:I25)/H32</f>
        <v>0.22325899239470198</v>
      </c>
      <c r="I76" s="129"/>
      <c r="J76" s="183">
        <f t="array" ref="J76">SUM(J12:K12*J25:K25)/J32</f>
        <v>0.22349422384079959</v>
      </c>
      <c r="K76" s="129"/>
      <c r="L76" s="183">
        <f t="array" ref="L76">SUM(L12:M12*L25:M25)/L32</f>
        <v>0.22381818881668591</v>
      </c>
      <c r="M76" s="129"/>
      <c r="N76" s="183">
        <f t="array" ref="N76">SUM(N12:O12*N25:O25)/N32</f>
        <v>0.224237392410881</v>
      </c>
      <c r="O76" s="129"/>
      <c r="P76" s="183">
        <f t="array" ref="P76">SUM(P12:Q12*P25:Q25)/P32</f>
        <v>0.22475729414791656</v>
      </c>
      <c r="Q76" s="129"/>
      <c r="R76" s="183">
        <f t="array" ref="R76">SUM(R12:S12*R25:S25)/R32</f>
        <v>0.22538039245732472</v>
      </c>
      <c r="S76" s="129"/>
      <c r="T76" s="183">
        <f t="array" ref="T76">SUM(T12:U12*T25:U25)/T32</f>
        <v>0.22610318908862181</v>
      </c>
      <c r="U76" s="129"/>
      <c r="V76" s="183">
        <f t="array" ref="V76">SUM(V12:W12*V25:W25)/V32</f>
        <v>0.2269108813765443</v>
      </c>
      <c r="W76" s="129"/>
      <c r="X76" s="183">
        <f t="array" ref="X76">SUM(X12:Y12*X25:Y25)/X32</f>
        <v>0.22776806675351588</v>
      </c>
      <c r="Y76" s="129"/>
      <c r="Z76" s="183">
        <f t="array" ref="Z76">SUM(Z12:AA12*Z25:AA25)/Z32</f>
        <v>0.22860267263648693</v>
      </c>
      <c r="AA76" s="129"/>
      <c r="AB76" s="183">
        <f t="array" ref="AB76">SUM(AB12:AC12*AB25:AC25)/AB32</f>
        <v>0.22927909500995811</v>
      </c>
      <c r="AC76" s="129"/>
      <c r="AD76" s="183">
        <f t="array" ref="AD76">SUM(AD12:AE12*AD25:AE25)/AD32</f>
        <v>0.22955751735158542</v>
      </c>
      <c r="AE76" s="129"/>
      <c r="AF76" s="183">
        <f t="array" ref="AF76">SUM(AF12:AG12*AF25:AG25)/AF32</f>
        <v>0.22905211271098552</v>
      </c>
      <c r="AG76" s="129"/>
      <c r="AH76" s="183">
        <f t="array" ref="AH76">SUM(AH12:AI12*AH25:AI25)/AH32</f>
        <v>0.22726291512466315</v>
      </c>
      <c r="AI76" s="129"/>
      <c r="AJ76" s="183">
        <f t="array" ref="AJ76">SUM(AJ12:AK12*AJ25:AK25)/AJ32</f>
        <v>0.22386516077646015</v>
      </c>
      <c r="AK76" s="129"/>
      <c r="AL76" s="183">
        <f t="array" ref="AL76">SUM(AL12:AM12*AL25:AM25)/AL32</f>
        <v>0.21931421193724793</v>
      </c>
      <c r="AM76" s="129"/>
      <c r="AN76" s="183" t="e">
        <f t="array" ref="AN76">SUM(AN12:AO12*AN25:AO25)/AN32</f>
        <v>#DIV/0!</v>
      </c>
      <c r="AO76" s="129"/>
      <c r="AP76" s="183" t="e">
        <f t="array" ref="AP76">SUM(AP12:AQ12*AP25:AQ25)/AP32</f>
        <v>#DIV/0!</v>
      </c>
      <c r="AQ76" s="129"/>
      <c r="AR76" s="183" t="e">
        <f t="array" ref="AR76">SUM(AR12:AS12*AR25:AS25)/AR32</f>
        <v>#DIV/0!</v>
      </c>
      <c r="AS76" s="129"/>
      <c r="AT76" s="183" t="e">
        <f t="array" ref="AT76">SUM(AT12:AU12*AT25:AU25)/AT32</f>
        <v>#DIV/0!</v>
      </c>
      <c r="AU76" s="129"/>
      <c r="AV76" s="183" t="e">
        <f t="array" ref="AV76">SUM(AV12:AW12*AV25:AW25)/AV32</f>
        <v>#DIV/0!</v>
      </c>
      <c r="XFD76" s="183"/>
    </row>
    <row r="77" spans="1:48 16384:16384" x14ac:dyDescent="0.2">
      <c r="A77" t="s">
        <v>172</v>
      </c>
      <c r="B77" s="183">
        <f t="array" ref="B77">SUM(B4:C4*B19:C19)/B32</f>
        <v>0.14586087017236518</v>
      </c>
      <c r="D77" s="183">
        <f t="array" ref="D77">SUM(D4:E4*D19:E19)/D32</f>
        <v>0.14586960011937145</v>
      </c>
      <c r="E77" s="129"/>
      <c r="F77" s="183">
        <f t="array" ref="F77">SUM(F4:G4*F19:G19)/F32</f>
        <v>0.145947689142293</v>
      </c>
      <c r="G77" s="129"/>
      <c r="H77" s="183">
        <f t="array" ref="H77">SUM(H4:I4*H19:I19)/H32</f>
        <v>0.14610112040778284</v>
      </c>
      <c r="I77" s="129"/>
      <c r="J77" s="183">
        <f t="array" ref="J77">SUM(J4:K4*J19:K19)/J32</f>
        <v>0.14633642054718801</v>
      </c>
      <c r="K77" s="129"/>
      <c r="L77" s="183">
        <f t="array" ref="L77">SUM(L4:M4*L19:M19)/L32</f>
        <v>0.14666031692897843</v>
      </c>
      <c r="M77" s="129"/>
      <c r="N77" s="183">
        <f t="array" ref="N77">SUM(N4:O4*N19:O19)/N32</f>
        <v>0.14707952149449136</v>
      </c>
      <c r="O77" s="129"/>
      <c r="P77" s="183">
        <f t="array" ref="P77">SUM(P4:Q4*P19:Q19)/P32</f>
        <v>0.1475994237785874</v>
      </c>
      <c r="Q77" s="129"/>
      <c r="R77" s="183">
        <f t="array" ref="R77">SUM(R4:S4*R19:S19)/R32</f>
        <v>0.14822252422961885</v>
      </c>
      <c r="S77" s="129"/>
      <c r="T77" s="183">
        <f t="array" ref="T77">SUM(T4:U4*T19:U19)/T32</f>
        <v>0.14894531923321594</v>
      </c>
      <c r="U77" s="129"/>
      <c r="V77" s="183">
        <f t="array" ref="V77">SUM(V4:W4*V19:W19)/V32</f>
        <v>0.14975300994526625</v>
      </c>
      <c r="W77" s="129"/>
      <c r="X77" s="183">
        <f t="array" ref="X77">SUM(X4:Y4*X19:Y19)/X32</f>
        <v>0.1506101924055189</v>
      </c>
      <c r="Y77" s="129"/>
      <c r="Z77" s="183">
        <f t="array" ref="Z77">SUM(Z4:AA4*Z19:AA19)/Z32</f>
        <v>0.15144480063641072</v>
      </c>
      <c r="AA77" s="129"/>
      <c r="AB77" s="183">
        <f t="array" ref="AB77">SUM(AB4:AC4*AB19:AC19)/AB32</f>
        <v>0.15212122218303073</v>
      </c>
      <c r="AC77" s="129"/>
      <c r="AD77" s="183">
        <f t="array" ref="AD77">SUM(AD4:AE4*AD19:AE19)/AD32</f>
        <v>0.15239964358121469</v>
      </c>
      <c r="AE77" s="129"/>
      <c r="AF77" s="183">
        <f t="array" ref="AF77">SUM(AF4:AG4*AF19:AG19)/AF32</f>
        <v>0.15189423919527978</v>
      </c>
      <c r="AG77" s="129"/>
      <c r="AH77" s="183">
        <f t="array" ref="AH77">SUM(AH4:AI4*AH19:AI19)/AH32</f>
        <v>0.15010504155009016</v>
      </c>
      <c r="AI77" s="129"/>
      <c r="AJ77" s="183">
        <f t="array" ref="AJ77">SUM(AJ4:AK4*AJ19:AK19)/AJ32</f>
        <v>0.14670728731810981</v>
      </c>
      <c r="AK77" s="129"/>
      <c r="AL77" s="183">
        <f t="array" ref="AL77">SUM(AL4:AM4*AL19:AM19)/AL32</f>
        <v>0.14215633836023595</v>
      </c>
      <c r="AM77" s="129"/>
      <c r="AN77" s="183" t="e">
        <f t="array" ref="AN77">SUM(AN4:AO4*AN19:AO19)/AN32</f>
        <v>#DIV/0!</v>
      </c>
      <c r="AO77" s="129"/>
      <c r="AP77" s="183" t="e">
        <f t="array" ref="AP77">SUM(AP4:AQ4*AP19:AQ19)/AP32</f>
        <v>#DIV/0!</v>
      </c>
      <c r="AQ77" s="129"/>
      <c r="AR77" s="183" t="e">
        <f t="array" ref="AR77">SUM(AR4:AS4*AR19:AS19)/AR32</f>
        <v>#DIV/0!</v>
      </c>
      <c r="AS77" s="129"/>
      <c r="AT77" s="183" t="e">
        <f t="array" ref="AT77">SUM(AT4:AU4*AT19:AU19)/AT32</f>
        <v>#DIV/0!</v>
      </c>
      <c r="AU77" s="129"/>
      <c r="AV77" s="183" t="e">
        <f t="array" ref="AV77">SUM(AV4:AW4*AV19:AW19)/AV32</f>
        <v>#DIV/0!</v>
      </c>
      <c r="XFD77" s="183"/>
    </row>
    <row r="78" spans="1:48 16384:16384" x14ac:dyDescent="0.2">
      <c r="A78" t="s">
        <v>173</v>
      </c>
      <c r="B78" s="183">
        <f t="array" ref="B78">SUM(B13:C13*B26:C26)/B32</f>
        <v>0.346887593115773</v>
      </c>
      <c r="D78" s="183">
        <f t="array" ref="D78">SUM(D13:E13*D26:E26)/D32</f>
        <v>0.3492027149625489</v>
      </c>
      <c r="E78" s="129"/>
      <c r="F78" s="183">
        <f t="array" ref="F78">SUM(F13:G13*F26:G26)/F32</f>
        <v>0.35156806561601195</v>
      </c>
      <c r="G78" s="129"/>
      <c r="H78" s="183">
        <f t="array" ref="H78">SUM(H13:I13*H26:I26)/H32</f>
        <v>0.35399458889898866</v>
      </c>
      <c r="I78" s="129"/>
      <c r="J78" s="183">
        <f t="array" ref="J78">SUM(J13:K13*J26:K26)/J32</f>
        <v>0.35649473446205338</v>
      </c>
      <c r="K78" s="129"/>
      <c r="L78" s="183">
        <f t="array" ref="L78">SUM(L13:M13*L26:M26)/L32</f>
        <v>0.35908316882268321</v>
      </c>
      <c r="M78" s="129"/>
      <c r="N78" s="183">
        <f t="array" ref="N78">SUM(N13:O13*N26:O26)/N32</f>
        <v>0.36177763476926722</v>
      </c>
      <c r="O78" s="129"/>
      <c r="P78" s="183">
        <f t="array" ref="P78">SUM(P13:Q13*P26:Q26)/P32</f>
        <v>0.36460053565175066</v>
      </c>
      <c r="Q78" s="129"/>
      <c r="R78" s="183">
        <f t="array" ref="R78">SUM(R13:S13*R26:S26)/R32</f>
        <v>0.36758123681337351</v>
      </c>
      <c r="S78" s="129"/>
      <c r="T78" s="183">
        <f t="array" ref="T78">SUM(T13:U13*T26:U26)/T32</f>
        <v>0.37075978080394556</v>
      </c>
      <c r="U78" s="129"/>
      <c r="V78" s="183">
        <f t="array" ref="V78">SUM(V13:W13*V26:W26)/V32</f>
        <v>0.37419330426581687</v>
      </c>
      <c r="W78" s="129"/>
      <c r="X78" s="183">
        <f t="array" ref="X78">SUM(X13:Y13*X26:Y26)/X32</f>
        <v>0.37796654309208272</v>
      </c>
      <c r="Y78" s="129"/>
      <c r="Z78" s="183">
        <f t="array" ref="Z78">SUM(Z13:AA13*Z26:AA26)/Z32</f>
        <v>0.38220994124703639</v>
      </c>
      <c r="AA78" s="129"/>
      <c r="AB78" s="183">
        <f t="array" ref="AB78">SUM(AB13:AC13*AB26:AC26)/AB32</f>
        <v>0.38713058590304633</v>
      </c>
      <c r="AC78" s="129"/>
      <c r="AD78" s="183">
        <f t="array" ref="AD78">SUM(AD13:AE13*AD26:AE26)/AD32</f>
        <v>0.39306238893576578</v>
      </c>
      <c r="AE78" s="129"/>
      <c r="AF78" s="183">
        <f t="array" ref="AF78">SUM(AF13:AG13*AF26:AG26)/AF32</f>
        <v>0.40053356470634321</v>
      </c>
      <c r="AG78" s="129"/>
      <c r="AH78" s="183">
        <f t="array" ref="AH78">SUM(AH13:AI13*AH26:AI26)/AH32</f>
        <v>0.41029660396539042</v>
      </c>
      <c r="AI78" s="129"/>
      <c r="AJ78" s="183">
        <f t="array" ref="AJ78">SUM(AJ13:AK13*AJ26:AK26)/AJ32</f>
        <v>0.423106242236645</v>
      </c>
      <c r="AK78" s="129"/>
      <c r="AL78" s="183">
        <f t="array" ref="AL78">SUM(AL13:AM13*AL26:AM26)/AL32</f>
        <v>0.43875617143934498</v>
      </c>
      <c r="AM78" s="129"/>
      <c r="AN78" s="183" t="e">
        <f t="array" ref="AN78">SUM(AN13:AO13*AN26:AO26)/AN32</f>
        <v>#DIV/0!</v>
      </c>
      <c r="AO78" s="129"/>
      <c r="AP78" s="183" t="e">
        <f t="array" ref="AP78">SUM(AP13:AQ13*AP26:AQ26)/AP32</f>
        <v>#DIV/0!</v>
      </c>
      <c r="AQ78" s="129"/>
      <c r="AR78" s="183" t="e">
        <f t="array" ref="AR78">SUM(AR13:AS13*AR26:AS26)/AR32</f>
        <v>#DIV/0!</v>
      </c>
      <c r="AS78" s="129"/>
      <c r="AT78" s="183" t="e">
        <f t="array" ref="AT78">SUM(AT13:AU13*AT26:AU26)/AT32</f>
        <v>#DIV/0!</v>
      </c>
      <c r="AU78" s="129"/>
      <c r="AV78" s="183" t="e">
        <f t="array" ref="AV78">SUM(AV13:AW13*AV26:AW26)/AV32</f>
        <v>#DIV/0!</v>
      </c>
      <c r="XFD78" s="183"/>
    </row>
    <row r="79" spans="1:48 16384:16384" x14ac:dyDescent="0.2">
      <c r="A79" t="s">
        <v>174</v>
      </c>
      <c r="B79" s="183">
        <f t="array" ref="B79">SUM(B15:C15*B27:C27)/B32</f>
        <v>0.45460968782440875</v>
      </c>
      <c r="D79" s="183">
        <f t="array" ref="D79">SUM(D15:E15*D27:E27)/D32</f>
        <v>0.44648397342506196</v>
      </c>
      <c r="F79" s="183">
        <f t="array" ref="F79">SUM(F15:G15*F27:G27)/F32</f>
        <v>0.43818191530554751</v>
      </c>
      <c r="H79" s="183">
        <f t="array" ref="H79">SUM(H15:I15*H27:I27)/H32</f>
        <v>0.42966517650449287</v>
      </c>
      <c r="J79" s="183">
        <f t="array" ref="J79">SUM(J15:K15*J27:K27)/J32</f>
        <v>0.4208899505163568</v>
      </c>
      <c r="L79" s="183">
        <f t="array" ref="L79">SUM(L15:M15*L27:M27)/L32</f>
        <v>0.41180501358379318</v>
      </c>
      <c r="N79" s="183">
        <f t="array" ref="N79">SUM(N15:O15*N27:O27)/N32</f>
        <v>0.40234782116345374</v>
      </c>
      <c r="P79" s="183">
        <f t="array" ref="P79">SUM(P15:Q15*P27:Q27)/P32</f>
        <v>0.39243984635636076</v>
      </c>
      <c r="R79" s="183">
        <f t="array" ref="R79">SUM(R15:S15*R27:S27)/R32</f>
        <v>0.38197808484314782</v>
      </c>
      <c r="T79" s="183">
        <f t="array" ref="T79">SUM(T15:U15*T27:U27)/T32</f>
        <v>0.37082187176174475</v>
      </c>
      <c r="V79" s="183">
        <f t="array" ref="V79">SUM(V15:W15*V27:W27)/V32</f>
        <v>0.35877071860991933</v>
      </c>
      <c r="X79" s="183">
        <f t="array" ref="X79">SUM(X15:Y15*X27:Y27)/X32</f>
        <v>0.34552723334230334</v>
      </c>
      <c r="Z79" s="183">
        <f t="array" ref="Z79">SUM(Z15:AA15*Z27:AA27)/Z32</f>
        <v>0.33063352249130307</v>
      </c>
      <c r="AB79" s="183">
        <f t="array" ref="AB79">SUM(AB15:AC15*AB27:AC27)/AB32</f>
        <v>0.31336278821006713</v>
      </c>
      <c r="AD79" s="183">
        <f t="array" ref="AD79">SUM(AD15:AE15*AD27:AE27)/AD32</f>
        <v>0.29254305173080092</v>
      </c>
      <c r="AF79" s="183">
        <f t="array" ref="AF79">SUM(AF15:AG15*AF27:AG27)/AF32</f>
        <v>0.26632033884787082</v>
      </c>
      <c r="AH79" s="183">
        <f t="array" ref="AH79">SUM(AH15:AI15*AH27:AI27)/AH32</f>
        <v>0.23205352920619601</v>
      </c>
      <c r="AJ79" s="183">
        <f t="array" ref="AJ79">SUM(AJ15:AK15*AJ27:AK27)/AJ32</f>
        <v>0.18709361187792964</v>
      </c>
      <c r="AL79" s="183">
        <f t="array" ref="AL79">SUM(AL15:AM15*AL27:AM27)/AL32</f>
        <v>0.13216469752055443</v>
      </c>
      <c r="AN79" s="183" t="e">
        <f t="array" ref="AN79">SUM(AN15:AO15*AN27:AO27)/AN32</f>
        <v>#DIV/0!</v>
      </c>
      <c r="AP79" s="183" t="e">
        <f t="array" ref="AP79">SUM(AP15:AQ15*AP27:AQ27)/AP32</f>
        <v>#DIV/0!</v>
      </c>
      <c r="AR79" s="183" t="e">
        <f t="array" ref="AR79">SUM(AR15:AS15*AR27:AS27)/AR32</f>
        <v>#DIV/0!</v>
      </c>
      <c r="AT79" s="183" t="e">
        <f t="array" ref="AT79">SUM(AT15:AU15*AT27:AU27)/AT32</f>
        <v>#DIV/0!</v>
      </c>
      <c r="AV79" s="183" t="e">
        <f t="array" ref="AV79">SUM(AV15:AW15*AV27:AW27)/AV32</f>
        <v>#DIV/0!</v>
      </c>
      <c r="XFD79" s="183"/>
    </row>
    <row r="80" spans="1:48 16384:16384" x14ac:dyDescent="0.2">
      <c r="A80" t="s">
        <v>153</v>
      </c>
      <c r="B80" s="195">
        <f>B55</f>
        <v>0.19850271905982084</v>
      </c>
      <c r="D80" s="195">
        <f>D55</f>
        <v>0.20431336726368504</v>
      </c>
      <c r="F80" s="195">
        <f>F55</f>
        <v>0.2102500168940607</v>
      </c>
      <c r="H80" s="195">
        <f>H55</f>
        <v>0.21634023171023153</v>
      </c>
      <c r="J80" s="195">
        <f>J55</f>
        <v>0.22261535536134058</v>
      </c>
      <c r="L80" s="195">
        <f>L55</f>
        <v>0.22911181352239138</v>
      </c>
      <c r="N80" s="195">
        <f>N55</f>
        <v>0.23587453667756378</v>
      </c>
      <c r="P80" s="195">
        <f>P55</f>
        <v>0.24295960751286874</v>
      </c>
      <c r="R80" s="195">
        <f>R55</f>
        <v>0.25044068487522669</v>
      </c>
      <c r="T80" s="195">
        <f>T55</f>
        <v>0.25841835209598479</v>
      </c>
      <c r="V80" s="195">
        <f>V55</f>
        <v>0.26703597991585892</v>
      </c>
      <c r="X80" s="195">
        <f>X55</f>
        <v>0.27650624050932765</v>
      </c>
      <c r="Z80" s="195">
        <f>Z55</f>
        <v>0.28715654926775463</v>
      </c>
      <c r="AB80" s="195">
        <f>AB55</f>
        <v>0.29950662340404871</v>
      </c>
      <c r="AD80" s="195">
        <f>AD55</f>
        <v>0.31439456181160258</v>
      </c>
      <c r="AF80" s="195">
        <f>AF55</f>
        <v>0.33314609614351332</v>
      </c>
      <c r="AH80" s="195">
        <f>AH55</f>
        <v>0.35764986683041305</v>
      </c>
      <c r="AJ80" s="195">
        <f>AJ55</f>
        <v>0.38980014925732132</v>
      </c>
      <c r="AL80" s="195">
        <f>AL55</f>
        <v>0.42907913078993543</v>
      </c>
      <c r="AN80" s="195" t="e">
        <f>AN55</f>
        <v>#DIV/0!</v>
      </c>
      <c r="AP80" s="195" t="e">
        <f>AP55</f>
        <v>#DIV/0!</v>
      </c>
      <c r="AR80" s="195" t="e">
        <f>AR55</f>
        <v>#DIV/0!</v>
      </c>
      <c r="AT80" s="195" t="e">
        <f>AT55</f>
        <v>#DIV/0!</v>
      </c>
      <c r="AV80" s="195" t="e">
        <f>AV55</f>
        <v>#DIV/0!</v>
      </c>
      <c r="XFD80" s="195"/>
    </row>
    <row r="81" spans="1:48 16384:16384" x14ac:dyDescent="0.2">
      <c r="A81" t="s">
        <v>175</v>
      </c>
      <c r="B81" s="195">
        <f>B51/B$32</f>
        <v>-2.7543485504603994E-2</v>
      </c>
      <c r="D81" s="195">
        <f>D51/D$32</f>
        <v>-2.1732837300739802E-2</v>
      </c>
      <c r="F81" s="195">
        <f>F51/F$32</f>
        <v>-1.5796187670364132E-2</v>
      </c>
      <c r="H81" s="195">
        <f>H51/H$32</f>
        <v>-9.7059728541932962E-3</v>
      </c>
      <c r="J81" s="195">
        <f>J51/J$32</f>
        <v>-3.4308492030842627E-3</v>
      </c>
      <c r="L81" s="195">
        <f>L51/L$32</f>
        <v>3.0656089579665178E-3</v>
      </c>
      <c r="N81" s="195">
        <f>N51/N$32</f>
        <v>9.8283321131389309E-3</v>
      </c>
      <c r="P81" s="195">
        <f>P51/P$32</f>
        <v>1.6913402948443922E-2</v>
      </c>
      <c r="R81" s="195">
        <f>R51/R$32</f>
        <v>2.4394480310801814E-2</v>
      </c>
      <c r="T81" s="195">
        <f>T51/T$32</f>
        <v>3.2372147531559994E-2</v>
      </c>
      <c r="V81" s="195">
        <f>V51/V$32</f>
        <v>4.0989775351434062E-2</v>
      </c>
      <c r="X81" s="195">
        <f>X51/X$32</f>
        <v>5.046003594490283E-2</v>
      </c>
      <c r="Z81" s="195">
        <f>Z51/Z$32</f>
        <v>6.1110344703329794E-2</v>
      </c>
      <c r="AB81" s="195">
        <f>AB51/AB$32</f>
        <v>7.3460418839623842E-2</v>
      </c>
      <c r="AD81" s="195">
        <f>AD51/AD$32</f>
        <v>8.8348357247177725E-2</v>
      </c>
      <c r="AF81" s="195">
        <f>AF51/AF$32</f>
        <v>0.10709989157908849</v>
      </c>
      <c r="AH81" s="195">
        <f>AH51/AH$32</f>
        <v>0.13160366226598824</v>
      </c>
      <c r="AJ81" s="195">
        <f>AJ51/AJ$32</f>
        <v>0.16375394469289647</v>
      </c>
      <c r="AL81" s="195">
        <f>AL51/AL$32</f>
        <v>0.20303292622551058</v>
      </c>
      <c r="AN81" s="195" t="e">
        <f>AN51/AN$32</f>
        <v>#DIV/0!</v>
      </c>
      <c r="AP81" s="195" t="e">
        <f>AP51/AP$32</f>
        <v>#DIV/0!</v>
      </c>
      <c r="AR81" s="195" t="e">
        <f>AR51/AR$32</f>
        <v>#DIV/0!</v>
      </c>
      <c r="AT81" s="195" t="e">
        <f>AT51/AT$32</f>
        <v>#DIV/0!</v>
      </c>
      <c r="AV81" s="195" t="e">
        <f>AV51/AV$32</f>
        <v>#DIV/0!</v>
      </c>
      <c r="XFD81" s="195"/>
    </row>
    <row r="82" spans="1:48 16384:16384" x14ac:dyDescent="0.2">
      <c r="A82" t="s">
        <v>176</v>
      </c>
      <c r="B82" s="195">
        <f>B52/B$32</f>
        <v>0.14069693704202227</v>
      </c>
      <c r="D82" s="195">
        <f>D52/D$32</f>
        <v>0.14163594598666254</v>
      </c>
      <c r="F82" s="195">
        <f>F52/F$32</f>
        <v>0.14259532763817498</v>
      </c>
      <c r="H82" s="195">
        <f>H52/H$32</f>
        <v>0.14357952078993763</v>
      </c>
      <c r="J82" s="195">
        <f>J52/J$32</f>
        <v>0.14459357499615139</v>
      </c>
      <c r="L82" s="195">
        <f>L52/L$32</f>
        <v>0.14564343896794643</v>
      </c>
      <c r="N82" s="195">
        <f>N52/N$32</f>
        <v>0.14673630914598668</v>
      </c>
      <c r="P82" s="195">
        <f>P52/P$32</f>
        <v>0.14788127228569198</v>
      </c>
      <c r="R82" s="195">
        <f>R52/R$32</f>
        <v>0.1490902389135009</v>
      </c>
      <c r="T82" s="195">
        <f>T52/T$32</f>
        <v>0.15037945021019195</v>
      </c>
      <c r="V82" s="195">
        <f>V52/V$32</f>
        <v>0.15177208068742548</v>
      </c>
      <c r="X82" s="195">
        <f>X52/X$32</f>
        <v>0.15330249905959961</v>
      </c>
      <c r="Z82" s="195">
        <f>Z52/Z$32</f>
        <v>0.15502361314641128</v>
      </c>
      <c r="AB82" s="195">
        <f>AB52/AB$32</f>
        <v>0.15701941710455899</v>
      </c>
      <c r="AD82" s="195">
        <f>AD52/AD$32</f>
        <v>0.15942534494517122</v>
      </c>
      <c r="AF82" s="195">
        <f>AF52/AF$32</f>
        <v>0.16245563939179902</v>
      </c>
      <c r="AH82" s="195">
        <f>AH52/AH$32</f>
        <v>0.1664155092379094</v>
      </c>
      <c r="AJ82" s="195">
        <f>AJ52/AJ$32</f>
        <v>0.17161107375260878</v>
      </c>
      <c r="AL82" s="195">
        <f>AL52/AL$32</f>
        <v>0.17795865477724779</v>
      </c>
      <c r="AN82" s="195" t="e">
        <f>AN52/AN$32</f>
        <v>#DIV/0!</v>
      </c>
      <c r="AP82" s="195" t="e">
        <f>AP52/AP$32</f>
        <v>#DIV/0!</v>
      </c>
      <c r="AR82" s="195" t="e">
        <f>AR52/AR$32</f>
        <v>#DIV/0!</v>
      </c>
      <c r="AT82" s="195" t="e">
        <f>AT52/AT$32</f>
        <v>#DIV/0!</v>
      </c>
      <c r="AV82" s="195" t="e">
        <f>AV52/AV$32</f>
        <v>#DIV/0!</v>
      </c>
    </row>
    <row r="83" spans="1:48 16384:16384" x14ac:dyDescent="0.2">
      <c r="A83" t="s">
        <v>177</v>
      </c>
      <c r="B83" s="195">
        <f>B53/B$32</f>
        <v>0.18438881036940691</v>
      </c>
      <c r="D83" s="195">
        <f>D53/D$32</f>
        <v>0.18109303632053569</v>
      </c>
      <c r="F83" s="195">
        <f>F53/F$32</f>
        <v>0.17772573759973456</v>
      </c>
      <c r="H83" s="195">
        <f>H53/H$32</f>
        <v>0.17427136480959729</v>
      </c>
      <c r="J83" s="195">
        <f>J53/J$32</f>
        <v>0.1707121501161786</v>
      </c>
      <c r="L83" s="195">
        <f>L53/L$32</f>
        <v>0.16702731726254283</v>
      </c>
      <c r="N83" s="195">
        <f>N53/N$32</f>
        <v>0.16319149830284108</v>
      </c>
      <c r="P83" s="195">
        <f>P53/P$32</f>
        <v>0.15917284287868394</v>
      </c>
      <c r="R83" s="195">
        <f>R53/R$32</f>
        <v>0.15492957263730087</v>
      </c>
      <c r="T83" s="195">
        <f>T53/T$32</f>
        <v>0.1504046341826191</v>
      </c>
      <c r="V83" s="195">
        <f>V53/V$32</f>
        <v>0.14551670976578862</v>
      </c>
      <c r="X83" s="195">
        <f>X53/X$32</f>
        <v>0.14014517774823146</v>
      </c>
      <c r="Z83" s="195">
        <f>Z53/Z$32</f>
        <v>0.13410431742485315</v>
      </c>
      <c r="AB83" s="195">
        <f>AB53/AB$32</f>
        <v>0.12709934099427334</v>
      </c>
      <c r="AD83" s="195">
        <f>AD53/AD$32</f>
        <v>0.11865489613435821</v>
      </c>
      <c r="AF83" s="195">
        <f>AF53/AF$32</f>
        <v>0.10801901449206124</v>
      </c>
      <c r="AH83" s="195">
        <f>AH53/AH$32</f>
        <v>9.4120462758109175E-2</v>
      </c>
      <c r="AJ83" s="195">
        <f>AJ53/AJ$32</f>
        <v>7.5884807222171835E-2</v>
      </c>
      <c r="AL83" s="195">
        <f>AL53/AL$32</f>
        <v>5.3605745766817516E-2</v>
      </c>
      <c r="AN83" s="195" t="e">
        <f>AN53/AN$32</f>
        <v>#DIV/0!</v>
      </c>
      <c r="AP83" s="195" t="e">
        <f>AP53/AP$32</f>
        <v>#DIV/0!</v>
      </c>
      <c r="AR83" s="195" t="e">
        <f>AR53/AR$32</f>
        <v>#DIV/0!</v>
      </c>
      <c r="AT83" s="195" t="e">
        <f>AT53/AT$32</f>
        <v>#DIV/0!</v>
      </c>
      <c r="AV83" s="195" t="e">
        <f>AV53/AV$32</f>
        <v>#DIV/0!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9"/>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49"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row>
    <row r="2" spans="1:49" x14ac:dyDescent="0.2">
      <c r="A2" s="190" t="s">
        <v>139</v>
      </c>
      <c r="B2" s="188">
        <v>5.7716594496607888E-3</v>
      </c>
      <c r="C2" s="189"/>
      <c r="D2" s="188">
        <v>4.7192252775927965E-2</v>
      </c>
      <c r="E2" s="189"/>
      <c r="F2" s="188">
        <v>9.2409102746193253E-2</v>
      </c>
      <c r="G2" s="189"/>
      <c r="H2" s="188">
        <v>0.14193019819823718</v>
      </c>
      <c r="I2" s="189"/>
      <c r="J2" s="188">
        <v>0.1963540514065705</v>
      </c>
      <c r="K2" s="189"/>
      <c r="L2" s="188">
        <v>0.2563915901416729</v>
      </c>
      <c r="M2" s="189"/>
      <c r="N2" s="188">
        <v>0.3228942042964611</v>
      </c>
      <c r="O2" s="189"/>
      <c r="P2" s="188">
        <v>0.39688949721281652</v>
      </c>
      <c r="Q2" s="189"/>
      <c r="R2" s="188">
        <v>0.47962603296767758</v>
      </c>
      <c r="S2" s="189"/>
      <c r="T2" s="188">
        <v>0.57262917734484242</v>
      </c>
      <c r="U2" s="189"/>
      <c r="V2" s="188">
        <v>0.67776124666400739</v>
      </c>
      <c r="W2" s="189"/>
      <c r="X2" s="188">
        <v>0.79727603601088703</v>
      </c>
      <c r="Y2" s="189"/>
      <c r="Z2" s="188">
        <v>0.93383363695356425</v>
      </c>
      <c r="AA2" s="189"/>
      <c r="AB2" s="188">
        <v>1.0904085821804719</v>
      </c>
      <c r="AC2" s="189"/>
      <c r="AD2" s="188">
        <v>1.2699759029781874</v>
      </c>
      <c r="AE2" s="189"/>
      <c r="AF2" s="188">
        <v>1.4748427422845414</v>
      </c>
      <c r="AG2" s="189"/>
      <c r="AH2" s="188">
        <v>1.7056096592247467</v>
      </c>
      <c r="AI2" s="189"/>
      <c r="AJ2" s="188">
        <v>1.9601099223099308</v>
      </c>
      <c r="AK2" s="189"/>
      <c r="AL2" s="188">
        <v>2.2330645809713805</v>
      </c>
      <c r="AM2" s="189"/>
      <c r="AN2" s="188">
        <v>2.5170070487101355</v>
      </c>
      <c r="AO2" s="189"/>
      <c r="AP2" s="188">
        <v>2.5744091437968617</v>
      </c>
      <c r="AQ2" s="189"/>
      <c r="AR2" s="188">
        <v>2.6318731531601074</v>
      </c>
      <c r="AS2" s="189"/>
      <c r="AT2" s="188">
        <v>2.6893425490522742</v>
      </c>
      <c r="AU2" s="189"/>
      <c r="AV2" s="188">
        <v>2.7467636625383673</v>
      </c>
      <c r="AW2" s="189"/>
    </row>
    <row r="3" spans="1:49" x14ac:dyDescent="0.2">
      <c r="A3" t="s">
        <v>12</v>
      </c>
      <c r="B3" s="81">
        <v>1000</v>
      </c>
      <c r="C3" s="82">
        <v>1000</v>
      </c>
      <c r="D3" s="81">
        <v>999.02205540253783</v>
      </c>
      <c r="E3" s="82">
        <v>1019.5243223182993</v>
      </c>
      <c r="F3" s="81">
        <v>998.05521425702864</v>
      </c>
      <c r="G3" s="82">
        <v>1041.1771691403605</v>
      </c>
      <c r="H3" s="81">
        <v>997.09626480770464</v>
      </c>
      <c r="I3" s="82">
        <v>1065.268054007817</v>
      </c>
      <c r="J3" s="81">
        <v>996.14147964417145</v>
      </c>
      <c r="K3" s="82">
        <v>1092.1631882108941</v>
      </c>
      <c r="L3" s="81">
        <v>995.18672284031197</v>
      </c>
      <c r="M3" s="82">
        <v>1122.2979916462841</v>
      </c>
      <c r="N3" s="81">
        <v>994.2276545559854</v>
      </c>
      <c r="O3" s="82">
        <v>1156.192470776977</v>
      </c>
      <c r="P3" s="81">
        <v>993.26007305646692</v>
      </c>
      <c r="Q3" s="82">
        <v>1194.4695243637093</v>
      </c>
      <c r="R3" s="81">
        <v>992.28050368784272</v>
      </c>
      <c r="S3" s="82">
        <v>1237.8761386586302</v>
      </c>
      <c r="T3" s="81">
        <v>991.28713716367304</v>
      </c>
      <c r="U3" s="82">
        <v>1287.3070094543764</v>
      </c>
      <c r="V3" s="81">
        <v>990.28117677279658</v>
      </c>
      <c r="W3" s="82">
        <v>1343.8252270544713</v>
      </c>
      <c r="X3" s="81">
        <v>989.2687198740656</v>
      </c>
      <c r="Y3" s="82">
        <v>1408.6709216062429</v>
      </c>
      <c r="Z3" s="81">
        <v>988.26306291058245</v>
      </c>
      <c r="AA3" s="82">
        <v>1483.2376695168446</v>
      </c>
      <c r="AB3" s="81">
        <v>987.28699533645295</v>
      </c>
      <c r="AC3" s="82">
        <v>1568.9781931759908</v>
      </c>
      <c r="AD3" s="81">
        <v>986.37389572609015</v>
      </c>
      <c r="AE3" s="82">
        <v>1667.1845794935439</v>
      </c>
      <c r="AF3" s="81">
        <v>985.56555688874812</v>
      </c>
      <c r="AG3" s="82">
        <v>1778.594487802389</v>
      </c>
      <c r="AH3" s="81">
        <v>984.90459710562732</v>
      </c>
      <c r="AI3" s="82">
        <v>1902.8595476471778</v>
      </c>
      <c r="AJ3" s="81">
        <v>984.42201433076218</v>
      </c>
      <c r="AK3" s="82">
        <v>2038.103039988596</v>
      </c>
      <c r="AL3" s="81">
        <v>984.12569183160815</v>
      </c>
      <c r="AM3" s="82">
        <v>2180.9435278100341</v>
      </c>
      <c r="AN3" s="81">
        <v>983.99797408238919</v>
      </c>
      <c r="AO3" s="82">
        <v>2327.1660192044051</v>
      </c>
      <c r="AP3" s="81">
        <v>983.98976225511285</v>
      </c>
      <c r="AQ3" s="82">
        <v>2356.4465158423</v>
      </c>
      <c r="AR3" s="81">
        <v>983.98659715931012</v>
      </c>
      <c r="AS3" s="82">
        <v>2385.6679497474897</v>
      </c>
      <c r="AT3" s="81">
        <v>983.98815537774158</v>
      </c>
      <c r="AU3" s="82">
        <v>2414.8030995858094</v>
      </c>
      <c r="AV3" s="81">
        <v>983.99411499836162</v>
      </c>
      <c r="AW3" s="82">
        <v>2443.8265760999948</v>
      </c>
    </row>
    <row r="4" spans="1:49"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row>
    <row r="5" spans="1:49" x14ac:dyDescent="0.2">
      <c r="A5" t="s">
        <v>115</v>
      </c>
      <c r="B5" s="39">
        <v>1000</v>
      </c>
      <c r="C5" s="40">
        <v>1000</v>
      </c>
      <c r="D5" s="39">
        <v>998.97350821857958</v>
      </c>
      <c r="E5" s="40">
        <v>1016.9576627752901</v>
      </c>
      <c r="F5" s="39">
        <v>997.95799752248683</v>
      </c>
      <c r="G5" s="40">
        <v>1035.3408744642281</v>
      </c>
      <c r="H5" s="39">
        <v>996.95011062911738</v>
      </c>
      <c r="I5" s="40">
        <v>1055.2894046310182</v>
      </c>
      <c r="J5" s="39">
        <v>995.94593860046086</v>
      </c>
      <c r="K5" s="40">
        <v>1076.953702497706</v>
      </c>
      <c r="L5" s="39">
        <v>994.94113212129457</v>
      </c>
      <c r="M5" s="40">
        <v>1100.4927539002551</v>
      </c>
      <c r="N5" s="39">
        <v>993.93111558099952</v>
      </c>
      <c r="O5" s="40">
        <v>1126.0702364003612</v>
      </c>
      <c r="P5" s="39">
        <v>992.91144652403455</v>
      </c>
      <c r="Q5" s="40">
        <v>1153.8470392999766</v>
      </c>
      <c r="R5" s="39">
        <v>991.87843720731416</v>
      </c>
      <c r="S5" s="40">
        <v>1183.9693917739949</v>
      </c>
      <c r="T5" s="39">
        <v>990.83014720581127</v>
      </c>
      <c r="U5" s="40">
        <v>1216.5482633105255</v>
      </c>
      <c r="V5" s="39">
        <v>989.76781250129829</v>
      </c>
      <c r="W5" s="40">
        <v>1251.6295673579962</v>
      </c>
      <c r="X5" s="39">
        <v>988.69784589172423</v>
      </c>
      <c r="Y5" s="40">
        <v>1289.1472485417282</v>
      </c>
      <c r="Z5" s="39">
        <v>987.63429471723884</v>
      </c>
      <c r="AA5" s="40">
        <v>1328.8595821751055</v>
      </c>
      <c r="AB5" s="39">
        <v>986.6012972721511</v>
      </c>
      <c r="AC5" s="40">
        <v>1370.2679613809607</v>
      </c>
      <c r="AD5" s="39">
        <v>985.63427742596639</v>
      </c>
      <c r="AE5" s="40">
        <v>1412.5377647003597</v>
      </c>
      <c r="AF5" s="39">
        <v>984.77766686022892</v>
      </c>
      <c r="AG5" s="40">
        <v>1454.4666022564995</v>
      </c>
      <c r="AH5" s="39">
        <v>984.07685923564077</v>
      </c>
      <c r="AI5" s="40">
        <v>1494.5753117651798</v>
      </c>
      <c r="AJ5" s="39">
        <v>983.56496738757244</v>
      </c>
      <c r="AK5" s="40">
        <v>1531.3709064926702</v>
      </c>
      <c r="AL5" s="39">
        <v>983.25055783270852</v>
      </c>
      <c r="AM5" s="40">
        <v>1563.7179292188048</v>
      </c>
      <c r="AN5" s="39">
        <v>983.11502317317206</v>
      </c>
      <c r="AO5" s="40">
        <v>1591.111478431578</v>
      </c>
      <c r="AP5" s="39">
        <v>983.10630830655816</v>
      </c>
      <c r="AQ5" s="40">
        <v>1595.9982759157595</v>
      </c>
      <c r="AR5" s="39">
        <v>983.10294930968371</v>
      </c>
      <c r="AS5" s="40">
        <v>1600.6945660809977</v>
      </c>
      <c r="AT5" s="39">
        <v>983.10460298922214</v>
      </c>
      <c r="AU5" s="40">
        <v>1605.2045815342067</v>
      </c>
      <c r="AV5" s="39">
        <v>983.1109276963308</v>
      </c>
      <c r="AW5" s="40">
        <v>1609.533058627753</v>
      </c>
    </row>
    <row r="6" spans="1:49" x14ac:dyDescent="0.2">
      <c r="A6" t="s">
        <v>77</v>
      </c>
      <c r="B6" s="39">
        <v>1000.0000000000003</v>
      </c>
      <c r="C6" s="40">
        <v>1000.0000000000002</v>
      </c>
      <c r="D6" s="39">
        <v>998.89507853371856</v>
      </c>
      <c r="E6" s="40">
        <v>1021.0126051852963</v>
      </c>
      <c r="F6" s="39">
        <v>997.80214801817067</v>
      </c>
      <c r="G6" s="40">
        <v>1044.1819836920729</v>
      </c>
      <c r="H6" s="39">
        <v>996.71759029791065</v>
      </c>
      <c r="I6" s="40">
        <v>1069.8160437650536</v>
      </c>
      <c r="J6" s="39">
        <v>995.63719627169883</v>
      </c>
      <c r="K6" s="40">
        <v>1098.2796201946699</v>
      </c>
      <c r="L6" s="39">
        <v>994.55628572605076</v>
      </c>
      <c r="M6" s="40">
        <v>1130.0072326134443</v>
      </c>
      <c r="N6" s="39">
        <v>993.46993786298765</v>
      </c>
      <c r="O6" s="40">
        <v>1165.5187860605181</v>
      </c>
      <c r="P6" s="39">
        <v>992.37337819011179</v>
      </c>
      <c r="Q6" s="40">
        <v>1205.4382733895993</v>
      </c>
      <c r="R6" s="39">
        <v>991.26264660096251</v>
      </c>
      <c r="S6" s="40">
        <v>1250.5154551015378</v>
      </c>
      <c r="T6" s="39">
        <v>990.13566394717236</v>
      </c>
      <c r="U6" s="40">
        <v>1301.650068889277</v>
      </c>
      <c r="V6" s="39">
        <v>988.99376652460671</v>
      </c>
      <c r="W6" s="40">
        <v>1359.9130899049428</v>
      </c>
      <c r="X6" s="39">
        <v>987.84385303291458</v>
      </c>
      <c r="Y6" s="40">
        <v>1426.5558312915273</v>
      </c>
      <c r="Z6" s="39">
        <v>986.70102068630365</v>
      </c>
      <c r="AA6" s="40">
        <v>1502.9863931148593</v>
      </c>
      <c r="AB6" s="39">
        <v>985.59119748156547</v>
      </c>
      <c r="AC6" s="40">
        <v>1590.6744222933514</v>
      </c>
      <c r="AD6" s="39">
        <v>984.55241750327355</v>
      </c>
      <c r="AE6" s="40">
        <v>1690.9286254237111</v>
      </c>
      <c r="AF6" s="39">
        <v>983.63236821684779</v>
      </c>
      <c r="AG6" s="40">
        <v>1804.4977697849517</v>
      </c>
      <c r="AH6" s="39">
        <v>982.87974985286087</v>
      </c>
      <c r="AI6" s="40">
        <v>1931.031780106445</v>
      </c>
      <c r="AJ6" s="39">
        <v>982.33006474691172</v>
      </c>
      <c r="AK6" s="40">
        <v>2068.6330641084123</v>
      </c>
      <c r="AL6" s="39">
        <v>981.99246347302721</v>
      </c>
      <c r="AM6" s="40">
        <v>2213.8799051050723</v>
      </c>
      <c r="AN6" s="39">
        <v>981.84693640397461</v>
      </c>
      <c r="AO6" s="40">
        <v>2362.506135943634</v>
      </c>
      <c r="AP6" s="39">
        <v>981.83757912961198</v>
      </c>
      <c r="AQ6" s="40">
        <v>2392.2625776850005</v>
      </c>
      <c r="AR6" s="39">
        <v>981.83397253073258</v>
      </c>
      <c r="AS6" s="40">
        <v>2421.957500899654</v>
      </c>
      <c r="AT6" s="39">
        <v>981.83574810777861</v>
      </c>
      <c r="AU6" s="40">
        <v>2451.5633604953023</v>
      </c>
      <c r="AV6" s="39">
        <v>981.84253903156787</v>
      </c>
      <c r="AW6" s="40">
        <v>2481.0544675387359</v>
      </c>
    </row>
    <row r="7" spans="1:49" x14ac:dyDescent="0.2">
      <c r="A7" t="s">
        <v>13</v>
      </c>
      <c r="B7" s="31">
        <v>1015.9116825427475</v>
      </c>
      <c r="C7" s="32">
        <v>1015.9116825427475</v>
      </c>
      <c r="D7" s="31">
        <v>1014.8688575499683</v>
      </c>
      <c r="E7" s="32">
        <v>1014.8688575499683</v>
      </c>
      <c r="F7" s="31">
        <v>1013.8371883700606</v>
      </c>
      <c r="G7" s="32">
        <v>1013.8371883700606</v>
      </c>
      <c r="H7" s="31">
        <v>1012.8132643004049</v>
      </c>
      <c r="I7" s="32">
        <v>1012.8132643004049</v>
      </c>
      <c r="J7" s="31">
        <v>1011.79311420521</v>
      </c>
      <c r="K7" s="32">
        <v>1011.79311420521</v>
      </c>
      <c r="L7" s="31">
        <v>1010.7723195643304</v>
      </c>
      <c r="M7" s="32">
        <v>1010.7723195643304</v>
      </c>
      <c r="N7" s="31">
        <v>1009.7462319614832</v>
      </c>
      <c r="O7" s="32">
        <v>1009.7462319614832</v>
      </c>
      <c r="P7" s="31">
        <v>1008.7103382541851</v>
      </c>
      <c r="Q7" s="32">
        <v>1008.7103382541851</v>
      </c>
      <c r="R7" s="31">
        <v>1007.6608920211534</v>
      </c>
      <c r="S7" s="32">
        <v>1007.6608920211534</v>
      </c>
      <c r="T7" s="31">
        <v>1006.5959219619339</v>
      </c>
      <c r="U7" s="32">
        <v>1006.5959219619339</v>
      </c>
      <c r="V7" s="31">
        <v>1005.5166837248486</v>
      </c>
      <c r="W7" s="32">
        <v>1005.5166837248486</v>
      </c>
      <c r="X7" s="31">
        <v>1004.4296921462516</v>
      </c>
      <c r="Y7" s="32">
        <v>1004.4296921462516</v>
      </c>
      <c r="Z7" s="31">
        <v>1003.3492180831098</v>
      </c>
      <c r="AA7" s="32">
        <v>1003.3492180831098</v>
      </c>
      <c r="AB7" s="31">
        <v>1002.2997839106083</v>
      </c>
      <c r="AC7" s="32">
        <v>1002.2997839106083</v>
      </c>
      <c r="AD7" s="31">
        <v>1001.3173771516186</v>
      </c>
      <c r="AE7" s="32">
        <v>1001.3173771516186</v>
      </c>
      <c r="AF7" s="31">
        <v>1000.4471364704964</v>
      </c>
      <c r="AG7" s="32">
        <v>1000.4471364704964</v>
      </c>
      <c r="AH7" s="31">
        <v>999.73517781746227</v>
      </c>
      <c r="AI7" s="32">
        <v>999.73517781746227</v>
      </c>
      <c r="AJ7" s="31">
        <v>999.21514090881124</v>
      </c>
      <c r="AK7" s="32">
        <v>999.21514090881124</v>
      </c>
      <c r="AL7" s="31">
        <v>998.89572856892187</v>
      </c>
      <c r="AM7" s="32">
        <v>998.89572856892187</v>
      </c>
      <c r="AN7" s="31">
        <v>998.75803732490942</v>
      </c>
      <c r="AO7" s="32">
        <v>998.75803732490942</v>
      </c>
      <c r="AP7" s="31">
        <v>998.74918379010455</v>
      </c>
      <c r="AQ7" s="32">
        <v>998.74918379010455</v>
      </c>
      <c r="AR7" s="31">
        <v>998.74577134593812</v>
      </c>
      <c r="AS7" s="32">
        <v>998.74577134593812</v>
      </c>
      <c r="AT7" s="31">
        <v>998.74745133830038</v>
      </c>
      <c r="AU7" s="32">
        <v>998.74745133830038</v>
      </c>
      <c r="AV7" s="31">
        <v>998.7538766821408</v>
      </c>
      <c r="AW7" s="32">
        <v>998.7538766821408</v>
      </c>
    </row>
    <row r="8" spans="1:49" x14ac:dyDescent="0.2">
      <c r="B8" s="33">
        <v>1005.7716594496609</v>
      </c>
      <c r="C8" s="34">
        <v>1005.7716594496609</v>
      </c>
      <c r="D8" s="33">
        <v>1064.9501858593985</v>
      </c>
      <c r="E8" s="34">
        <v>1064.9501858593985</v>
      </c>
      <c r="F8" s="33">
        <v>1131.0157957099266</v>
      </c>
      <c r="G8" s="34">
        <v>1131.0157957099266</v>
      </c>
      <c r="H8" s="33">
        <v>1205.0668389867985</v>
      </c>
      <c r="I8" s="34">
        <v>1205.0668389867985</v>
      </c>
      <c r="J8" s="33">
        <v>1288.4179251604369</v>
      </c>
      <c r="K8" s="34">
        <v>1288.4179251604369</v>
      </c>
      <c r="L8" s="33">
        <v>1382.6498410121303</v>
      </c>
      <c r="M8" s="34">
        <v>1382.6498410121303</v>
      </c>
      <c r="N8" s="33">
        <v>1489.6717893647835</v>
      </c>
      <c r="O8" s="34">
        <v>1489.6717893647835</v>
      </c>
      <c r="P8" s="33">
        <v>1611.7968105882412</v>
      </c>
      <c r="Q8" s="34">
        <v>1611.7968105882412</v>
      </c>
      <c r="R8" s="33">
        <v>1751.8319343057101</v>
      </c>
      <c r="S8" s="34">
        <v>1751.8319343057101</v>
      </c>
      <c r="T8" s="33">
        <v>1913.1792945303284</v>
      </c>
      <c r="U8" s="34">
        <v>1913.1792945303284</v>
      </c>
      <c r="V8" s="33">
        <v>2099.9355832920837</v>
      </c>
      <c r="W8" s="34">
        <v>2099.9355832920837</v>
      </c>
      <c r="X8" s="33">
        <v>2316.953456693419</v>
      </c>
      <c r="Y8" s="34">
        <v>2316.953456693419</v>
      </c>
      <c r="Z8" s="33">
        <v>2569.7933587982779</v>
      </c>
      <c r="AA8" s="34">
        <v>2569.7933587982779</v>
      </c>
      <c r="AB8" s="33">
        <v>2864.4199063576998</v>
      </c>
      <c r="AC8" s="34">
        <v>2864.4199063576998</v>
      </c>
      <c r="AD8" s="33">
        <v>3206.4266879164893</v>
      </c>
      <c r="AE8" s="34">
        <v>3206.4266879164893</v>
      </c>
      <c r="AF8" s="33">
        <v>3599.5761144897542</v>
      </c>
      <c r="AG8" s="34">
        <v>3599.5761144897542</v>
      </c>
      <c r="AH8" s="33">
        <v>4043.7373999507076</v>
      </c>
      <c r="AI8" s="34">
        <v>4043.7373999507076</v>
      </c>
      <c r="AJ8" s="33">
        <v>4533.0262150457065</v>
      </c>
      <c r="AK8" s="34">
        <v>4533.0262150457065</v>
      </c>
      <c r="AL8" s="33">
        <v>5055.6010515872304</v>
      </c>
      <c r="AM8" s="34">
        <v>5055.6010515872304</v>
      </c>
      <c r="AN8" s="33">
        <v>5595.950284927465</v>
      </c>
      <c r="AO8" s="34">
        <v>5595.950284927465</v>
      </c>
      <c r="AP8" s="33">
        <v>5704.7508309173172</v>
      </c>
      <c r="AQ8" s="34">
        <v>5704.7508309173172</v>
      </c>
      <c r="AR8" s="33">
        <v>5813.519620958843</v>
      </c>
      <c r="AS8" s="34">
        <v>5813.519620958843</v>
      </c>
      <c r="AT8" s="33">
        <v>5922.1495625877997</v>
      </c>
      <c r="AU8" s="34">
        <v>5922.1495625877997</v>
      </c>
      <c r="AV8" s="33">
        <v>6030.5399777207003</v>
      </c>
      <c r="AW8" s="34">
        <v>6030.5399777207003</v>
      </c>
    </row>
    <row r="9" spans="1:49" x14ac:dyDescent="0.2">
      <c r="A9" t="s">
        <v>14</v>
      </c>
      <c r="B9" s="39">
        <v>1015.9116825427475</v>
      </c>
      <c r="C9" s="40">
        <v>1005.7716594496609</v>
      </c>
      <c r="D9" s="39">
        <v>1014.8688575499683</v>
      </c>
      <c r="E9" s="40">
        <v>1064.9501858593985</v>
      </c>
      <c r="F9" s="39">
        <v>1013.8371883700606</v>
      </c>
      <c r="G9" s="40">
        <v>1131.0157957099266</v>
      </c>
      <c r="H9" s="39">
        <v>1012.8132643004049</v>
      </c>
      <c r="I9" s="40">
        <v>1205.0668389867985</v>
      </c>
      <c r="J9" s="39">
        <v>1011.79311420521</v>
      </c>
      <c r="K9" s="40">
        <v>1288.4179251604369</v>
      </c>
      <c r="L9" s="39">
        <v>1010.7723195643304</v>
      </c>
      <c r="M9" s="40">
        <v>1382.6498410121303</v>
      </c>
      <c r="N9" s="39">
        <v>1009.7462319614832</v>
      </c>
      <c r="O9" s="40">
        <v>1489.6717893647835</v>
      </c>
      <c r="P9" s="39">
        <v>1008.7103382541851</v>
      </c>
      <c r="Q9" s="40">
        <v>1611.7968105882412</v>
      </c>
      <c r="R9" s="39">
        <v>1007.6608920211534</v>
      </c>
      <c r="S9" s="40">
        <v>1751.8319343057101</v>
      </c>
      <c r="T9" s="39">
        <v>1006.5959219619339</v>
      </c>
      <c r="U9" s="40">
        <v>1913.1792945303284</v>
      </c>
      <c r="V9" s="39">
        <v>1005.5166837248486</v>
      </c>
      <c r="W9" s="40">
        <v>2099.9355832920837</v>
      </c>
      <c r="X9" s="39">
        <v>1004.4296921462516</v>
      </c>
      <c r="Y9" s="40">
        <v>2316.953456693419</v>
      </c>
      <c r="Z9" s="39">
        <v>1003.3492180831098</v>
      </c>
      <c r="AA9" s="40">
        <v>2569.7933587982779</v>
      </c>
      <c r="AB9" s="39">
        <v>1002.2997839106083</v>
      </c>
      <c r="AC9" s="40">
        <v>2864.4199063576998</v>
      </c>
      <c r="AD9" s="39">
        <v>1001.3173771516186</v>
      </c>
      <c r="AE9" s="40">
        <v>3206.4266879164893</v>
      </c>
      <c r="AF9" s="39">
        <v>1000.4471364704964</v>
      </c>
      <c r="AG9" s="40">
        <v>3599.5761144897542</v>
      </c>
      <c r="AH9" s="39">
        <v>999.73517781746227</v>
      </c>
      <c r="AI9" s="40">
        <v>4043.7373999507076</v>
      </c>
      <c r="AJ9" s="39">
        <v>999.21514090881124</v>
      </c>
      <c r="AK9" s="40">
        <v>4533.0262150457065</v>
      </c>
      <c r="AL9" s="39">
        <v>998.89572856892187</v>
      </c>
      <c r="AM9" s="40">
        <v>5055.6010515872304</v>
      </c>
      <c r="AN9" s="39">
        <v>998.75803732490942</v>
      </c>
      <c r="AO9" s="40">
        <v>5595.950284927465</v>
      </c>
      <c r="AP9" s="39">
        <v>998.74918379010455</v>
      </c>
      <c r="AQ9" s="40">
        <v>5704.7508309173172</v>
      </c>
      <c r="AR9" s="39">
        <v>998.74577134593812</v>
      </c>
      <c r="AS9" s="40">
        <v>5813.519620958843</v>
      </c>
      <c r="AT9" s="39">
        <v>998.74745133830038</v>
      </c>
      <c r="AU9" s="40">
        <v>5922.1495625877997</v>
      </c>
      <c r="AV9" s="39">
        <v>998.7538766821408</v>
      </c>
      <c r="AW9" s="40">
        <v>6030.5399777207003</v>
      </c>
    </row>
    <row r="10" spans="1:49" x14ac:dyDescent="0.2">
      <c r="A10" t="s">
        <v>15</v>
      </c>
      <c r="B10" s="39">
        <v>1015.9116825427475</v>
      </c>
      <c r="C10" s="40">
        <v>1005.7716594496609</v>
      </c>
      <c r="D10" s="39">
        <v>1014.8688575499683</v>
      </c>
      <c r="E10" s="40">
        <v>1064.9501858593985</v>
      </c>
      <c r="F10" s="39">
        <v>1013.8371883700606</v>
      </c>
      <c r="G10" s="40">
        <v>1131.0157957099266</v>
      </c>
      <c r="H10" s="39">
        <v>1012.8132643004049</v>
      </c>
      <c r="I10" s="40">
        <v>1205.0668389867985</v>
      </c>
      <c r="J10" s="39">
        <v>1011.79311420521</v>
      </c>
      <c r="K10" s="40">
        <v>1288.4179251604369</v>
      </c>
      <c r="L10" s="39">
        <v>1010.7723195643304</v>
      </c>
      <c r="M10" s="40">
        <v>1382.6498410121303</v>
      </c>
      <c r="N10" s="39">
        <v>1009.7462319614832</v>
      </c>
      <c r="O10" s="40">
        <v>1489.6717893647835</v>
      </c>
      <c r="P10" s="39">
        <v>1008.7103382541851</v>
      </c>
      <c r="Q10" s="40">
        <v>1611.7968105882412</v>
      </c>
      <c r="R10" s="39">
        <v>1007.6608920211534</v>
      </c>
      <c r="S10" s="40">
        <v>1751.8319343057101</v>
      </c>
      <c r="T10" s="39">
        <v>1006.5959219619339</v>
      </c>
      <c r="U10" s="40">
        <v>1913.1792945303284</v>
      </c>
      <c r="V10" s="39">
        <v>1005.5166837248486</v>
      </c>
      <c r="W10" s="40">
        <v>2099.9355832920837</v>
      </c>
      <c r="X10" s="39">
        <v>1004.4296921462516</v>
      </c>
      <c r="Y10" s="40">
        <v>2316.953456693419</v>
      </c>
      <c r="Z10" s="39">
        <v>1003.3492180831098</v>
      </c>
      <c r="AA10" s="40">
        <v>2569.7933587982779</v>
      </c>
      <c r="AB10" s="39">
        <v>1002.2997839106083</v>
      </c>
      <c r="AC10" s="40">
        <v>2864.4199063576998</v>
      </c>
      <c r="AD10" s="39">
        <v>1001.3173771516186</v>
      </c>
      <c r="AE10" s="40">
        <v>3206.4266879164893</v>
      </c>
      <c r="AF10" s="39">
        <v>1000.4471364704964</v>
      </c>
      <c r="AG10" s="40">
        <v>3599.5761144897542</v>
      </c>
      <c r="AH10" s="39">
        <v>999.73517781746227</v>
      </c>
      <c r="AI10" s="40">
        <v>4043.7373999507076</v>
      </c>
      <c r="AJ10" s="39">
        <v>999.21514090881124</v>
      </c>
      <c r="AK10" s="40">
        <v>4533.0262150457065</v>
      </c>
      <c r="AL10" s="39">
        <v>998.89572856892187</v>
      </c>
      <c r="AM10" s="40">
        <v>5055.6010515872304</v>
      </c>
      <c r="AN10" s="39">
        <v>998.75803732490942</v>
      </c>
      <c r="AO10" s="40">
        <v>5595.950284927465</v>
      </c>
      <c r="AP10" s="39">
        <v>998.74918379010455</v>
      </c>
      <c r="AQ10" s="40">
        <v>5704.7508309173172</v>
      </c>
      <c r="AR10" s="39">
        <v>998.74577134593812</v>
      </c>
      <c r="AS10" s="40">
        <v>5813.519620958843</v>
      </c>
      <c r="AT10" s="39">
        <v>998.74745133830038</v>
      </c>
      <c r="AU10" s="40">
        <v>5922.1495625877997</v>
      </c>
      <c r="AV10" s="39">
        <v>998.7538766821408</v>
      </c>
      <c r="AW10" s="40">
        <v>6030.5399777207003</v>
      </c>
    </row>
    <row r="11" spans="1:49" x14ac:dyDescent="0.2">
      <c r="A11" t="s">
        <v>29</v>
      </c>
      <c r="B11" s="39">
        <v>1015.9116825427475</v>
      </c>
      <c r="C11" s="40">
        <v>1005.7716594496609</v>
      </c>
      <c r="D11" s="39">
        <v>1014.8688575499683</v>
      </c>
      <c r="E11" s="40">
        <v>1064.9501858593985</v>
      </c>
      <c r="F11" s="39">
        <v>1013.8371883700606</v>
      </c>
      <c r="G11" s="40">
        <v>1131.0157957099266</v>
      </c>
      <c r="H11" s="39">
        <v>1012.8132643004049</v>
      </c>
      <c r="I11" s="40">
        <v>1205.0668389867985</v>
      </c>
      <c r="J11" s="39">
        <v>1011.79311420521</v>
      </c>
      <c r="K11" s="40">
        <v>1288.4179251604369</v>
      </c>
      <c r="L11" s="39">
        <v>1010.7723195643304</v>
      </c>
      <c r="M11" s="40">
        <v>1382.6498410121303</v>
      </c>
      <c r="N11" s="39">
        <v>1009.7462319614832</v>
      </c>
      <c r="O11" s="40">
        <v>1489.6717893647835</v>
      </c>
      <c r="P11" s="39">
        <v>1008.7103382541851</v>
      </c>
      <c r="Q11" s="40">
        <v>1611.7968105882412</v>
      </c>
      <c r="R11" s="39">
        <v>1007.6608920211534</v>
      </c>
      <c r="S11" s="40">
        <v>1751.8319343057101</v>
      </c>
      <c r="T11" s="39">
        <v>1006.5959219619339</v>
      </c>
      <c r="U11" s="40">
        <v>1913.1792945303284</v>
      </c>
      <c r="V11" s="39">
        <v>1005.5166837248486</v>
      </c>
      <c r="W11" s="40">
        <v>2099.9355832920837</v>
      </c>
      <c r="X11" s="39">
        <v>1004.4296921462516</v>
      </c>
      <c r="Y11" s="40">
        <v>2316.953456693419</v>
      </c>
      <c r="Z11" s="39">
        <v>1003.3492180831098</v>
      </c>
      <c r="AA11" s="40">
        <v>2569.7933587982779</v>
      </c>
      <c r="AB11" s="39">
        <v>1002.2997839106083</v>
      </c>
      <c r="AC11" s="40">
        <v>2864.4199063576998</v>
      </c>
      <c r="AD11" s="39">
        <v>1001.3173771516186</v>
      </c>
      <c r="AE11" s="40">
        <v>3206.4266879164893</v>
      </c>
      <c r="AF11" s="39">
        <v>1000.4471364704964</v>
      </c>
      <c r="AG11" s="40">
        <v>3599.5761144897542</v>
      </c>
      <c r="AH11" s="39">
        <v>999.73517781746227</v>
      </c>
      <c r="AI11" s="40">
        <v>4043.7373999507076</v>
      </c>
      <c r="AJ11" s="39">
        <v>999.21514090881124</v>
      </c>
      <c r="AK11" s="40">
        <v>4533.0262150457065</v>
      </c>
      <c r="AL11" s="39">
        <v>998.89572856892187</v>
      </c>
      <c r="AM11" s="40">
        <v>5055.6010515872304</v>
      </c>
      <c r="AN11" s="39">
        <v>998.75803732490942</v>
      </c>
      <c r="AO11" s="40">
        <v>5595.950284927465</v>
      </c>
      <c r="AP11" s="39">
        <v>998.74918379010455</v>
      </c>
      <c r="AQ11" s="40">
        <v>5704.7508309173172</v>
      </c>
      <c r="AR11" s="39">
        <v>998.74577134593812</v>
      </c>
      <c r="AS11" s="40">
        <v>5813.519620958843</v>
      </c>
      <c r="AT11" s="39">
        <v>998.74745133830038</v>
      </c>
      <c r="AU11" s="40">
        <v>5922.1495625877997</v>
      </c>
      <c r="AV11" s="39">
        <v>998.7538766821408</v>
      </c>
      <c r="AW11" s="40">
        <v>6030.5399777207003</v>
      </c>
    </row>
    <row r="12" spans="1:49"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row>
    <row r="13" spans="1:49" x14ac:dyDescent="0.2">
      <c r="A13" t="s">
        <v>17</v>
      </c>
      <c r="B13" s="93">
        <v>1000</v>
      </c>
      <c r="C13" s="94">
        <v>1000</v>
      </c>
      <c r="D13" s="93">
        <v>996.30835447007394</v>
      </c>
      <c r="E13" s="94">
        <v>996.30835447007394</v>
      </c>
      <c r="F13" s="93">
        <v>992.38865603440365</v>
      </c>
      <c r="G13" s="94">
        <v>992.38865603440365</v>
      </c>
      <c r="H13" s="93">
        <v>988.21901121987889</v>
      </c>
      <c r="I13" s="94">
        <v>988.21901121987889</v>
      </c>
      <c r="J13" s="93">
        <v>983.77620602967681</v>
      </c>
      <c r="K13" s="94">
        <v>983.77620602967681</v>
      </c>
      <c r="L13" s="93">
        <v>979.03618494125112</v>
      </c>
      <c r="M13" s="94">
        <v>979.03618494125112</v>
      </c>
      <c r="N13" s="93">
        <v>973.97482727804982</v>
      </c>
      <c r="O13" s="94">
        <v>973.97482727804982</v>
      </c>
      <c r="P13" s="93">
        <v>968.56915878868119</v>
      </c>
      <c r="Q13" s="94">
        <v>968.56915878868119</v>
      </c>
      <c r="R13" s="93">
        <v>962.79928835069336</v>
      </c>
      <c r="S13" s="94">
        <v>962.79928835069336</v>
      </c>
      <c r="T13" s="93">
        <v>956.65148103606566</v>
      </c>
      <c r="U13" s="94">
        <v>956.65148103606566</v>
      </c>
      <c r="V13" s="93">
        <v>950.12247442690432</v>
      </c>
      <c r="W13" s="94">
        <v>950.12247442690432</v>
      </c>
      <c r="X13" s="93">
        <v>943.22593589621306</v>
      </c>
      <c r="Y13" s="94">
        <v>943.22593589621306</v>
      </c>
      <c r="Z13" s="93">
        <v>936.0010254063568</v>
      </c>
      <c r="AA13" s="94">
        <v>936.0010254063568</v>
      </c>
      <c r="AB13" s="93">
        <v>928.5228636413583</v>
      </c>
      <c r="AC13" s="94">
        <v>928.5228636413583</v>
      </c>
      <c r="AD13" s="93">
        <v>920.9124096779218</v>
      </c>
      <c r="AE13" s="94">
        <v>920.9124096779218</v>
      </c>
      <c r="AF13" s="93">
        <v>913.33989923077252</v>
      </c>
      <c r="AG13" s="94">
        <v>913.33989923077252</v>
      </c>
      <c r="AH13" s="93">
        <v>906.01258942191237</v>
      </c>
      <c r="AI13" s="94">
        <v>906.01258942191237</v>
      </c>
      <c r="AJ13" s="93">
        <v>899.14041472705469</v>
      </c>
      <c r="AK13" s="94">
        <v>899.14041472705469</v>
      </c>
      <c r="AL13" s="93">
        <v>892.88787314966419</v>
      </c>
      <c r="AM13" s="94">
        <v>892.88787314966419</v>
      </c>
      <c r="AN13" s="93">
        <v>887.33767893349841</v>
      </c>
      <c r="AO13" s="94">
        <v>887.33767893349841</v>
      </c>
      <c r="AP13" s="93">
        <v>886.31298409514932</v>
      </c>
      <c r="AQ13" s="94">
        <v>886.31298409514932</v>
      </c>
      <c r="AR13" s="93">
        <v>885.31611382715391</v>
      </c>
      <c r="AS13" s="94">
        <v>885.31611382715391</v>
      </c>
      <c r="AT13" s="93">
        <v>884.3466127221277</v>
      </c>
      <c r="AU13" s="94">
        <v>884.3466127221277</v>
      </c>
      <c r="AV13" s="93">
        <v>883.40395292481617</v>
      </c>
      <c r="AW13" s="94">
        <v>883.40395292481617</v>
      </c>
    </row>
    <row r="14" spans="1:49" x14ac:dyDescent="0.2">
      <c r="A14" t="s">
        <v>36</v>
      </c>
      <c r="B14" s="39">
        <v>1457.0034251455234</v>
      </c>
      <c r="C14" s="40">
        <v>1457.0034251455236</v>
      </c>
      <c r="D14" s="39">
        <v>1451.6246849639979</v>
      </c>
      <c r="E14" s="40">
        <v>1451.6246849639981</v>
      </c>
      <c r="F14" s="39">
        <v>1445.9136709176887</v>
      </c>
      <c r="G14" s="40">
        <v>1445.9136709176889</v>
      </c>
      <c r="H14" s="39">
        <v>1439.8384841412858</v>
      </c>
      <c r="I14" s="40">
        <v>1439.838484141286</v>
      </c>
      <c r="J14" s="39">
        <v>1433.3653017619072</v>
      </c>
      <c r="K14" s="40">
        <v>1433.3653017619074</v>
      </c>
      <c r="L14" s="39">
        <v>1426.4590748008088</v>
      </c>
      <c r="M14" s="40">
        <v>1426.459074800809</v>
      </c>
      <c r="N14" s="39">
        <v>1419.0846593496381</v>
      </c>
      <c r="O14" s="40">
        <v>1419.0846593496383</v>
      </c>
      <c r="P14" s="39">
        <v>1411.2085818454268</v>
      </c>
      <c r="Q14" s="40">
        <v>1411.208581845427</v>
      </c>
      <c r="R14" s="39">
        <v>1402.8018608546324</v>
      </c>
      <c r="S14" s="40">
        <v>1402.8018608546327</v>
      </c>
      <c r="T14" s="39">
        <v>1393.8444845400852</v>
      </c>
      <c r="U14" s="40">
        <v>1393.8444845400854</v>
      </c>
      <c r="V14" s="39">
        <v>1384.3316995477394</v>
      </c>
      <c r="W14" s="40">
        <v>1384.3316995477396</v>
      </c>
      <c r="X14" s="39">
        <v>1374.2834192868743</v>
      </c>
      <c r="Y14" s="40">
        <v>1374.2834192868745</v>
      </c>
      <c r="Z14" s="39">
        <v>1363.7566999567839</v>
      </c>
      <c r="AA14" s="40">
        <v>1363.7566999567841</v>
      </c>
      <c r="AB14" s="39">
        <v>1352.8609926513886</v>
      </c>
      <c r="AC14" s="40">
        <v>1352.8609926513889</v>
      </c>
      <c r="AD14" s="39">
        <v>1341.7725351597494</v>
      </c>
      <c r="AE14" s="40">
        <v>1341.7725351597496</v>
      </c>
      <c r="AF14" s="39">
        <v>1330.7393615013027</v>
      </c>
      <c r="AG14" s="40">
        <v>1330.7393615013029</v>
      </c>
      <c r="AH14" s="39">
        <v>1320.063446012691</v>
      </c>
      <c r="AI14" s="40">
        <v>1320.0634460126912</v>
      </c>
      <c r="AJ14" s="39">
        <v>1310.050663944085</v>
      </c>
      <c r="AK14" s="40">
        <v>1310.0506639440853</v>
      </c>
      <c r="AL14" s="39">
        <v>1300.9406894499623</v>
      </c>
      <c r="AM14" s="40">
        <v>1300.9406894499625</v>
      </c>
      <c r="AN14" s="39">
        <v>1292.8540374667857</v>
      </c>
      <c r="AO14" s="40">
        <v>1292.8540374667859</v>
      </c>
      <c r="AP14" s="39">
        <v>1291.3610535775822</v>
      </c>
      <c r="AQ14" s="40">
        <v>1291.3610535775824</v>
      </c>
      <c r="AR14" s="39">
        <v>1289.9086101826872</v>
      </c>
      <c r="AS14" s="40">
        <v>1289.9086101826874</v>
      </c>
      <c r="AT14" s="39">
        <v>1288.4960437519817</v>
      </c>
      <c r="AU14" s="40">
        <v>1288.4960437519819</v>
      </c>
      <c r="AV14" s="39">
        <v>1287.1225851985519</v>
      </c>
      <c r="AW14" s="40">
        <v>1287.1225851985519</v>
      </c>
    </row>
    <row r="15" spans="1:49" x14ac:dyDescent="0.2">
      <c r="A15" t="s">
        <v>18</v>
      </c>
      <c r="B15" s="144">
        <v>1000</v>
      </c>
      <c r="C15" s="145">
        <v>1000</v>
      </c>
      <c r="D15" s="144">
        <v>996.72396568101453</v>
      </c>
      <c r="E15" s="145">
        <v>996.72396568101453</v>
      </c>
      <c r="F15" s="144">
        <v>993.29203008725028</v>
      </c>
      <c r="G15" s="145">
        <v>993.29203008725028</v>
      </c>
      <c r="H15" s="144">
        <v>989.67120067777705</v>
      </c>
      <c r="I15" s="145">
        <v>989.67120067777705</v>
      </c>
      <c r="J15" s="144">
        <v>985.82179483208051</v>
      </c>
      <c r="K15" s="145">
        <v>985.82179483208051</v>
      </c>
      <c r="L15" s="144">
        <v>981.69602924487685</v>
      </c>
      <c r="M15" s="145">
        <v>981.69602924487685</v>
      </c>
      <c r="N15" s="144">
        <v>977.23635632795038</v>
      </c>
      <c r="O15" s="145">
        <v>977.23635632795038</v>
      </c>
      <c r="P15" s="144">
        <v>972.37359157921333</v>
      </c>
      <c r="Q15" s="145">
        <v>972.37359157921333</v>
      </c>
      <c r="R15" s="144">
        <v>967.02489329498485</v>
      </c>
      <c r="S15" s="145">
        <v>967.02489329498485</v>
      </c>
      <c r="T15" s="144">
        <v>961.09184994928</v>
      </c>
      <c r="U15" s="145">
        <v>961.09184994928</v>
      </c>
      <c r="V15" s="144">
        <v>954.45944744954443</v>
      </c>
      <c r="W15" s="145">
        <v>954.45944744954443</v>
      </c>
      <c r="X15" s="144">
        <v>946.99715234062364</v>
      </c>
      <c r="Y15" s="145">
        <v>946.99715234062364</v>
      </c>
      <c r="Z15" s="144">
        <v>938.56475082354314</v>
      </c>
      <c r="AA15" s="145">
        <v>938.56475082354314</v>
      </c>
      <c r="AB15" s="144">
        <v>929.02716624447964</v>
      </c>
      <c r="AC15" s="145">
        <v>929.02716624447964</v>
      </c>
      <c r="AD15" s="144">
        <v>918.28359770044744</v>
      </c>
      <c r="AE15" s="145">
        <v>918.28359770044744</v>
      </c>
      <c r="AF15" s="144">
        <v>906.31374595306193</v>
      </c>
      <c r="AG15" s="145">
        <v>906.31374595306193</v>
      </c>
      <c r="AH15" s="144">
        <v>893.2322088929111</v>
      </c>
      <c r="AI15" s="145">
        <v>893.2322088929111</v>
      </c>
      <c r="AJ15" s="144">
        <v>879.32152634807881</v>
      </c>
      <c r="AK15" s="145">
        <v>879.32152634807881</v>
      </c>
      <c r="AL15" s="144">
        <v>865.00499106367283</v>
      </c>
      <c r="AM15" s="145">
        <v>865.00499106367283</v>
      </c>
      <c r="AN15" s="144">
        <v>850.75273757824971</v>
      </c>
      <c r="AO15" s="145">
        <v>850.75273757824971</v>
      </c>
      <c r="AP15" s="144">
        <v>847.94782439178778</v>
      </c>
      <c r="AQ15" s="145">
        <v>847.94782439178778</v>
      </c>
      <c r="AR15" s="144">
        <v>845.16483927373758</v>
      </c>
      <c r="AS15" s="145">
        <v>845.16483927373758</v>
      </c>
      <c r="AT15" s="144">
        <v>842.40622106056344</v>
      </c>
      <c r="AU15" s="145">
        <v>842.40622106056344</v>
      </c>
      <c r="AV15" s="144">
        <v>839.67417131714535</v>
      </c>
      <c r="AW15" s="145">
        <v>839.67417131714535</v>
      </c>
    </row>
    <row r="16" spans="1:49" s="27" customFormat="1" x14ac:dyDescent="0.2">
      <c r="A16" t="s">
        <v>61</v>
      </c>
      <c r="B16" s="39">
        <v>1000</v>
      </c>
      <c r="C16" s="40">
        <v>1000</v>
      </c>
      <c r="D16" s="39">
        <v>996.50237296708553</v>
      </c>
      <c r="E16" s="40">
        <v>996.60533679851619</v>
      </c>
      <c r="F16" s="39">
        <v>992.81035869769801</v>
      </c>
      <c r="G16" s="40">
        <v>993.03417109499253</v>
      </c>
      <c r="H16" s="39">
        <v>988.89687528255013</v>
      </c>
      <c r="I16" s="40">
        <v>989.25667546992088</v>
      </c>
      <c r="J16" s="39">
        <v>984.73101507803688</v>
      </c>
      <c r="K16" s="40">
        <v>985.23786566846093</v>
      </c>
      <c r="L16" s="39">
        <v>980.27764372986462</v>
      </c>
      <c r="M16" s="40">
        <v>980.93673021907694</v>
      </c>
      <c r="N16" s="39">
        <v>975.49704038518485</v>
      </c>
      <c r="O16" s="40">
        <v>976.30526446027773</v>
      </c>
      <c r="P16" s="39">
        <v>970.34467266400782</v>
      </c>
      <c r="Q16" s="40">
        <v>971.28747961244733</v>
      </c>
      <c r="R16" s="39">
        <v>964.77128919030804</v>
      </c>
      <c r="S16" s="40">
        <v>965.81851291588896</v>
      </c>
      <c r="T16" s="39">
        <v>958.7236659909322</v>
      </c>
      <c r="U16" s="40">
        <v>959.82413885401411</v>
      </c>
      <c r="V16" s="39">
        <v>952.14642006721715</v>
      </c>
      <c r="W16" s="40">
        <v>953.22126062715165</v>
      </c>
      <c r="X16" s="39">
        <v>944.98593796871251</v>
      </c>
      <c r="Y16" s="40">
        <v>945.92051906908398</v>
      </c>
      <c r="Z16" s="39">
        <v>937.19761943150786</v>
      </c>
      <c r="AA16" s="40">
        <v>937.83288974311256</v>
      </c>
      <c r="AB16" s="39">
        <v>928.75828327688998</v>
      </c>
      <c r="AC16" s="40">
        <v>928.88322099213121</v>
      </c>
      <c r="AD16" s="39">
        <v>919.68488809888925</v>
      </c>
      <c r="AE16" s="40">
        <v>919.03381394986104</v>
      </c>
      <c r="AF16" s="39">
        <v>910.05776693711221</v>
      </c>
      <c r="AG16" s="40">
        <v>908.31836227789586</v>
      </c>
      <c r="AH16" s="39">
        <v>900.03938701615709</v>
      </c>
      <c r="AI16" s="40">
        <v>896.87728211633919</v>
      </c>
      <c r="AJ16" s="39">
        <v>889.87162605741878</v>
      </c>
      <c r="AK16" s="40">
        <v>884.97158728442673</v>
      </c>
      <c r="AL16" s="39">
        <v>879.83793904381537</v>
      </c>
      <c r="AM16" s="40">
        <v>872.94993710042786</v>
      </c>
      <c r="AN16" s="39">
        <v>870.20077886899162</v>
      </c>
      <c r="AO16" s="40">
        <v>861.17141878982432</v>
      </c>
      <c r="AP16" s="39">
        <v>868.33913116417796</v>
      </c>
      <c r="AQ16" s="40">
        <v>858.87221201577586</v>
      </c>
      <c r="AR16" s="39">
        <v>866.50223734191445</v>
      </c>
      <c r="AS16" s="40">
        <v>856.59648514288608</v>
      </c>
      <c r="AT16" s="39">
        <v>864.69099943877882</v>
      </c>
      <c r="AU16" s="40">
        <v>854.345853452489</v>
      </c>
      <c r="AV16" s="39">
        <v>862.90617138687799</v>
      </c>
      <c r="AW16" s="40">
        <v>852.12174253160242</v>
      </c>
    </row>
    <row r="17" spans="1:49" x14ac:dyDescent="0.2">
      <c r="A17" t="s">
        <v>62</v>
      </c>
      <c r="B17" s="33">
        <v>1000.0000000000002</v>
      </c>
      <c r="C17" s="34">
        <v>999.99999999999977</v>
      </c>
      <c r="D17" s="33">
        <v>999.06720497014624</v>
      </c>
      <c r="E17" s="34">
        <v>1029.6050411729536</v>
      </c>
      <c r="F17" s="33">
        <v>998.14562606847073</v>
      </c>
      <c r="G17" s="34">
        <v>1062.4975985908652</v>
      </c>
      <c r="H17" s="33">
        <v>997.23219306357987</v>
      </c>
      <c r="I17" s="34">
        <v>1099.1750446525116</v>
      </c>
      <c r="J17" s="33">
        <v>996.32334647613959</v>
      </c>
      <c r="K17" s="34">
        <v>1140.2290850241177</v>
      </c>
      <c r="L17" s="33">
        <v>995.41514577080375</v>
      </c>
      <c r="M17" s="34">
        <v>1186.3670036737387</v>
      </c>
      <c r="N17" s="33">
        <v>994.5034737550227</v>
      </c>
      <c r="O17" s="34">
        <v>1238.4380325491838</v>
      </c>
      <c r="P17" s="33">
        <v>993.58435392128763</v>
      </c>
      <c r="Q17" s="34">
        <v>1297.4650240279127</v>
      </c>
      <c r="R17" s="33">
        <v>992.65450460360137</v>
      </c>
      <c r="S17" s="34">
        <v>1364.6819804151337</v>
      </c>
      <c r="T17" s="33">
        <v>991.71224298540324</v>
      </c>
      <c r="U17" s="34">
        <v>1441.5754680117977</v>
      </c>
      <c r="V17" s="33">
        <v>990.75874261411036</v>
      </c>
      <c r="W17" s="34">
        <v>1529.9239724338618</v>
      </c>
      <c r="X17" s="33">
        <v>989.79980576762659</v>
      </c>
      <c r="Y17" s="34">
        <v>1631.818581963176</v>
      </c>
      <c r="Z17" s="33">
        <v>988.84803124125381</v>
      </c>
      <c r="AA17" s="34">
        <v>1749.6332800925936</v>
      </c>
      <c r="AB17" s="33">
        <v>987.92495342631275</v>
      </c>
      <c r="AC17" s="34">
        <v>1885.8808085195551</v>
      </c>
      <c r="AD17" s="33">
        <v>987.06204640537078</v>
      </c>
      <c r="AE17" s="34">
        <v>2042.8615175979835</v>
      </c>
      <c r="AF17" s="33">
        <v>986.29864332595741</v>
      </c>
      <c r="AG17" s="34">
        <v>2222.0179180886853</v>
      </c>
      <c r="AH17" s="33">
        <v>985.67478148267389</v>
      </c>
      <c r="AI17" s="34">
        <v>2423.0427908290521</v>
      </c>
      <c r="AJ17" s="33">
        <v>985.21948669743347</v>
      </c>
      <c r="AK17" s="34">
        <v>2643.1034051123929</v>
      </c>
      <c r="AL17" s="33">
        <v>984.9400040771485</v>
      </c>
      <c r="AM17" s="34">
        <v>2876.8131452784496</v>
      </c>
      <c r="AN17" s="33">
        <v>984.81956433192227</v>
      </c>
      <c r="AO17" s="34">
        <v>3117.2847560740197</v>
      </c>
      <c r="AP17" s="33">
        <v>984.81182078260065</v>
      </c>
      <c r="AQ17" s="34">
        <v>3165.5766177413902</v>
      </c>
      <c r="AR17" s="33">
        <v>984.80883620649888</v>
      </c>
      <c r="AS17" s="34">
        <v>3213.8149934838434</v>
      </c>
      <c r="AT17" s="33">
        <v>984.81030554121742</v>
      </c>
      <c r="AU17" s="34">
        <v>3261.9537872980463</v>
      </c>
      <c r="AV17" s="33">
        <v>984.81592524638256</v>
      </c>
      <c r="AW17" s="34">
        <v>3309.9498186684973</v>
      </c>
    </row>
    <row r="18" spans="1:49" x14ac:dyDescent="0.2">
      <c r="A18" t="s">
        <v>19</v>
      </c>
      <c r="B18" s="31">
        <v>27857.010133999996</v>
      </c>
      <c r="C18" s="32">
        <v>1236.7674480000003</v>
      </c>
      <c r="D18" s="31">
        <v>27736.808520805127</v>
      </c>
      <c r="E18" s="32">
        <v>1149.6480395188705</v>
      </c>
      <c r="F18" s="31">
        <v>27596.306403145038</v>
      </c>
      <c r="G18" s="32">
        <v>1063.5378973671357</v>
      </c>
      <c r="H18" s="31">
        <v>27431.645991021458</v>
      </c>
      <c r="I18" s="32">
        <v>978.48918969447459</v>
      </c>
      <c r="J18" s="31">
        <v>27237.975568133628</v>
      </c>
      <c r="K18" s="32">
        <v>894.56728875619558</v>
      </c>
      <c r="L18" s="31">
        <v>27009.11622174492</v>
      </c>
      <c r="M18" s="32">
        <v>811.85971159812073</v>
      </c>
      <c r="N18" s="31">
        <v>26737.099281861949</v>
      </c>
      <c r="O18" s="32">
        <v>730.49000217243258</v>
      </c>
      <c r="P18" s="31">
        <v>26411.53697001814</v>
      </c>
      <c r="Q18" s="32">
        <v>650.6314002400685</v>
      </c>
      <c r="R18" s="31">
        <v>26018.728778708832</v>
      </c>
      <c r="S18" s="32">
        <v>572.52901241724453</v>
      </c>
      <c r="T18" s="31">
        <v>25540.396202814925</v>
      </c>
      <c r="U18" s="32">
        <v>496.52673889830163</v>
      </c>
      <c r="V18" s="31">
        <v>24951.9525897331</v>
      </c>
      <c r="W18" s="32">
        <v>423.10021294779153</v>
      </c>
      <c r="X18" s="31">
        <v>24220.152521866792</v>
      </c>
      <c r="Y18" s="32">
        <v>352.88943835344725</v>
      </c>
      <c r="Z18" s="31">
        <v>23300.122098459316</v>
      </c>
      <c r="AA18" s="32">
        <v>286.72593349015108</v>
      </c>
      <c r="AB18" s="31">
        <v>22132.098034376402</v>
      </c>
      <c r="AC18" s="32">
        <v>225.6292257933421</v>
      </c>
      <c r="AD18" s="31">
        <v>20639.007322572033</v>
      </c>
      <c r="AE18" s="32">
        <v>170.74268957282695</v>
      </c>
      <c r="AF18" s="31">
        <v>18727.373137914314</v>
      </c>
      <c r="AG18" s="32">
        <v>123.16859054047607</v>
      </c>
      <c r="AH18" s="31">
        <v>16295.13502369412</v>
      </c>
      <c r="AI18" s="32">
        <v>83.695246721739906</v>
      </c>
      <c r="AJ18" s="31">
        <v>13248.416601379346</v>
      </c>
      <c r="AK18" s="32">
        <v>52.497405147260828</v>
      </c>
      <c r="AL18" s="31">
        <v>9522.9225244484132</v>
      </c>
      <c r="AM18" s="32">
        <v>28.99126001328839</v>
      </c>
      <c r="AN18" s="31">
        <v>5098.7927622615971</v>
      </c>
      <c r="AO18" s="32">
        <v>11.978064691450646</v>
      </c>
      <c r="AP18" s="31">
        <v>4131.5978151409208</v>
      </c>
      <c r="AQ18" s="32">
        <v>9.2265077976468373</v>
      </c>
      <c r="AR18" s="31">
        <v>3137.6895985458823</v>
      </c>
      <c r="AS18" s="32">
        <v>6.6642452218246566</v>
      </c>
      <c r="AT18" s="31">
        <v>2117.4816397157056</v>
      </c>
      <c r="AU18" s="32">
        <v>4.2797794898379697</v>
      </c>
      <c r="AV18" s="31">
        <v>1071.424485113155</v>
      </c>
      <c r="AW18" s="32">
        <v>2.0619534083626854</v>
      </c>
    </row>
    <row r="19" spans="1:49" x14ac:dyDescent="0.2">
      <c r="A19" t="s">
        <v>3</v>
      </c>
      <c r="B19" s="39">
        <v>1886.3937399999966</v>
      </c>
      <c r="C19" s="40">
        <v>262.78711299999759</v>
      </c>
      <c r="D19" s="39">
        <v>1873.1530702086764</v>
      </c>
      <c r="E19" s="40">
        <v>267.01719633224877</v>
      </c>
      <c r="F19" s="39">
        <v>1858.647954924453</v>
      </c>
      <c r="G19" s="40">
        <v>271.7565546725267</v>
      </c>
      <c r="H19" s="39">
        <v>1842.6128334356115</v>
      </c>
      <c r="I19" s="40">
        <v>277.01885118524842</v>
      </c>
      <c r="J19" s="39">
        <v>1824.7158769890405</v>
      </c>
      <c r="K19" s="40">
        <v>282.80182382486504</v>
      </c>
      <c r="L19" s="39">
        <v>1804.5383831811143</v>
      </c>
      <c r="M19" s="40">
        <v>289.07738527485526</v>
      </c>
      <c r="N19" s="39">
        <v>1781.5464803895588</v>
      </c>
      <c r="O19" s="40">
        <v>295.77679179707997</v>
      </c>
      <c r="P19" s="39">
        <v>1755.053009126364</v>
      </c>
      <c r="Q19" s="40">
        <v>302.7684618377105</v>
      </c>
      <c r="R19" s="39">
        <v>1724.1638354526149</v>
      </c>
      <c r="S19" s="40">
        <v>309.82558845671457</v>
      </c>
      <c r="T19" s="39">
        <v>1687.7021887432732</v>
      </c>
      <c r="U19" s="40">
        <v>316.58050333597714</v>
      </c>
      <c r="V19" s="39">
        <v>1644.1052286517031</v>
      </c>
      <c r="W19" s="40">
        <v>322.46105884629208</v>
      </c>
      <c r="X19" s="39">
        <v>1591.2829884392547</v>
      </c>
      <c r="Y19" s="40">
        <v>326.60791484556086</v>
      </c>
      <c r="Z19" s="39">
        <v>1526.43829028202</v>
      </c>
      <c r="AA19" s="40">
        <v>327.77850245995677</v>
      </c>
      <c r="AB19" s="39">
        <v>1445.8647176919544</v>
      </c>
      <c r="AC19" s="40">
        <v>324.26054475572778</v>
      </c>
      <c r="AD19" s="39">
        <v>1344.7867642788713</v>
      </c>
      <c r="AE19" s="40">
        <v>313.85241935613317</v>
      </c>
      <c r="AF19" s="39">
        <v>1217.3893758665786</v>
      </c>
      <c r="AG19" s="40">
        <v>294.0079998218352</v>
      </c>
      <c r="AH19" s="39">
        <v>1057.2592032745536</v>
      </c>
      <c r="AI19" s="40">
        <v>262.24384141700631</v>
      </c>
      <c r="AJ19" s="39">
        <v>858.38311934367141</v>
      </c>
      <c r="AK19" s="40">
        <v>216.7788129482542</v>
      </c>
      <c r="AL19" s="39">
        <v>616.47397140779003</v>
      </c>
      <c r="AM19" s="40">
        <v>157.12224053969737</v>
      </c>
      <c r="AN19" s="39">
        <v>329.95227259546533</v>
      </c>
      <c r="AO19" s="40">
        <v>84.212481868292187</v>
      </c>
      <c r="AP19" s="39">
        <v>267.35694260653719</v>
      </c>
      <c r="AQ19" s="40">
        <v>68.201467382262521</v>
      </c>
      <c r="AR19" s="39">
        <v>203.03897909740743</v>
      </c>
      <c r="AS19" s="40">
        <v>51.755821363770217</v>
      </c>
      <c r="AT19" s="39">
        <v>137.02223836918466</v>
      </c>
      <c r="AU19" s="40">
        <v>34.894391439940854</v>
      </c>
      <c r="AV19" s="39">
        <v>69.333076737405378</v>
      </c>
      <c r="AW19" s="40">
        <v>17.636145260905064</v>
      </c>
    </row>
    <row r="20" spans="1:49" x14ac:dyDescent="0.2">
      <c r="A20" t="s">
        <v>114</v>
      </c>
      <c r="B20" s="79">
        <v>26548.356269999993</v>
      </c>
      <c r="C20" s="80">
        <v>1408.5418709999938</v>
      </c>
      <c r="D20" s="79">
        <v>26416.216569841712</v>
      </c>
      <c r="E20" s="80">
        <v>1338.1147774499941</v>
      </c>
      <c r="F20" s="79">
        <v>26265.03010483363</v>
      </c>
      <c r="G20" s="80">
        <v>1267.6876838999945</v>
      </c>
      <c r="H20" s="79">
        <v>26091.108473819906</v>
      </c>
      <c r="I20" s="80">
        <v>1197.2605903499946</v>
      </c>
      <c r="J20" s="79">
        <v>25889.818844323174</v>
      </c>
      <c r="K20" s="80">
        <v>1126.8334967999949</v>
      </c>
      <c r="L20" s="79">
        <v>25655.273190700922</v>
      </c>
      <c r="M20" s="80">
        <v>1056.4064032499953</v>
      </c>
      <c r="N20" s="79">
        <v>25379.898141846617</v>
      </c>
      <c r="O20" s="80">
        <v>985.97930969999561</v>
      </c>
      <c r="P20" s="79">
        <v>25053.851221248111</v>
      </c>
      <c r="Q20" s="80">
        <v>915.55221614999596</v>
      </c>
      <c r="R20" s="79">
        <v>24664.193779024154</v>
      </c>
      <c r="S20" s="80">
        <v>845.12512259999642</v>
      </c>
      <c r="T20" s="79">
        <v>24193.721667117527</v>
      </c>
      <c r="U20" s="80">
        <v>774.69802904999653</v>
      </c>
      <c r="V20" s="79">
        <v>23619.366676478687</v>
      </c>
      <c r="W20" s="80">
        <v>704.27093549999688</v>
      </c>
      <c r="X20" s="79">
        <v>22910.023498940322</v>
      </c>
      <c r="Y20" s="80">
        <v>633.84384194999734</v>
      </c>
      <c r="Z20" s="79">
        <v>22023.798156354507</v>
      </c>
      <c r="AA20" s="80">
        <v>563.41674839999757</v>
      </c>
      <c r="AB20" s="79">
        <v>20904.971812517746</v>
      </c>
      <c r="AC20" s="80">
        <v>492.98965484999775</v>
      </c>
      <c r="AD20" s="79">
        <v>19481.712028094273</v>
      </c>
      <c r="AE20" s="80">
        <v>422.56256129999804</v>
      </c>
      <c r="AF20" s="79">
        <v>17666.82129316017</v>
      </c>
      <c r="AG20" s="80">
        <v>352.13546774999827</v>
      </c>
      <c r="AH20" s="79">
        <v>15364.864195533231</v>
      </c>
      <c r="AI20" s="80">
        <v>281.70837419999856</v>
      </c>
      <c r="AJ20" s="79">
        <v>12487.639581609259</v>
      </c>
      <c r="AK20" s="80">
        <v>211.28128064999879</v>
      </c>
      <c r="AL20" s="79">
        <v>8974.1150352112727</v>
      </c>
      <c r="AM20" s="80">
        <v>140.85418709999905</v>
      </c>
      <c r="AN20" s="79">
        <v>4804.4950374829896</v>
      </c>
      <c r="AO20" s="80">
        <v>70.427093549999285</v>
      </c>
      <c r="AP20" s="79">
        <v>3893.1020764597679</v>
      </c>
      <c r="AQ20" s="80">
        <v>56.341674839999328</v>
      </c>
      <c r="AR20" s="79">
        <v>2956.5601137834651</v>
      </c>
      <c r="AS20" s="80">
        <v>42.256256129999379</v>
      </c>
      <c r="AT20" s="79">
        <v>1995.2480237053376</v>
      </c>
      <c r="AU20" s="80">
        <v>28.170837419999433</v>
      </c>
      <c r="AV20" s="79">
        <v>1009.5799488486065</v>
      </c>
      <c r="AW20" s="80">
        <v>14.08541870999948</v>
      </c>
    </row>
    <row r="21" spans="1:49" x14ac:dyDescent="0.2">
      <c r="A21" t="s">
        <v>76</v>
      </c>
      <c r="B21" s="79">
        <v>24661.96252999999</v>
      </c>
      <c r="C21" s="80">
        <v>1145.7547579999939</v>
      </c>
      <c r="D21" s="79">
        <v>24543.065628685366</v>
      </c>
      <c r="E21" s="80">
        <v>1071.2785813801074</v>
      </c>
      <c r="F21" s="79">
        <v>24406.390527037085</v>
      </c>
      <c r="G21" s="80">
        <v>996.69631158427796</v>
      </c>
      <c r="H21" s="79">
        <v>24248.514204121737</v>
      </c>
      <c r="I21" s="80">
        <v>922.06280437401176</v>
      </c>
      <c r="J21" s="79">
        <v>24065.135514589558</v>
      </c>
      <c r="K21" s="80">
        <v>847.45786033787158</v>
      </c>
      <c r="L21" s="79">
        <v>23850.785028829214</v>
      </c>
      <c r="M21" s="80">
        <v>772.99525983435456</v>
      </c>
      <c r="N21" s="79">
        <v>23598.423162490948</v>
      </c>
      <c r="O21" s="80">
        <v>698.83490352583613</v>
      </c>
      <c r="P21" s="79">
        <v>23298.894505061693</v>
      </c>
      <c r="Q21" s="80">
        <v>625.1990858409456</v>
      </c>
      <c r="R21" s="79">
        <v>22940.154380948959</v>
      </c>
      <c r="S21" s="80">
        <v>552.39359559346337</v>
      </c>
      <c r="T21" s="79">
        <v>22506.17508644591</v>
      </c>
      <c r="U21" s="80">
        <v>480.83357807066119</v>
      </c>
      <c r="V21" s="79">
        <v>21975.450599392836</v>
      </c>
      <c r="W21" s="80">
        <v>411.07424226032896</v>
      </c>
      <c r="X21" s="79">
        <v>21318.964358232293</v>
      </c>
      <c r="Y21" s="80">
        <v>343.84223193195538</v>
      </c>
      <c r="Z21" s="79">
        <v>20497.617459462246</v>
      </c>
      <c r="AA21" s="80">
        <v>280.05793166550467</v>
      </c>
      <c r="AB21" s="79">
        <v>19459.39415953344</v>
      </c>
      <c r="AC21" s="80">
        <v>220.82921193072272</v>
      </c>
      <c r="AD21" s="79">
        <v>18137.232793316096</v>
      </c>
      <c r="AE21" s="80">
        <v>167.38324430326048</v>
      </c>
      <c r="AF21" s="79">
        <v>16449.74504793913</v>
      </c>
      <c r="AG21" s="80">
        <v>120.89862306591714</v>
      </c>
      <c r="AH21" s="79">
        <v>14307.902974860439</v>
      </c>
      <c r="AI21" s="80">
        <v>82.230933130425058</v>
      </c>
      <c r="AJ21" s="79">
        <v>11629.514466128847</v>
      </c>
      <c r="AK21" s="80">
        <v>51.614365348294839</v>
      </c>
      <c r="AL21" s="79">
        <v>8357.8336375326198</v>
      </c>
      <c r="AM21" s="80">
        <v>28.517341471448145</v>
      </c>
      <c r="AN21" s="79">
        <v>4474.6475388574927</v>
      </c>
      <c r="AO21" s="80">
        <v>11.786158901512463</v>
      </c>
      <c r="AP21" s="79">
        <v>3625.8301202922066</v>
      </c>
      <c r="AQ21" s="80">
        <v>9.079165609054682</v>
      </c>
      <c r="AR21" s="79">
        <v>2753.5857020774183</v>
      </c>
      <c r="AS21" s="80">
        <v>6.558140828340858</v>
      </c>
      <c r="AT21" s="79">
        <v>1858.2693504050276</v>
      </c>
      <c r="AU21" s="80">
        <v>4.2118291512057517</v>
      </c>
      <c r="AV21" s="79">
        <v>940.26889919578002</v>
      </c>
      <c r="AW21" s="80">
        <v>2.0292991735501094</v>
      </c>
    </row>
    <row r="22" spans="1:49" x14ac:dyDescent="0.2">
      <c r="A22" t="s">
        <v>28</v>
      </c>
      <c r="B22" s="39">
        <v>6533.6044688320717</v>
      </c>
      <c r="C22" s="40">
        <v>379.90788307663411</v>
      </c>
      <c r="D22" s="39">
        <v>6477.2486406395183</v>
      </c>
      <c r="E22" s="40">
        <v>363.70600963413983</v>
      </c>
      <c r="F22" s="39">
        <v>6415.360794607358</v>
      </c>
      <c r="G22" s="40">
        <v>347.24207544194445</v>
      </c>
      <c r="H22" s="39">
        <v>6346.9907647736545</v>
      </c>
      <c r="I22" s="40">
        <v>330.51436705969377</v>
      </c>
      <c r="J22" s="39">
        <v>6270.9659363323244</v>
      </c>
      <c r="K22" s="40">
        <v>313.52122520857949</v>
      </c>
      <c r="L22" s="39">
        <v>6185.8233295665568</v>
      </c>
      <c r="M22" s="40">
        <v>296.26047896859848</v>
      </c>
      <c r="N22" s="39">
        <v>6089.7156617449582</v>
      </c>
      <c r="O22" s="40">
        <v>278.72859982963411</v>
      </c>
      <c r="P22" s="39">
        <v>5980.2864487062734</v>
      </c>
      <c r="Q22" s="40">
        <v>260.9199122887328</v>
      </c>
      <c r="R22" s="39">
        <v>5854.4954305780457</v>
      </c>
      <c r="S22" s="40">
        <v>242.82543727752099</v>
      </c>
      <c r="T22" s="39">
        <v>5708.3786365712749</v>
      </c>
      <c r="U22" s="40">
        <v>224.43159612740499</v>
      </c>
      <c r="V22" s="39">
        <v>5536.7273999260351</v>
      </c>
      <c r="W22" s="40">
        <v>205.71911899743557</v>
      </c>
      <c r="X22" s="39">
        <v>5332.6705704375463</v>
      </c>
      <c r="Y22" s="40">
        <v>186.66273488061006</v>
      </c>
      <c r="Z22" s="39">
        <v>5087.1750730954072</v>
      </c>
      <c r="AA22" s="40">
        <v>167.23245360245892</v>
      </c>
      <c r="AB22" s="39">
        <v>4788.5572029547075</v>
      </c>
      <c r="AC22" s="40">
        <v>147.39840401168715</v>
      </c>
      <c r="AD22" s="39">
        <v>4422.2503438981803</v>
      </c>
      <c r="AE22" s="40">
        <v>127.14085179980997</v>
      </c>
      <c r="AF22" s="39">
        <v>3971.3102794319375</v>
      </c>
      <c r="AG22" s="40">
        <v>106.46602011260279</v>
      </c>
      <c r="AH22" s="39">
        <v>3418.2607232443006</v>
      </c>
      <c r="AI22" s="40">
        <v>85.423612140252601</v>
      </c>
      <c r="AJ22" s="39">
        <v>2748.4462335078751</v>
      </c>
      <c r="AK22" s="40">
        <v>64.115235245739242</v>
      </c>
      <c r="AL22" s="39">
        <v>1953.8029215484262</v>
      </c>
      <c r="AM22" s="40">
        <v>42.681600868056542</v>
      </c>
      <c r="AN22" s="39">
        <v>1034.9081007485806</v>
      </c>
      <c r="AO22" s="40">
        <v>21.269886845644731</v>
      </c>
      <c r="AP22" s="39">
        <v>836.84106570382141</v>
      </c>
      <c r="AQ22" s="40">
        <v>17.001465847993927</v>
      </c>
      <c r="AR22" s="39">
        <v>634.21362637773109</v>
      </c>
      <c r="AS22" s="40">
        <v>12.739623246610385</v>
      </c>
      <c r="AT22" s="39">
        <v>427.12653398062884</v>
      </c>
      <c r="AU22" s="40">
        <v>8.4850395018459679</v>
      </c>
      <c r="AV22" s="39">
        <v>215.68547536575392</v>
      </c>
      <c r="AW22" s="40">
        <v>4.2383205072298482</v>
      </c>
    </row>
    <row r="23" spans="1:49" x14ac:dyDescent="0.2">
      <c r="A23" t="s">
        <v>7</v>
      </c>
      <c r="B23" s="110">
        <v>3278.5018080150408</v>
      </c>
      <c r="C23" s="8">
        <v>0</v>
      </c>
      <c r="D23" s="110">
        <v>3267.4116378250096</v>
      </c>
      <c r="E23" s="8">
        <v>0</v>
      </c>
      <c r="F23" s="110">
        <v>3254.0125826917988</v>
      </c>
      <c r="G23" s="8">
        <v>0</v>
      </c>
      <c r="H23" s="110">
        <v>3237.8409221336001</v>
      </c>
      <c r="I23" s="8">
        <v>0</v>
      </c>
      <c r="J23" s="110">
        <v>3218.3119057509703</v>
      </c>
      <c r="K23" s="8">
        <v>0</v>
      </c>
      <c r="L23" s="110">
        <v>3194.679694518954</v>
      </c>
      <c r="M23" s="8">
        <v>0</v>
      </c>
      <c r="N23" s="110">
        <v>3165.9817403216211</v>
      </c>
      <c r="O23" s="8">
        <v>0</v>
      </c>
      <c r="P23" s="110">
        <v>3130.9635469592185</v>
      </c>
      <c r="Q23" s="8">
        <v>0</v>
      </c>
      <c r="R23" s="110">
        <v>3087.97172976209</v>
      </c>
      <c r="S23" s="8">
        <v>0</v>
      </c>
      <c r="T23" s="110">
        <v>3034.8027896768599</v>
      </c>
      <c r="U23" s="8">
        <v>0</v>
      </c>
      <c r="V23" s="110">
        <v>2968.4956765809084</v>
      </c>
      <c r="W23" s="8">
        <v>0</v>
      </c>
      <c r="X23" s="110">
        <v>2885.0490784370695</v>
      </c>
      <c r="Y23" s="8">
        <v>0</v>
      </c>
      <c r="Z23" s="110">
        <v>2779.0610590066881</v>
      </c>
      <c r="AA23" s="8">
        <v>0</v>
      </c>
      <c r="AB23" s="110">
        <v>2643.3270920312002</v>
      </c>
      <c r="AC23" s="8">
        <v>0</v>
      </c>
      <c r="AD23" s="110">
        <v>2468.5266097729136</v>
      </c>
      <c r="AE23" s="8">
        <v>0</v>
      </c>
      <c r="AF23" s="110">
        <v>2243.2928273754183</v>
      </c>
      <c r="AG23" s="8">
        <v>0</v>
      </c>
      <c r="AH23" s="110">
        <v>1955.103821376407</v>
      </c>
      <c r="AI23" s="8">
        <v>0</v>
      </c>
      <c r="AJ23" s="110">
        <v>1592.2686744359155</v>
      </c>
      <c r="AK23" s="8">
        <v>0</v>
      </c>
      <c r="AL23" s="110">
        <v>1146.5315292109724</v>
      </c>
      <c r="AM23" s="8">
        <v>0</v>
      </c>
      <c r="AN23" s="110">
        <v>614.96097908187483</v>
      </c>
      <c r="AO23" s="8">
        <v>0</v>
      </c>
      <c r="AP23" s="110">
        <v>498.48172093421385</v>
      </c>
      <c r="AQ23" s="8">
        <v>0</v>
      </c>
      <c r="AR23" s="110">
        <v>378.69637968045714</v>
      </c>
      <c r="AS23" s="8">
        <v>0</v>
      </c>
      <c r="AT23" s="110">
        <v>255.65225796712392</v>
      </c>
      <c r="AU23" s="8">
        <v>0</v>
      </c>
      <c r="AV23" s="110">
        <v>129.40141898486127</v>
      </c>
      <c r="AW23" s="8">
        <v>0</v>
      </c>
    </row>
    <row r="24" spans="1:49" x14ac:dyDescent="0.2">
      <c r="A24" t="s">
        <v>8</v>
      </c>
      <c r="B24" s="93">
        <v>3196.3846373657216</v>
      </c>
      <c r="C24" s="8">
        <v>0</v>
      </c>
      <c r="D24" s="93">
        <v>3213.0166442255272</v>
      </c>
      <c r="E24" s="8">
        <v>0</v>
      </c>
      <c r="F24" s="93">
        <v>3227.879220265861</v>
      </c>
      <c r="G24" s="8">
        <v>0</v>
      </c>
      <c r="H24" s="93">
        <v>3240.522524282027</v>
      </c>
      <c r="I24" s="8">
        <v>0</v>
      </c>
      <c r="J24" s="93">
        <v>3250.363401502118</v>
      </c>
      <c r="K24" s="8">
        <v>0</v>
      </c>
      <c r="L24" s="93">
        <v>3256.6379693691661</v>
      </c>
      <c r="M24" s="8">
        <v>0</v>
      </c>
      <c r="N24" s="93">
        <v>3258.3356117769677</v>
      </c>
      <c r="O24" s="8">
        <v>0</v>
      </c>
      <c r="P24" s="93">
        <v>3254.1080614737443</v>
      </c>
      <c r="Q24" s="8">
        <v>0</v>
      </c>
      <c r="R24" s="93">
        <v>3242.1382396198896</v>
      </c>
      <c r="S24" s="8">
        <v>0</v>
      </c>
      <c r="T24" s="93">
        <v>3219.9507233989252</v>
      </c>
      <c r="U24" s="8">
        <v>0</v>
      </c>
      <c r="V24" s="93">
        <v>3184.1453108279065</v>
      </c>
      <c r="W24" s="8">
        <v>0</v>
      </c>
      <c r="X24" s="93">
        <v>3130.0201275422955</v>
      </c>
      <c r="Y24" s="8">
        <v>0</v>
      </c>
      <c r="Z24" s="93">
        <v>3051.0667800125798</v>
      </c>
      <c r="AA24" s="8">
        <v>0</v>
      </c>
      <c r="AB24" s="93">
        <v>2938.355752190525</v>
      </c>
      <c r="AC24" s="8">
        <v>0</v>
      </c>
      <c r="AD24" s="93">
        <v>2779.9442230342092</v>
      </c>
      <c r="AE24" s="8">
        <v>0</v>
      </c>
      <c r="AF24" s="93">
        <v>2560.6629164013007</v>
      </c>
      <c r="AG24" s="8">
        <v>0</v>
      </c>
      <c r="AH24" s="93">
        <v>2262.8981347135109</v>
      </c>
      <c r="AI24" s="8">
        <v>0</v>
      </c>
      <c r="AJ24" s="93">
        <v>1868.9174736845837</v>
      </c>
      <c r="AK24" s="8">
        <v>0</v>
      </c>
      <c r="AL24" s="93">
        <v>1364.4039288726833</v>
      </c>
      <c r="AM24" s="8">
        <v>0</v>
      </c>
      <c r="AN24" s="93">
        <v>741.55899899940323</v>
      </c>
      <c r="AO24" s="8">
        <v>0</v>
      </c>
      <c r="AP24" s="93">
        <v>602.63698377010917</v>
      </c>
      <c r="AQ24" s="8">
        <v>0</v>
      </c>
      <c r="AR24" s="93">
        <v>458.97713948771963</v>
      </c>
      <c r="AS24" s="8">
        <v>0</v>
      </c>
      <c r="AT24" s="93">
        <v>310.61846633993099</v>
      </c>
      <c r="AU24" s="8">
        <v>0</v>
      </c>
      <c r="AV24" s="93">
        <v>157.60801186927367</v>
      </c>
      <c r="AW24" s="8">
        <v>0</v>
      </c>
    </row>
    <row r="25" spans="1:49" x14ac:dyDescent="0.2">
      <c r="A25" t="s">
        <v>0</v>
      </c>
      <c r="B25" s="39">
        <v>3195.0476040000012</v>
      </c>
      <c r="C25" s="40">
        <v>91.012690000004255</v>
      </c>
      <c r="D25" s="39">
        <v>3193.7360054683809</v>
      </c>
      <c r="E25" s="40">
        <v>78.304810657506053</v>
      </c>
      <c r="F25" s="39">
        <v>3189.8886082520862</v>
      </c>
      <c r="G25" s="40">
        <v>66.599095220233323</v>
      </c>
      <c r="H25" s="39">
        <v>3183.0711116456337</v>
      </c>
      <c r="I25" s="40">
        <v>55.915771759204063</v>
      </c>
      <c r="J25" s="39">
        <v>3172.7332391448767</v>
      </c>
      <c r="K25" s="40">
        <v>46.267579584291987</v>
      </c>
      <c r="L25" s="39">
        <v>3158.1656930278373</v>
      </c>
      <c r="M25" s="40">
        <v>37.658424951212091</v>
      </c>
      <c r="N25" s="39">
        <v>3138.4395212285708</v>
      </c>
      <c r="O25" s="40">
        <v>30.0820641819295</v>
      </c>
      <c r="P25" s="39">
        <v>3112.3225079731724</v>
      </c>
      <c r="Q25" s="40">
        <v>23.520612612520445</v>
      </c>
      <c r="R25" s="39">
        <v>3078.1591567701707</v>
      </c>
      <c r="S25" s="40">
        <v>17.943313192115696</v>
      </c>
      <c r="T25" s="39">
        <v>3033.6996239055052</v>
      </c>
      <c r="U25" s="40">
        <v>13.305402279743261</v>
      </c>
      <c r="V25" s="39">
        <v>2975.8653134314995</v>
      </c>
      <c r="W25" s="40">
        <v>9.5474191645155901</v>
      </c>
      <c r="X25" s="39">
        <v>2900.4313868448348</v>
      </c>
      <c r="Y25" s="40">
        <v>6.5949934118500533</v>
      </c>
      <c r="Z25" s="39">
        <v>2801.6299636366007</v>
      </c>
      <c r="AA25" s="40">
        <v>4.3595121611496941</v>
      </c>
      <c r="AB25" s="39">
        <v>2671.7249762435581</v>
      </c>
      <c r="AC25" s="40">
        <v>2.7399436299066924</v>
      </c>
      <c r="AD25" s="39">
        <v>2500.721658124497</v>
      </c>
      <c r="AE25" s="40">
        <v>1.6263772260129237</v>
      </c>
      <c r="AF25" s="39">
        <v>2276.5522615229797</v>
      </c>
      <c r="AG25" s="40">
        <v>0.90574533999926077</v>
      </c>
      <c r="AH25" s="39">
        <v>1986.2052993263048</v>
      </c>
      <c r="AI25" s="40">
        <v>0.46977268813819584</v>
      </c>
      <c r="AJ25" s="39">
        <v>1618.0112566583632</v>
      </c>
      <c r="AK25" s="40">
        <v>0.22389644356110597</v>
      </c>
      <c r="AL25" s="39">
        <v>1164.4230748897028</v>
      </c>
      <c r="AM25" s="40">
        <v>9.4298180790929303E-2</v>
      </c>
      <c r="AN25" s="39">
        <v>623.78276999214836</v>
      </c>
      <c r="AO25" s="40">
        <v>3.0053225620646769E-2</v>
      </c>
      <c r="AP25" s="39">
        <v>505.47368426033898</v>
      </c>
      <c r="AQ25" s="40">
        <v>2.2020182278073671E-2</v>
      </c>
      <c r="AR25" s="39">
        <v>383.88052247465981</v>
      </c>
      <c r="AS25" s="40">
        <v>1.5139965645497839E-2</v>
      </c>
      <c r="AT25" s="39">
        <v>259.06157501261066</v>
      </c>
      <c r="AU25" s="40">
        <v>9.2620772587733834E-3</v>
      </c>
      <c r="AV25" s="39">
        <v>131.07938464261122</v>
      </c>
      <c r="AW25" s="40">
        <v>4.2541345245667491E-3</v>
      </c>
    </row>
    <row r="26" spans="1:49" x14ac:dyDescent="0.2">
      <c r="A26" t="s">
        <v>27</v>
      </c>
      <c r="B26" s="31">
        <v>5036.2953101960647</v>
      </c>
      <c r="C26" s="32">
        <v>74.905331803938267</v>
      </c>
      <c r="D26" s="31">
        <v>5021.1475901351832</v>
      </c>
      <c r="E26" s="32">
        <v>69.960071864877577</v>
      </c>
      <c r="F26" s="31">
        <v>5002.8705121157427</v>
      </c>
      <c r="G26" s="32">
        <v>65.054868273910174</v>
      </c>
      <c r="H26" s="31">
        <v>4980.7999056967155</v>
      </c>
      <c r="I26" s="32">
        <v>60.190199135938684</v>
      </c>
      <c r="J26" s="31">
        <v>4954.0883724999649</v>
      </c>
      <c r="K26" s="32">
        <v>55.36694254013689</v>
      </c>
      <c r="L26" s="31">
        <v>4921.6414184908581</v>
      </c>
      <c r="M26" s="32">
        <v>50.586862861797101</v>
      </c>
      <c r="N26" s="31">
        <v>4882.0282618750607</v>
      </c>
      <c r="O26" s="32">
        <v>45.853385100560047</v>
      </c>
      <c r="P26" s="31">
        <v>4833.3595058145038</v>
      </c>
      <c r="Q26" s="32">
        <v>41.172483307341182</v>
      </c>
      <c r="R26" s="31">
        <v>4773.1123198344631</v>
      </c>
      <c r="S26" s="32">
        <v>36.55410428705116</v>
      </c>
      <c r="T26" s="31">
        <v>4697.8808306180581</v>
      </c>
      <c r="U26" s="32">
        <v>32.014014282117252</v>
      </c>
      <c r="V26" s="31">
        <v>4603.031863092101</v>
      </c>
      <c r="W26" s="32">
        <v>27.576210561787317</v>
      </c>
      <c r="X26" s="31">
        <v>4482.2315770500354</v>
      </c>
      <c r="Y26" s="32">
        <v>23.275643361776513</v>
      </c>
      <c r="Z26" s="31">
        <v>4326.8379815907701</v>
      </c>
      <c r="AA26" s="32">
        <v>19.160937569584462</v>
      </c>
      <c r="AB26" s="31">
        <v>4125.2146427437383</v>
      </c>
      <c r="AC26" s="32">
        <v>15.295705958974272</v>
      </c>
      <c r="AD26" s="31">
        <v>3862.1789469005721</v>
      </c>
      <c r="AE26" s="32">
        <v>11.756316456625308</v>
      </c>
      <c r="AF26" s="31">
        <v>3519.0724076707324</v>
      </c>
      <c r="AG26" s="32">
        <v>8.6229962262472899</v>
      </c>
      <c r="AH26" s="31">
        <v>3075.1851031661809</v>
      </c>
      <c r="AI26" s="32">
        <v>5.9626361511863148</v>
      </c>
      <c r="AJ26" s="31">
        <v>2511.0031514608254</v>
      </c>
      <c r="AK26" s="32">
        <v>3.8072652647210772</v>
      </c>
      <c r="AL26" s="31">
        <v>1812.5114766124177</v>
      </c>
      <c r="AM26" s="32">
        <v>2.1399698229711221</v>
      </c>
      <c r="AN26" s="31">
        <v>974.35694352749363</v>
      </c>
      <c r="AO26" s="32">
        <v>0.89929240298024871</v>
      </c>
      <c r="AP26" s="31">
        <v>790.13895035167639</v>
      </c>
      <c r="AQ26" s="32">
        <v>0.69498587982799787</v>
      </c>
      <c r="AR26" s="31">
        <v>600.51693096478357</v>
      </c>
      <c r="AS26" s="32">
        <v>0.50361039915494954</v>
      </c>
      <c r="AT26" s="31">
        <v>405.56436609051923</v>
      </c>
      <c r="AU26" s="32">
        <v>0.32445178702929528</v>
      </c>
      <c r="AV26" s="31">
        <v>205.36265634429603</v>
      </c>
      <c r="AW26" s="32">
        <v>0.15680935079065161</v>
      </c>
    </row>
    <row r="27" spans="1:49" x14ac:dyDescent="0.2">
      <c r="A27" t="s">
        <v>2</v>
      </c>
      <c r="B27" s="33">
        <v>6425.1981590000414</v>
      </c>
      <c r="C27" s="34">
        <v>273.22915400000028</v>
      </c>
      <c r="D27" s="33">
        <v>6405.0715971712179</v>
      </c>
      <c r="E27" s="34">
        <v>255.17460134613518</v>
      </c>
      <c r="F27" s="33">
        <v>6380.8135300849062</v>
      </c>
      <c r="G27" s="34">
        <v>237.2656256738733</v>
      </c>
      <c r="H27" s="33">
        <v>6351.5996421417085</v>
      </c>
      <c r="I27" s="34">
        <v>219.50499631527086</v>
      </c>
      <c r="J27" s="33">
        <v>6316.3830374076788</v>
      </c>
      <c r="K27" s="34">
        <v>201.89686196685071</v>
      </c>
      <c r="L27" s="33">
        <v>6273.8166206512142</v>
      </c>
      <c r="M27" s="34">
        <v>184.44856320834816</v>
      </c>
      <c r="N27" s="33">
        <v>6222.1440819440068</v>
      </c>
      <c r="O27" s="34">
        <v>167.17366551710808</v>
      </c>
      <c r="P27" s="33">
        <v>6159.0493628595432</v>
      </c>
      <c r="Q27" s="34">
        <v>150.0949051084315</v>
      </c>
      <c r="R27" s="33">
        <v>6081.4399902850664</v>
      </c>
      <c r="S27" s="34">
        <v>133.24936755644271</v>
      </c>
      <c r="T27" s="33">
        <v>5985.1355543769732</v>
      </c>
      <c r="U27" s="34">
        <v>116.6951292254946</v>
      </c>
      <c r="V27" s="33">
        <v>5864.4319709997899</v>
      </c>
      <c r="W27" s="34">
        <v>100.51994521826622</v>
      </c>
      <c r="X27" s="33">
        <v>5711.4943013664952</v>
      </c>
      <c r="Y27" s="34">
        <v>84.850818126973778</v>
      </c>
      <c r="Z27" s="33">
        <v>5515.5597993860647</v>
      </c>
      <c r="AA27" s="34">
        <v>69.863900744460423</v>
      </c>
      <c r="AB27" s="33">
        <v>5262.0036579712769</v>
      </c>
      <c r="AC27" s="34">
        <v>55.788985826806531</v>
      </c>
      <c r="AD27" s="33">
        <v>4931.5129621134411</v>
      </c>
      <c r="AE27" s="34">
        <v>42.901438133310023</v>
      </c>
      <c r="AF27" s="33">
        <v>4499.970854903283</v>
      </c>
      <c r="AG27" s="34">
        <v>31.490207801119197</v>
      </c>
      <c r="AH27" s="33">
        <v>3940.0121238528468</v>
      </c>
      <c r="AI27" s="34">
        <v>21.796063665661947</v>
      </c>
      <c r="AJ27" s="33">
        <v>3224.976393986557</v>
      </c>
      <c r="AK27" s="34">
        <v>13.934118434227829</v>
      </c>
      <c r="AL27" s="33">
        <v>2334.4769925544588</v>
      </c>
      <c r="AM27" s="34">
        <v>7.8431180937055336</v>
      </c>
      <c r="AN27" s="33">
        <v>1258.8648138498384</v>
      </c>
      <c r="AO27" s="34">
        <v>3.3010958324531918</v>
      </c>
      <c r="AP27" s="33">
        <v>1021.5137243258155</v>
      </c>
      <c r="AQ27" s="34">
        <v>2.5519549064722984</v>
      </c>
      <c r="AR27" s="33">
        <v>776.86879673719534</v>
      </c>
      <c r="AS27" s="34">
        <v>1.8498330192366288</v>
      </c>
      <c r="AT27" s="33">
        <v>525.00738366551059</v>
      </c>
      <c r="AU27" s="34">
        <v>1.1921464069978078</v>
      </c>
      <c r="AV27" s="33">
        <v>266.01821624489088</v>
      </c>
      <c r="AW27" s="34">
        <v>0.57635962572058086</v>
      </c>
    </row>
    <row r="28" spans="1:49" x14ac:dyDescent="0.2">
      <c r="A28" t="s">
        <v>35</v>
      </c>
      <c r="B28" s="39">
        <v>13763.097676000029</v>
      </c>
      <c r="C28" s="40">
        <v>382.36647899999997</v>
      </c>
      <c r="D28" s="39">
        <v>13720.900745058721</v>
      </c>
      <c r="E28" s="40">
        <v>357.1066647308827</v>
      </c>
      <c r="F28" s="39">
        <v>13670.012579259952</v>
      </c>
      <c r="G28" s="40">
        <v>332.05078736519783</v>
      </c>
      <c r="H28" s="39">
        <v>13608.641069139736</v>
      </c>
      <c r="I28" s="40">
        <v>307.20231248178374</v>
      </c>
      <c r="J28" s="39">
        <v>13534.504584363198</v>
      </c>
      <c r="K28" s="40">
        <v>282.56666825236454</v>
      </c>
      <c r="L28" s="39">
        <v>13444.661329744453</v>
      </c>
      <c r="M28" s="40">
        <v>258.15376659441324</v>
      </c>
      <c r="N28" s="39">
        <v>13335.270416665617</v>
      </c>
      <c r="O28" s="40">
        <v>233.98216465253407</v>
      </c>
      <c r="P28" s="39">
        <v>13201.263143213533</v>
      </c>
      <c r="Q28" s="40">
        <v>210.08330492672658</v>
      </c>
      <c r="R28" s="39">
        <v>13035.871654700151</v>
      </c>
      <c r="S28" s="40">
        <v>186.50876801061293</v>
      </c>
      <c r="T28" s="39">
        <v>12829.953742959944</v>
      </c>
      <c r="U28" s="40">
        <v>163.33960411723646</v>
      </c>
      <c r="V28" s="39">
        <v>12571.055426439809</v>
      </c>
      <c r="W28" s="40">
        <v>140.69853384987695</v>
      </c>
      <c r="X28" s="39">
        <v>12242.113783847795</v>
      </c>
      <c r="Y28" s="40">
        <v>118.76348130803385</v>
      </c>
      <c r="Z28" s="39">
        <v>11819.774256904902</v>
      </c>
      <c r="AA28" s="40">
        <v>97.781441219132304</v>
      </c>
      <c r="AB28" s="39">
        <v>11272.455397829632</v>
      </c>
      <c r="AC28" s="40">
        <v>78.074881447097439</v>
      </c>
      <c r="AD28" s="39">
        <v>10558.71769492137</v>
      </c>
      <c r="AE28" s="40">
        <v>60.030423967227726</v>
      </c>
      <c r="AF28" s="39">
        <v>9627.2499717633</v>
      </c>
      <c r="AG28" s="40">
        <v>44.05390262627904</v>
      </c>
      <c r="AH28" s="39">
        <v>8420.5039092686366</v>
      </c>
      <c r="AI28" s="40">
        <v>30.483550719216655</v>
      </c>
      <c r="AJ28" s="39">
        <v>6883.3889423751016</v>
      </c>
      <c r="AK28" s="40">
        <v>19.48116857702405</v>
      </c>
      <c r="AL28" s="39">
        <v>4975.1255155821018</v>
      </c>
      <c r="AM28" s="40">
        <v>10.960892150647549</v>
      </c>
      <c r="AN28" s="39">
        <v>2678.329015090143</v>
      </c>
      <c r="AO28" s="40">
        <v>4.6112423657849586</v>
      </c>
      <c r="AP28" s="39">
        <v>2172.5901088879586</v>
      </c>
      <c r="AQ28" s="40">
        <v>3.5644444727127853</v>
      </c>
      <c r="AR28" s="39">
        <v>1651.6912361742366</v>
      </c>
      <c r="AS28" s="40">
        <v>2.5835095693449639</v>
      </c>
      <c r="AT28" s="39">
        <v>1115.8177521485748</v>
      </c>
      <c r="AU28" s="40">
        <v>1.6648133632272282</v>
      </c>
      <c r="AV28" s="39">
        <v>565.17794702288631</v>
      </c>
      <c r="AW28" s="40">
        <v>0.80479949501490244</v>
      </c>
    </row>
    <row r="29" spans="1:49" x14ac:dyDescent="0.2">
      <c r="A29" t="s">
        <v>53</v>
      </c>
      <c r="B29" s="33">
        <v>14362.768558000025</v>
      </c>
      <c r="C29" s="34">
        <v>817.26650999999993</v>
      </c>
      <c r="D29" s="33">
        <v>14300.341539482739</v>
      </c>
      <c r="E29" s="34">
        <v>757.08559582873056</v>
      </c>
      <c r="F29" s="33">
        <v>14227.450404111625</v>
      </c>
      <c r="G29" s="34">
        <v>697.82651036744551</v>
      </c>
      <c r="H29" s="33">
        <v>14142.10596722417</v>
      </c>
      <c r="I29" s="34">
        <v>639.54175423851439</v>
      </c>
      <c r="J29" s="33">
        <v>14041.806646057888</v>
      </c>
      <c r="K29" s="34">
        <v>582.29366691252096</v>
      </c>
      <c r="L29" s="33">
        <v>13923.366784682863</v>
      </c>
      <c r="M29" s="34">
        <v>526.16001495742353</v>
      </c>
      <c r="N29" s="33">
        <v>13782.678411131801</v>
      </c>
      <c r="O29" s="34">
        <v>471.24253428376255</v>
      </c>
      <c r="P29" s="33">
        <v>13614.387237414476</v>
      </c>
      <c r="Q29" s="34">
        <v>417.67498390125451</v>
      </c>
      <c r="R29" s="33">
        <v>13411.432641142203</v>
      </c>
      <c r="S29" s="34">
        <v>365.63617864158834</v>
      </c>
      <c r="T29" s="33">
        <v>13164.396289737782</v>
      </c>
      <c r="U29" s="34">
        <v>315.3653399410498</v>
      </c>
      <c r="V29" s="33">
        <v>12860.611654308836</v>
      </c>
      <c r="W29" s="34">
        <v>267.1802982976497</v>
      </c>
      <c r="X29" s="33">
        <v>12482.954077241799</v>
      </c>
      <c r="Y29" s="34">
        <v>221.49427398764857</v>
      </c>
      <c r="Z29" s="33">
        <v>12008.312026121155</v>
      </c>
      <c r="AA29" s="34">
        <v>178.8277581386065</v>
      </c>
      <c r="AB29" s="33">
        <v>11405.908106782341</v>
      </c>
      <c r="AC29" s="34">
        <v>139.79992665230759</v>
      </c>
      <c r="AD29" s="33">
        <v>10636.051886531166</v>
      </c>
      <c r="AE29" s="34">
        <v>105.08202715092376</v>
      </c>
      <c r="AF29" s="33">
        <v>9650.6036842025333</v>
      </c>
      <c r="AG29" s="34">
        <v>75.29062679358023</v>
      </c>
      <c r="AH29" s="33">
        <v>8396.9967875297025</v>
      </c>
      <c r="AI29" s="34">
        <v>50.820908907008906</v>
      </c>
      <c r="AJ29" s="33">
        <v>6826.8673313541485</v>
      </c>
      <c r="AK29" s="34">
        <v>31.673983682083918</v>
      </c>
      <c r="AL29" s="33">
        <v>4907.0724049063147</v>
      </c>
      <c r="AM29" s="34">
        <v>17.387983374345939</v>
      </c>
      <c r="AN29" s="33">
        <v>2627.3461623485441</v>
      </c>
      <c r="AO29" s="34">
        <v>7.1454588589999144</v>
      </c>
      <c r="AP29" s="33">
        <v>2128.9616000719043</v>
      </c>
      <c r="AQ29" s="34">
        <v>5.4985056425517538</v>
      </c>
      <c r="AR29" s="33">
        <v>1616.8126950879914</v>
      </c>
      <c r="AS29" s="34">
        <v>3.9676451092676177</v>
      </c>
      <c r="AT29" s="33">
        <v>1091.1122049026346</v>
      </c>
      <c r="AU29" s="34">
        <v>2.5455897996846621</v>
      </c>
      <c r="AV29" s="33">
        <v>552.09197426094613</v>
      </c>
      <c r="AW29" s="34">
        <v>1.2252977763275799</v>
      </c>
    </row>
    <row r="30" spans="1:49" x14ac:dyDescent="0.2">
      <c r="A30" t="s">
        <v>48</v>
      </c>
      <c r="B30" s="112">
        <v>2924829.9599999995</v>
      </c>
      <c r="D30" s="112">
        <v>2958802.2725248015</v>
      </c>
      <c r="F30" s="112">
        <v>2991496.8134379266</v>
      </c>
      <c r="H30" s="112">
        <v>3022500.6506472537</v>
      </c>
      <c r="J30" s="112">
        <v>3051265.5735963951</v>
      </c>
      <c r="L30" s="112">
        <v>3077060.401692315</v>
      </c>
      <c r="N30" s="112">
        <v>3098903.730872598</v>
      </c>
      <c r="P30" s="112">
        <v>3115469.4189674254</v>
      </c>
      <c r="R30" s="112">
        <v>3124950.0230820747</v>
      </c>
      <c r="T30" s="112">
        <v>3124859.5410251776</v>
      </c>
      <c r="V30" s="112">
        <v>3111748.8068294302</v>
      </c>
      <c r="X30" s="112">
        <v>3080797.5031679221</v>
      </c>
      <c r="Z30" s="112">
        <v>3025251.5844659545</v>
      </c>
      <c r="AB30" s="112">
        <v>2935707.5889265146</v>
      </c>
      <c r="AD30" s="112">
        <v>2799359.6733264513</v>
      </c>
      <c r="AF30" s="112">
        <v>2599572.48112207</v>
      </c>
      <c r="AH30" s="112">
        <v>2316469.7785161091</v>
      </c>
      <c r="AJ30" s="112">
        <v>1929256.568191929</v>
      </c>
      <c r="AL30" s="112">
        <v>1420111.5944728497</v>
      </c>
      <c r="AN30" s="112">
        <v>777958.63714341959</v>
      </c>
      <c r="AP30" s="112">
        <v>633181.5210367355</v>
      </c>
      <c r="AR30" s="112">
        <v>482965.19216350385</v>
      </c>
      <c r="AT30" s="112">
        <v>327336.6913983667</v>
      </c>
      <c r="AV30" s="112">
        <v>166332.97935953378</v>
      </c>
    </row>
    <row r="31" spans="1:49" x14ac:dyDescent="0.2">
      <c r="A31" t="s">
        <v>47</v>
      </c>
      <c r="B31" s="77">
        <v>1</v>
      </c>
      <c r="D31" s="77">
        <v>0.98947101121958003</v>
      </c>
      <c r="F31" s="77">
        <v>0.97799316255035018</v>
      </c>
      <c r="H31" s="77">
        <v>0.96541683917958876</v>
      </c>
      <c r="J31" s="77">
        <v>0.95155969576256516</v>
      </c>
      <c r="L31" s="77">
        <v>0.93619711060618527</v>
      </c>
      <c r="N31" s="77">
        <v>0.91904909224284015</v>
      </c>
      <c r="P31" s="77">
        <v>0.89976313486209825</v>
      </c>
      <c r="R31" s="77">
        <v>0.8778905032424511</v>
      </c>
      <c r="T31" s="77">
        <v>0.85285412158534091</v>
      </c>
      <c r="V31" s="77">
        <v>0.82390648439722247</v>
      </c>
      <c r="X31" s="77">
        <v>0.79007637784874662</v>
      </c>
      <c r="Z31" s="77">
        <v>0.75010795382056072</v>
      </c>
      <c r="AB31" s="77">
        <v>0.70240697534698793</v>
      </c>
      <c r="AD31" s="77">
        <v>0.64502954887370767</v>
      </c>
      <c r="AF31" s="77">
        <v>0.57577783016593354</v>
      </c>
      <c r="AH31" s="77">
        <v>0.49247561561040504</v>
      </c>
      <c r="AJ31" s="77">
        <v>0.39342695166741865</v>
      </c>
      <c r="AL31" s="77">
        <v>0.27789079032847447</v>
      </c>
      <c r="AN31" s="77">
        <v>0.14628791543882241</v>
      </c>
      <c r="AP31" s="77">
        <v>0.11814884373653785</v>
      </c>
      <c r="AR31" s="77">
        <v>8.9435204793017337E-2</v>
      </c>
      <c r="AT31" s="77">
        <v>6.0162080443734743E-2</v>
      </c>
      <c r="AV31" s="77">
        <v>3.0345040070762268E-2</v>
      </c>
    </row>
    <row r="32" spans="1:49" x14ac:dyDescent="0.2">
      <c r="A32" t="s">
        <v>64</v>
      </c>
      <c r="B32" s="83">
        <v>14734457.915000005</v>
      </c>
      <c r="D32" s="83">
        <v>14669542.107175063</v>
      </c>
      <c r="F32" s="83">
        <v>14594533.777349057</v>
      </c>
      <c r="H32" s="83">
        <v>14507335.966779886</v>
      </c>
      <c r="J32" s="83">
        <v>14405310.772096679</v>
      </c>
      <c r="L32" s="83">
        <v>14285105.168282857</v>
      </c>
      <c r="N32" s="83">
        <v>14142410.127649339</v>
      </c>
      <c r="P32" s="83">
        <v>13971636.040518591</v>
      </c>
      <c r="R32" s="83">
        <v>13765452.747786945</v>
      </c>
      <c r="T32" s="83">
        <v>13514140.252581775</v>
      </c>
      <c r="V32" s="83">
        <v>13204698.278915251</v>
      </c>
      <c r="X32" s="83">
        <v>12819631.115971556</v>
      </c>
      <c r="Z32" s="83">
        <v>12335392.87214563</v>
      </c>
      <c r="AB32" s="83">
        <v>11720639.938428286</v>
      </c>
      <c r="AD32" s="83">
        <v>10934837.835874019</v>
      </c>
      <c r="AF32" s="83">
        <v>9928482.9388626162</v>
      </c>
      <c r="AH32" s="83">
        <v>8646843.1101583522</v>
      </c>
      <c r="AJ32" s="83">
        <v>7038467.95816347</v>
      </c>
      <c r="AL32" s="83">
        <v>5066510.403947196</v>
      </c>
      <c r="AN32" s="83">
        <v>2717131.3125240607</v>
      </c>
      <c r="AP32" s="83">
        <v>2202462.1597901657</v>
      </c>
      <c r="AR32" s="83">
        <v>1673203.974199339</v>
      </c>
      <c r="AT32" s="83">
        <v>1129556.8601364205</v>
      </c>
      <c r="AV32" s="83">
        <v>571742.26441154757</v>
      </c>
    </row>
    <row r="33" spans="1:49 16319:16384" x14ac:dyDescent="0.2">
      <c r="A33" t="s">
        <v>54</v>
      </c>
      <c r="B33" s="111">
        <v>7019665.6909999941</v>
      </c>
      <c r="D33" s="111">
        <v>6960886.7105509695</v>
      </c>
      <c r="F33" s="111">
        <v>6896867.6226441795</v>
      </c>
      <c r="H33" s="111">
        <v>6826608.338507276</v>
      </c>
      <c r="J33" s="111">
        <v>6748866.5202734694</v>
      </c>
      <c r="L33" s="111">
        <v>6662083.4993852461</v>
      </c>
      <c r="N33" s="111">
        <v>6564281.5752191544</v>
      </c>
      <c r="P33" s="111">
        <v>6452926.6489773663</v>
      </c>
      <c r="R33" s="111">
        <v>6324735.4433945464</v>
      </c>
      <c r="T33" s="111">
        <v>6175408.5393366124</v>
      </c>
      <c r="V33" s="111">
        <v>5999268.6720083412</v>
      </c>
      <c r="X33" s="111">
        <v>5788781.5281994352</v>
      </c>
      <c r="Z33" s="111">
        <v>5533965.9804853043</v>
      </c>
      <c r="AB33" s="111">
        <v>5221780.772381519</v>
      </c>
      <c r="AD33" s="111">
        <v>4835743.9357953137</v>
      </c>
      <c r="AF33" s="111">
        <v>4356318.5400956394</v>
      </c>
      <c r="AH33" s="111">
        <v>3762786.1472295113</v>
      </c>
      <c r="AJ33" s="111">
        <v>3036925.1326476205</v>
      </c>
      <c r="AL33" s="111">
        <v>2167426.5390321766</v>
      </c>
      <c r="AN33" s="111">
        <v>1152648.0128695627</v>
      </c>
      <c r="AP33" s="111">
        <v>932783.45775688859</v>
      </c>
      <c r="AR33" s="111">
        <v>707480.22718252428</v>
      </c>
      <c r="AT33" s="111">
        <v>476841.21018651221</v>
      </c>
      <c r="AV33" s="111">
        <v>240976.06592282013</v>
      </c>
    </row>
    <row r="34" spans="1:49 16319:16384" x14ac:dyDescent="0.2">
      <c r="A34" t="s">
        <v>75</v>
      </c>
      <c r="B34" s="111">
        <v>1136879.4410000113</v>
      </c>
      <c r="D34" s="111">
        <v>1131870.549584962</v>
      </c>
      <c r="F34" s="111">
        <v>1126083.1938753398</v>
      </c>
      <c r="H34" s="111">
        <v>1119355.1987839779</v>
      </c>
      <c r="J34" s="111">
        <v>1111483.1179152629</v>
      </c>
      <c r="L34" s="111">
        <v>1102208.3495230796</v>
      </c>
      <c r="N34" s="111">
        <v>1091198.3132238616</v>
      </c>
      <c r="P34" s="111">
        <v>1078021.6496216182</v>
      </c>
      <c r="R34" s="111">
        <v>1062113.046052957</v>
      </c>
      <c r="T34" s="111">
        <v>1042722.3341059979</v>
      </c>
      <c r="V34" s="111">
        <v>1018846.4450980199</v>
      </c>
      <c r="X34" s="111">
        <v>989135.47697186936</v>
      </c>
      <c r="Z34" s="111">
        <v>951772.68305577373</v>
      </c>
      <c r="AB34" s="111">
        <v>904339.65742578241</v>
      </c>
      <c r="AD34" s="111">
        <v>843708.85171550571</v>
      </c>
      <c r="AF34" s="111">
        <v>766060.63117456529</v>
      </c>
      <c r="AH34" s="111">
        <v>667172.02732288302</v>
      </c>
      <c r="AJ34" s="111">
        <v>543073.22080999869</v>
      </c>
      <c r="AL34" s="111">
        <v>390921.1611230062</v>
      </c>
      <c r="AN34" s="111">
        <v>209648.06875401147</v>
      </c>
      <c r="AP34" s="111">
        <v>169937.29445381736</v>
      </c>
      <c r="AR34" s="111">
        <v>129100.86197912769</v>
      </c>
      <c r="AT34" s="111">
        <v>87154.207280743925</v>
      </c>
      <c r="AV34" s="111">
        <v>44114.416778825347</v>
      </c>
    </row>
    <row r="35" spans="1:49 16319:16384" x14ac:dyDescent="0.2">
      <c r="A35" t="s">
        <v>78</v>
      </c>
      <c r="B35" s="192">
        <v>1</v>
      </c>
      <c r="D35" s="192">
        <v>1.0021791843151913</v>
      </c>
      <c r="F35" s="192">
        <v>1.004621356471336</v>
      </c>
      <c r="H35" s="192">
        <v>1.0073580867836305</v>
      </c>
      <c r="J35" s="192">
        <v>1.010426698074266</v>
      </c>
      <c r="L35" s="192">
        <v>1.0138717403073787</v>
      </c>
      <c r="N35" s="192">
        <v>1.0177468703436534</v>
      </c>
      <c r="P35" s="192">
        <v>1.0221171507051321</v>
      </c>
      <c r="R35" s="192">
        <v>1.0270618877035875</v>
      </c>
      <c r="T35" s="192">
        <v>1.0326779061141695</v>
      </c>
      <c r="V35" s="192">
        <v>1.0390828186599432</v>
      </c>
      <c r="X35" s="192">
        <v>1.0464171318170912</v>
      </c>
      <c r="Z35" s="192">
        <v>1.0548427929626063</v>
      </c>
      <c r="AB35" s="192">
        <v>1.0645333051634402</v>
      </c>
      <c r="AD35" s="192">
        <v>1.0756482769136309</v>
      </c>
      <c r="AF35" s="192">
        <v>1.0882856370769636</v>
      </c>
      <c r="AH35" s="192">
        <v>1.1024151349403415</v>
      </c>
      <c r="AJ35" s="192">
        <v>1.1178209723573578</v>
      </c>
      <c r="AL35" s="192">
        <v>1.1341015892874506</v>
      </c>
      <c r="AN35" s="192">
        <v>1.1507509635037036</v>
      </c>
      <c r="AP35" s="192">
        <v>1.1540805946690436</v>
      </c>
      <c r="AR35" s="192">
        <v>1.1574016100231126</v>
      </c>
      <c r="AT35" s="192">
        <v>1.160710749595752</v>
      </c>
      <c r="AV35" s="192">
        <v>1.1640049791785474</v>
      </c>
    </row>
    <row r="36" spans="1:49 16319:16384" x14ac:dyDescent="0.2">
      <c r="A36" t="s">
        <v>21</v>
      </c>
      <c r="B36" s="35">
        <v>0.47195767671988198</v>
      </c>
      <c r="C36" s="36">
        <v>0.31738834428178964</v>
      </c>
      <c r="D36" s="35">
        <v>0.47197373198984344</v>
      </c>
      <c r="E36" s="36">
        <v>0.31965848627835475</v>
      </c>
      <c r="F36" s="35">
        <v>0.47198985950455313</v>
      </c>
      <c r="G36" s="36">
        <v>0.322133064685592</v>
      </c>
      <c r="H36" s="35">
        <v>0.4720061083883651</v>
      </c>
      <c r="I36" s="36">
        <v>0.32483729903251563</v>
      </c>
      <c r="J36" s="35">
        <v>0.4720225389293719</v>
      </c>
      <c r="K36" s="36">
        <v>0.32780010828568973</v>
      </c>
      <c r="L36" s="35">
        <v>0.47203922214109495</v>
      </c>
      <c r="M36" s="36">
        <v>0.3310546968615562</v>
      </c>
      <c r="N36" s="35">
        <v>0.472056238170525</v>
      </c>
      <c r="O36" s="36">
        <v>0.33463920629491445</v>
      </c>
      <c r="P36" s="35">
        <v>0.47207366907754883</v>
      </c>
      <c r="Q36" s="36">
        <v>0.33859735576882394</v>
      </c>
      <c r="R36" s="35">
        <v>0.47209158714322236</v>
      </c>
      <c r="S36" s="36">
        <v>0.34297900184083252</v>
      </c>
      <c r="T36" s="35">
        <v>0.47211003932689061</v>
      </c>
      <c r="U36" s="36">
        <v>0.34784037976091214</v>
      </c>
      <c r="V36" s="35">
        <v>0.47212901709130362</v>
      </c>
      <c r="W36" s="36">
        <v>0.35324358741062956</v>
      </c>
      <c r="X36" s="35">
        <v>0.47214841597234963</v>
      </c>
      <c r="Y36" s="36">
        <v>0.35925437040473573</v>
      </c>
      <c r="Z36" s="35">
        <v>0.47216798381035591</v>
      </c>
      <c r="AA36" s="36">
        <v>0.36593679315192434</v>
      </c>
      <c r="AB36" s="35">
        <v>0.472187263623491</v>
      </c>
      <c r="AC36" s="36">
        <v>0.37334238966183586</v>
      </c>
      <c r="AD36" s="35">
        <v>0.47220555833823441</v>
      </c>
      <c r="AE36" s="36">
        <v>0.38149138601007809</v>
      </c>
      <c r="AF36" s="35">
        <v>0.47222196398261868</v>
      </c>
      <c r="AG36" s="36">
        <v>0.39034582260967721</v>
      </c>
      <c r="AH36" s="35">
        <v>0.47223552651457468</v>
      </c>
      <c r="AI36" s="36">
        <v>0.39978194221861496</v>
      </c>
      <c r="AJ36" s="35">
        <v>0.47224551331303699</v>
      </c>
      <c r="AK36" s="36">
        <v>0.40958029457126677</v>
      </c>
      <c r="AL36" s="35">
        <v>0.47225168092378411</v>
      </c>
      <c r="AM36" s="36">
        <v>0.41945372045860724</v>
      </c>
      <c r="AN36" s="35">
        <v>0.47225434755752593</v>
      </c>
      <c r="AO36" s="36">
        <v>0.42911039559685371</v>
      </c>
      <c r="AP36" s="35">
        <v>0.47225451917080064</v>
      </c>
      <c r="AQ36" s="36">
        <v>0.43099373799519514</v>
      </c>
      <c r="AR36" s="35">
        <v>0.47225458532449682</v>
      </c>
      <c r="AS36" s="36">
        <v>0.43285737631296506</v>
      </c>
      <c r="AT36" s="35">
        <v>0.47225455275392403</v>
      </c>
      <c r="AU36" s="36">
        <v>0.43470003186807243</v>
      </c>
      <c r="AV36" s="35">
        <v>0.47225442819300384</v>
      </c>
      <c r="AW36" s="36">
        <v>0.43652058113546394</v>
      </c>
    </row>
    <row r="37" spans="1:49 16319:16384" x14ac:dyDescent="0.2">
      <c r="B37" s="37">
        <v>2.1403217525954466E-2</v>
      </c>
      <c r="C37" s="38">
        <v>0.3496246130199252</v>
      </c>
      <c r="D37" s="37">
        <v>2.0789676358278542E-2</v>
      </c>
      <c r="E37" s="38">
        <v>0.34599244239219107</v>
      </c>
      <c r="F37" s="37">
        <v>2.0163403594111225E-2</v>
      </c>
      <c r="G37" s="38">
        <v>0.34226343645238977</v>
      </c>
      <c r="H37" s="37">
        <v>1.9524499014974019E-2</v>
      </c>
      <c r="I37" s="38">
        <v>0.338437122066859</v>
      </c>
      <c r="J37" s="37">
        <v>1.8873178140567718E-2</v>
      </c>
      <c r="K37" s="38">
        <v>0.33451383386142391</v>
      </c>
      <c r="L37" s="37">
        <v>1.820979307274067E-2</v>
      </c>
      <c r="M37" s="38">
        <v>0.33049489403684357</v>
      </c>
      <c r="N37" s="37">
        <v>1.7534859563105628E-2</v>
      </c>
      <c r="O37" s="38">
        <v>0.3263828413040431</v>
      </c>
      <c r="P37" s="37">
        <v>1.6849101730940043E-2</v>
      </c>
      <c r="Q37" s="38">
        <v>0.3221817808786403</v>
      </c>
      <c r="R37" s="37">
        <v>1.6153515037706116E-2</v>
      </c>
      <c r="S37" s="38">
        <v>0.31789786212275767</v>
      </c>
      <c r="T37" s="37">
        <v>1.5449464149074794E-2</v>
      </c>
      <c r="U37" s="38">
        <v>0.31353998834855706</v>
      </c>
      <c r="V37" s="37">
        <v>1.4738835108264575E-2</v>
      </c>
      <c r="W37" s="38">
        <v>0.30912088360396434</v>
      </c>
      <c r="X37" s="37">
        <v>1.4024281761916439E-2</v>
      </c>
      <c r="Y37" s="38">
        <v>0.304658763052152</v>
      </c>
      <c r="Z37" s="37">
        <v>1.3309585942914721E-2</v>
      </c>
      <c r="AA37" s="38">
        <v>0.30017972423146044</v>
      </c>
      <c r="AB37" s="37">
        <v>1.2600158877172155E-2</v>
      </c>
      <c r="AC37" s="38">
        <v>0.29572100279526303</v>
      </c>
      <c r="AD37" s="37">
        <v>1.1903599696216259E-2</v>
      </c>
      <c r="AE37" s="38">
        <v>0.2913345003775592</v>
      </c>
      <c r="AF37" s="37">
        <v>1.1230038798363309E-2</v>
      </c>
      <c r="AG37" s="38">
        <v>0.28708875389936073</v>
      </c>
      <c r="AH37" s="37">
        <v>1.0591719626566239E-2</v>
      </c>
      <c r="AI37" s="38">
        <v>0.2830657726811307</v>
      </c>
      <c r="AJ37" s="37">
        <v>1.000126582067918E-2</v>
      </c>
      <c r="AK37" s="38">
        <v>0.27934925818422418</v>
      </c>
      <c r="AL37" s="37">
        <v>9.4688188494176252E-3</v>
      </c>
      <c r="AM37" s="38">
        <v>0.2760056868755304</v>
      </c>
      <c r="AN37" s="37">
        <v>8.9994599388959415E-3</v>
      </c>
      <c r="AO37" s="38">
        <v>0.27306768987144719</v>
      </c>
      <c r="AP37" s="37">
        <v>8.9131902708162111E-3</v>
      </c>
      <c r="AQ37" s="38">
        <v>0.27252889143985748</v>
      </c>
      <c r="AR37" s="37">
        <v>8.8294008047602734E-3</v>
      </c>
      <c r="AS37" s="38">
        <v>0.27200599306734974</v>
      </c>
      <c r="AT37" s="37">
        <v>8.748054283921055E-3</v>
      </c>
      <c r="AU37" s="38">
        <v>0.27149874572930188</v>
      </c>
      <c r="AV37" s="37">
        <v>8.6691077328614856E-3</v>
      </c>
      <c r="AW37" s="38">
        <v>0.27100686365746035</v>
      </c>
    </row>
    <row r="38" spans="1:49 16319:16384" x14ac:dyDescent="0.2">
      <c r="A38" t="s">
        <v>22</v>
      </c>
      <c r="B38" s="35">
        <v>0.18079094942242827</v>
      </c>
      <c r="C38" s="36">
        <v>6.0565413429233668E-2</v>
      </c>
      <c r="D38" s="35">
        <v>0.18102831067852909</v>
      </c>
      <c r="E38" s="36">
        <v>6.085346946197201E-2</v>
      </c>
      <c r="F38" s="35">
        <v>0.18128768535290601</v>
      </c>
      <c r="G38" s="36">
        <v>6.1168359336285207E-2</v>
      </c>
      <c r="H38" s="35">
        <v>0.18157131027890056</v>
      </c>
      <c r="I38" s="36">
        <v>6.1513402263271393E-2</v>
      </c>
      <c r="J38" s="35">
        <v>0.18188166591557831</v>
      </c>
      <c r="K38" s="36">
        <v>6.1892429150990941E-2</v>
      </c>
      <c r="L38" s="35">
        <v>0.18222149062872581</v>
      </c>
      <c r="M38" s="36">
        <v>6.2309857404080841E-2</v>
      </c>
      <c r="N38" s="35">
        <v>0.18259378889268502</v>
      </c>
      <c r="O38" s="36">
        <v>6.2770722342803981E-2</v>
      </c>
      <c r="P38" s="35">
        <v>0.18300182648594965</v>
      </c>
      <c r="Q38" s="36">
        <v>6.3280811980715126E-2</v>
      </c>
      <c r="R38" s="35">
        <v>0.18344909777991569</v>
      </c>
      <c r="S38" s="36">
        <v>6.3846728277957482E-2</v>
      </c>
      <c r="T38" s="35">
        <v>0.18393923075086371</v>
      </c>
      <c r="U38" s="36">
        <v>6.4475911917956846E-2</v>
      </c>
      <c r="V38" s="35">
        <v>0.18447581793603182</v>
      </c>
      <c r="W38" s="36">
        <v>6.5176546165411839E-2</v>
      </c>
      <c r="X38" s="35">
        <v>0.18506207064564609</v>
      </c>
      <c r="Y38" s="36">
        <v>6.5957324963815095E-2</v>
      </c>
      <c r="Z38" s="35">
        <v>0.18570022780596826</v>
      </c>
      <c r="AA38" s="36">
        <v>6.6826663833122135E-2</v>
      </c>
      <c r="AB38" s="35">
        <v>0.18639058241727921</v>
      </c>
      <c r="AC38" s="36">
        <v>6.7791332905533644E-2</v>
      </c>
      <c r="AD38" s="35">
        <v>0.18713007299903739</v>
      </c>
      <c r="AE38" s="36">
        <v>6.8853995951673713E-2</v>
      </c>
      <c r="AF38" s="35">
        <v>0.18791062589265284</v>
      </c>
      <c r="AG38" s="36">
        <v>7.000970124289578E-2</v>
      </c>
      <c r="AH38" s="35">
        <v>0.18871798844837273</v>
      </c>
      <c r="AI38" s="36">
        <v>7.1242231604982123E-2</v>
      </c>
      <c r="AJ38" s="35">
        <v>0.18953232125863212</v>
      </c>
      <c r="AK38" s="36">
        <v>7.2522922876688697E-2</v>
      </c>
      <c r="AL38" s="35">
        <v>0.19033143154941315</v>
      </c>
      <c r="AM38" s="36">
        <v>7.3814308932769704E-2</v>
      </c>
      <c r="AN38" s="35">
        <v>0.19109561595425822</v>
      </c>
      <c r="AO38" s="36">
        <v>7.5078272337443575E-2</v>
      </c>
      <c r="AP38" s="35">
        <v>0.19124294902472888</v>
      </c>
      <c r="AQ38" s="36">
        <v>7.5324911122412935E-2</v>
      </c>
      <c r="AR38" s="35">
        <v>0.19138825307738683</v>
      </c>
      <c r="AS38" s="36">
        <v>7.5569007800865715E-2</v>
      </c>
      <c r="AT38" s="35">
        <v>0.19153146760931092</v>
      </c>
      <c r="AU38" s="36">
        <v>7.5810398129081843E-2</v>
      </c>
      <c r="AV38" s="35">
        <v>0.19167254360684816</v>
      </c>
      <c r="AW38" s="36">
        <v>7.6048930181777302E-2</v>
      </c>
    </row>
    <row r="39" spans="1:49 16319:16384" x14ac:dyDescent="0.2">
      <c r="A39" t="s">
        <v>23</v>
      </c>
      <c r="B39" s="37">
        <v>0.23064923795098771</v>
      </c>
      <c r="C39" s="38">
        <v>0.22092201281804777</v>
      </c>
      <c r="D39" s="37">
        <v>0.23092316451501016</v>
      </c>
      <c r="E39" s="38">
        <v>0.22195888878558531</v>
      </c>
      <c r="F39" s="37">
        <v>0.23121983923753328</v>
      </c>
      <c r="G39" s="38">
        <v>0.22309089902789678</v>
      </c>
      <c r="H39" s="37">
        <v>0.23154278253009772</v>
      </c>
      <c r="I39" s="38">
        <v>0.22433052774329529</v>
      </c>
      <c r="J39" s="37">
        <v>0.23189620027405303</v>
      </c>
      <c r="K39" s="38">
        <v>0.22569220281636684</v>
      </c>
      <c r="L39" s="37">
        <v>0.23228515028567251</v>
      </c>
      <c r="M39" s="38">
        <v>0.22719265480641584</v>
      </c>
      <c r="N39" s="37">
        <v>0.2327157488682782</v>
      </c>
      <c r="O39" s="38">
        <v>0.22885140798634318</v>
      </c>
      <c r="P39" s="37">
        <v>0.23319541645195338</v>
      </c>
      <c r="Q39" s="38">
        <v>0.2306911487103909</v>
      </c>
      <c r="R39" s="37">
        <v>0.23373317128627433</v>
      </c>
      <c r="S39" s="38">
        <v>0.23273819259194845</v>
      </c>
      <c r="T39" s="37">
        <v>0.23433996508313068</v>
      </c>
      <c r="U39" s="38">
        <v>0.23502284989609801</v>
      </c>
      <c r="V39" s="37">
        <v>0.23502898019343019</v>
      </c>
      <c r="W39" s="38">
        <v>0.23757951932458582</v>
      </c>
      <c r="X39" s="37">
        <v>0.23581578589193278</v>
      </c>
      <c r="Y39" s="38">
        <v>0.24044589864429106</v>
      </c>
      <c r="Z39" s="37">
        <v>0.23671806422640043</v>
      </c>
      <c r="AA39" s="38">
        <v>0.24366090605773622</v>
      </c>
      <c r="AB39" s="37">
        <v>0.23775439860234379</v>
      </c>
      <c r="AC39" s="38">
        <v>0.24725957211724281</v>
      </c>
      <c r="AD39" s="37">
        <v>0.23894138342206256</v>
      </c>
      <c r="AE39" s="38">
        <v>0.25126368947709038</v>
      </c>
      <c r="AF39" s="37">
        <v>0.24028841748194318</v>
      </c>
      <c r="AG39" s="38">
        <v>0.25566751769210821</v>
      </c>
      <c r="AH39" s="37">
        <v>0.24179070121995486</v>
      </c>
      <c r="AI39" s="38">
        <v>0.26042176251809057</v>
      </c>
      <c r="AJ39" s="37">
        <v>0.24342353437548089</v>
      </c>
      <c r="AK39" s="38">
        <v>0.26542489852862516</v>
      </c>
      <c r="AL39" s="37">
        <v>0.24514291558721638</v>
      </c>
      <c r="AM39" s="38">
        <v>0.27053388124940325</v>
      </c>
      <c r="AN39" s="37">
        <v>0.24689468126009148</v>
      </c>
      <c r="AO39" s="38">
        <v>0.27559509131799498</v>
      </c>
      <c r="AP39" s="37">
        <v>0.24724423093223405</v>
      </c>
      <c r="AQ39" s="38">
        <v>0.27658947051702037</v>
      </c>
      <c r="AR39" s="37">
        <v>0.24759262264094706</v>
      </c>
      <c r="AS39" s="38">
        <v>0.27757577304908182</v>
      </c>
      <c r="AT39" s="37">
        <v>0.24793952108883383</v>
      </c>
      <c r="AU39" s="38">
        <v>0.27855323149907002</v>
      </c>
      <c r="AV39" s="37">
        <v>0.24828461542653305</v>
      </c>
      <c r="AW39" s="38">
        <v>0.27952116831691409</v>
      </c>
    </row>
    <row r="40" spans="1:49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49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49 16319:16384" x14ac:dyDescent="0.2">
      <c r="A42" t="s">
        <v>94</v>
      </c>
      <c r="B42" s="167">
        <f>6.1%+(1-6.1%)*(1-SUM(B26:C26)/SUM($B$26:$C$26))</f>
        <v>6.0999999999999999E-2</v>
      </c>
      <c r="C42" s="126"/>
      <c r="D42" s="167">
        <f>6.1%+(1-6.1%)*(1-SUM(D26:E26)/SUM($B$26:$C$26))</f>
        <v>6.4691365207796628E-2</v>
      </c>
      <c r="E42" s="126"/>
      <c r="F42" s="167">
        <f>6.1%+(1-6.1%)*(1-SUM(F26:G26)/SUM($B$26:$C$26))</f>
        <v>6.895027890672259E-2</v>
      </c>
      <c r="G42" s="126"/>
      <c r="H42" s="167">
        <f>6.1%+(1-6.1%)*(1-SUM(H26:I26)/SUM($B$26:$C$26))</f>
        <v>7.3898670785567722E-2</v>
      </c>
      <c r="I42" s="126"/>
      <c r="J42" s="167">
        <f>6.1%+(1-6.1%)*(1-SUM(J26:K26)/SUM($B$26:$C$26))</f>
        <v>7.969205861931565E-2</v>
      </c>
      <c r="K42" s="126"/>
      <c r="L42" s="167">
        <f>6.1%+(1-6.1%)*(1-SUM(L26:M26)/SUM($B$26:$C$26))</f>
        <v>8.6531192333861778E-2</v>
      </c>
      <c r="M42" s="126"/>
      <c r="N42" s="167">
        <f>6.1%+(1-6.1%)*(1-SUM(N26:O26)/SUM($B$26:$C$26))</f>
        <v>9.4678297602603684E-2</v>
      </c>
      <c r="O42" s="126"/>
      <c r="P42" s="167">
        <f>6.1%+(1-6.1%)*(1-SUM(P26:Q26)/SUM($B$26:$C$26))</f>
        <v>0.10447938588566766</v>
      </c>
      <c r="Q42" s="126"/>
      <c r="R42" s="167">
        <f>6.1%+(1-6.1%)*(1-SUM(R26:S26)/SUM($B$26:$C$26))</f>
        <v>0.11639610952879931</v>
      </c>
      <c r="S42" s="126"/>
      <c r="T42" s="167">
        <f>6.1%+(1-6.1%)*(1-SUM(T26:U26)/SUM($B$26:$C$26))</f>
        <v>0.13105127925023813</v>
      </c>
      <c r="U42" s="126"/>
      <c r="V42" s="167">
        <f>6.1%+(1-6.1%)*(1-SUM(V26:W26)/SUM($B$26:$C$26))</f>
        <v>0.14929166633936308</v>
      </c>
      <c r="W42" s="126"/>
      <c r="X42" s="167">
        <f>6.1%+(1-6.1%)*(1-SUM(X26:Y26)/SUM($B$26:$C$26))</f>
        <v>0.17227446615923925</v>
      </c>
      <c r="Y42" s="152"/>
      <c r="Z42" s="167">
        <f>6.1%+(1-6.1%)*(1-SUM(Z26:AA26)/SUM($B$26:$C$26))</f>
        <v>0.20157840184205197</v>
      </c>
      <c r="AA42" s="126"/>
      <c r="AB42" s="167">
        <f>6.1%+(1-6.1%)*(1-SUM(AB26:AC26)/SUM($B$26:$C$26))</f>
        <v>0.23932956466555305</v>
      </c>
      <c r="AC42" s="126"/>
      <c r="AD42" s="167">
        <f>6.1%+(1-6.1%)*(1-SUM(AD26:AE26)/SUM($B$26:$C$26))</f>
        <v>0.28830318606529748</v>
      </c>
      <c r="AE42" s="126"/>
      <c r="AF42" s="167">
        <f>6.1%+(1-6.1%)*(1-SUM(AF26:AG26)/SUM($B$26:$C$26))</f>
        <v>0.35191235557462164</v>
      </c>
      <c r="AG42" s="126"/>
      <c r="AH42" s="167">
        <f>6.1%+(1-6.1%)*(1-SUM(AH26:AI26)/SUM($B$26:$C$26))</f>
        <v>0.43394949056687687</v>
      </c>
      <c r="AI42" s="126"/>
      <c r="AJ42" s="167">
        <f>6.1%+(1-6.1%)*(1-SUM(AJ26:AK26)/SUM($B$26:$C$26))</f>
        <v>0.53799368353865407</v>
      </c>
      <c r="AK42" s="126"/>
      <c r="AL42" s="167">
        <f>6.1%+(1-6.1%)*(1-SUM(AL26:AM26)/SUM($B$26:$C$26))</f>
        <v>0.66662280987347922</v>
      </c>
      <c r="AM42" s="126"/>
      <c r="AN42" s="167">
        <f>6.1%+(1-6.1%)*(1-SUM(AN26:AO26)/SUM($B$26:$C$26))</f>
        <v>0.82083160695871693</v>
      </c>
      <c r="AO42" s="126"/>
      <c r="AP42" s="167">
        <f>6.1%+(1-6.1%)*(1-SUM(AP26:AQ26)/SUM($B$26:$C$26))</f>
        <v>0.85471259726739923</v>
      </c>
      <c r="AQ42" s="126"/>
      <c r="AR42" s="167">
        <f>6.1%+(1-6.1%)*(1-SUM(AR26:AS26)/SUM($B$26:$C$26))</f>
        <v>0.88958400816761807</v>
      </c>
      <c r="AS42" s="126"/>
      <c r="AT42" s="167">
        <f>6.1%+(1-6.1%)*(1-SUM(AT26:AU26)/SUM($B$26:$C$26))</f>
        <v>0.92543247141284546</v>
      </c>
      <c r="AU42" s="126"/>
      <c r="AV42" s="167">
        <f>6.1%+(1-6.1%)*(1-SUM(AV26:AW26)/SUM($B$26:$C$26))</f>
        <v>0.96224316128349585</v>
      </c>
      <c r="XFD42" s="167"/>
    </row>
    <row r="43" spans="1:49 16319:16384" x14ac:dyDescent="0.2">
      <c r="A43" t="s">
        <v>95</v>
      </c>
      <c r="B43" s="152">
        <f>SUM(B15:C15*B27:C27)/SUM(B15:C15*B27:C27,B13:C13*B26:C26)</f>
        <v>0.56058995943839207</v>
      </c>
      <c r="C43" s="126"/>
      <c r="D43" s="152">
        <f t="array" ref="D43">SUM(D15:E15*D27:E27)/SUM(D15:E15*D27:E27,D13:E13*D26:E26)</f>
        <v>0.56686656405971203</v>
      </c>
      <c r="E43" s="126"/>
      <c r="F43" s="152">
        <f t="array" ref="F43">SUM(F15:G15*F27:G27)/SUM(F15:G15*F27:G27,F13:G13*F26:G26)</f>
        <v>0.56654868165789085</v>
      </c>
      <c r="G43" s="126"/>
      <c r="H43" s="152">
        <f t="array" ref="H43">SUM(H15:I15*H27:I27)/SUM(H15:I15*H27:I27,H13:I13*H26:I26)</f>
        <v>0.56624521484259815</v>
      </c>
      <c r="I43" s="126"/>
      <c r="J43" s="152">
        <f t="array" ref="J43">SUM(J15:K15*J27:K27)/SUM(J15:K15*J27:K27,J13:K13*J26:K26)</f>
        <v>0.56595356110942263</v>
      </c>
      <c r="K43" s="126"/>
      <c r="L43" s="152">
        <f t="array" ref="L43">SUM(L15:M15*L27:M27)/SUM(L15:M15*L27:M27,L13:M13*L26:M26)</f>
        <v>0.56566987908051147</v>
      </c>
      <c r="M43" s="126"/>
      <c r="N43" s="152">
        <f t="array" ref="N43">SUM(N15:O15*N27:O27)/SUM(N15:O15*N27:O27,N13:O13*N26:O26)</f>
        <v>0.56538869465737296</v>
      </c>
      <c r="O43" s="126"/>
      <c r="P43" s="152">
        <f t="array" ref="P43">SUM(P15:Q15*P27:Q27)/SUM(P15:Q15*P27:Q27,P13:Q13*P26:Q26)</f>
        <v>0.56510235025600597</v>
      </c>
      <c r="Q43" s="126"/>
      <c r="R43" s="152">
        <f t="array" ref="R43">SUM(R15:S15*R27:S27)/SUM(R15:S15*R27:S27,R13:S13*R26:S26)</f>
        <v>0.56480031717567092</v>
      </c>
      <c r="S43" s="126"/>
      <c r="T43" s="152">
        <f t="array" ref="T43">SUM(T15:U15*T27:U27)/SUM(T15:U15*T27:U27,T13:U13*T26:U26)</f>
        <v>0.56446831482415682</v>
      </c>
      <c r="U43" s="126"/>
      <c r="V43" s="152">
        <f t="array" ref="V43">SUM(V15:W15*V27:W27)/SUM(V15:W15*V27:W27,V13:W13*V26:W26)</f>
        <v>0.56408730706311472</v>
      </c>
      <c r="W43" s="126"/>
      <c r="X43" s="152">
        <f t="array" ref="X43">SUM(X15:Y15*X27:Y27)/SUM(X15:Y15*X27:Y27,X13:Y13*X26:Y26)</f>
        <v>0.56363241790901508</v>
      </c>
      <c r="Y43" s="126"/>
      <c r="Z43" s="152">
        <f t="array" ref="Z43">SUM(Z15:AA15*Z27:AA27)/SUM(Z15:AA15*Z27:AA27,Z13:AA13*Z26:AA26)</f>
        <v>0.56307220950309622</v>
      </c>
      <c r="AA43" s="126"/>
      <c r="AB43" s="152">
        <f t="array" ref="AB43">SUM(AB15:AC15*AB27:AC27)/SUM(AB15:AC15*AB27:AC27,AB13:AC13*AB26:AC26)</f>
        <v>0.56236902346913598</v>
      </c>
      <c r="AC43" s="126"/>
      <c r="AD43" s="152">
        <f t="array" ref="AD43">SUM(AD15:AE15*AD27:AE27)/SUM(AD15:AE15*AD27:AE27,AD13:AE13*AD26:AE26)</f>
        <v>0.5614818248999498</v>
      </c>
      <c r="AE43" s="126"/>
      <c r="AF43" s="152">
        <f t="array" ref="AF43">SUM(AF15:AG15*AF27:AG27)/SUM(AF15:AG15*AF27:AG27,AF13:AG13*AF26:AG26)</f>
        <v>0.56037326393331355</v>
      </c>
      <c r="AG43" s="126"/>
      <c r="AH43" s="152">
        <f t="array" ref="AH43">SUM(AH15:AI15*AH27:AI27)/SUM(AH15:AI15*AH27:AI27,AH13:AI13*AH26:AI26)</f>
        <v>0.55902148254573514</v>
      </c>
      <c r="AI43" s="126"/>
      <c r="AJ43" s="152">
        <f t="array" ref="AJ43">SUM(AJ15:AK15*AJ27:AK27)/SUM(AJ15:AK15*AJ27:AK27,AJ13:AK13*AJ26:AK26)</f>
        <v>0.55743313464501887</v>
      </c>
      <c r="AK43" s="126"/>
      <c r="AL43" s="152">
        <f t="array" ref="AL43">SUM(AL15:AM15*AL27:AM27)/SUM(AL15:AM15*AL27:AM27,AL13:AM13*AL26:AM26)</f>
        <v>0.55564919414896186</v>
      </c>
      <c r="AM43" s="126"/>
      <c r="AN43" s="152">
        <f t="array" ref="AN43">SUM(AN15:AO15*AN27:AO27)/SUM(AN15:AO15*AN27:AO27,AN13:AO13*AN26:AO26)</f>
        <v>0.55373670363579686</v>
      </c>
      <c r="AO43" s="126"/>
      <c r="AP43" s="152">
        <f t="array" ref="AP43">SUM(AP15:AQ15*AP27:AQ27)/SUM(AP15:AQ15*AP27:AQ27,AP13:AQ13*AP26:AQ26)</f>
        <v>0.55334542254160934</v>
      </c>
      <c r="AQ43" s="126"/>
      <c r="AR43" s="152">
        <f t="array" ref="AR43">SUM(AR15:AS15*AR27:AS27)/SUM(AR15:AS15*AR27:AS27,AR13:AS13*AR26:AS26)</f>
        <v>0.55295258318515672</v>
      </c>
      <c r="AS43" s="126"/>
      <c r="AT43" s="152">
        <f t="array" ref="AT43">SUM(AT15:AU15*AT27:AU27)/SUM(AT15:AU15*AT27:AU27,AT13:AU13*AT26:AU26)</f>
        <v>0.55255873682963541</v>
      </c>
      <c r="AU43" s="126"/>
      <c r="AV43" s="152">
        <f t="array" ref="AV43">SUM(AV15:AW15*AV27:AW27)/SUM(AV15:AW15*AV27:AW27,AV13:AW13*AV26:AW26)</f>
        <v>0.55216440820284396</v>
      </c>
    </row>
    <row r="44" spans="1:49 16319:16384" x14ac:dyDescent="0.2">
      <c r="A44" t="s">
        <v>129</v>
      </c>
      <c r="B44" s="183">
        <f>(SUM(B11:C11*B24:C24)+B34)/B32</f>
        <v>0.29754226190682431</v>
      </c>
      <c r="D44" s="183">
        <f>(SUM(D11:E11*D24:E24)+D34)/D32</f>
        <v>0.29944091291374719</v>
      </c>
      <c r="F44" s="183">
        <f>(SUM(F11:G11*F24:G24)+F34)/F32</f>
        <v>0.30138867428396804</v>
      </c>
      <c r="H44" s="183">
        <f>(SUM(H11:I11*H24:I24)+H34)/H32</f>
        <v>0.30339129146245314</v>
      </c>
      <c r="J44" s="183">
        <f>(SUM(J11:K11*J24:K24)+J34)/J32</f>
        <v>0.30545529324802539</v>
      </c>
      <c r="L44" s="183">
        <f>(SUM(L11:M11*L24:M24)+L34)/L32</f>
        <v>0.30758806547392015</v>
      </c>
      <c r="N44" s="183">
        <f>(SUM(N11:O11*N24:O24)+N34)/N32</f>
        <v>0.30979800332023039</v>
      </c>
      <c r="P44" s="183">
        <f>(SUM(P11:Q11*P24:Q24)+P34)/P32</f>
        <v>0.31209473825261624</v>
      </c>
      <c r="R44" s="183">
        <f>(SUM(R11:S11*R24:S24)+R34)/R32</f>
        <v>0.31448939863893755</v>
      </c>
      <c r="T44" s="183">
        <f>(SUM(T11:U11*T24:U24)+T34)/T32</f>
        <v>0.31699475668674715</v>
      </c>
      <c r="V44" s="183">
        <f>(SUM(V11:W11*V24:W24)+V34)/V32</f>
        <v>0.31962545371286116</v>
      </c>
      <c r="X44" s="183">
        <f>(SUM(X11:Y11*X24:Y24)+X34)/X32</f>
        <v>0.32239778139493847</v>
      </c>
      <c r="Z44" s="183">
        <f>(SUM(Z11:AA11*Z24:AA24)+Z34)/Z32</f>
        <v>0.32532876680098088</v>
      </c>
      <c r="AB44" s="183">
        <f>(SUM(AB11:AC11*AB24:AC24)+AB34)/AB32</f>
        <v>0.32843368733457079</v>
      </c>
      <c r="AD44" s="183">
        <f>(SUM(AD11:AE11*AD24:AE24)+AD34)/AD32</f>
        <v>0.33172099707338587</v>
      </c>
      <c r="AF44" s="183">
        <f>(SUM(AF11:AG11*AF24:AG24)+AF34)/AF32</f>
        <v>0.33518398871677663</v>
      </c>
      <c r="AH44" s="183">
        <f>(SUM(AH11:AI11*AH24:AI24)+AH34)/AH32</f>
        <v>0.33879080019064323</v>
      </c>
      <c r="AJ44" s="183">
        <f>(SUM(AJ11:AK11*AJ24:AK24)+AJ34)/AJ32</f>
        <v>0.34247848707315159</v>
      </c>
      <c r="AL44" s="183">
        <f>(SUM(AL11:AM11*AL24:AM24)+AL34)/AL32</f>
        <v>0.34615904792186492</v>
      </c>
      <c r="AN44" s="183">
        <f>(SUM(AN11:AO11*AN24:AO24)+AN34)/AN32</f>
        <v>0.34973873907938524</v>
      </c>
      <c r="AP44" s="183">
        <f>(SUM(AP11:AQ11*AP24:AQ24)+AP34)/AP32</f>
        <v>0.35043530109478821</v>
      </c>
      <c r="AR44" s="183">
        <f>(SUM(AR11:AS11*AR24:AS24)+AR34)/AR32</f>
        <v>0.35112415954431009</v>
      </c>
      <c r="AT44" s="183">
        <f>(SUM(AT11:AU11*AT24:AU24)+AT34)/AT32</f>
        <v>0.35180487401791199</v>
      </c>
      <c r="AV44" s="183">
        <f>(SUM(AV11:AW11*AV24:AW24)+AV34)/AV32</f>
        <v>0.35247705508852534</v>
      </c>
    </row>
    <row r="45" spans="1:49 16319:16384" x14ac:dyDescent="0.2">
      <c r="A45" t="s">
        <v>82</v>
      </c>
      <c r="B45" s="183">
        <f>SUM(B11:C11*B24:C24)/B32</f>
        <v>0.22038438833194082</v>
      </c>
      <c r="D45" s="183">
        <f>SUM(D11:E11*D24:E24)/D32</f>
        <v>0.22228304790912995</v>
      </c>
      <c r="F45" s="183">
        <f>SUM(F11:G11*F24:G24)/F32</f>
        <v>0.22423080058586889</v>
      </c>
      <c r="H45" s="183">
        <f>SUM(H11:I11*H24:I24)/H32</f>
        <v>0.22623341758766513</v>
      </c>
      <c r="J45" s="183">
        <f>SUM(J11:K11*J24:K24)/J32</f>
        <v>0.22829742171718528</v>
      </c>
      <c r="L45" s="183">
        <f>SUM(L11:M11*L24:M24)/L32</f>
        <v>0.23043019113286825</v>
      </c>
      <c r="N45" s="183">
        <f>SUM(N11:O11*N24:O24)/N32</f>
        <v>0.2326401282922323</v>
      </c>
      <c r="P45" s="183">
        <f>SUM(P11:Q11*P24:Q24)/P32</f>
        <v>0.23493687023377505</v>
      </c>
      <c r="R45" s="183">
        <f>SUM(R11:S11*R24:S24)/R32</f>
        <v>0.2373315262817271</v>
      </c>
      <c r="T45" s="183">
        <f>SUM(T11:U11*T24:U24)/T32</f>
        <v>0.23983688244411494</v>
      </c>
      <c r="V45" s="183">
        <f>SUM(V11:W11*V24:W24)/V32</f>
        <v>0.24246757978211983</v>
      </c>
      <c r="X45" s="183">
        <f>SUM(X11:Y11*X24:Y24)/X32</f>
        <v>0.2452399078162254</v>
      </c>
      <c r="Z45" s="183">
        <f>SUM(Z11:AA11*Z24:AA24)/Z32</f>
        <v>0.24817089328039296</v>
      </c>
      <c r="AB45" s="183">
        <f>SUM(AB11:AC11*AB24:AC24)/AB32</f>
        <v>0.25127581351739653</v>
      </c>
      <c r="AD45" s="183">
        <f>SUM(AD11:AE11*AD24:AE24)/AD32</f>
        <v>0.25456312199749376</v>
      </c>
      <c r="AF45" s="183">
        <f>SUM(AF11:AG11*AF24:AG24)/AF32</f>
        <v>0.2580261151633047</v>
      </c>
      <c r="AH45" s="183">
        <f>SUM(AH11:AI11*AH24:AI24)/AH32</f>
        <v>0.26163292663803001</v>
      </c>
      <c r="AJ45" s="183">
        <f>SUM(AJ11:AK11*AJ24:AK24)/AJ32</f>
        <v>0.26532061350776542</v>
      </c>
      <c r="AL45" s="183">
        <f>SUM(AL11:AM11*AL24:AM24)/AL32</f>
        <v>0.26900117594385636</v>
      </c>
      <c r="AN45" s="183">
        <f>SUM(AN11:AO11*AN24:AO24)/AN32</f>
        <v>0.27258086754491739</v>
      </c>
      <c r="AP45" s="183">
        <f>SUM(AP11:AQ11*AP24:AQ24)/AP32</f>
        <v>0.27327742862082588</v>
      </c>
      <c r="AR45" s="183">
        <f>SUM(AR11:AS11*AR24:AS24)/AR32</f>
        <v>0.27396628520869304</v>
      </c>
      <c r="AT45" s="183">
        <f>SUM(AT11:AU11*AT24:AU24)/AT32</f>
        <v>0.27464699878689613</v>
      </c>
      <c r="AV45" s="183">
        <f>SUM(AV11:AW11*AV24:AW24)/AV32</f>
        <v>0.27531918252119103</v>
      </c>
      <c r="XCQ45" s="183"/>
    </row>
    <row r="46" spans="1:49 16319:16384" x14ac:dyDescent="0.2">
      <c r="A46" t="s">
        <v>126</v>
      </c>
      <c r="B46" s="183">
        <f>B34/B32</f>
        <v>7.7157873574883462E-2</v>
      </c>
      <c r="D46" s="183">
        <f>D34/D32</f>
        <v>7.7157865004617243E-2</v>
      </c>
      <c r="F46" s="183">
        <f>F34/F32</f>
        <v>7.7157873698099108E-2</v>
      </c>
      <c r="H46" s="183">
        <f>H34/H32</f>
        <v>7.7157873874787994E-2</v>
      </c>
      <c r="J46" s="183">
        <f>J34/J32</f>
        <v>7.7157871530840125E-2</v>
      </c>
      <c r="L46" s="183">
        <f>L34/L32</f>
        <v>7.7157874341051882E-2</v>
      </c>
      <c r="N46" s="183">
        <f>N34/N32</f>
        <v>7.7157875027998049E-2</v>
      </c>
      <c r="P46" s="183">
        <f>P34/P32</f>
        <v>7.7157868018841183E-2</v>
      </c>
      <c r="R46" s="183">
        <f>R34/R32</f>
        <v>7.7157872357210458E-2</v>
      </c>
      <c r="T46" s="183">
        <f>T34/T32</f>
        <v>7.7157874242632166E-2</v>
      </c>
      <c r="V46" s="183">
        <f>V34/V32</f>
        <v>7.7157873930741333E-2</v>
      </c>
      <c r="X46" s="183">
        <f>X34/X32</f>
        <v>7.7157873578713052E-2</v>
      </c>
      <c r="Z46" s="183">
        <f>Z34/Z32</f>
        <v>7.7157873520587866E-2</v>
      </c>
      <c r="AB46" s="183">
        <f>AB34/AB32</f>
        <v>7.7157873817174219E-2</v>
      </c>
      <c r="AD46" s="183">
        <f>AD34/AD32</f>
        <v>7.7157875075892085E-2</v>
      </c>
      <c r="AF46" s="183">
        <f>AF34/AF32</f>
        <v>7.7157873553471951E-2</v>
      </c>
      <c r="AH46" s="183">
        <f>AH34/AH32</f>
        <v>7.7157873552613221E-2</v>
      </c>
      <c r="AJ46" s="183">
        <f>AJ34/AJ32</f>
        <v>7.7157873565386156E-2</v>
      </c>
      <c r="AL46" s="183">
        <f>AL34/AL32</f>
        <v>7.7157871978008566E-2</v>
      </c>
      <c r="AN46" s="183">
        <f>AN34/AN32</f>
        <v>7.7157871534467848E-2</v>
      </c>
      <c r="AP46" s="183">
        <f>AP34/AP32</f>
        <v>7.7157872473962386E-2</v>
      </c>
      <c r="AR46" s="183">
        <f>AR34/AR32</f>
        <v>7.7157874335617077E-2</v>
      </c>
      <c r="AT46" s="183">
        <f>AT34/AT32</f>
        <v>7.7157875231015832E-2</v>
      </c>
      <c r="AV46" s="183">
        <f>AV34/AV32</f>
        <v>7.7157872567334307E-2</v>
      </c>
      <c r="XCS46" s="183"/>
    </row>
    <row r="48" spans="1:49 16319:16384" x14ac:dyDescent="0.2">
      <c r="A48" t="s">
        <v>143</v>
      </c>
      <c r="B48" s="181">
        <f>B24/$B$24</f>
        <v>1</v>
      </c>
      <c r="C48" s="181"/>
      <c r="D48" s="181">
        <f>D24/$B$24</f>
        <v>1.005203380927745</v>
      </c>
      <c r="E48" s="181"/>
      <c r="F48" s="181">
        <f>F24/$B$24</f>
        <v>1.0098531892976734</v>
      </c>
      <c r="G48" s="181"/>
      <c r="H48" s="181">
        <f>H24/$B$24</f>
        <v>1.0138086907315014</v>
      </c>
      <c r="I48" s="181"/>
      <c r="J48" s="181">
        <f>J24/$B$24</f>
        <v>1.0168874432398982</v>
      </c>
      <c r="K48" s="181"/>
      <c r="L48" s="181">
        <f>L24/$B$24</f>
        <v>1.0188504635202795</v>
      </c>
      <c r="M48" s="181"/>
      <c r="N48" s="181">
        <f>N24/$B$24</f>
        <v>1.0193815768249663</v>
      </c>
      <c r="O48" s="181"/>
      <c r="P48" s="181">
        <f>P24/$B$24</f>
        <v>1.0180589730764051</v>
      </c>
      <c r="Q48" s="181"/>
      <c r="R48" s="181">
        <f>R24/$B$24</f>
        <v>1.0143141728687182</v>
      </c>
      <c r="S48" s="181"/>
      <c r="T48" s="181">
        <f>T24/$B$24</f>
        <v>1.0073727316036112</v>
      </c>
      <c r="U48" s="181"/>
      <c r="V48" s="181">
        <f>V24/$B$24</f>
        <v>0.99617088431888412</v>
      </c>
      <c r="W48" s="181"/>
      <c r="X48" s="181">
        <f>X24/$B$24</f>
        <v>0.97923763334123648</v>
      </c>
      <c r="Y48" s="181"/>
      <c r="Z48" s="181">
        <f>Z24/$B$24</f>
        <v>0.95453680522225748</v>
      </c>
      <c r="AA48" s="181"/>
      <c r="AB48" s="181">
        <f>AB24/$B$24</f>
        <v>0.91927476995138813</v>
      </c>
      <c r="AC48" s="181"/>
      <c r="AD48" s="181">
        <f>AD24/$B$24</f>
        <v>0.86971517461843428</v>
      </c>
      <c r="AE48" s="181"/>
      <c r="AF48" s="181">
        <f>AF24/$B$24</f>
        <v>0.80111225866473113</v>
      </c>
      <c r="AG48" s="181"/>
      <c r="AH48" s="181">
        <f>AH24/$B$24</f>
        <v>0.7079555158225459</v>
      </c>
      <c r="AI48" s="181"/>
      <c r="AJ48" s="181">
        <f>AJ24/$B$24</f>
        <v>0.58469730201958392</v>
      </c>
      <c r="AK48" s="181"/>
      <c r="AL48" s="181">
        <f>AL24/$B$24</f>
        <v>0.42685849284932975</v>
      </c>
      <c r="AM48" s="181"/>
      <c r="AN48" s="181">
        <f>AN24/$B$24</f>
        <v>0.23199930018765014</v>
      </c>
      <c r="AO48" s="181"/>
      <c r="AP48" s="181">
        <f>AP24/$B$24</f>
        <v>0.18853706676139212</v>
      </c>
      <c r="AQ48" s="181"/>
      <c r="AR48" s="181">
        <f>AR24/$B$24</f>
        <v>0.14359258711303985</v>
      </c>
      <c r="AS48" s="181"/>
      <c r="AT48" s="181">
        <f>AT24/$B$24</f>
        <v>9.7178062586336628E-2</v>
      </c>
      <c r="AU48" s="181"/>
      <c r="AV48" s="181">
        <f>AV24/$B$24</f>
        <v>4.9308212167846366E-2</v>
      </c>
    </row>
    <row r="49" spans="1:48 16321:16384" x14ac:dyDescent="0.2">
      <c r="A49" t="s">
        <v>144</v>
      </c>
      <c r="B49" s="181">
        <f>B13/B35/$B$13*$B$35</f>
        <v>1</v>
      </c>
      <c r="C49" s="181"/>
      <c r="D49" s="181">
        <f>D13/D35/$B$13*$B$35</f>
        <v>0.9941419359561644</v>
      </c>
      <c r="E49" s="181"/>
      <c r="F49" s="181">
        <f>F13/F35/$B$13*$B$35</f>
        <v>0.98782357118118724</v>
      </c>
      <c r="G49" s="181"/>
      <c r="H49" s="181">
        <f>H13/H35/$B$13*$B$35</f>
        <v>0.98100072276695538</v>
      </c>
      <c r="I49" s="181"/>
      <c r="J49" s="181">
        <f>J13/J35/$B$13*$B$35</f>
        <v>0.97362451715163378</v>
      </c>
      <c r="K49" s="181"/>
      <c r="L49" s="181">
        <f>L13/L35/$B$13*$B$35</f>
        <v>0.96564106288674512</v>
      </c>
      <c r="M49" s="181"/>
      <c r="N49" s="181">
        <f>N13/N35/$B$13*$B$35</f>
        <v>0.95699122803411474</v>
      </c>
      <c r="O49" s="181"/>
      <c r="P49" s="181">
        <f>P13/P35/$B$13*$B$35</f>
        <v>0.94761070990785201</v>
      </c>
      <c r="Q49" s="181"/>
      <c r="R49" s="181">
        <f>R13/R35/$B$13*$B$35</f>
        <v>0.93743064549247446</v>
      </c>
      <c r="S49" s="181"/>
      <c r="T49" s="181">
        <f>T13/T35/$B$13*$B$35</f>
        <v>0.92637934381284359</v>
      </c>
      <c r="U49" s="181"/>
      <c r="V49" s="181">
        <f>V13/V35/$B$13*$B$35</f>
        <v>0.91438570378079498</v>
      </c>
      <c r="W49" s="181"/>
      <c r="X49" s="181">
        <f>X13/X35/$B$13*$B$35</f>
        <v>0.90138617499343898</v>
      </c>
      <c r="Y49" s="181"/>
      <c r="Z49" s="181">
        <f>Z13/Z35/$B$13*$B$35</f>
        <v>0.8873369867537575</v>
      </c>
      <c r="AA49" s="181"/>
      <c r="AB49" s="181">
        <f>AB13/AB35/$B$13*$B$35</f>
        <v>0.87223467705296454</v>
      </c>
      <c r="AC49" s="181"/>
      <c r="AD49" s="181">
        <f>AD13/AD35/$B$13*$B$35</f>
        <v>0.85614640904767281</v>
      </c>
      <c r="AE49" s="181"/>
      <c r="AF49" s="181">
        <f>AF13/AF35/$B$13*$B$35</f>
        <v>0.83924648834282201</v>
      </c>
      <c r="AG49" s="181"/>
      <c r="AH49" s="181">
        <f>AH13/AH35/$B$13*$B$35</f>
        <v>0.82184338794563294</v>
      </c>
      <c r="AI49" s="181"/>
      <c r="AJ49" s="181">
        <f>AJ13/AJ35/$B$13*$B$35</f>
        <v>0.80436888997606604</v>
      </c>
      <c r="AK49" s="181"/>
      <c r="AL49" s="181">
        <f>AL13/AL35/$B$13*$B$35</f>
        <v>0.78730854588666999</v>
      </c>
      <c r="AM49" s="181"/>
      <c r="AN49" s="181">
        <f>AN13/AN35/$B$13*$B$35</f>
        <v>0.7710944479523284</v>
      </c>
      <c r="AO49" s="181"/>
      <c r="AP49" s="181">
        <f>AP13/AP35/$B$13*$B$35</f>
        <v>0.76798187941919072</v>
      </c>
      <c r="AQ49" s="181"/>
      <c r="AR49" s="181">
        <f>AR13/AR35/$B$13*$B$35</f>
        <v>0.76491695376981095</v>
      </c>
      <c r="AS49" s="181"/>
      <c r="AT49" s="181">
        <f>AT13/AT35/$B$13*$B$35</f>
        <v>0.76190094132420549</v>
      </c>
      <c r="AU49" s="181"/>
      <c r="AV49" s="181">
        <f>AV13/AV35/$B$13*$B$35</f>
        <v>0.7589348574335526</v>
      </c>
    </row>
    <row r="51" spans="1:48 16321:16384" x14ac:dyDescent="0.2">
      <c r="A51" t="s">
        <v>150</v>
      </c>
      <c r="B51" s="27">
        <f>B30-B10*B23</f>
        <v>-405838.32800000021</v>
      </c>
      <c r="D51" s="27">
        <f>D30-D10*D23</f>
        <v>-357192.04350013658</v>
      </c>
      <c r="F51" s="27">
        <f>F30-F10*F23</f>
        <v>-307542.15431912616</v>
      </c>
      <c r="H51" s="27">
        <f>H30-H10*H23</f>
        <v>-256827.58298431057</v>
      </c>
      <c r="J51" s="27">
        <f>J30-J10*J23</f>
        <v>-205000.2520070835</v>
      </c>
      <c r="L51" s="27">
        <f>L30-L10*L23</f>
        <v>-152033.40340167424</v>
      </c>
      <c r="N51" s="27">
        <f>N30-N10*N23</f>
        <v>-97934.401876017917</v>
      </c>
      <c r="P51" s="27">
        <f>P30-P10*P23</f>
        <v>-42765.879547331017</v>
      </c>
      <c r="R51" s="27">
        <f>R30-R10*R23</f>
        <v>13321.675333903171</v>
      </c>
      <c r="T51" s="27">
        <f>T30-T10*T23</f>
        <v>70039.428977749776</v>
      </c>
      <c r="V51" s="27">
        <f>V30-V10*V23</f>
        <v>126876.87846224476</v>
      </c>
      <c r="X51" s="27">
        <f>X30-X10*X23</f>
        <v>182968.54548654985</v>
      </c>
      <c r="Z51" s="27">
        <f>Z30-Z10*Z23</f>
        <v>236882.84390637511</v>
      </c>
      <c r="AB51" s="27">
        <f>AB30-AB10*AB23</f>
        <v>286301.41577858618</v>
      </c>
      <c r="AD51" s="27">
        <f>AD30-AD10*AD23</f>
        <v>327581.08299966017</v>
      </c>
      <c r="AF51" s="27">
        <f>AF30-AF10*AF23</f>
        <v>355276.59570952924</v>
      </c>
      <c r="AH51" s="27">
        <f>AH30-AH10*AH23</f>
        <v>361883.71200076677</v>
      </c>
      <c r="AJ51" s="27">
        <f>AJ30-AJ10*AJ23</f>
        <v>338237.60030075954</v>
      </c>
      <c r="AL51" s="27">
        <f>AL30-AL10*AL23</f>
        <v>274846.14727441524</v>
      </c>
      <c r="AN51" s="27">
        <f>AN30-AN10*AN23</f>
        <v>163761.41664420161</v>
      </c>
      <c r="AP51" s="27">
        <f>AP30-AP10*AP23</f>
        <v>135323.30911940272</v>
      </c>
      <c r="AQ51" s="27"/>
      <c r="AR51" s="27">
        <f>AR30-AR10*AR23</f>
        <v>104743.78433363145</v>
      </c>
      <c r="AT51" s="27">
        <f>AT30-AT10*AT23</f>
        <v>72004.650324819988</v>
      </c>
      <c r="AV51" s="27">
        <f>AV30-AV10*AV23</f>
        <v>37092.810500233623</v>
      </c>
      <c r="XFD51" s="27"/>
    </row>
    <row r="52" spans="1:48 16321:16384" x14ac:dyDescent="0.2">
      <c r="A52" t="s">
        <v>151</v>
      </c>
      <c r="B52" s="27">
        <f t="array" ref="B52">Calibration!sL*SUM(B13:C13*B26:C26)</f>
        <v>2073093.0976150823</v>
      </c>
      <c r="D52" s="27">
        <f t="array" ref="D52">Calibration!sL*SUM(D13:E13*D26:E26)</f>
        <v>2057320.3846180185</v>
      </c>
      <c r="F52" s="27">
        <f t="array" ref="F52">Calibration!sL*SUM(F13:G13*F26:G26)</f>
        <v>2039895.3076102028</v>
      </c>
      <c r="H52" s="27">
        <f t="array" ref="H52">Calibration!sL*SUM(H13:I13*H26:I26)</f>
        <v>2020528.2432310802</v>
      </c>
      <c r="J52" s="27">
        <f t="array" ref="J52">Calibration!sL*SUM(J13:K13*J26:K26)</f>
        <v>1998861.47322353</v>
      </c>
      <c r="L52" s="27">
        <f t="array" ref="L52">Calibration!sL*SUM(L13:M13*L26:M26)</f>
        <v>1974447.9022514604</v>
      </c>
      <c r="N52" s="27">
        <f t="array" ref="N52">Calibration!sL*SUM(N13:O13*N26:O26)</f>
        <v>1946721.7330225017</v>
      </c>
      <c r="P52" s="27">
        <f t="array" ref="P52">Calibration!sL*SUM(P13:Q13*P26:Q26)</f>
        <v>1914958.8098991534</v>
      </c>
      <c r="R52" s="27">
        <f t="array" ref="R52">Calibration!sL*SUM(R13:S13*R26:S26)</f>
        <v>1878220.573446983</v>
      </c>
      <c r="T52" s="27">
        <f t="array" ref="T52">Calibration!sL*SUM(T13:U13*T26:U26)</f>
        <v>1835274.8354342976</v>
      </c>
      <c r="V52" s="27">
        <f t="array" ref="V52">Calibration!sL*SUM(V13:W13*V26:W26)</f>
        <v>1784487.4243535241</v>
      </c>
      <c r="X52" s="27">
        <f t="array" ref="X52">Calibration!sL*SUM(X13:Y13*X26:Y26)</f>
        <v>1723674.6719018475</v>
      </c>
      <c r="Z52" s="27">
        <f t="array" ref="Z52">Calibration!sL*SUM(Z13:AA13*Z26:AA26)</f>
        <v>1649915.92536615</v>
      </c>
      <c r="AB52" s="27">
        <f t="array" ref="AB52">Calibration!sL*SUM(AB13:AC13*AB26:AC26)</f>
        <v>1559345.5044510025</v>
      </c>
      <c r="AD52" s="27">
        <f t="array" ref="AD52">Calibration!sL*SUM(AD13:AE13*AD26:AE26)</f>
        <v>1446993.4335936531</v>
      </c>
      <c r="AF52" s="27">
        <f t="array" ref="AF52">Calibration!sL*SUM(AF13:AG13*AF26:AG26)</f>
        <v>1306830.8718067894</v>
      </c>
      <c r="AH52" s="27">
        <f t="array" ref="AH52">Calibration!sL*SUM(AH13:AI13*AH26:AI26)</f>
        <v>1132250.7874415191</v>
      </c>
      <c r="AJ52" s="27">
        <f t="array" ref="AJ52">Calibration!sL*SUM(AJ13:AK13*AJ26:AK26)</f>
        <v>917125.23934693076</v>
      </c>
      <c r="AL52" s="27">
        <f t="array" ref="AL52">Calibration!sL*SUM(AL13:AM13*AL26:AM26)</f>
        <v>657182.54482248973</v>
      </c>
      <c r="AN52" s="27">
        <f t="array" ref="AN52">Calibration!sL*SUM(AN13:AO13*AN26:AO26)</f>
        <v>350997.10562735086</v>
      </c>
      <c r="AP52" s="27">
        <f t="array" ref="AP52">Calibration!sL*SUM(AP13:AQ13*AP26:AQ26)</f>
        <v>284294.38686061726</v>
      </c>
      <c r="AQ52" s="27"/>
      <c r="AR52" s="27">
        <f t="array" ref="AR52">Calibration!sL*SUM(AR13:AS13*AR26:AS26)</f>
        <v>215815.96092567022</v>
      </c>
      <c r="AT52" s="27">
        <f t="array" ref="AT52">Calibration!sL*SUM(AT13:AU13*AT26:AU26)</f>
        <v>145587.96629753109</v>
      </c>
      <c r="AV52" s="27">
        <f t="array" ref="AV52">Calibration!sL*SUM(AV13:AW13*AV26:AW26)</f>
        <v>73639.049876626217</v>
      </c>
    </row>
    <row r="53" spans="1:48 16321:16384" x14ac:dyDescent="0.2">
      <c r="A53" t="s">
        <v>152</v>
      </c>
      <c r="B53" s="27">
        <f t="array" ref="B53">Calibration!sK*SUM(B15:C15*B27:C27)</f>
        <v>2716869.1663849424</v>
      </c>
      <c r="D53" s="27">
        <f t="array" ref="D53">Calibration!sK*SUM(D15:E15*D27:E27)</f>
        <v>2692533.1568242135</v>
      </c>
      <c r="F53" s="27">
        <f t="array" ref="F53">Calibration!sK*SUM(F15:G15*F27:G27)</f>
        <v>2666274.0389556773</v>
      </c>
      <c r="H53" s="27">
        <f t="array" ref="H53">Calibration!sK*SUM(H15:I15*H27:I27)</f>
        <v>2637698.7374761575</v>
      </c>
      <c r="J53" s="27">
        <f t="array" ref="J53">Calibration!sK*SUM(J15:K15*J27:K27)</f>
        <v>2606317.3604805763</v>
      </c>
      <c r="L53" s="27">
        <f t="array" ref="L53">Calibration!sK*SUM(L15:M15*L27:M27)</f>
        <v>2571513.3542957511</v>
      </c>
      <c r="N53" s="27">
        <f t="array" ref="N53">Calibration!sK*SUM(N15:O15*N27:O27)</f>
        <v>2532503.0572479633</v>
      </c>
      <c r="P53" s="27">
        <f t="array" ref="P53">Calibration!sK*SUM(P15:Q15*P27:Q27)</f>
        <v>2488281.3801235082</v>
      </c>
      <c r="R53" s="27">
        <f t="array" ref="R53">Calibration!sK*SUM(R15:S15*R27:S27)</f>
        <v>2437546.7572133611</v>
      </c>
      <c r="T53" s="27">
        <f t="array" ref="T53">Calibration!sK*SUM(T15:U15*T27:U27)</f>
        <v>2378597.3072855081</v>
      </c>
      <c r="V53" s="27">
        <f t="array" ref="V53">Calibration!sK*SUM(V15:W15*V27:W27)</f>
        <v>2309193.3820732255</v>
      </c>
      <c r="X53" s="27">
        <f t="array" ref="X53">Calibration!sK*SUM(X15:Y15*X27:Y27)</f>
        <v>2226377.400349597</v>
      </c>
      <c r="Z53" s="27">
        <f t="array" ref="Z53">Calibration!sK*SUM(Z15:AA15*Z27:AA27)</f>
        <v>2126259.3632090036</v>
      </c>
      <c r="AB53" s="27">
        <f t="array" ref="AB53">Calibration!sK*SUM(AB15:AC15*AB27:AC27)</f>
        <v>2003806.0731911007</v>
      </c>
      <c r="AD53" s="27">
        <f t="array" ref="AD53">Calibration!sK*SUM(AD15:AE15*AD27:AE27)</f>
        <v>1852740.7980913029</v>
      </c>
      <c r="AF53" s="27">
        <f t="array" ref="AF53">Calibration!sK*SUM(AF15:AG15*AF27:AG27)</f>
        <v>1665761.0217138943</v>
      </c>
      <c r="AH53" s="27">
        <f t="array" ref="AH53">Calibration!sK*SUM(AH15:AI15*AH27:AI27)</f>
        <v>1435336.39113107</v>
      </c>
      <c r="AJ53" s="27">
        <f t="array" ref="AJ53">Calibration!sK*SUM(AJ15:AK15*AJ27:AK27)</f>
        <v>1155161.0322683386</v>
      </c>
      <c r="AL53" s="27">
        <f t="array" ref="AL53">Calibration!sK*SUM(AL15:AM15*AL27:AM27)</f>
        <v>821789.78102674114</v>
      </c>
      <c r="AN53" s="27">
        <f t="array" ref="AN53">Calibration!sK*SUM(AN15:AO15*AN27:AO27)</f>
        <v>435527.5951199322</v>
      </c>
      <c r="AP53" s="27">
        <f t="array" ref="AP53">Calibration!sK*SUM(AP15:AQ15*AP27:AQ27)</f>
        <v>352202.81076880038</v>
      </c>
      <c r="AQ53" s="27"/>
      <c r="AR53" s="27">
        <f t="array" ref="AR53">Calibration!sK*SUM(AR15:AS15*AR27:AS27)</f>
        <v>266942.58505437785</v>
      </c>
      <c r="AT53" s="27">
        <f t="array" ref="AT53">Calibration!sK*SUM(AT15:AU15*AT27:AU27)</f>
        <v>179790.9790101976</v>
      </c>
      <c r="AV53" s="27">
        <f t="array" ref="AV53">Calibration!sK*SUM(AV15:AW15*AV27:AW27)</f>
        <v>90794.173443374006</v>
      </c>
      <c r="XFD53" s="27"/>
    </row>
    <row r="55" spans="1:48 16321:16384" x14ac:dyDescent="0.2">
      <c r="A55" t="s">
        <v>153</v>
      </c>
      <c r="B55" s="183">
        <f>B30/B32</f>
        <v>0.19850271905982084</v>
      </c>
      <c r="D55" s="183">
        <f>D30/D32</f>
        <v>0.20169697533214845</v>
      </c>
      <c r="F55" s="183">
        <f>F30/F32</f>
        <v>0.2049737839574414</v>
      </c>
      <c r="H55" s="183">
        <f>H30/H32</f>
        <v>0.20834291406557545</v>
      </c>
      <c r="J55" s="183">
        <f>J30/J32</f>
        <v>0.21181532435292866</v>
      </c>
      <c r="L55" s="183">
        <f>L30/L32</f>
        <v>0.21540341253659762</v>
      </c>
      <c r="N55" s="183">
        <f>N30/N32</f>
        <v>0.21912133101090303</v>
      </c>
      <c r="P55" s="183">
        <f>P30/P32</f>
        <v>0.22298529749360599</v>
      </c>
      <c r="R55" s="183">
        <f>R30/R32</f>
        <v>0.22701396607419755</v>
      </c>
      <c r="T55" s="183">
        <f>T30/T32</f>
        <v>0.23122888194298535</v>
      </c>
      <c r="V55" s="183">
        <f>V30/V32</f>
        <v>0.23565466935341869</v>
      </c>
      <c r="X55" s="183">
        <f>X30/X32</f>
        <v>0.24031873267629816</v>
      </c>
      <c r="Z55" s="183">
        <f>Z30/Z32</f>
        <v>0.24524971485077143</v>
      </c>
      <c r="AB55" s="183">
        <f>AB30/AB32</f>
        <v>0.25047331923415328</v>
      </c>
      <c r="AD55" s="183">
        <f>AD30/AD32</f>
        <v>0.25600376661669066</v>
      </c>
      <c r="AF55" s="183">
        <f>AF30/AF32</f>
        <v>0.26182977773438881</v>
      </c>
      <c r="AH55" s="183">
        <f>AH30/AH32</f>
        <v>0.26789774591778004</v>
      </c>
      <c r="AJ55" s="183">
        <f>AJ30/AJ32</f>
        <v>0.27410177607675368</v>
      </c>
      <c r="AL55" s="183">
        <f>AL30/AL32</f>
        <v>0.28029382775301814</v>
      </c>
      <c r="AN55" s="183">
        <f>AN30/AN32</f>
        <v>0.28631617233866413</v>
      </c>
      <c r="AP55" s="183">
        <f>AP30/AP32</f>
        <v>0.28748803616088475</v>
      </c>
      <c r="AR55" s="183">
        <f>AR30/AR32</f>
        <v>0.28864693104414374</v>
      </c>
      <c r="AT55" s="183">
        <f>AT30/AT32</f>
        <v>0.289792132605731</v>
      </c>
      <c r="AV55" s="183">
        <f>AV30/AV32</f>
        <v>0.29092300799334492</v>
      </c>
      <c r="XCS55" s="183"/>
      <c r="XFD55" s="183"/>
    </row>
    <row r="56" spans="1:48 16321:16384" x14ac:dyDescent="0.2">
      <c r="A56" t="s">
        <v>154</v>
      </c>
      <c r="B56" s="183">
        <f>(Model!$C$52*B5*B20+B2*C5*C20)/B32</f>
        <v>2.9221206744340551E-2</v>
      </c>
      <c r="D56" s="183">
        <f>(Model!$C$52*D5*D20+D2*E5*E20)/D32</f>
        <v>3.3001336456195456E-2</v>
      </c>
      <c r="F56" s="183">
        <f>(Model!$C$52*F5*F20+F2*G5*G20)/F32</f>
        <v>3.6887327350513338E-2</v>
      </c>
      <c r="H56" s="183">
        <f>(Model!$C$52*H5*H20+H2*I5*I20)/H32</f>
        <v>4.0890338792093035E-2</v>
      </c>
      <c r="J56" s="183">
        <f>(Model!$C$52*J5*J20+J2*K5*K20)/J32</f>
        <v>4.5022664580659719E-2</v>
      </c>
      <c r="L56" s="183">
        <f>(Model!$C$52*L5*L20+L2*M5*M20)/L32</f>
        <v>4.9297921438843817E-2</v>
      </c>
      <c r="N56" s="183">
        <f>(Model!$C$52*N5*N20+N2*O5*O20)/N32</f>
        <v>5.3731269576901955E-2</v>
      </c>
      <c r="P56" s="183">
        <f>(Model!$C$52*P5*P20+P2*Q5*Q20)/P32</f>
        <v>5.8339625258796934E-2</v>
      </c>
      <c r="R56" s="183">
        <f>(Model!$C$52*R5*R20+R2*S5*S20)/R32</f>
        <v>6.3141869769159822E-2</v>
      </c>
      <c r="T56" s="183">
        <f>(Model!$C$52*T5*T20+T2*U5*U20)/T32</f>
        <v>6.8159086405898114E-2</v>
      </c>
      <c r="V56" s="183">
        <f>(Model!$C$52*V5*V20+V2*W5*W20)/V32</f>
        <v>7.3414448033983351E-2</v>
      </c>
      <c r="X56" s="183">
        <f>(Model!$C$52*X5*X20+X2*Y5*Y20)/X32</f>
        <v>7.8932505465558273E-2</v>
      </c>
      <c r="Z56" s="183">
        <f>(Model!$C$52*Z5*Z20+Z2*AA5*AA20)/Z32</f>
        <v>8.4737080082595312E-2</v>
      </c>
      <c r="AB56" s="183">
        <f>(Model!$C$52*AB5*AB20+AB2*AC5*AC20)/AB32</f>
        <v>9.0846393875866877E-2</v>
      </c>
      <c r="AD56" s="183">
        <f>(Model!$C$52*AD5*AD20+AD2*AE5*AE20)/AD32</f>
        <v>9.7263804604006299E-2</v>
      </c>
      <c r="AF56" s="183">
        <f>(Model!$C$52*AF5*AF20+AF2*AG5*AG20)/AF32</f>
        <v>0.10396340177895039</v>
      </c>
      <c r="AH56" s="183">
        <f>(Model!$C$52*AH5*AH20+AH2*AI5*AI20)/AH32</f>
        <v>0.11087378755014136</v>
      </c>
      <c r="AJ56" s="183">
        <f>(Model!$C$52*AJ5*AJ20+AJ2*AK5*AK20)/AJ32</f>
        <v>0.11787043841289302</v>
      </c>
      <c r="AL56" s="183">
        <f>(Model!$C$52*AL5*AL20+AL2*AM5*AM20)/AL32</f>
        <v>0.12478962247647662</v>
      </c>
      <c r="AN56" s="183">
        <f>(Model!$C$52*AN5*AN20+AN2*AO5*AO20)/AN32</f>
        <v>0.13146436445474091</v>
      </c>
      <c r="AP56" s="183">
        <f>(Model!$C$52*AP5*AP20+AP2*AQ5*AQ20)/AP32</f>
        <v>0.13275747334817656</v>
      </c>
      <c r="AR56" s="183">
        <f>(Model!$C$52*AR5*AR20+AR2*AS5*AS20)/AR32</f>
        <v>0.13403455986680654</v>
      </c>
      <c r="AT56" s="183">
        <f>(Model!$C$52*AT5*AT20+AT2*AU5*AU20)/AT32</f>
        <v>0.13529493101171297</v>
      </c>
      <c r="AV56" s="183">
        <f>(Model!$C$52*AV5*AV20+AV2*AW5*AW20)/AV32</f>
        <v>0.13653799285331916</v>
      </c>
      <c r="XFD56" s="183"/>
    </row>
    <row r="57" spans="1:48 16321:16384" x14ac:dyDescent="0.2">
      <c r="A57" t="s">
        <v>155</v>
      </c>
      <c r="B57" s="183">
        <f t="array" ref="B57">SUM(Model!tauL*B13:C13*B26:C26)/B32</f>
        <v>0.15852881819439493</v>
      </c>
      <c r="D57" s="183">
        <f t="array" ref="D57">SUM(Model!tauL*D13:E13*D26:E26)/D32</f>
        <v>0.15801886942862198</v>
      </c>
      <c r="F57" s="183">
        <f t="array" ref="F57">SUM(Model!tauL*F13:G13*F26:G26)/F32</f>
        <v>0.15748573874526886</v>
      </c>
      <c r="H57" s="183">
        <f t="array" ref="H57">SUM(Model!tauL*H13:I13*H26:I26)/H32</f>
        <v>0.15692814306911501</v>
      </c>
      <c r="J57" s="183">
        <f t="array" ref="J57">SUM(Model!tauL*J13:K13*J26:K26)/J32</f>
        <v>0.15634487313959486</v>
      </c>
      <c r="L57" s="183">
        <f t="array" ref="L57">SUM(Model!tauL*L13:M13*L26:M26)/L32</f>
        <v>0.15573485252483071</v>
      </c>
      <c r="N57" s="183">
        <f t="array" ref="N57">SUM(Model!tauL*N13:O13*N26:O26)/N32</f>
        <v>0.15509722547684035</v>
      </c>
      <c r="P57" s="183">
        <f t="array" ref="P57">SUM(Model!tauL*P13:Q13*P26:Q26)/P32</f>
        <v>0.15443145105406403</v>
      </c>
      <c r="R57" s="183">
        <f t="array" ref="R57">SUM(Model!tauL*R13:S13*R26:S26)/R32</f>
        <v>0.15373744970644121</v>
      </c>
      <c r="T57" s="183">
        <f t="array" ref="T57">SUM(Model!tauL*T13:U13*T26:U26)/T32</f>
        <v>0.15301579640665891</v>
      </c>
      <c r="V57" s="183">
        <f t="array" ref="V57">SUM(Model!tauL*V13:W13*V26:W26)/V32</f>
        <v>0.15226798076182252</v>
      </c>
      <c r="X57" s="183">
        <f t="array" ref="X57">SUM(Model!tauL*X13:Y13*X26:Y26)/X32</f>
        <v>0.151496761978551</v>
      </c>
      <c r="Y57" s="183"/>
      <c r="Z57" s="183">
        <f t="array" ref="Z57">SUM(Model!tauL*Z13:AA13*Z26:AA26)/Z32</f>
        <v>0.15070664700584471</v>
      </c>
      <c r="AB57" s="183">
        <f t="array" ref="AB57">SUM(Model!tauL*AB13:AC13*AB26:AC26)/AB32</f>
        <v>0.14990447823199532</v>
      </c>
      <c r="AD57" s="183">
        <f t="array" ref="AD57">SUM(Model!tauL*AD13:AE13*AD26:AE26)/AD32</f>
        <v>0.1491000511865086</v>
      </c>
      <c r="AF57" s="183">
        <f t="array" ref="AF57">SUM(Model!tauL*AF13:AG13*AF26:AG26)/AF32</f>
        <v>0.14830646068567466</v>
      </c>
      <c r="AH57" s="183">
        <f t="array" ref="AH57">SUM(Model!tauL*AH13:AI13*AH26:AI26)/AH32</f>
        <v>0.14753961006281449</v>
      </c>
      <c r="AJ57" s="183">
        <f t="array" ref="AJ57">SUM(Model!tauL*AJ13:AK13*AJ26:AK26)/AJ32</f>
        <v>0.14681623631911947</v>
      </c>
      <c r="AL57" s="183">
        <f t="array" ref="AL57">SUM(Model!tauL*AL13:AM13*AL26:AM26)/AL32</f>
        <v>0.14615061931867046</v>
      </c>
      <c r="AN57" s="183">
        <f t="array" ref="AN57">SUM(Model!tauL*AN13:AO13*AN26:AO26)/AN32</f>
        <v>0.14555143345796775</v>
      </c>
      <c r="AP57" s="183">
        <f t="array" ref="AP57">SUM(Model!tauL*AP13:AQ13*AP26:AQ26)/AP32</f>
        <v>0.14543984682228667</v>
      </c>
      <c r="AR57" s="183">
        <f t="array" ref="AR57">SUM(Model!tauL*AR13:AS13*AR26:AS26)/AR32</f>
        <v>0.14533099666330332</v>
      </c>
      <c r="AT57" s="183">
        <f t="array" ref="AT57">SUM(Model!tauL*AT13:AU13*AT26:AU26)/AT32</f>
        <v>0.14522485816852074</v>
      </c>
      <c r="AV57" s="183">
        <f t="array" ref="AV57">SUM(Model!tauL*AV13:AW13*AV26:AW26)/AV32</f>
        <v>0.14512139955482628</v>
      </c>
      <c r="XFD57" s="183"/>
    </row>
    <row r="58" spans="1:48 16321:16384" x14ac:dyDescent="0.2">
      <c r="A58" t="s">
        <v>156</v>
      </c>
      <c r="B58" s="183">
        <f t="array" ref="B58">SUM(Model!tauY/(1+Model!tauY)*B3:C3*B18:C18)/B32</f>
        <v>1.075269412108535E-2</v>
      </c>
      <c r="D58" s="183">
        <f t="array" ref="D58">SUM(Model!tauY/(1+Model!tauY)*D3:E3*D18:E18)/D32</f>
        <v>1.0676769447330994E-2</v>
      </c>
      <c r="F58" s="183">
        <f t="array" ref="F58">SUM(Model!tauY/(1+Model!tauY)*F3:G3*F18:G18)/F32</f>
        <v>1.0600717861659179E-2</v>
      </c>
      <c r="H58" s="183">
        <f t="array" ref="H58">SUM(Model!tauY/(1+Model!tauY)*H3:I3*H18:I18)/H32</f>
        <v>1.0524432204367433E-2</v>
      </c>
      <c r="J58" s="183">
        <f t="array" ref="J58">SUM(Model!tauY/(1+Model!tauY)*J3:K3*J18:K18)/J32</f>
        <v>1.0447786632674093E-2</v>
      </c>
      <c r="L58" s="183">
        <f t="array" ref="L58">SUM(Model!tauY/(1+Model!tauY)*L3:M3*L18:M18)/L32</f>
        <v>1.0370638572923094E-2</v>
      </c>
      <c r="N58" s="183">
        <f t="array" ref="N58">SUM(Model!tauY/(1+Model!tauY)*N3:O3*N18:O18)/N32</f>
        <v>1.0292835957160696E-2</v>
      </c>
      <c r="P58" s="183">
        <f t="array" ref="P58">SUM(Model!tauY/(1+Model!tauY)*P3:Q3*P18:Q18)/P32</f>
        <v>1.0214221180745007E-2</v>
      </c>
      <c r="R58" s="183">
        <f t="array" ref="R58">SUM(Model!tauY/(1+Model!tauY)*R3:S3*R18:S18)/R32</f>
        <v>1.013464659859648E-2</v>
      </c>
      <c r="T58" s="183">
        <f t="array" ref="T58">SUM(Model!tauY/(1+Model!tauY)*T3:U3*T18:U18)/T32</f>
        <v>1.0053999130428303E-2</v>
      </c>
      <c r="V58" s="183">
        <f t="array" ref="V58">SUM(Model!tauY/(1+Model!tauY)*V3:W3*V18:W18)/V32</f>
        <v>9.9722405576128138E-3</v>
      </c>
      <c r="X58" s="183">
        <f t="array" ref="X58">SUM(Model!tauY/(1+Model!tauY)*X3:Y3*X18:Y18)/X32</f>
        <v>9.8894652321889018E-3</v>
      </c>
      <c r="Y58" s="183"/>
      <c r="Z58" s="183">
        <f t="array" ref="Z58">SUM(Model!tauY/(1+Model!tauY)*Z3:AA3*Z18:AA18)/Z32</f>
        <v>9.8059877623314223E-3</v>
      </c>
      <c r="AB58" s="183">
        <f t="array" ref="AB58">SUM(Model!tauY/(1+Model!tauY)*AB3:AC3*AB18:AC18)/AB32</f>
        <v>9.7224471262910717E-3</v>
      </c>
      <c r="AD58" s="183">
        <f t="array" ref="AD58">SUM(Model!tauY/(1+Model!tauY)*AD3:AE3*AD18:AE18)/AD32</f>
        <v>9.6399108261757457E-3</v>
      </c>
      <c r="AF58" s="183">
        <f t="array" ref="AF58">SUM(Model!tauY/(1+Model!tauY)*AF3:AG3*AF18:AG18)/AF32</f>
        <v>9.559915269763769E-3</v>
      </c>
      <c r="AH58" s="183">
        <f t="array" ref="AH58">SUM(Model!tauY/(1+Model!tauY)*AH3:AI3*AH18:AI18)/AH32</f>
        <v>9.4843483048241643E-3</v>
      </c>
      <c r="AJ58" s="183">
        <f t="array" ref="AJ58">SUM(Model!tauY/(1+Model!tauY)*AJ3:AK3*AJ18:AK18)/AJ32</f>
        <v>9.4151013447411874E-3</v>
      </c>
      <c r="AL58" s="183">
        <f t="array" ref="AL58">SUM(Model!tauY/(1+Model!tauY)*AL3:AM3*AL18:AM18)/AL32</f>
        <v>9.3535859578710561E-3</v>
      </c>
      <c r="AN58" s="183">
        <f t="array" ref="AN58">SUM(Model!tauY/(1+Model!tauY)*AN3:AO3*AN18:AO18)/AN32</f>
        <v>9.3003744259554412E-3</v>
      </c>
      <c r="AP58" s="183">
        <f t="array" ref="AP58">SUM(Model!tauY/(1+Model!tauY)*AP3:AQ3*AP18:AQ18)/AP32</f>
        <v>9.2907159904214911E-3</v>
      </c>
      <c r="AR58" s="183">
        <f t="array" ref="AR58">SUM(Model!tauY/(1+Model!tauY)*AR3:AS3*AR18:AS18)/AR32</f>
        <v>9.2813745140338383E-3</v>
      </c>
      <c r="AT58" s="183">
        <f t="array" ref="AT58">SUM(Model!tauY/(1+Model!tauY)*AT3:AU3*AT18:AU18)/AT32</f>
        <v>9.2723434254973081E-3</v>
      </c>
      <c r="AV58" s="183">
        <f t="array" ref="AV58">SUM(Model!tauY/(1+Model!tauY)*AV3:AW3*AV18:AW18)/AV32</f>
        <v>9.2636155851994889E-3</v>
      </c>
      <c r="XFD58" s="183"/>
    </row>
    <row r="59" spans="1:48 16321:16384" x14ac:dyDescent="0.2">
      <c r="A59" t="s">
        <v>157</v>
      </c>
      <c r="B59" s="183">
        <f>(B2*C5*C20)/B32</f>
        <v>5.5174232040962052E-4</v>
      </c>
      <c r="D59" s="183">
        <f>(D2*E5*E20)/D32</f>
        <v>4.3777443001813141E-3</v>
      </c>
      <c r="F59" s="183">
        <f>(F2*G5*G20)/F32</f>
        <v>8.3103661392398467E-3</v>
      </c>
      <c r="H59" s="183">
        <f>(H2*I5*I20)/H32</f>
        <v>1.2360823509466993E-2</v>
      </c>
      <c r="J59" s="183">
        <f>(J2*K5*K20)/J32</f>
        <v>1.6541466771595084E-2</v>
      </c>
      <c r="L59" s="183">
        <f>(L2*M5*M20)/L32</f>
        <v>2.0865968436071473E-2</v>
      </c>
      <c r="N59" s="183">
        <f>(N2*O5*O20)/N32</f>
        <v>2.5349541199969135E-2</v>
      </c>
      <c r="P59" s="183">
        <f>(P2*Q5*Q20)/P32</f>
        <v>3.0009150451130132E-2</v>
      </c>
      <c r="R59" s="183">
        <f>(R2*S5*S20)/R32</f>
        <v>3.4863720770405962E-2</v>
      </c>
      <c r="T59" s="183">
        <f>(T2*U5*U20)/T32</f>
        <v>3.9934370723875415E-2</v>
      </c>
      <c r="V59" s="183">
        <f>(V2*W5*W20)/V32</f>
        <v>4.5244295538818924E-2</v>
      </c>
      <c r="X59" s="183">
        <f>(X2*Y5*Y20)/X32</f>
        <v>5.0818048496206976E-2</v>
      </c>
      <c r="Z59" s="183">
        <f>(Z2*AA5*AA20)/Z32</f>
        <v>5.667941675238624E-2</v>
      </c>
      <c r="AB59" s="183">
        <f>(AB2*AC5*AC20)/AB32</f>
        <v>6.2846521650447712E-2</v>
      </c>
      <c r="AD59" s="183">
        <f>(AD2*AE5*AE20)/AD32</f>
        <v>6.9322500201605797E-2</v>
      </c>
      <c r="AF59" s="183">
        <f>(AF2*AG5*AG20)/AF32</f>
        <v>7.6081023265751932E-2</v>
      </c>
      <c r="AH59" s="183">
        <f>(AH2*AI5*AI20)/AH32</f>
        <v>8.3049998512331885E-2</v>
      </c>
      <c r="AJ59" s="183">
        <f>(AJ2*AK5*AK20)/AJ32</f>
        <v>9.0103923386536416E-2</v>
      </c>
      <c r="AL59" s="183">
        <f>(AL2*AM5*AM20)/AL32</f>
        <v>9.7077933219326937E-2</v>
      </c>
      <c r="AN59" s="183">
        <f>(AN2*AO5*AO20)/AN32</f>
        <v>0.10380402153466246</v>
      </c>
      <c r="AP59" s="183">
        <f>(AP2*AQ5*AQ20)/AP32</f>
        <v>0.10510691383409251</v>
      </c>
      <c r="AR59" s="183">
        <f>(AR2*AS5*AS20)/AR32</f>
        <v>0.10639361207289871</v>
      </c>
      <c r="AT59" s="183">
        <f>(AT2*AU5*AU20)/AT32</f>
        <v>0.10766342050072256</v>
      </c>
      <c r="AV59" s="183">
        <f>(AV2*AW5*AW20)/AV32</f>
        <v>0.10891574307405925</v>
      </c>
      <c r="XFD59" s="183"/>
    </row>
    <row r="60" spans="1:48 16321:16384" x14ac:dyDescent="0.2">
      <c r="A60" t="s">
        <v>158</v>
      </c>
      <c r="B60" s="183">
        <f>Model!$C$52*B5*B20/B32</f>
        <v>2.8669464423930927E-2</v>
      </c>
      <c r="D60" s="183">
        <f>Model!$C$52*D5*D20/D32</f>
        <v>2.8623592156014135E-2</v>
      </c>
      <c r="F60" s="183">
        <f>Model!$C$52*F5*F20/F32</f>
        <v>2.857696121127349E-2</v>
      </c>
      <c r="H60" s="183">
        <f>Model!$C$52*H5*H20/H32</f>
        <v>2.8529515282626036E-2</v>
      </c>
      <c r="J60" s="183">
        <f>Model!$C$52*J5*J20/J32</f>
        <v>2.8481197809064634E-2</v>
      </c>
      <c r="L60" s="183">
        <f>Model!$C$52*L5*L20/L32</f>
        <v>2.8431953002772341E-2</v>
      </c>
      <c r="N60" s="183">
        <f>Model!$C$52*N5*N20/N32</f>
        <v>2.8381728376932817E-2</v>
      </c>
      <c r="P60" s="183">
        <f>Model!$C$52*P5*P20/P32</f>
        <v>2.833047480766681E-2</v>
      </c>
      <c r="R60" s="183">
        <f>Model!$C$52*R5*R20/R32</f>
        <v>2.827814899875386E-2</v>
      </c>
      <c r="T60" s="183">
        <f>Model!$C$52*T5*T20/T32</f>
        <v>2.8224715682022696E-2</v>
      </c>
      <c r="V60" s="183">
        <f>Model!$C$52*V5*V20/V32</f>
        <v>2.8170152495164431E-2</v>
      </c>
      <c r="X60" s="183">
        <f>Model!$C$52*X5*X20/X32</f>
        <v>2.8114456969351293E-2</v>
      </c>
      <c r="Z60" s="183">
        <f>Model!$C$52*Z5*Z20/Z32</f>
        <v>2.8057663330209072E-2</v>
      </c>
      <c r="AB60" s="183">
        <f>Model!$C$52*AB5*AB20/AB32</f>
        <v>2.7999872225419171E-2</v>
      </c>
      <c r="AD60" s="183">
        <f>Model!$C$52*AD5*AD20/AD32</f>
        <v>2.7941304402400509E-2</v>
      </c>
      <c r="AF60" s="183">
        <f>Model!$C$52*AF5*AF20/AF32</f>
        <v>2.7882378513198452E-2</v>
      </c>
      <c r="AH60" s="183">
        <f>Model!$C$52*AH5*AH20/AH32</f>
        <v>2.7823789037809483E-2</v>
      </c>
      <c r="AJ60" s="183">
        <f>Model!$C$52*AJ5*AJ20/AJ32</f>
        <v>2.7766515026356603E-2</v>
      </c>
      <c r="AL60" s="183">
        <f>Model!$C$52*AL5*AL20/AL32</f>
        <v>2.7711689257149674E-2</v>
      </c>
      <c r="AN60" s="183">
        <f>Model!$C$52*AN5*AN20/AN32</f>
        <v>2.7660342920078448E-2</v>
      </c>
      <c r="AP60" s="183">
        <f>Model!$C$52*AP5*AP20/AP32</f>
        <v>2.7650559514084069E-2</v>
      </c>
      <c r="AR60" s="183">
        <f>Model!$C$52*AR5*AR20/AR32</f>
        <v>2.7640947793907827E-2</v>
      </c>
      <c r="AT60" s="183">
        <f>Model!$C$52*AT5*AT20/AT32</f>
        <v>2.7631510510990404E-2</v>
      </c>
      <c r="AV60" s="183">
        <f>Model!$C$52*AV5*AV20/AV32</f>
        <v>2.7622249779259912E-2</v>
      </c>
      <c r="XFD60" s="183"/>
    </row>
    <row r="62" spans="1:48 16321:16384" x14ac:dyDescent="0.2">
      <c r="A62" t="s">
        <v>159</v>
      </c>
      <c r="B62">
        <f>B13/B15</f>
        <v>1</v>
      </c>
      <c r="D62">
        <f>D13/D15</f>
        <v>0.99958302275730204</v>
      </c>
      <c r="F62">
        <f>F13/F15</f>
        <v>0.99909052521767716</v>
      </c>
      <c r="H62">
        <f>H13/H15</f>
        <v>0.99853265462619945</v>
      </c>
      <c r="J62">
        <f>J13/J15</f>
        <v>0.99792499129850121</v>
      </c>
      <c r="L62">
        <f>L13/L15</f>
        <v>0.99729056222660728</v>
      </c>
      <c r="N62">
        <f>N13/N15</f>
        <v>0.99666249722620226</v>
      </c>
      <c r="P62">
        <f>P13/P15</f>
        <v>0.99608747828665989</v>
      </c>
      <c r="R62">
        <f>R13/R15</f>
        <v>0.99563030385919704</v>
      </c>
      <c r="T62">
        <f>T13/T15</f>
        <v>0.99537987039069298</v>
      </c>
      <c r="V62">
        <f>V13/V15</f>
        <v>0.99545609503449395</v>
      </c>
      <c r="X62">
        <f>X13/X15</f>
        <v>0.99601771089269953</v>
      </c>
      <c r="Z62">
        <f>Z13/Z15</f>
        <v>0.99726846185632179</v>
      </c>
      <c r="AB62">
        <f>AB13/AB15</f>
        <v>0.99945717130623857</v>
      </c>
      <c r="AD62">
        <f>AD13/AD15</f>
        <v>1.0028627452173353</v>
      </c>
      <c r="AF62">
        <f>AF13/AF15</f>
        <v>1.0077524514099938</v>
      </c>
      <c r="AH62">
        <f>AH13/AH15</f>
        <v>1.0143080157676374</v>
      </c>
      <c r="AJ62">
        <f>AJ13/AJ15</f>
        <v>1.0225388413511107</v>
      </c>
      <c r="AL62">
        <f>AL13/AL15</f>
        <v>1.0322343597713866</v>
      </c>
      <c r="AN62">
        <f>AN13/AN15</f>
        <v>1.0430030251320628</v>
      </c>
      <c r="AP62">
        <f>AP13/AP15</f>
        <v>1.0452447174221833</v>
      </c>
      <c r="AR62">
        <f>AR13/AR15</f>
        <v>1.0475070337615073</v>
      </c>
      <c r="AT62">
        <f>AT13/AT15</f>
        <v>1.0497864220527273</v>
      </c>
      <c r="AV62">
        <f>AV13/AV15</f>
        <v>1.0520794649894667</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0.99906654664704964</v>
      </c>
      <c r="E65" s="181"/>
      <c r="F65" s="181">
        <f t="array" ref="F65">SQRT((F9:G9*$B$22:$C$22+F10:G10*$B$23:$C$23+F11:G11*$B$24:$C$24+F4:G4*($B$25:$C$25-$B$19:$C$19))/($B$9:$C$9*$B$22:$C$22+$B$10:$C$10*$B$23:$C$23+$B$11:$C$11*$B$24:$C$24+$B$4:$C$4*($B$25:$C$25-$B$19:$C$19))*(F9:G9*F22:G22+F10:G10*F23:G23+F11:G11*F24:G24+F4:G4*(F25:G25-F19:G19))/($B$9:$C$9*F22:G22+$B$10:$C$10*F23:G23+$B$11:$C$11*F24:G24+$B$4:$C$4*(F25:G25-F19:G19)))</f>
        <v>0.99814416013973484</v>
      </c>
      <c r="G65" s="181"/>
      <c r="H65" s="181">
        <f t="array" ref="H65">SQRT((H9:I9*$B$22:$C$22+H10:I10*$B$23:$C$23+H11:I11*$B$24:$C$24+H4:I4*($B$25:$C$25-$B$19:$C$19))/($B$9:$C$9*$B$22:$C$22+$B$10:$C$10*$B$23:$C$23+$B$11:$C$11*$B$24:$C$24+$B$4:$C$4*($B$25:$C$25-$B$19:$C$19))*(H9:I9*H22:I22+H10:I10*H23:I23+H11:I11*H24:I24+H4:I4*(H25:I25-H19:I19))/($B$9:$C$9*H22:I22+$B$10:$C$10*H23:I23+$B$11:$C$11*H24:I24+$B$4:$C$4*(H25:I25-H19:I19)))</f>
        <v>0.99722976183355794</v>
      </c>
      <c r="I65" s="181"/>
      <c r="J65" s="181">
        <f t="array" ref="J65">SQRT((J9:K9*$B$22:$C$22+J10:K10*$B$23:$C$23+J11:K11*$B$24:$C$24+J4:K4*($B$25:$C$25-$B$19:$C$19))/($B$9:$C$9*$B$22:$C$22+$B$10:$C$10*$B$23:$C$23+$B$11:$C$11*$B$24:$C$24+$B$4:$C$4*($B$25:$C$25-$B$19:$C$19))*(J9:K9*J22:K22+J10:K10*J23:K23+J11:K11*J24:K24+J4:K4*(J25:K25-J19:K19))/($B$9:$C$9*J22:K22+$B$10:$C$10*J23:K23+$B$11:$C$11*J24:K24+$B$4:$C$4*(J25:K25-J19:K19)))</f>
        <v>0.99631978895482798</v>
      </c>
      <c r="K65" s="181"/>
      <c r="L65" s="181">
        <f t="array" ref="L65">SQRT((L9:M9*$B$22:$C$22+L10:M10*$B$23:$C$23+L11:M11*$B$24:$C$24+L4:M4*($B$25:$C$25-$B$19:$C$19))/($B$9:$C$9*$B$22:$C$22+$B$10:$C$10*$B$23:$C$23+$B$11:$C$11*$B$24:$C$24+$B$4:$C$4*($B$25:$C$25-$B$19:$C$19))*(L9:M9*L22:M22+L10:M10*L23:M23+L11:M11*L24:M24+L4:M4*(L25:M25-L19:M19))/($B$9:$C$9*L22:M22+$B$10:$C$10*L23:M23+$B$11:$C$11*L24:M24+$B$4:$C$4*(L25:M25-L19:M19)))</f>
        <v>0.99541029819529514</v>
      </c>
      <c r="M65" s="181"/>
      <c r="N65" s="181">
        <f t="array" ref="N65">SQRT((N9:O9*$B$22:$C$22+N10:O10*$B$23:$C$23+N11:O11*$B$24:$C$24+N4:O4*($B$25:$C$25-$B$19:$C$19))/($B$9:$C$9*$B$22:$C$22+$B$10:$C$10*$B$23:$C$23+$B$11:$C$11*$B$24:$C$24+$B$4:$C$4*($B$25:$C$25-$B$19:$C$19))*(N9:O9*N22:O22+N10:O10*N23:O23+N11:O11*N24:O24+N4:O4*(N25:O25-N19:O19))/($B$9:$C$9*N22:O22+$B$10:$C$10*N23:O23+$B$11:$C$11*N24:O24+$B$4:$C$4*(N25:O25-N19:O19)))</f>
        <v>0.99449716165371871</v>
      </c>
      <c r="O65" s="181"/>
      <c r="P65" s="181">
        <f t="array" ref="P65">SQRT((P9:Q9*$B$22:$C$22+P10:Q10*$B$23:$C$23+P11:Q11*$B$24:$C$24+P4:Q4*($B$25:$C$25-$B$19:$C$19))/($B$9:$C$9*$B$22:$C$22+$B$10:$C$10*$B$23:$C$23+$B$11:$C$11*$B$24:$C$24+$B$4:$C$4*($B$25:$C$25-$B$19:$C$19))*(P9:Q9*P22:Q22+P10:Q10*P23:Q23+P11:Q11*P24:Q24+P4:Q4*(P25:Q25-P19:Q19))/($B$9:$C$9*P22:Q22+$B$10:$C$10*P23:Q23+$B$11:$C$11*P24:Q24+$B$4:$C$4*(P25:Q25-P19:Q19)))</f>
        <v>0.99357639277340426</v>
      </c>
      <c r="Q65" s="181"/>
      <c r="R65" s="181">
        <f t="array" ref="R65">SQRT((R9:S9*$B$22:$C$22+R10:S10*$B$23:$C$23+R11:S11*$B$24:$C$24+R4:S4*($B$25:$C$25-$B$19:$C$19))/($B$9:$C$9*$B$22:$C$22+$B$10:$C$10*$B$23:$C$23+$B$11:$C$11*$B$24:$C$24+$B$4:$C$4*($B$25:$C$25-$B$19:$C$19))*(R9:S9*R22:S22+R10:S10*R23:S23+R11:S11*R24:S24+R4:S4*(R25:S25-R19:S19))/($B$9:$C$9*R22:S22+$B$10:$C$10*R23:S23+$B$11:$C$11*R24:S24+$B$4:$C$4*(R25:S25-R19:S19)))</f>
        <v>0.99264470633560364</v>
      </c>
      <c r="S65" s="181"/>
      <c r="T65" s="181">
        <f t="array" ref="T65">SQRT((T9:U9*$B$22:$C$22+T10:U10*$B$23:$C$23+T11:U11*$B$24:$C$24+T4:U4*($B$25:$C$25-$B$19:$C$19))/($B$9:$C$9*$B$22:$C$22+$B$10:$C$10*$B$23:$C$23+$B$11:$C$11*$B$24:$C$24+$B$4:$C$4*($B$25:$C$25-$B$19:$C$19))*(T9:U9*T22:U22+T10:U10*T23:U23+T11:U11*T24:U24+T4:U4*(T25:U25-T19:U19))/($B$9:$C$9*T22:U22+$B$10:$C$10*T23:U23+$B$11:$C$11*T24:U24+$B$4:$C$4*(T25:U25-T19:U19)))</f>
        <v>0.99170040821224026</v>
      </c>
      <c r="U65" s="181"/>
      <c r="V65" s="181">
        <f t="array" ref="V65">SQRT((V9:W9*$B$22:$C$22+V10:W10*$B$23:$C$23+V11:W11*$B$24:$C$24+V4:W4*($B$25:$C$25-$B$19:$C$19))/($B$9:$C$9*$B$22:$C$22+$B$10:$C$10*$B$23:$C$23+$B$11:$C$11*$B$24:$C$24+$B$4:$C$4*($B$25:$C$25-$B$19:$C$19))*(V9:W9*V22:W22+V10:W10*V23:W23+V11:W11*V24:W24+V4:W4*(V25:W25-V19:W19))/($B$9:$C$9*V22:W22+$B$10:$C$10*V23:W23+$B$11:$C$11*V24:W24+$B$4:$C$4*(V25:W25-V19:W19)))</f>
        <v>0.99074467033075109</v>
      </c>
      <c r="W65" s="181"/>
      <c r="X65" s="181">
        <f t="array" ref="X65">SQRT((X9:Y9*$B$22:$C$22+X10:Y10*$B$23:$C$23+X11:Y11*$B$24:$C$24+X4:Y4*($B$25:$C$25-$B$19:$C$19))/($B$9:$C$9*$B$22:$C$22+$B$10:$C$10*$B$23:$C$23+$B$11:$C$11*$B$24:$C$24+$B$4:$C$4*($B$25:$C$25-$B$19:$C$19))*(X9:Y9*X22:Y22+X10:Y10*X23:Y23+X11:Y11*X24:Y24+X4:Y4*(X25:Y25-X19:Y19))/($B$9:$C$9*X22:Y22+$B$10:$C$10*X23:Y23+$B$11:$C$11*X24:Y24+$B$4:$C$4*(X25:Y25-X19:Y19)))</f>
        <v>0.98978330752522248</v>
      </c>
      <c r="Y65" s="181"/>
      <c r="Z65" s="181">
        <f t="array" ref="Z65">SQRT((Z9:AA9*$B$22:$C$22+Z10:AA10*$B$23:$C$23+Z11:AA11*$B$24:$C$24+Z4:AA4*($B$25:$C$25-$B$19:$C$19))/($B$9:$C$9*$B$22:$C$22+$B$10:$C$10*$B$23:$C$23+$B$11:$C$11*$B$24:$C$24+$B$4:$C$4*($B$25:$C$25-$B$19:$C$19))*(Z9:AA9*Z22:AA22+Z10:AA10*Z23:AA23+Z11:AA11*Z24:AA24+Z4:AA4*(Z25:AA25-Z19:AA19))/($B$9:$C$9*Z22:AA22+$B$10:$C$10*Z23:AA23+$B$11:$C$11*Z24:AA24+$B$4:$C$4*(Z25:AA25-Z19:AA19)))</f>
        <v>0.98882894901825147</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0.98790319130624882</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0.98703761090016029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0.98627168411981292</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0.98564560394255207</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0.98518853529673178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0.98490779441509424</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0.98478659612917363</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0.98477875454163299</v>
      </c>
      <c r="AQ65" s="181"/>
      <c r="AR65" s="181">
        <f t="array" ref="AR65">SQRT((AR9:AS9*$B$22:$C$22+AR10:AS10*$B$23:$C$23+AR11:AS11*$B$24:$C$24+AR4:AS4*($B$25:$C$25-$B$19:$C$19))/($B$9:$C$9*$B$22:$C$22+$B$10:$C$10*$B$23:$C$23+$B$11:$C$11*$B$24:$C$24+$B$4:$C$4*($B$25:$C$25-$B$19:$C$19))*(AR9:AS9*AR22:AS22+AR10:AS10*AR23:AS23+AR11:AS11*AR24:AS24+AR4:AS4*(AR25:AS25-AR19:AS19))/($B$9:$C$9*AR22:AS22+$B$10:$C$10*AR23:AS23+$B$11:$C$11*AR24:AS24+$B$4:$C$4*(AR25:AS25-AR19:AS19)))</f>
        <v>0.98477568786083558</v>
      </c>
      <c r="AS65" s="181"/>
      <c r="AT65" s="181">
        <f t="array" ref="AT65">SQRT((AT9:AU9*$B$22:$C$22+AT10:AU10*$B$23:$C$23+AT11:AU11*$B$24:$C$24+AT4:AU4*($B$25:$C$25-$B$19:$C$19))/($B$9:$C$9*$B$22:$C$22+$B$10:$C$10*$B$23:$C$23+$B$11:$C$11*$B$24:$C$24+$B$4:$C$4*($B$25:$C$25-$B$19:$C$19))*(AT9:AU9*AT22:AU22+AT10:AU10*AT23:AU23+AT11:AU11*AT24:AU24+AT4:AU4*(AT25:AU25-AT19:AU19))/($B$9:$C$9*AT22:AU22+$B$10:$C$10*AT23:AU23+$B$11:$C$11*AT24:AU24+$B$4:$C$4*(AT25:AU25-AT19:AU19)))</f>
        <v>0.98477709021037918</v>
      </c>
      <c r="AU65" s="181"/>
      <c r="AV65" s="181">
        <f t="array" ref="AV65">SQRT((AV9:AW9*$B$22:$C$22+AV10:AW10*$B$23:$C$23+AV11:AW11*$B$24:$C$24+AV4:AW4*($B$25:$C$25-$B$19:$C$19))/($B$9:$C$9*$B$22:$C$22+$B$10:$C$10*$B$23:$C$23+$B$11:$C$11*$B$24:$C$24+$B$4:$C$4*($B$25:$C$25-$B$19:$C$19))*(AV9:AW9*AV22:AW22+AV10:AW10*AV23:AW23+AV11:AW11*AV24:AW24+AV4:AW4*(AV25:AW25-AV19:AW19))/($B$9:$C$9*AV22:AW22+$B$10:$C$10*AV23:AW23+$B$11:$C$11*AV24:AW24+$B$4:$C$4*(AV25:AW25-AV19:AW19)))</f>
        <v>0.98478265717217828</v>
      </c>
    </row>
    <row r="66" spans="1:48 16384:16384" x14ac:dyDescent="0.2">
      <c r="A66" t="s">
        <v>166</v>
      </c>
      <c r="B66" s="181">
        <f t="array" ref="B66">SQRT((B9:C9*$B$22:$C$22)/($B$9:$C$9*$B$22:$C$22)*(B9:C9*B22:C22)/($B$9:$C$9*B22:C22))</f>
        <v>1</v>
      </c>
      <c r="C66" s="181"/>
      <c r="D66" s="181">
        <f t="array" ref="D66">SQRT((D9:E9*$B$22:$C$22)/($B$9:$C$9*$B$22:$C$22)*(D9:E9*D22:E22)/($B$9:$C$9*D22:E22))</f>
        <v>0.99897350821857955</v>
      </c>
      <c r="E66" s="181"/>
      <c r="F66" s="181">
        <f t="array" ref="F66">SQRT((F9:G9*$B$22:$C$22)/($B$9:$C$9*$B$22:$C$22)*(F9:G9*F22:G22)/($B$9:$C$9*F22:G22))</f>
        <v>0.99795799752248682</v>
      </c>
      <c r="G66" s="181"/>
      <c r="H66" s="181">
        <f t="array" ref="H66">SQRT((H9:I9*$B$22:$C$22)/($B$9:$C$9*$B$22:$C$22)*(H9:I9*H22:I22)/($B$9:$C$9*H22:I22))</f>
        <v>0.99695011062911743</v>
      </c>
      <c r="I66" s="181"/>
      <c r="J66" s="181">
        <f t="array" ref="J66">SQRT((J9:K9*$B$22:$C$22)/($B$9:$C$9*$B$22:$C$22)*(J9:K9*J22:K22)/($B$9:$C$9*J22:K22))</f>
        <v>0.99594593860046088</v>
      </c>
      <c r="K66" s="181"/>
      <c r="L66" s="181">
        <f t="array" ref="L66">SQRT((L9:M9*$B$22:$C$22)/($B$9:$C$9*$B$22:$C$22)*(L9:M9*L22:M22)/($B$9:$C$9*L22:M22))</f>
        <v>0.99494113212129465</v>
      </c>
      <c r="M66" s="181"/>
      <c r="N66" s="181">
        <f t="array" ref="N66">SQRT((N9:O9*$B$22:$C$22)/($B$9:$C$9*$B$22:$C$22)*(N9:O9*N22:O22)/($B$9:$C$9*N22:O22))</f>
        <v>0.99393111558099945</v>
      </c>
      <c r="O66" s="181"/>
      <c r="P66" s="181">
        <f t="array" ref="P66">SQRT((P9:Q9*$B$22:$C$22)/($B$9:$C$9*$B$22:$C$22)*(P9:Q9*P22:Q22)/($B$9:$C$9*P22:Q22))</f>
        <v>0.9929114465240344</v>
      </c>
      <c r="Q66" s="181"/>
      <c r="R66" s="181">
        <f t="array" ref="R66">SQRT((R9:S9*$B$22:$C$22)/($B$9:$C$9*$B$22:$C$22)*(R9:S9*R22:S22)/($B$9:$C$9*R22:S22))</f>
        <v>0.99187843720731417</v>
      </c>
      <c r="S66" s="181"/>
      <c r="T66" s="181">
        <f t="array" ref="T66">SQRT((T9:U9*$B$22:$C$22)/($B$9:$C$9*$B$22:$C$22)*(T9:U9*T22:U22)/($B$9:$C$9*T22:U22))</f>
        <v>0.9908301472058112</v>
      </c>
      <c r="U66" s="181"/>
      <c r="V66" s="181">
        <f t="array" ref="V66">SQRT((V9:W9*$B$22:$C$22)/($B$9:$C$9*$B$22:$C$22)*(V9:W9*V22:W22)/($B$9:$C$9*V22:W22))</f>
        <v>0.98976781250129831</v>
      </c>
      <c r="W66" s="181"/>
      <c r="X66" s="181">
        <f t="array" ref="X66">SQRT((X9:Y9*$B$22:$C$22)/($B$9:$C$9*$B$22:$C$22)*(X9:Y9*X22:Y22)/($B$9:$C$9*X22:Y22))</f>
        <v>0.98869784589172416</v>
      </c>
      <c r="Y66" s="181"/>
      <c r="Z66" s="181">
        <f t="array" ref="Z66">SQRT((Z9:AA9*$B$22:$C$22)/($B$9:$C$9*$B$22:$C$22)*(Z9:AA9*Z22:AA22)/($B$9:$C$9*Z22:AA22))</f>
        <v>0.98763429471723874</v>
      </c>
      <c r="AA66" s="181"/>
      <c r="AB66" s="181">
        <f t="array" ref="AB66">SQRT((AB9:AC9*$B$22:$C$22)/($B$9:$C$9*$B$22:$C$22)*(AB9:AC9*AB22:AC22)/($B$9:$C$9*AB22:AC22))</f>
        <v>0.98660129727215096</v>
      </c>
      <c r="AC66" s="181"/>
      <c r="AD66" s="181">
        <f t="array" ref="AD66">SQRT((AD9:AE9*$B$22:$C$22)/($B$9:$C$9*$B$22:$C$22)*(AD9:AE9*AD22:AE22)/($B$9:$C$9*AD22:AE22))</f>
        <v>0.98563427742596632</v>
      </c>
      <c r="AE66" s="181"/>
      <c r="AF66" s="181">
        <f t="array" ref="AF66">SQRT((AF9:AG9*$B$22:$C$22)/($B$9:$C$9*$B$22:$C$22)*(AF9:AG9*AF22:AG22)/($B$9:$C$9*AF22:AG22))</f>
        <v>0.98477766686022883</v>
      </c>
      <c r="AG66" s="181"/>
      <c r="AH66" s="181">
        <f t="array" ref="AH66">SQRT((AH9:AI9*$B$22:$C$22)/($B$9:$C$9*$B$22:$C$22)*(AH9:AI9*AH22:AI22)/($B$9:$C$9*AH22:AI22))</f>
        <v>0.98407685923564081</v>
      </c>
      <c r="AI66" s="181"/>
      <c r="AJ66" s="181">
        <f t="array" ref="AJ66">SQRT((AJ9:AK9*$B$22:$C$22)/($B$9:$C$9*$B$22:$C$22)*(AJ9:AK9*AJ22:AK22)/($B$9:$C$9*AJ22:AK22))</f>
        <v>0.98356496738757238</v>
      </c>
      <c r="AK66" s="181"/>
      <c r="AL66" s="181">
        <f t="array" ref="AL66">SQRT((AL9:AM9*$B$22:$C$22)/($B$9:$C$9*$B$22:$C$22)*(AL9:AM9*AL22:AM22)/($B$9:$C$9*AL22:AM22))</f>
        <v>0.98325055783270843</v>
      </c>
      <c r="AM66" s="181"/>
      <c r="AN66" s="181">
        <f t="array" ref="AN66">SQRT((AN9:AO9*$B$22:$C$22)/($B$9:$C$9*$B$22:$C$22)*(AN9:AO9*AN22:AO22)/($B$9:$C$9*AN22:AO22))</f>
        <v>0.98311502317317201</v>
      </c>
      <c r="AO66" s="181"/>
      <c r="AP66" s="181">
        <f t="array" ref="AP66">SQRT((AP9:AQ9*$B$22:$C$22)/($B$9:$C$9*$B$22:$C$22)*(AP9:AQ9*AP22:AQ22)/($B$9:$C$9*AP22:AQ22))</f>
        <v>0.98310630830655821</v>
      </c>
      <c r="AQ66" s="181"/>
      <c r="AR66" s="181">
        <f t="array" ref="AR66">SQRT((AR9:AS9*$B$22:$C$22)/($B$9:$C$9*$B$22:$C$22)*(AR9:AS9*AR22:AS22)/($B$9:$C$9*AR22:AS22))</f>
        <v>0.98310294930968367</v>
      </c>
      <c r="AS66" s="181"/>
      <c r="AT66" s="181">
        <f t="array" ref="AT66">SQRT((AT9:AU9*$B$22:$C$22)/($B$9:$C$9*$B$22:$C$22)*(AT9:AU9*AT22:AU22)/($B$9:$C$9*AT22:AU22))</f>
        <v>0.98310460298922209</v>
      </c>
      <c r="AU66" s="181"/>
      <c r="AV66" s="181">
        <f t="array" ref="AV66">SQRT((AV9:AW9*$B$22:$C$22)/($B$9:$C$9*$B$22:$C$22)*(AV9:AW9*AV22:AW22)/($B$9:$C$9*AV22:AW22))</f>
        <v>0.98311092769633079</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0.99897350821857955</v>
      </c>
      <c r="E68" s="181"/>
      <c r="F68" s="181">
        <f>F66/F67</f>
        <v>0.99795799752248682</v>
      </c>
      <c r="G68" s="181"/>
      <c r="H68" s="181">
        <f>H66/H67</f>
        <v>0.99695011062911743</v>
      </c>
      <c r="I68" s="181"/>
      <c r="J68" s="181">
        <f>J66/J67</f>
        <v>0.99594593860046088</v>
      </c>
      <c r="K68" s="181"/>
      <c r="L68" s="181">
        <f>L66/L67</f>
        <v>0.99494113212129465</v>
      </c>
      <c r="M68" s="181"/>
      <c r="N68" s="181">
        <f>N66/N67</f>
        <v>0.99393111558099945</v>
      </c>
      <c r="O68" s="181"/>
      <c r="P68" s="181">
        <f>P66/P67</f>
        <v>0.9929114465240344</v>
      </c>
      <c r="Q68" s="181"/>
      <c r="R68" s="181">
        <f>R66/R67</f>
        <v>0.99187843720731417</v>
      </c>
      <c r="S68" s="181"/>
      <c r="T68" s="181">
        <f>T66/T67</f>
        <v>0.9908301472058112</v>
      </c>
      <c r="U68" s="181"/>
      <c r="V68" s="181">
        <f>V66/V67</f>
        <v>0.98976781250129831</v>
      </c>
      <c r="W68" s="181"/>
      <c r="X68" s="181">
        <f>X66/X67</f>
        <v>0.98869784589172416</v>
      </c>
      <c r="Y68" s="181"/>
      <c r="Z68" s="181">
        <f>Z66/Z67</f>
        <v>0.98763429471723874</v>
      </c>
      <c r="AA68" s="181"/>
      <c r="AB68" s="181">
        <f>AB66/AB67</f>
        <v>0.98660129727215096</v>
      </c>
      <c r="AC68" s="181"/>
      <c r="AD68" s="181">
        <f>AD66/AD67</f>
        <v>0.98563427742596632</v>
      </c>
      <c r="AE68" s="181"/>
      <c r="AF68" s="181">
        <f>AF66/AF67</f>
        <v>0.98477766686022883</v>
      </c>
      <c r="AG68" s="181"/>
      <c r="AH68" s="181">
        <f>AH66/AH67</f>
        <v>0.98407685923564081</v>
      </c>
      <c r="AI68" s="181"/>
      <c r="AJ68" s="181">
        <f>AJ66/AJ67</f>
        <v>0.98356496738757238</v>
      </c>
      <c r="AK68" s="181"/>
      <c r="AL68" s="181">
        <f>AL66/AL67</f>
        <v>0.98325055783270843</v>
      </c>
      <c r="AM68" s="181"/>
      <c r="AN68" s="181">
        <f>AN66/AN67</f>
        <v>0.98311502317317201</v>
      </c>
      <c r="AO68" s="181"/>
      <c r="AP68" s="181">
        <f>AP66/AP67</f>
        <v>0.98310630830655821</v>
      </c>
      <c r="AQ68" s="181"/>
      <c r="AR68" s="181">
        <f>AR66/AR67</f>
        <v>0.98310294930968367</v>
      </c>
      <c r="AS68" s="181"/>
      <c r="AT68" s="181">
        <f>AT66/AT67</f>
        <v>0.98310460298922209</v>
      </c>
      <c r="AU68" s="181"/>
      <c r="AV68" s="181">
        <f>AV66/AV67</f>
        <v>0.98311092769633079</v>
      </c>
      <c r="XFD68" s="181"/>
    </row>
    <row r="69" spans="1:48 16384:16384" x14ac:dyDescent="0.2">
      <c r="A69" t="s">
        <v>161</v>
      </c>
      <c r="B69" s="181">
        <f>B32/B65/($B$32)</f>
        <v>1</v>
      </c>
      <c r="C69" s="181"/>
      <c r="D69" s="181">
        <f>D32/D65/($B$32)</f>
        <v>0.99652449511046215</v>
      </c>
      <c r="E69" s="181"/>
      <c r="F69" s="181">
        <f>F32/F65/($B$32)</f>
        <v>0.99234524529667378</v>
      </c>
      <c r="G69" s="181"/>
      <c r="H69" s="181">
        <f>H32/H65/($B$32)</f>
        <v>0.98732077340378055</v>
      </c>
      <c r="I69" s="181"/>
      <c r="J69" s="181">
        <f>J32/J65/($B$32)</f>
        <v>0.98127269186648491</v>
      </c>
      <c r="K69" s="181"/>
      <c r="L69" s="181">
        <f>L32/L65/($B$32)</f>
        <v>0.97397352060512499</v>
      </c>
      <c r="M69" s="181"/>
      <c r="N69" s="181">
        <f>N32/N65/($B$32)</f>
        <v>0.96512978120025872</v>
      </c>
      <c r="O69" s="181"/>
      <c r="P69" s="181">
        <f>P32/P65/($B$32)</f>
        <v>0.95435913957074014</v>
      </c>
      <c r="Q69" s="181"/>
      <c r="R69" s="181">
        <f>R32/R65/($B$32)</f>
        <v>0.94115793123172986</v>
      </c>
      <c r="S69" s="181"/>
      <c r="T69" s="181">
        <f>T32/T65/($B$32)</f>
        <v>0.92485525201748298</v>
      </c>
      <c r="U69" s="181"/>
      <c r="V69" s="181">
        <f>V32/V65/($B$32)</f>
        <v>0.90454999346906995</v>
      </c>
      <c r="W69" s="181"/>
      <c r="X69" s="181">
        <f>X32/X65/($B$32)</f>
        <v>0.8790250279426306</v>
      </c>
      <c r="Y69" s="181"/>
      <c r="Z69" s="181">
        <f>Z32/Z65/($B$32)</f>
        <v>0.84663779287800156</v>
      </c>
      <c r="AA69" s="181"/>
      <c r="AB69" s="181">
        <f>AB32/AB65/($B$32)</f>
        <v>0.80519815939347184</v>
      </c>
      <c r="AC69" s="181"/>
      <c r="AD69" s="181">
        <f>AD32/AD65/($B$32)</f>
        <v>0.75187298788424861</v>
      </c>
      <c r="AE69" s="181"/>
      <c r="AF69" s="181">
        <f>AF32/AF65/($B$32)</f>
        <v>0.68320677833848109</v>
      </c>
      <c r="AG69" s="181"/>
      <c r="AH69" s="181">
        <f>AH32/AH65/($B$32)</f>
        <v>0.59539149586245299</v>
      </c>
      <c r="AI69" s="181"/>
      <c r="AJ69" s="181">
        <f>AJ32/AJ65/($B$32)</f>
        <v>0.48486923161637019</v>
      </c>
      <c r="AK69" s="181"/>
      <c r="AL69" s="181">
        <f>AL32/AL65/($B$32)</f>
        <v>0.34912359562888901</v>
      </c>
      <c r="AM69" s="181"/>
      <c r="AN69" s="181">
        <f>AN32/AN65/($B$32)</f>
        <v>0.18725539366662389</v>
      </c>
      <c r="AO69" s="181"/>
      <c r="AP69" s="181">
        <f>AP32/AP65/($B$32)</f>
        <v>0.15178736519060346</v>
      </c>
      <c r="AQ69" s="181"/>
      <c r="AR69" s="181">
        <f>AR32/AR65/($B$32)</f>
        <v>0.11531277049671525</v>
      </c>
      <c r="AS69" s="181"/>
      <c r="AT69" s="181">
        <f>AT32/AT65/($B$32)</f>
        <v>7.7845945564014932E-2</v>
      </c>
      <c r="AU69" s="181"/>
      <c r="AV69" s="181">
        <f>AV32/AV65/($B$32)</f>
        <v>3.9402678307509174E-2</v>
      </c>
    </row>
    <row r="70" spans="1:48 16384:16384" x14ac:dyDescent="0.2">
      <c r="A70" t="s">
        <v>162</v>
      </c>
      <c r="B70" s="129">
        <f>B18/$B$18</f>
        <v>1</v>
      </c>
      <c r="C70" s="129"/>
      <c r="D70" s="129">
        <f>D18/$B$18</f>
        <v>0.9956850497373313</v>
      </c>
      <c r="E70" s="129"/>
      <c r="F70" s="129">
        <f>F18/$B$18</f>
        <v>0.99064135994491509</v>
      </c>
      <c r="G70" s="129"/>
      <c r="H70" s="129">
        <f>H18/$B$18</f>
        <v>0.98473044519378006</v>
      </c>
      <c r="I70" s="129"/>
      <c r="J70" s="129">
        <f>J18/$B$18</f>
        <v>0.97777814047923162</v>
      </c>
      <c r="K70" s="129"/>
      <c r="L70" s="129">
        <f>L18/$B$18</f>
        <v>0.96956263762060357</v>
      </c>
      <c r="M70" s="129"/>
      <c r="N70" s="129">
        <f>N18/$B$18</f>
        <v>0.95979788043472847</v>
      </c>
      <c r="O70" s="129"/>
      <c r="P70" s="129">
        <f>P18/$B$18</f>
        <v>0.94811097253335064</v>
      </c>
      <c r="Q70" s="129"/>
      <c r="R70" s="129">
        <f>R18/$B$18</f>
        <v>0.93401009848334338</v>
      </c>
      <c r="S70" s="129"/>
      <c r="T70" s="129">
        <f>T18/$B$18</f>
        <v>0.91683910369269672</v>
      </c>
      <c r="U70" s="129"/>
      <c r="V70" s="129">
        <f>V18/$B$18</f>
        <v>0.89571538617056323</v>
      </c>
      <c r="W70" s="129"/>
      <c r="X70" s="129">
        <f>X18/$B$18</f>
        <v>0.86944551498388001</v>
      </c>
      <c r="Y70" s="129"/>
      <c r="Z70" s="129">
        <f>Z18/$B$18</f>
        <v>0.83641862448192483</v>
      </c>
      <c r="AA70" s="129"/>
      <c r="AB70" s="129">
        <f>AB18/$B$18</f>
        <v>0.79448935574617774</v>
      </c>
      <c r="AC70" s="129"/>
      <c r="AD70" s="129">
        <f>AD18/$B$18</f>
        <v>0.74089097226488576</v>
      </c>
      <c r="AE70" s="129"/>
      <c r="AF70" s="129">
        <f>AF18/$B$18</f>
        <v>0.67226787971251833</v>
      </c>
      <c r="AG70" s="129"/>
      <c r="AH70" s="129">
        <f>AH18/$B$18</f>
        <v>0.58495635193116458</v>
      </c>
      <c r="AI70" s="129"/>
      <c r="AJ70" s="129">
        <f>AJ18/$B$18</f>
        <v>0.47558645158438623</v>
      </c>
      <c r="AK70" s="129"/>
      <c r="AL70" s="129">
        <f>AL18/$B$18</f>
        <v>0.34185012959540517</v>
      </c>
      <c r="AM70" s="129"/>
      <c r="AN70" s="129">
        <f>AN18/$B$18</f>
        <v>0.18303445839072394</v>
      </c>
      <c r="AO70" s="129"/>
      <c r="AP70" s="129">
        <f>AP18/$B$18</f>
        <v>0.14831447435553141</v>
      </c>
      <c r="AQ70" s="129"/>
      <c r="AR70" s="129">
        <f>AR18/$B$18</f>
        <v>0.11263554787296695</v>
      </c>
      <c r="AS70" s="129"/>
      <c r="AT70" s="129">
        <f>AT18/$B$18</f>
        <v>7.6012523581318589E-2</v>
      </c>
      <c r="AU70" s="129"/>
      <c r="AV70" s="129">
        <f>AV18/$B$18</f>
        <v>3.8461575020409734E-2</v>
      </c>
    </row>
    <row r="71" spans="1:48 16384:16384" x14ac:dyDescent="0.2">
      <c r="A71" t="s">
        <v>163</v>
      </c>
      <c r="B71" s="129">
        <f>C18/$C$18</f>
        <v>1</v>
      </c>
      <c r="D71" s="129">
        <f>E18/$C$18</f>
        <v>0.92955877952479082</v>
      </c>
      <c r="E71" s="129"/>
      <c r="F71" s="129">
        <f>G18/$C$18</f>
        <v>0.85993361087163367</v>
      </c>
      <c r="G71" s="129"/>
      <c r="H71" s="129">
        <f>I18/$C$18</f>
        <v>0.79116667509062255</v>
      </c>
      <c r="I71" s="129"/>
      <c r="J71" s="129">
        <f>K18/$C$18</f>
        <v>0.72331082953615655</v>
      </c>
      <c r="K71" s="129"/>
      <c r="L71" s="129">
        <f>M18/$C$18</f>
        <v>0.65643683694213828</v>
      </c>
      <c r="M71" s="129"/>
      <c r="N71" s="129">
        <f>O18/$C$18</f>
        <v>0.59064458993784286</v>
      </c>
      <c r="O71" s="129"/>
      <c r="P71" s="129">
        <f>Q18/$C$18</f>
        <v>0.52607416316803668</v>
      </c>
      <c r="Q71" s="129"/>
      <c r="R71" s="129">
        <f>S18/$C$18</f>
        <v>0.46292373990202595</v>
      </c>
      <c r="S71" s="129"/>
      <c r="T71" s="129">
        <f>U18/$C$18</f>
        <v>0.40147138388970721</v>
      </c>
      <c r="U71" s="129"/>
      <c r="V71" s="129">
        <f>W18/$C$18</f>
        <v>0.34210167289897125</v>
      </c>
      <c r="W71" s="129"/>
      <c r="X71" s="129">
        <f>Y18/$C$18</f>
        <v>0.28533208803652726</v>
      </c>
      <c r="Y71" s="129"/>
      <c r="Z71" s="129">
        <f>AA18/$C$18</f>
        <v>0.23183496133717049</v>
      </c>
      <c r="AA71" s="129"/>
      <c r="AB71" s="129">
        <f>AC18/$C$18</f>
        <v>0.18243464133714979</v>
      </c>
      <c r="AC71" s="129"/>
      <c r="AD71" s="129">
        <f>AE18/$C$18</f>
        <v>0.1380556141325826</v>
      </c>
      <c r="AE71" s="129"/>
      <c r="AF71" s="129">
        <f>AG18/$C$18</f>
        <v>9.958912707449917E-2</v>
      </c>
      <c r="AG71" s="129"/>
      <c r="AH71" s="129">
        <f>AI18/$C$18</f>
        <v>6.7672582147181387E-2</v>
      </c>
      <c r="AI71" s="129"/>
      <c r="AJ71" s="129">
        <f>AK18/$C$18</f>
        <v>4.2447272712550256E-2</v>
      </c>
      <c r="AK71" s="129"/>
      <c r="AL71" s="129">
        <f>AM18/$C$18</f>
        <v>2.3441157074574285E-2</v>
      </c>
      <c r="AM71" s="129"/>
      <c r="AN71" s="129">
        <f>AO18/$C$18</f>
        <v>9.6849773260289131E-3</v>
      </c>
      <c r="AO71" s="129"/>
      <c r="AP71" s="129">
        <f>AQ18/$C$18</f>
        <v>7.4601800140901148E-3</v>
      </c>
      <c r="AQ71" s="129"/>
      <c r="AR71" s="129">
        <f>AS18/$C$18</f>
        <v>5.3884384106337307E-3</v>
      </c>
      <c r="AS71" s="129"/>
      <c r="AT71" s="129">
        <f>AU18/$C$18</f>
        <v>3.4604561243578016E-3</v>
      </c>
      <c r="AU71" s="129"/>
      <c r="AV71" s="129">
        <f>AW18/$C$18</f>
        <v>1.6672119012326114E-3</v>
      </c>
      <c r="XFD71" s="129"/>
    </row>
    <row r="72" spans="1:48 16384:16384" x14ac:dyDescent="0.2">
      <c r="A72" t="s">
        <v>164</v>
      </c>
      <c r="B72" s="129">
        <f>C19/$C$19</f>
        <v>1</v>
      </c>
      <c r="D72" s="129">
        <f>E19/$C$19</f>
        <v>1.0160969968578757</v>
      </c>
      <c r="E72" s="129"/>
      <c r="F72" s="129">
        <f>G19/$C$19</f>
        <v>1.0341319692968702</v>
      </c>
      <c r="G72" s="129"/>
      <c r="H72" s="129">
        <f>I19/$C$19</f>
        <v>1.0541569105987743</v>
      </c>
      <c r="I72" s="129"/>
      <c r="J72" s="129">
        <f>K19/$C$19</f>
        <v>1.0761632128622214</v>
      </c>
      <c r="K72" s="129"/>
      <c r="L72" s="129">
        <f>M19/$C$19</f>
        <v>1.1000439936902762</v>
      </c>
      <c r="M72" s="129"/>
      <c r="N72" s="129">
        <f>O19/$C$19</f>
        <v>1.1255376582986498</v>
      </c>
      <c r="O72" s="129"/>
      <c r="P72" s="129">
        <f>Q19/$C$19</f>
        <v>1.1521434912895188</v>
      </c>
      <c r="Q72" s="129"/>
      <c r="R72" s="129">
        <f>S19/$C$19</f>
        <v>1.1789984102329911</v>
      </c>
      <c r="S72" s="129"/>
      <c r="T72" s="129">
        <f>U19/$C$19</f>
        <v>1.2047033042140847</v>
      </c>
      <c r="U72" s="129"/>
      <c r="V72" s="129">
        <f>W19/$C$19</f>
        <v>1.2270809445906696</v>
      </c>
      <c r="W72" s="129"/>
      <c r="X72" s="129">
        <f>Y19/$C$19</f>
        <v>1.2428612313479919</v>
      </c>
      <c r="Y72" s="129"/>
      <c r="Z72" s="129">
        <f>AA19/$C$19</f>
        <v>1.2473157405552067</v>
      </c>
      <c r="AA72" s="129"/>
      <c r="AB72" s="129">
        <f>AC19/$C$19</f>
        <v>1.2339286392469739</v>
      </c>
      <c r="AC72" s="129"/>
      <c r="AD72" s="129">
        <f>AE19/$C$19</f>
        <v>1.1943219580791851</v>
      </c>
      <c r="AE72" s="129"/>
      <c r="AF72" s="129">
        <f>AG19/$C$19</f>
        <v>1.1188067651621787</v>
      </c>
      <c r="AG72" s="129"/>
      <c r="AH72" s="129">
        <f>AI19/$C$19</f>
        <v>0.99793265515652863</v>
      </c>
      <c r="AI72" s="129"/>
      <c r="AJ72" s="129">
        <f>AK19/$C$19</f>
        <v>0.82492177973832448</v>
      </c>
      <c r="AK72" s="129"/>
      <c r="AL72" s="129">
        <f>AM19/$C$19</f>
        <v>0.59790694736122318</v>
      </c>
      <c r="AM72" s="129"/>
      <c r="AN72" s="129">
        <f>AO19/$C$19</f>
        <v>0.3204589483362259</v>
      </c>
      <c r="AO72" s="129"/>
      <c r="AP72" s="129">
        <f>AQ19/$C$19</f>
        <v>0.25953124795074389</v>
      </c>
      <c r="AQ72" s="129"/>
      <c r="AR72" s="129">
        <f>AS19/$C$19</f>
        <v>0.1969496174029306</v>
      </c>
      <c r="AS72" s="129"/>
      <c r="AT72" s="129">
        <f>AU19/$C$19</f>
        <v>0.13278577873010527</v>
      </c>
      <c r="AU72" s="129"/>
      <c r="AV72" s="129">
        <f>AW19/$C$19</f>
        <v>6.7111910700526731E-2</v>
      </c>
      <c r="XFD72" s="129"/>
    </row>
    <row r="73" spans="1:48 16384:16384" x14ac:dyDescent="0.2">
      <c r="A73" t="s">
        <v>168</v>
      </c>
      <c r="B73" s="183">
        <f t="array" ref="B73">SUM(B9:C9*B22:C22)/B32</f>
        <v>0.47641153352875115</v>
      </c>
      <c r="D73" s="183">
        <f t="array" ref="D73">SUM(D9:E9*D22:E22)/D32</f>
        <v>0.47451288252182805</v>
      </c>
      <c r="E73" s="129"/>
      <c r="F73" s="183">
        <f t="array" ref="F73">SUM(F9:G9*F22:G22)/F32</f>
        <v>0.47256512115160709</v>
      </c>
      <c r="G73" s="129"/>
      <c r="H73" s="183">
        <f t="array" ref="H73">SUM(H9:I9*H22:I22)/H32</f>
        <v>0.47056250397312205</v>
      </c>
      <c r="I73" s="129"/>
      <c r="J73" s="183">
        <f t="array" ref="J73">SUM(J9:K9*J22:K22)/J32</f>
        <v>0.46849850218754974</v>
      </c>
      <c r="K73" s="129"/>
      <c r="L73" s="183">
        <f t="array" ref="L73">SUM(L9:M9*L22:M22)/L32</f>
        <v>0.46636572996165526</v>
      </c>
      <c r="M73" s="129"/>
      <c r="N73" s="183">
        <f t="array" ref="N73">SUM(N9:O9*N22:O22)/N32</f>
        <v>0.4641557921153448</v>
      </c>
      <c r="O73" s="129"/>
      <c r="P73" s="183">
        <f t="array" ref="P73">SUM(P9:Q9*P22:Q22)/P32</f>
        <v>0.46185905718295911</v>
      </c>
      <c r="Q73" s="129"/>
      <c r="R73" s="183">
        <f t="array" ref="R73">SUM(R9:S9*R22:S22)/R32</f>
        <v>0.45946439679663786</v>
      </c>
      <c r="S73" s="129"/>
      <c r="T73" s="183">
        <f t="array" ref="T73">SUM(T9:U9*T22:U22)/T32</f>
        <v>0.45695903874882815</v>
      </c>
      <c r="U73" s="129"/>
      <c r="V73" s="183">
        <f t="array" ref="V73">SUM(V9:W9*V22:W22)/V32</f>
        <v>0.45432834172271414</v>
      </c>
      <c r="W73" s="129"/>
      <c r="X73" s="183">
        <f t="array" ref="X73">SUM(X9:Y9*X22:Y22)/X32</f>
        <v>0.45155601404063683</v>
      </c>
      <c r="Y73" s="129"/>
      <c r="Z73" s="183">
        <f t="array" ref="Z73">SUM(Z9:AA9*Z22:AA22)/Z32</f>
        <v>0.44862502863459425</v>
      </c>
      <c r="AA73" s="129"/>
      <c r="AB73" s="183">
        <f t="array" ref="AB73">SUM(AB9:AC9*AB22:AC22)/AB32</f>
        <v>0.44552010810100456</v>
      </c>
      <c r="AC73" s="129"/>
      <c r="AD73" s="183">
        <f t="array" ref="AD73">SUM(AD9:AE9*AD22:AE22)/AD32</f>
        <v>0.44223279836218948</v>
      </c>
      <c r="AE73" s="129"/>
      <c r="AF73" s="183">
        <f t="array" ref="AF73">SUM(AF9:AG9*AF22:AG22)/AF32</f>
        <v>0.43876980671879856</v>
      </c>
      <c r="AG73" s="129"/>
      <c r="AH73" s="183">
        <f t="array" ref="AH73">SUM(AH9:AI9*AH22:AI22)/AH32</f>
        <v>0.43516299524493185</v>
      </c>
      <c r="AI73" s="129"/>
      <c r="AJ73" s="183">
        <f t="array" ref="AJ73">SUM(AJ9:AK9*AJ22:AK22)/AJ32</f>
        <v>0.43147530836242365</v>
      </c>
      <c r="AK73" s="129"/>
      <c r="AL73" s="183">
        <f t="array" ref="AL73">SUM(AL9:AM9*AL22:AM22)/AL32</f>
        <v>0.42779474751371022</v>
      </c>
      <c r="AM73" s="129"/>
      <c r="AN73" s="183">
        <f t="array" ref="AN73">SUM(AN9:AO9*AN22:AO22)/AN32</f>
        <v>0.42421505635618983</v>
      </c>
      <c r="AO73" s="129"/>
      <c r="AP73" s="183">
        <f t="array" ref="AP73">SUM(AP9:AQ9*AP22:AQ22)/AP32</f>
        <v>0.42351849434078692</v>
      </c>
      <c r="AQ73" s="129"/>
      <c r="AR73" s="183">
        <f t="array" ref="AR73">SUM(AR9:AS9*AR22:AS22)/AR32</f>
        <v>0.42282963589126527</v>
      </c>
      <c r="AS73" s="129"/>
      <c r="AT73" s="183">
        <f t="array" ref="AT73">SUM(AT9:AU9*AT22:AU22)/AT32</f>
        <v>0.42214892141766336</v>
      </c>
      <c r="AU73" s="129"/>
      <c r="AV73" s="183">
        <f t="array" ref="AV73">SUM(AV9:AW9*AV22:AW22)/AV32</f>
        <v>0.42147674034704991</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0.22604620456442487</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0.22604620456442487</v>
      </c>
      <c r="Q74" s="129"/>
      <c r="R74" s="183">
        <f t="array" ref="R74">SUM(R10:S10*R23:S23)/R32</f>
        <v>0.22604620456442481</v>
      </c>
      <c r="S74" s="129"/>
      <c r="T74" s="183">
        <f t="array" ref="T74">SUM(T10:U10*T23:U23)/T32</f>
        <v>0.22604620456442484</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0.22604620456442487</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0.22604620456442487</v>
      </c>
      <c r="AK74" s="129"/>
      <c r="AL74" s="183">
        <f t="array" ref="AL74">SUM(AL10:AM10*AL23:AM23)/AL32</f>
        <v>0.22604620456442481</v>
      </c>
      <c r="AM74" s="129"/>
      <c r="AN74" s="183">
        <f t="array" ref="AN74">SUM(AN10:AO10*AN23:AO23)/AN32</f>
        <v>0.22604620456442484</v>
      </c>
      <c r="AO74" s="129"/>
      <c r="AP74" s="183">
        <f t="array" ref="AP74">SUM(AP10:AQ10*AP23:AQ23)/AP32</f>
        <v>0.22604620456442484</v>
      </c>
      <c r="AQ74" s="129"/>
      <c r="AR74" s="183">
        <f t="array" ref="AR74">SUM(AR10:AS10*AR23:AS23)/AR32</f>
        <v>0.22604620456442481</v>
      </c>
      <c r="AS74" s="129"/>
      <c r="AT74" s="183">
        <f t="array" ref="AT74">SUM(AT10:AU10*AT23:AU23)/AT32</f>
        <v>0.22604620456442484</v>
      </c>
      <c r="AU74" s="129"/>
      <c r="AV74" s="183">
        <f t="array" ref="AV74">SUM(AV10:AW10*AV23:AW23)/AV32</f>
        <v>0.22604620456442484</v>
      </c>
      <c r="XFD74" s="183"/>
    </row>
    <row r="75" spans="1:48 16384:16384" x14ac:dyDescent="0.2">
      <c r="A75" t="s">
        <v>170</v>
      </c>
      <c r="B75" s="183">
        <f t="array" ref="B75">SUM(B11:C11*B24:C24)/B32</f>
        <v>0.22038438833194082</v>
      </c>
      <c r="D75" s="183">
        <f t="array" ref="D75">SUM(D11:E11*D24:E24)/D32</f>
        <v>0.22228304790912995</v>
      </c>
      <c r="E75" s="129"/>
      <c r="F75" s="183">
        <f t="array" ref="F75">SUM(F11:G11*F24:G24)/F32</f>
        <v>0.22423080058586889</v>
      </c>
      <c r="G75" s="129"/>
      <c r="H75" s="183">
        <f t="array" ref="H75">SUM(H11:I11*H24:I24)/H32</f>
        <v>0.22623341758766513</v>
      </c>
      <c r="I75" s="129"/>
      <c r="J75" s="183">
        <f t="array" ref="J75">SUM(J11:K11*J24:K24)/J32</f>
        <v>0.22829742171718528</v>
      </c>
      <c r="K75" s="129"/>
      <c r="L75" s="183">
        <f t="array" ref="L75">SUM(L11:M11*L24:M24)/L32</f>
        <v>0.23043019113286825</v>
      </c>
      <c r="M75" s="129"/>
      <c r="N75" s="183">
        <f t="array" ref="N75">SUM(N11:O11*N24:O24)/N32</f>
        <v>0.2326401282922323</v>
      </c>
      <c r="O75" s="129"/>
      <c r="P75" s="183">
        <f t="array" ref="P75">SUM(P11:Q11*P24:Q24)/P32</f>
        <v>0.23493687023377505</v>
      </c>
      <c r="Q75" s="129"/>
      <c r="R75" s="183">
        <f t="array" ref="R75">SUM(R11:S11*R24:S24)/R32</f>
        <v>0.2373315262817271</v>
      </c>
      <c r="S75" s="129"/>
      <c r="T75" s="183">
        <f t="array" ref="T75">SUM(T11:U11*T24:U24)/T32</f>
        <v>0.23983688244411494</v>
      </c>
      <c r="U75" s="129"/>
      <c r="V75" s="183">
        <f t="array" ref="V75">SUM(V11:W11*V24:W24)/V32</f>
        <v>0.24246757978211983</v>
      </c>
      <c r="W75" s="129"/>
      <c r="X75" s="183">
        <f t="array" ref="X75">SUM(X11:Y11*X24:Y24)/X32</f>
        <v>0.2452399078162254</v>
      </c>
      <c r="Y75" s="129"/>
      <c r="Z75" s="183">
        <f t="array" ref="Z75">SUM(Z11:AA11*Z24:AA24)/Z32</f>
        <v>0.24817089328039296</v>
      </c>
      <c r="AA75" s="129"/>
      <c r="AB75" s="183">
        <f t="array" ref="AB75">SUM(AB11:AC11*AB24:AC24)/AB32</f>
        <v>0.25127581351739653</v>
      </c>
      <c r="AC75" s="129"/>
      <c r="AD75" s="183">
        <f t="array" ref="AD75">SUM(AD11:AE11*AD24:AE24)/AD32</f>
        <v>0.25456312199749376</v>
      </c>
      <c r="AE75" s="129"/>
      <c r="AF75" s="183">
        <f t="array" ref="AF75">SUM(AF11:AG11*AF24:AG24)/AF32</f>
        <v>0.2580261151633047</v>
      </c>
      <c r="AG75" s="129"/>
      <c r="AH75" s="183">
        <f t="array" ref="AH75">SUM(AH11:AI11*AH24:AI24)/AH32</f>
        <v>0.26163292663803001</v>
      </c>
      <c r="AI75" s="129"/>
      <c r="AJ75" s="183">
        <f t="array" ref="AJ75">SUM(AJ11:AK11*AJ24:AK24)/AJ32</f>
        <v>0.26532061350776542</v>
      </c>
      <c r="AK75" s="129"/>
      <c r="AL75" s="183">
        <f t="array" ref="AL75">SUM(AL11:AM11*AL24:AM24)/AL32</f>
        <v>0.26900117594385636</v>
      </c>
      <c r="AM75" s="129"/>
      <c r="AN75" s="183">
        <f t="array" ref="AN75">SUM(AN11:AO11*AN24:AO24)/AN32</f>
        <v>0.27258086754491739</v>
      </c>
      <c r="AO75" s="129"/>
      <c r="AP75" s="183">
        <f t="array" ref="AP75">SUM(AP11:AQ11*AP24:AQ24)/AP32</f>
        <v>0.27327742862082588</v>
      </c>
      <c r="AQ75" s="129"/>
      <c r="AR75" s="183">
        <f t="array" ref="AR75">SUM(AR11:AS11*AR24:AS24)/AR32</f>
        <v>0.27396628520869304</v>
      </c>
      <c r="AS75" s="129"/>
      <c r="AT75" s="183">
        <f t="array" ref="AT75">SUM(AT11:AU11*AT24:AU24)/AT32</f>
        <v>0.27464699878689613</v>
      </c>
      <c r="AU75" s="129"/>
      <c r="AV75" s="183">
        <f t="array" ref="AV75">SUM(AV11:AW11*AV24:AW24)/AV32</f>
        <v>0.27531918252119103</v>
      </c>
      <c r="XFD75" s="183"/>
    </row>
    <row r="76" spans="1:48 16384:16384" x14ac:dyDescent="0.2">
      <c r="A76" t="s">
        <v>171</v>
      </c>
      <c r="B76" s="183">
        <f t="array" ref="B76">SUM(B12:C12*B25:C25)/B32</f>
        <v>0.22301874374724862</v>
      </c>
      <c r="D76" s="183">
        <f t="array" ref="D76">SUM(D12:E12*D25:E25)/D32</f>
        <v>0.22304996244739564</v>
      </c>
      <c r="E76" s="129"/>
      <c r="F76" s="183">
        <f t="array" ref="F76">SUM(F12:G12*F25:G25)/F32</f>
        <v>0.22313064282508557</v>
      </c>
      <c r="G76" s="129"/>
      <c r="H76" s="183">
        <f t="array" ref="H76">SUM(H12:I12*H25:I25)/H32</f>
        <v>0.22326544934381762</v>
      </c>
      <c r="I76" s="129"/>
      <c r="J76" s="183">
        <f t="array" ref="J76">SUM(J12:K12*J25:K25)/J32</f>
        <v>0.22345931092055477</v>
      </c>
      <c r="K76" s="129"/>
      <c r="L76" s="183">
        <f t="array" ref="L76">SUM(L12:M12*L25:M25)/L32</f>
        <v>0.22371722716292775</v>
      </c>
      <c r="M76" s="129"/>
      <c r="N76" s="183">
        <f t="array" ref="N76">SUM(N12:O12*N25:O25)/N32</f>
        <v>0.22404396116442932</v>
      </c>
      <c r="O76" s="129"/>
      <c r="P76" s="183">
        <f t="array" ref="P76">SUM(P12:Q12*P25:Q25)/P32</f>
        <v>0.22444351624187442</v>
      </c>
      <c r="Q76" s="129"/>
      <c r="R76" s="183">
        <f t="array" ref="R76">SUM(R12:S12*R25:S25)/R32</f>
        <v>0.22491831737681442</v>
      </c>
      <c r="S76" s="129"/>
      <c r="T76" s="183">
        <f t="array" ref="T76">SUM(T12:U12*T25:U25)/T32</f>
        <v>0.22546791503093516</v>
      </c>
      <c r="U76" s="129"/>
      <c r="V76" s="183">
        <f t="array" ref="V76">SUM(V12:W12*V25:W25)/V32</f>
        <v>0.22608716000448159</v>
      </c>
      <c r="W76" s="129"/>
      <c r="X76" s="183">
        <f t="array" ref="X76">SUM(X12:Y12*X25:Y25)/X32</f>
        <v>0.22676365286633846</v>
      </c>
      <c r="Y76" s="129"/>
      <c r="Z76" s="183">
        <f t="array" ref="Z76">SUM(Z12:AA12*Z25:AA25)/Z32</f>
        <v>0.22747467428734389</v>
      </c>
      <c r="AA76" s="129"/>
      <c r="AB76" s="183">
        <f t="array" ref="AB76">SUM(AB12:AC12*AB25:AC25)/AB32</f>
        <v>0.22818420614600884</v>
      </c>
      <c r="AC76" s="129"/>
      <c r="AD76" s="183">
        <f t="array" ref="AD76">SUM(AD12:AE12*AD25:AE25)/AD32</f>
        <v>0.22884180569564869</v>
      </c>
      <c r="AE76" s="129"/>
      <c r="AF76" s="183">
        <f t="array" ref="AF76">SUM(AF12:AG12*AF25:AG25)/AF32</f>
        <v>0.22938630411987992</v>
      </c>
      <c r="AG76" s="129"/>
      <c r="AH76" s="183">
        <f t="array" ref="AH76">SUM(AH12:AI12*AH25:AI25)/AH32</f>
        <v>0.22975727056739215</v>
      </c>
      <c r="AI76" s="129"/>
      <c r="AJ76" s="183">
        <f t="array" ref="AJ76">SUM(AJ12:AK12*AJ25:AK25)/AJ32</f>
        <v>0.22991298145003794</v>
      </c>
      <c r="AK76" s="129"/>
      <c r="AL76" s="183">
        <f t="array" ref="AL76">SUM(AL12:AM12*AL25:AM25)/AL32</f>
        <v>0.22984604396810202</v>
      </c>
      <c r="AM76" s="129"/>
      <c r="AN76" s="183">
        <f t="array" ref="AN76">SUM(AN12:AO12*AN25:AO25)/AN32</f>
        <v>0.22958508495427934</v>
      </c>
      <c r="AO76" s="129"/>
      <c r="AP76" s="183">
        <f t="array" ref="AP76">SUM(AP12:AQ12*AP25:AQ25)/AP32</f>
        <v>0.22951391114514175</v>
      </c>
      <c r="AQ76" s="129"/>
      <c r="AR76" s="183">
        <f t="array" ref="AR76">SUM(AR12:AS12*AR25:AS25)/AR32</f>
        <v>0.22943745554035452</v>
      </c>
      <c r="AS76" s="129"/>
      <c r="AT76" s="183">
        <f t="array" ref="AT76">SUM(AT12:AU12*AT25:AU25)/AT32</f>
        <v>0.22935617163936359</v>
      </c>
      <c r="AU76" s="129"/>
      <c r="AV76" s="183">
        <f t="array" ref="AV76">SUM(AV12:AW12*AV25:AW25)/AV32</f>
        <v>0.22927050689885689</v>
      </c>
      <c r="XFD76" s="183"/>
    </row>
    <row r="77" spans="1:48 16384:16384" x14ac:dyDescent="0.2">
      <c r="A77" t="s">
        <v>172</v>
      </c>
      <c r="B77" s="183">
        <f t="array" ref="B77">SUM(B4:C4*B19:C19)/B32</f>
        <v>0.14586087017236518</v>
      </c>
      <c r="D77" s="183">
        <f t="array" ref="D77">SUM(D4:E4*D19:E19)/D32</f>
        <v>0.1458920974427784</v>
      </c>
      <c r="E77" s="129"/>
      <c r="F77" s="183">
        <f t="array" ref="F77">SUM(F4:G4*F19:G19)/F32</f>
        <v>0.14597276912698648</v>
      </c>
      <c r="G77" s="129"/>
      <c r="H77" s="183">
        <f t="array" ref="H77">SUM(H4:I4*H19:I19)/H32</f>
        <v>0.14610757546902964</v>
      </c>
      <c r="I77" s="129"/>
      <c r="J77" s="183">
        <f t="array" ref="J77">SUM(J4:K4*J19:K19)/J32</f>
        <v>0.14630143938971463</v>
      </c>
      <c r="K77" s="129"/>
      <c r="L77" s="183">
        <f t="array" ref="L77">SUM(L4:M4*L19:M19)/L32</f>
        <v>0.14655935282187588</v>
      </c>
      <c r="M77" s="129"/>
      <c r="N77" s="183">
        <f t="array" ref="N77">SUM(N4:O4*N19:O19)/N32</f>
        <v>0.14688608613643128</v>
      </c>
      <c r="O77" s="129"/>
      <c r="P77" s="183">
        <f t="array" ref="P77">SUM(P4:Q4*P19:Q19)/P32</f>
        <v>0.14728564822303328</v>
      </c>
      <c r="Q77" s="129"/>
      <c r="R77" s="183">
        <f t="array" ref="R77">SUM(R4:S4*R19:S19)/R32</f>
        <v>0.14776044501960398</v>
      </c>
      <c r="S77" s="129"/>
      <c r="T77" s="183">
        <f t="array" ref="T77">SUM(T4:U4*T19:U19)/T32</f>
        <v>0.14831004078830301</v>
      </c>
      <c r="U77" s="129"/>
      <c r="V77" s="183">
        <f t="array" ref="V77">SUM(V4:W4*V19:W19)/V32</f>
        <v>0.14892928607374029</v>
      </c>
      <c r="W77" s="129"/>
      <c r="X77" s="183">
        <f t="array" ref="X77">SUM(X4:Y4*X19:Y19)/X32</f>
        <v>0.14960577928762542</v>
      </c>
      <c r="Y77" s="129"/>
      <c r="Z77" s="183">
        <f t="array" ref="Z77">SUM(Z4:AA4*Z19:AA19)/Z32</f>
        <v>0.15031680076675602</v>
      </c>
      <c r="AA77" s="129"/>
      <c r="AB77" s="183">
        <f t="array" ref="AB77">SUM(AB4:AC4*AB19:AC19)/AB32</f>
        <v>0.15102633232883464</v>
      </c>
      <c r="AC77" s="129"/>
      <c r="AD77" s="183">
        <f t="array" ref="AD77">SUM(AD4:AE4*AD19:AE19)/AD32</f>
        <v>0.15168393061975663</v>
      </c>
      <c r="AE77" s="129"/>
      <c r="AF77" s="183">
        <f t="array" ref="AF77">SUM(AF4:AG4*AF19:AG19)/AF32</f>
        <v>0.15222843056640797</v>
      </c>
      <c r="AG77" s="129"/>
      <c r="AH77" s="183">
        <f t="array" ref="AH77">SUM(AH4:AI4*AH19:AI19)/AH32</f>
        <v>0.1525993970147789</v>
      </c>
      <c r="AI77" s="129"/>
      <c r="AJ77" s="183">
        <f t="array" ref="AJ77">SUM(AJ4:AK4*AJ19:AK19)/AJ32</f>
        <v>0.1527551078846518</v>
      </c>
      <c r="AK77" s="129"/>
      <c r="AL77" s="183">
        <f t="array" ref="AL77">SUM(AL4:AM4*AL19:AM19)/AL32</f>
        <v>0.15268817199009346</v>
      </c>
      <c r="AM77" s="129"/>
      <c r="AN77" s="183">
        <f t="array" ref="AN77">SUM(AN4:AO4*AN19:AO19)/AN32</f>
        <v>0.1524272134198115</v>
      </c>
      <c r="AO77" s="129"/>
      <c r="AP77" s="183">
        <f t="array" ref="AP77">SUM(AP4:AQ4*AP19:AQ19)/AP32</f>
        <v>0.15235603867117936</v>
      </c>
      <c r="AQ77" s="129"/>
      <c r="AR77" s="183">
        <f t="array" ref="AR77">SUM(AR4:AS4*AR19:AS19)/AR32</f>
        <v>0.15227958120473745</v>
      </c>
      <c r="AS77" s="129"/>
      <c r="AT77" s="183">
        <f t="array" ref="AT77">SUM(AT4:AU4*AT19:AU19)/AT32</f>
        <v>0.15219829640834773</v>
      </c>
      <c r="AU77" s="129"/>
      <c r="AV77" s="183">
        <f t="array" ref="AV77">SUM(AV4:AW4*AV19:AW19)/AV32</f>
        <v>0.15211263433152261</v>
      </c>
      <c r="XFD77" s="183"/>
    </row>
    <row r="78" spans="1:48 16384:16384" x14ac:dyDescent="0.2">
      <c r="A78" t="s">
        <v>173</v>
      </c>
      <c r="B78" s="183">
        <f t="array" ref="B78">SUM(B13:C13*B26:C26)/B32</f>
        <v>0.346887593115773</v>
      </c>
      <c r="D78" s="183">
        <f t="array" ref="D78">SUM(D13:E13*D26:E26)/D32</f>
        <v>0.3457717398470353</v>
      </c>
      <c r="E78" s="129"/>
      <c r="F78" s="183">
        <f t="array" ref="F78">SUM(F13:G13*F26:G26)/F32</f>
        <v>0.34460516066180635</v>
      </c>
      <c r="G78" s="129"/>
      <c r="H78" s="183">
        <f t="array" ref="H78">SUM(H13:I13*H26:I26)/H32</f>
        <v>0.34338504797670705</v>
      </c>
      <c r="I78" s="129"/>
      <c r="J78" s="183">
        <f t="array" ref="J78">SUM(J13:K13*J26:K26)/J32</f>
        <v>0.34210875572718091</v>
      </c>
      <c r="K78" s="129"/>
      <c r="L78" s="183">
        <f t="array" ref="L78">SUM(L13:M13*L26:M26)/L32</f>
        <v>0.34077392850007665</v>
      </c>
      <c r="M78" s="129"/>
      <c r="N78" s="183">
        <f t="array" ref="N78">SUM(N13:O13*N26:O26)/N32</f>
        <v>0.33937869377555069</v>
      </c>
      <c r="O78" s="129"/>
      <c r="P78" s="183">
        <f t="array" ref="P78">SUM(P13:Q13*P26:Q26)/P32</f>
        <v>0.33792186788291251</v>
      </c>
      <c r="Q78" s="129"/>
      <c r="R78" s="183">
        <f t="array" ref="R78">SUM(R13:S13*R26:S26)/R32</f>
        <v>0.33640327675331255</v>
      </c>
      <c r="S78" s="129"/>
      <c r="T78" s="183">
        <f t="array" ref="T78">SUM(T13:U13*T26:U26)/T32</f>
        <v>0.33482417852324453</v>
      </c>
      <c r="U78" s="129"/>
      <c r="V78" s="183">
        <f t="array" ref="V78">SUM(V13:W13*V26:W26)/V32</f>
        <v>0.33318783270242647</v>
      </c>
      <c r="W78" s="129"/>
      <c r="X78" s="183">
        <f t="array" ref="X78">SUM(X13:Y13*X26:Y26)/X32</f>
        <v>0.33150027689685246</v>
      </c>
      <c r="Y78" s="129"/>
      <c r="Z78" s="183">
        <f t="array" ref="Z78">SUM(Z13:AA13*Z26:AA26)/Z32</f>
        <v>0.32977137306543225</v>
      </c>
      <c r="AA78" s="129"/>
      <c r="AB78" s="183">
        <f t="array" ref="AB78">SUM(AB13:AC13*AB26:AC26)/AB32</f>
        <v>0.32801609349921462</v>
      </c>
      <c r="AC78" s="129"/>
      <c r="AD78" s="183">
        <f t="array" ref="AD78">SUM(AD13:AE13*AD26:AE26)/AD32</f>
        <v>0.32625587245660304</v>
      </c>
      <c r="AE78" s="129"/>
      <c r="AF78" s="183">
        <f t="array" ref="AF78">SUM(AF13:AG13*AF26:AG26)/AF32</f>
        <v>0.32451936358781014</v>
      </c>
      <c r="AG78" s="129"/>
      <c r="AH78" s="183">
        <f t="array" ref="AH78">SUM(AH13:AI13*AH26:AI26)/AH32</f>
        <v>0.32284136604847874</v>
      </c>
      <c r="AI78" s="129"/>
      <c r="AJ78" s="183">
        <f t="array" ref="AJ78">SUM(AJ13:AK13*AJ26:AK26)/AJ32</f>
        <v>0.3212585031991147</v>
      </c>
      <c r="AK78" s="129"/>
      <c r="AL78" s="183">
        <f t="array" ref="AL78">SUM(AL13:AM13*AL26:AM26)/AL32</f>
        <v>0.31980202177288236</v>
      </c>
      <c r="AM78" s="129"/>
      <c r="AN78" s="183">
        <f t="array" ref="AN78">SUM(AN13:AO13*AN26:AO26)/AN32</f>
        <v>0.31849090280148318</v>
      </c>
      <c r="AO78" s="129"/>
      <c r="AP78" s="183">
        <f t="array" ref="AP78">SUM(AP13:AQ13*AP26:AQ26)/AP32</f>
        <v>0.31824673256217789</v>
      </c>
      <c r="AQ78" s="129"/>
      <c r="AR78" s="183">
        <f t="array" ref="AR78">SUM(AR13:AS13*AR26:AS26)/AR32</f>
        <v>0.31800855019199398</v>
      </c>
      <c r="AS78" s="129"/>
      <c r="AT78" s="183">
        <f t="array" ref="AT78">SUM(AT13:AU13*AT26:AU26)/AT32</f>
        <v>0.31777630139703411</v>
      </c>
      <c r="AU78" s="129"/>
      <c r="AV78" s="183">
        <f t="array" ref="AV78">SUM(AV13:AW13*AV26:AW26)/AV32</f>
        <v>0.31754991663052712</v>
      </c>
      <c r="XFD78" s="183"/>
    </row>
    <row r="79" spans="1:48 16384:16384" x14ac:dyDescent="0.2">
      <c r="A79" t="s">
        <v>174</v>
      </c>
      <c r="B79" s="183">
        <f t="array" ref="B79">SUM(B15:C15*B27:C27)/B32</f>
        <v>0.45460968782440875</v>
      </c>
      <c r="D79" s="183">
        <f t="array" ref="D79">SUM(D15:E15*D27:E27)/D32</f>
        <v>0.45253130294715721</v>
      </c>
      <c r="F79" s="183">
        <f t="array" ref="F79">SUM(F15:G15*F27:G27)/F32</f>
        <v>0.45042105353884032</v>
      </c>
      <c r="H79" s="183">
        <f t="array" ref="H79">SUM(H15:I15*H27:I27)/H32</f>
        <v>0.44827203507333646</v>
      </c>
      <c r="J79" s="183">
        <f t="array" ref="J79">SUM(J15:K15*J27:K27)/J32</f>
        <v>0.44607592930700751</v>
      </c>
      <c r="L79" s="183">
        <f t="array" ref="L79">SUM(L15:M15*L27:M27)/L32</f>
        <v>0.44382265388442177</v>
      </c>
      <c r="N79" s="183">
        <f t="array" ref="N79">SUM(N15:O15*N27:O27)/N32</f>
        <v>0.44149996631360766</v>
      </c>
      <c r="P79" s="183">
        <f t="array" ref="P79">SUM(P15:Q15*P27:Q27)/P32</f>
        <v>0.43909283450012604</v>
      </c>
      <c r="R79" s="183">
        <f t="array" ref="R79">SUM(R15:S15*R27:S27)/R32</f>
        <v>0.43658275708326011</v>
      </c>
      <c r="T79" s="183">
        <f t="array" ref="T79">SUM(T15:U15*T27:U27)/T32</f>
        <v>0.43394693485295321</v>
      </c>
      <c r="V79" s="183">
        <f t="array" ref="V79">SUM(V15:W15*V27:W27)/V32</f>
        <v>0.43115750089552862</v>
      </c>
      <c r="X79" s="183">
        <f t="array" ref="X79">SUM(X15:Y15*X27:Y27)/X32</f>
        <v>0.42818098839872781</v>
      </c>
      <c r="Z79" s="183">
        <f t="array" ref="Z79">SUM(Z15:AA15*Z27:AA27)/Z32</f>
        <v>0.42497890887564982</v>
      </c>
      <c r="AB79" s="183">
        <f t="array" ref="AB79">SUM(AB15:AC15*AB27:AC27)/AB32</f>
        <v>0.42151058786009993</v>
      </c>
      <c r="AD79" s="183">
        <f t="array" ref="AD79">SUM(AD15:AE15*AD27:AE27)/AD32</f>
        <v>0.41774036528694325</v>
      </c>
      <c r="AF79" s="183">
        <f t="array" ref="AF79">SUM(AF15:AG15*AF27:AG27)/AF32</f>
        <v>0.41365085438224558</v>
      </c>
      <c r="AH79" s="183">
        <f t="array" ref="AH79">SUM(AH15:AI15*AH27:AI27)/AH32</f>
        <v>0.40926088671480138</v>
      </c>
      <c r="AJ79" s="183">
        <f t="array" ref="AJ79">SUM(AJ15:AK15*AJ27:AK27)/AJ32</f>
        <v>0.40463972449905355</v>
      </c>
      <c r="AL79" s="183">
        <f t="array" ref="AL79">SUM(AL15:AM15*AL27:AM27)/AL32</f>
        <v>0.39990415983375388</v>
      </c>
      <c r="AN79" s="183">
        <f t="array" ref="AN79">SUM(AN15:AO15*AN27:AO27)/AN32</f>
        <v>0.39519293675308631</v>
      </c>
      <c r="AP79" s="183">
        <f t="array" ref="AP79">SUM(AP15:AQ15*AP27:AQ27)/AP32</f>
        <v>0.39426523669403124</v>
      </c>
      <c r="AR79" s="183">
        <f t="array" ref="AR79">SUM(AR15:AS15*AR27:AS27)/AR32</f>
        <v>0.39334451489842748</v>
      </c>
      <c r="AT79" s="183">
        <f t="array" ref="AT79">SUM(AT15:AU15*AT27:AU27)/AT32</f>
        <v>0.39243155727343415</v>
      </c>
      <c r="AV79" s="183">
        <f t="array" ref="AV79">SUM(AV15:AW15*AV27:AW27)/AV32</f>
        <v>0.39152708047951745</v>
      </c>
      <c r="XFD79" s="183"/>
    </row>
    <row r="80" spans="1:48 16384:16384" x14ac:dyDescent="0.2">
      <c r="A80" t="s">
        <v>153</v>
      </c>
      <c r="B80" s="195">
        <f>B55</f>
        <v>0.19850271905982084</v>
      </c>
      <c r="D80" s="195">
        <f>D55</f>
        <v>0.20169697533214845</v>
      </c>
      <c r="F80" s="195">
        <f>F55</f>
        <v>0.2049737839574414</v>
      </c>
      <c r="H80" s="195">
        <f>H55</f>
        <v>0.20834291406557545</v>
      </c>
      <c r="J80" s="195">
        <f>J55</f>
        <v>0.21181532435292866</v>
      </c>
      <c r="L80" s="195">
        <f>L55</f>
        <v>0.21540341253659762</v>
      </c>
      <c r="N80" s="195">
        <f>N55</f>
        <v>0.21912133101090303</v>
      </c>
      <c r="P80" s="195">
        <f>P55</f>
        <v>0.22298529749360599</v>
      </c>
      <c r="R80" s="195">
        <f>R55</f>
        <v>0.22701396607419755</v>
      </c>
      <c r="T80" s="195">
        <f>T55</f>
        <v>0.23122888194298535</v>
      </c>
      <c r="V80" s="195">
        <f>V55</f>
        <v>0.23565466935341869</v>
      </c>
      <c r="X80" s="195">
        <f>X55</f>
        <v>0.24031873267629816</v>
      </c>
      <c r="Z80" s="195">
        <f>Z55</f>
        <v>0.24524971485077143</v>
      </c>
      <c r="AB80" s="195">
        <f>AB55</f>
        <v>0.25047331923415328</v>
      </c>
      <c r="AD80" s="195">
        <f>AD55</f>
        <v>0.25600376661669066</v>
      </c>
      <c r="AF80" s="195">
        <f>AF55</f>
        <v>0.26182977773438881</v>
      </c>
      <c r="AH80" s="195">
        <f>AH55</f>
        <v>0.26789774591778004</v>
      </c>
      <c r="AJ80" s="195">
        <f>AJ55</f>
        <v>0.27410177607675368</v>
      </c>
      <c r="AL80" s="195">
        <f>AL55</f>
        <v>0.28029382775301814</v>
      </c>
      <c r="AN80" s="195">
        <f>AN55</f>
        <v>0.28631617233866413</v>
      </c>
      <c r="AP80" s="195">
        <f>AP55</f>
        <v>0.28748803616088475</v>
      </c>
      <c r="AR80" s="195">
        <f>AR55</f>
        <v>0.28864693104414374</v>
      </c>
      <c r="AT80" s="195">
        <f>AT55</f>
        <v>0.289792132605731</v>
      </c>
      <c r="AV80" s="195">
        <f>AV55</f>
        <v>0.29092300799334492</v>
      </c>
      <c r="XFD80" s="195"/>
    </row>
    <row r="81" spans="1:48 16384:16384" x14ac:dyDescent="0.2">
      <c r="A81" t="s">
        <v>175</v>
      </c>
      <c r="B81" s="195">
        <f>B51/B$32</f>
        <v>-2.7543485504603994E-2</v>
      </c>
      <c r="D81" s="195">
        <f>D51/D$32</f>
        <v>-2.43492292322764E-2</v>
      </c>
      <c r="F81" s="195">
        <f>F51/F$32</f>
        <v>-2.1072420606983441E-2</v>
      </c>
      <c r="H81" s="195">
        <f>H51/H$32</f>
        <v>-1.7703290498849403E-2</v>
      </c>
      <c r="J81" s="195">
        <f>J51/J$32</f>
        <v>-1.4230880211496188E-2</v>
      </c>
      <c r="L81" s="195">
        <f>L51/L$32</f>
        <v>-1.0642792027827221E-2</v>
      </c>
      <c r="N81" s="195">
        <f>N51/N$32</f>
        <v>-6.9248735535218106E-3</v>
      </c>
      <c r="P81" s="195">
        <f>P51/P$32</f>
        <v>-3.0609070708188628E-3</v>
      </c>
      <c r="R81" s="195">
        <f>R51/R$32</f>
        <v>9.6776150977270845E-4</v>
      </c>
      <c r="T81" s="195">
        <f>T51/T$32</f>
        <v>5.1826773785605242E-3</v>
      </c>
      <c r="V81" s="195">
        <f>V51/V$32</f>
        <v>9.6084647889938413E-3</v>
      </c>
      <c r="X81" s="195">
        <f>X51/X$32</f>
        <v>1.4272528111873311E-2</v>
      </c>
      <c r="Z81" s="195">
        <f>Z51/Z$32</f>
        <v>1.9203510286346599E-2</v>
      </c>
      <c r="AB81" s="195">
        <f>AB51/AB$32</f>
        <v>2.4427114669728401E-2</v>
      </c>
      <c r="AD81" s="195">
        <f>AD51/AD$32</f>
        <v>2.9957562052265834E-2</v>
      </c>
      <c r="AF81" s="195">
        <f>AF51/AF$32</f>
        <v>3.5783573169963959E-2</v>
      </c>
      <c r="AH81" s="195">
        <f>AH51/AH$32</f>
        <v>4.1851541353355198E-2</v>
      </c>
      <c r="AJ81" s="195">
        <f>AJ51/AJ$32</f>
        <v>4.8055571512328803E-2</v>
      </c>
      <c r="AL81" s="195">
        <f>AL51/AL$32</f>
        <v>5.4247623188593323E-2</v>
      </c>
      <c r="AN81" s="195">
        <f>AN51/AN$32</f>
        <v>6.0269967774239278E-2</v>
      </c>
      <c r="AP81" s="195">
        <f>AP51/AP$32</f>
        <v>6.1441831596459905E-2</v>
      </c>
      <c r="AR81" s="195">
        <f>AR51/AR$32</f>
        <v>6.2600726479718899E-2</v>
      </c>
      <c r="AT81" s="195">
        <f>AT51/AT$32</f>
        <v>6.374592804130616E-2</v>
      </c>
      <c r="AV81" s="195">
        <f>AV51/AV$32</f>
        <v>6.4876803428920091E-2</v>
      </c>
      <c r="XFD81" s="195"/>
    </row>
    <row r="82" spans="1:48 16384:16384" x14ac:dyDescent="0.2">
      <c r="A82" t="s">
        <v>176</v>
      </c>
      <c r="B82" s="195">
        <f>B52/B$32</f>
        <v>0.14069693704202227</v>
      </c>
      <c r="D82" s="195">
        <f>D52/D$32</f>
        <v>0.14024434911378431</v>
      </c>
      <c r="F82" s="195">
        <f>F52/F$32</f>
        <v>0.13977118685189877</v>
      </c>
      <c r="H82" s="195">
        <f>H52/H$32</f>
        <v>0.13927631150597569</v>
      </c>
      <c r="J82" s="195">
        <f>J52/J$32</f>
        <v>0.13875864983734729</v>
      </c>
      <c r="L82" s="195">
        <f>L52/L$32</f>
        <v>0.13821724649499373</v>
      </c>
      <c r="N82" s="195">
        <f>N52/N$32</f>
        <v>0.13765134198848702</v>
      </c>
      <c r="P82" s="195">
        <f>P52/P$32</f>
        <v>0.13706045622328386</v>
      </c>
      <c r="R82" s="195">
        <f>R52/R$32</f>
        <v>0.13644451859739537</v>
      </c>
      <c r="T82" s="195">
        <f>T52/T$32</f>
        <v>0.13580403940855076</v>
      </c>
      <c r="V82" s="195">
        <f>V52/V$32</f>
        <v>0.13514034070758923</v>
      </c>
      <c r="X82" s="195">
        <f>X52/X$32</f>
        <v>0.1344558713358279</v>
      </c>
      <c r="Z82" s="195">
        <f>Z52/Z$32</f>
        <v>0.133754631284732</v>
      </c>
      <c r="AB82" s="195">
        <f>AB52/AB$32</f>
        <v>0.13304269328660118</v>
      </c>
      <c r="AD82" s="195">
        <f>AD52/AD$32</f>
        <v>0.13232875103519953</v>
      </c>
      <c r="AF82" s="195">
        <f>AF52/AF$32</f>
        <v>0.13162442639565003</v>
      </c>
      <c r="AH82" s="195">
        <f>AH52/AH$32</f>
        <v>0.1309438338381953</v>
      </c>
      <c r="AJ82" s="195">
        <f>AJ52/AJ$32</f>
        <v>0.13030182772704332</v>
      </c>
      <c r="AL82" s="195">
        <f>AL52/AL$32</f>
        <v>0.1297110816767483</v>
      </c>
      <c r="AN82" s="195">
        <f>AN52/AN$32</f>
        <v>0.12917929435706751</v>
      </c>
      <c r="AP82" s="195">
        <f>AP52/AP$32</f>
        <v>0.12908025938012152</v>
      </c>
      <c r="AR82" s="195">
        <f>AR52/AR$32</f>
        <v>0.12898365307131332</v>
      </c>
      <c r="AT82" s="195">
        <f>AT52/AT$32</f>
        <v>0.12888945340914307</v>
      </c>
      <c r="AV82" s="195">
        <f>AV52/AV$32</f>
        <v>0.12879763218557491</v>
      </c>
    </row>
    <row r="83" spans="1:48 16384:16384" x14ac:dyDescent="0.2">
      <c r="A83" t="s">
        <v>177</v>
      </c>
      <c r="B83" s="195">
        <f>B53/B$32</f>
        <v>0.18438881036940691</v>
      </c>
      <c r="D83" s="195">
        <f>D53/D$32</f>
        <v>0.1835458214818621</v>
      </c>
      <c r="F83" s="195">
        <f>F53/F$32</f>
        <v>0.18268990840212904</v>
      </c>
      <c r="H83" s="195">
        <f>H53/H$32</f>
        <v>0.18181827066776293</v>
      </c>
      <c r="J83" s="195">
        <f>J53/J$32</f>
        <v>0.18092753441522799</v>
      </c>
      <c r="L83" s="195">
        <f>L53/L$32</f>
        <v>0.18001361026065588</v>
      </c>
      <c r="N83" s="195">
        <f>N53/N$32</f>
        <v>0.17907153267297443</v>
      </c>
      <c r="P83" s="195">
        <f>P53/P$32</f>
        <v>0.17809520466374457</v>
      </c>
      <c r="R83" s="195">
        <f>R53/R$32</f>
        <v>0.17707712211683285</v>
      </c>
      <c r="T83" s="195">
        <f>T53/T$32</f>
        <v>0.17600803771672377</v>
      </c>
      <c r="V83" s="195">
        <f>V53/V$32</f>
        <v>0.17487664869711228</v>
      </c>
      <c r="X83" s="195">
        <f>X53/X$32</f>
        <v>0.17366938098365614</v>
      </c>
      <c r="Z83" s="195">
        <f>Z53/Z$32</f>
        <v>0.17237062372048795</v>
      </c>
      <c r="AB83" s="195">
        <f>AB53/AB$32</f>
        <v>0.17096387942276528</v>
      </c>
      <c r="AD83" s="195">
        <f>AD53/AD$32</f>
        <v>0.16943468443702014</v>
      </c>
      <c r="AF83" s="195">
        <f>AF53/AF$32</f>
        <v>0.1677759867213631</v>
      </c>
      <c r="AH83" s="195">
        <f>AH53/AH$32</f>
        <v>0.16599542432368525</v>
      </c>
      <c r="AJ83" s="195">
        <f>AJ53/AJ$32</f>
        <v>0.16412108986424254</v>
      </c>
      <c r="AL83" s="195">
        <f>AL53/AL$32</f>
        <v>0.16220035399246482</v>
      </c>
      <c r="AN83" s="195">
        <f>AN53/AN$32</f>
        <v>0.16028949102034815</v>
      </c>
      <c r="AP83" s="195">
        <f>AP53/AP$32</f>
        <v>0.15991321767015315</v>
      </c>
      <c r="AR83" s="195">
        <f>AR53/AR$32</f>
        <v>0.15953977469012115</v>
      </c>
      <c r="AT83" s="195">
        <f>AT53/AT$32</f>
        <v>0.15916948084267632</v>
      </c>
      <c r="AV83" s="195">
        <f>AV53/AV$32</f>
        <v>0.15880262680391802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6"/>
  <dimension ref="A1:XFD83"/>
  <sheetViews>
    <sheetView showGridLines="0" workbookViewId="0">
      <pane xSplit="1" ySplit="1" topLeftCell="B2" activePane="bottomRight" state="frozen"/>
      <selection pane="topRight" activeCell="B1" sqref="B1"/>
      <selection pane="bottomLeft" activeCell="A2" sqref="A2"/>
      <selection pane="bottomRight" sqref="A1:XFD1048576"/>
    </sheetView>
  </sheetViews>
  <sheetFormatPr baseColWidth="10" defaultRowHeight="10" x14ac:dyDescent="0.2"/>
  <sheetData>
    <row r="1" spans="1:51" x14ac:dyDescent="0.2">
      <c r="B1" s="91">
        <v>0</v>
      </c>
      <c r="D1" s="91">
        <v>0.05</v>
      </c>
      <c r="F1" s="91">
        <v>0.1</v>
      </c>
      <c r="H1" s="91">
        <v>0.15000000000000002</v>
      </c>
      <c r="J1" s="91">
        <v>0.2</v>
      </c>
      <c r="L1" s="91">
        <v>0.25</v>
      </c>
      <c r="N1" s="91">
        <v>0.3</v>
      </c>
      <c r="P1" s="91">
        <v>0.35</v>
      </c>
      <c r="R1" s="91">
        <v>0.39999999999999997</v>
      </c>
      <c r="T1" s="91">
        <v>0.44999999999999996</v>
      </c>
      <c r="V1" s="91">
        <v>0.49999999999999994</v>
      </c>
      <c r="X1" s="91">
        <v>0.54999999999999993</v>
      </c>
      <c r="Z1" s="91">
        <v>0.6</v>
      </c>
      <c r="AB1" s="91">
        <v>0.65</v>
      </c>
      <c r="AD1" s="91">
        <v>0.70000000000000007</v>
      </c>
      <c r="AF1" s="91">
        <v>0.75000000000000011</v>
      </c>
      <c r="AH1" s="91">
        <v>0.80000000000000016</v>
      </c>
      <c r="AJ1" s="91">
        <v>0.8500000000000002</v>
      </c>
      <c r="AL1" s="91">
        <v>0.90000000000000024</v>
      </c>
      <c r="AN1" s="91">
        <v>0.95000000000000029</v>
      </c>
      <c r="AP1" s="91">
        <v>0.9600000000000003</v>
      </c>
      <c r="AR1" s="91">
        <v>0.97000000000000031</v>
      </c>
      <c r="AT1" s="91">
        <v>0.98000000000000032</v>
      </c>
      <c r="AV1" s="91">
        <v>0.99000000000000032</v>
      </c>
      <c r="AX1">
        <v>0.99000000000000032</v>
      </c>
    </row>
    <row r="2" spans="1:51" x14ac:dyDescent="0.2">
      <c r="A2" s="190" t="s">
        <v>139</v>
      </c>
      <c r="B2" s="188">
        <v>5.7716594496607888E-3</v>
      </c>
      <c r="C2" s="189"/>
      <c r="D2" s="188">
        <v>4.5518481263062793E-2</v>
      </c>
      <c r="E2" s="189"/>
      <c r="F2" s="188">
        <v>8.8562863514592333E-2</v>
      </c>
      <c r="G2" s="189"/>
      <c r="H2" s="188">
        <v>0.13526398872811385</v>
      </c>
      <c r="I2" s="189"/>
      <c r="J2" s="188">
        <v>0.18601627035336959</v>
      </c>
      <c r="K2" s="189"/>
      <c r="L2" s="188">
        <v>0.24124728954057867</v>
      </c>
      <c r="M2" s="189"/>
      <c r="N2" s="188">
        <v>0.30141062494707521</v>
      </c>
      <c r="O2" s="189"/>
      <c r="P2" s="188">
        <v>0.36697403507820481</v>
      </c>
      <c r="Q2" s="189"/>
      <c r="R2" s="188">
        <v>0.43839724569730387</v>
      </c>
      <c r="S2" s="189"/>
      <c r="T2" s="188">
        <v>0.51610735644833494</v>
      </c>
      <c r="U2" s="189"/>
      <c r="V2" s="188">
        <v>0.60047821555057568</v>
      </c>
      <c r="W2" s="189"/>
      <c r="X2" s="188">
        <v>0.69188355998456963</v>
      </c>
      <c r="Y2" s="189"/>
      <c r="Z2" s="188">
        <v>0.79097882084432924</v>
      </c>
      <c r="AA2" s="189"/>
      <c r="AB2" s="188">
        <v>0.89968543496905795</v>
      </c>
      <c r="AC2" s="189"/>
      <c r="AD2" s="188">
        <v>1.0241820373121895</v>
      </c>
      <c r="AE2" s="189"/>
      <c r="AF2" s="188">
        <v>1.1839033267423165</v>
      </c>
      <c r="AG2" s="189"/>
      <c r="AH2" s="188">
        <v>1.4404694183402753</v>
      </c>
      <c r="AI2" s="189"/>
      <c r="AJ2" s="188">
        <v>2.0080031520006099</v>
      </c>
      <c r="AK2" s="189"/>
      <c r="AL2" s="188">
        <v>3.822087954220005</v>
      </c>
      <c r="AM2" s="189"/>
      <c r="AN2" s="188">
        <v>12.838574374526187</v>
      </c>
      <c r="AO2" s="189"/>
      <c r="AP2" s="188">
        <v>18.379990226301899</v>
      </c>
      <c r="AQ2" s="189"/>
      <c r="AR2" s="188">
        <v>28.482957892618224</v>
      </c>
      <c r="AS2" s="189"/>
      <c r="AT2" s="188">
        <v>50.757850970794856</v>
      </c>
      <c r="AU2" s="189"/>
      <c r="AV2" s="188">
        <v>125.26284170710795</v>
      </c>
      <c r="AW2" s="189"/>
      <c r="AX2">
        <v>2.7467636625383673</v>
      </c>
    </row>
    <row r="3" spans="1:51" x14ac:dyDescent="0.2">
      <c r="A3" t="s">
        <v>12</v>
      </c>
      <c r="B3" s="81">
        <v>1000</v>
      </c>
      <c r="C3" s="82">
        <v>1000</v>
      </c>
      <c r="D3" s="81">
        <v>998.62111887266974</v>
      </c>
      <c r="E3" s="82">
        <v>1018.7635525662997</v>
      </c>
      <c r="F3" s="81">
        <v>997.40755807159178</v>
      </c>
      <c r="G3" s="82">
        <v>1039.5683042228802</v>
      </c>
      <c r="H3" s="81">
        <v>996.3973472849558</v>
      </c>
      <c r="I3" s="82">
        <v>1062.6888578448211</v>
      </c>
      <c r="J3" s="81">
        <v>995.64256837860466</v>
      </c>
      <c r="K3" s="82">
        <v>1088.4411400596407</v>
      </c>
      <c r="L3" s="81">
        <v>995.21574539713833</v>
      </c>
      <c r="M3" s="82">
        <v>1117.1878160630213</v>
      </c>
      <c r="N3" s="81">
        <v>995.21986310822706</v>
      </c>
      <c r="O3" s="82">
        <v>1149.3437222004832</v>
      </c>
      <c r="P3" s="81">
        <v>995.8033078064791</v>
      </c>
      <c r="Q3" s="82">
        <v>1185.3820912328663</v>
      </c>
      <c r="R3" s="81">
        <v>997.18416065049553</v>
      </c>
      <c r="S3" s="82">
        <v>1225.8422374351683</v>
      </c>
      <c r="T3" s="81">
        <v>999.68947087477466</v>
      </c>
      <c r="U3" s="82">
        <v>1271.3475715108302</v>
      </c>
      <c r="V3" s="81">
        <v>1003.8218860035407</v>
      </c>
      <c r="W3" s="82">
        <v>1322.6494837441917</v>
      </c>
      <c r="X3" s="81">
        <v>1010.3747894040793</v>
      </c>
      <c r="Y3" s="82">
        <v>1380.75515725791</v>
      </c>
      <c r="Z3" s="81">
        <v>1020.6457413269409</v>
      </c>
      <c r="AA3" s="82">
        <v>1447.2731128144435</v>
      </c>
      <c r="AB3" s="81">
        <v>1036.8545958992595</v>
      </c>
      <c r="AC3" s="82">
        <v>1525.3311693896621</v>
      </c>
      <c r="AD3" s="81">
        <v>1063.0249310193374</v>
      </c>
      <c r="AE3" s="82">
        <v>1621.9909412820689</v>
      </c>
      <c r="AF3" s="81">
        <v>1106.9869932113056</v>
      </c>
      <c r="AG3" s="82">
        <v>1754.7815575561124</v>
      </c>
      <c r="AH3" s="81">
        <v>1185.3456973337513</v>
      </c>
      <c r="AI3" s="82">
        <v>1970.7735246698794</v>
      </c>
      <c r="AJ3" s="81">
        <v>1338.2147105838733</v>
      </c>
      <c r="AK3" s="82">
        <v>2412.630851196971</v>
      </c>
      <c r="AL3" s="81">
        <v>1684.343783290836</v>
      </c>
      <c r="AM3" s="82">
        <v>3626.0898011644158</v>
      </c>
      <c r="AN3" s="81">
        <v>2657.8092820982461</v>
      </c>
      <c r="AO3" s="82">
        <v>8669.8369883060222</v>
      </c>
      <c r="AP3" s="81">
        <v>3069.605159228377</v>
      </c>
      <c r="AQ3" s="82">
        <v>11532.4799832013</v>
      </c>
      <c r="AR3" s="81">
        <v>3677.4193902615921</v>
      </c>
      <c r="AS3" s="82">
        <v>16566.939689681985</v>
      </c>
      <c r="AT3" s="81">
        <v>4698.3615452484109</v>
      </c>
      <c r="AU3" s="82">
        <v>27238.714074519761</v>
      </c>
      <c r="AV3" s="81">
        <v>6975.0658729145653</v>
      </c>
      <c r="AW3" s="82">
        <v>61306.079239886705</v>
      </c>
      <c r="AX3">
        <v>983.99411499836162</v>
      </c>
      <c r="AY3">
        <v>2443.8265760999948</v>
      </c>
    </row>
    <row r="4" spans="1:51" x14ac:dyDescent="0.2">
      <c r="A4" t="s">
        <v>103</v>
      </c>
      <c r="B4" s="95">
        <v>1000</v>
      </c>
      <c r="C4" s="96">
        <v>1000</v>
      </c>
      <c r="D4" s="95">
        <v>1000</v>
      </c>
      <c r="E4" s="96">
        <v>1000</v>
      </c>
      <c r="F4" s="95">
        <v>1000</v>
      </c>
      <c r="G4" s="96">
        <v>1000</v>
      </c>
      <c r="H4" s="95">
        <v>1000</v>
      </c>
      <c r="I4" s="96">
        <v>1000</v>
      </c>
      <c r="J4" s="95">
        <v>1000</v>
      </c>
      <c r="K4" s="96">
        <v>1000</v>
      </c>
      <c r="L4" s="95">
        <v>1000</v>
      </c>
      <c r="M4" s="96">
        <v>1000</v>
      </c>
      <c r="N4" s="95">
        <v>1000</v>
      </c>
      <c r="O4" s="96">
        <v>1000</v>
      </c>
      <c r="P4" s="95">
        <v>1000</v>
      </c>
      <c r="Q4" s="96">
        <v>1000</v>
      </c>
      <c r="R4" s="95">
        <v>1000</v>
      </c>
      <c r="S4" s="96">
        <v>1000</v>
      </c>
      <c r="T4" s="95">
        <v>1000</v>
      </c>
      <c r="U4" s="96">
        <v>1000</v>
      </c>
      <c r="V4" s="95">
        <v>1000</v>
      </c>
      <c r="W4" s="96">
        <v>1000</v>
      </c>
      <c r="X4" s="95">
        <v>1000</v>
      </c>
      <c r="Y4" s="96">
        <v>1000</v>
      </c>
      <c r="Z4" s="95">
        <v>1000</v>
      </c>
      <c r="AA4" s="96">
        <v>1000</v>
      </c>
      <c r="AB4" s="95">
        <v>1000</v>
      </c>
      <c r="AC4" s="96">
        <v>1000</v>
      </c>
      <c r="AD4" s="95">
        <v>1000</v>
      </c>
      <c r="AE4" s="96">
        <v>1000</v>
      </c>
      <c r="AF4" s="95">
        <v>1000</v>
      </c>
      <c r="AG4" s="96">
        <v>1000</v>
      </c>
      <c r="AH4" s="95">
        <v>1000</v>
      </c>
      <c r="AI4" s="96">
        <v>1000</v>
      </c>
      <c r="AJ4" s="95">
        <v>1000</v>
      </c>
      <c r="AK4" s="96">
        <v>1000</v>
      </c>
      <c r="AL4" s="95">
        <v>1000</v>
      </c>
      <c r="AM4" s="96">
        <v>1000</v>
      </c>
      <c r="AN4" s="95">
        <v>1000</v>
      </c>
      <c r="AO4" s="96">
        <v>1000</v>
      </c>
      <c r="AP4" s="95">
        <v>1000</v>
      </c>
      <c r="AQ4" s="96">
        <v>1000</v>
      </c>
      <c r="AR4" s="95">
        <v>1000</v>
      </c>
      <c r="AS4" s="96">
        <v>1000</v>
      </c>
      <c r="AT4" s="95">
        <v>1000</v>
      </c>
      <c r="AU4" s="96">
        <v>1000</v>
      </c>
      <c r="AV4" s="95">
        <v>1000</v>
      </c>
      <c r="AW4" s="96">
        <v>1000</v>
      </c>
      <c r="AX4">
        <v>1000</v>
      </c>
      <c r="AY4">
        <v>1000</v>
      </c>
    </row>
    <row r="5" spans="1:51" x14ac:dyDescent="0.2">
      <c r="A5" t="s">
        <v>115</v>
      </c>
      <c r="B5" s="39">
        <v>1000</v>
      </c>
      <c r="C5" s="40">
        <v>1000</v>
      </c>
      <c r="D5" s="39">
        <v>998.55247089451484</v>
      </c>
      <c r="E5" s="40">
        <v>1016.3037872414242</v>
      </c>
      <c r="F5" s="39">
        <v>997.2773628226297</v>
      </c>
      <c r="G5" s="40">
        <v>1033.9899195429723</v>
      </c>
      <c r="H5" s="39">
        <v>996.21510621357845</v>
      </c>
      <c r="I5" s="40">
        <v>1053.1785552294537</v>
      </c>
      <c r="J5" s="39">
        <v>995.42095705664121</v>
      </c>
      <c r="K5" s="40">
        <v>1073.9929231934293</v>
      </c>
      <c r="L5" s="39">
        <v>994.97168596008009</v>
      </c>
      <c r="M5" s="40">
        <v>1096.5547031613678</v>
      </c>
      <c r="N5" s="39">
        <v>994.97602081103514</v>
      </c>
      <c r="O5" s="40">
        <v>1120.9773109341545</v>
      </c>
      <c r="P5" s="39">
        <v>995.59011524494554</v>
      </c>
      <c r="Q5" s="40">
        <v>1147.3569493816331</v>
      </c>
      <c r="R5" s="39">
        <v>997.04251884634357</v>
      </c>
      <c r="S5" s="40">
        <v>1175.7625130544284</v>
      </c>
      <c r="T5" s="39">
        <v>999.67412946255467</v>
      </c>
      <c r="U5" s="40">
        <v>1206.2266774949601</v>
      </c>
      <c r="V5" s="39">
        <v>1004.0051160479705</v>
      </c>
      <c r="W5" s="40">
        <v>1238.7511299628648</v>
      </c>
      <c r="X5" s="39">
        <v>1010.8486306732019</v>
      </c>
      <c r="Y5" s="40">
        <v>1273.3455373629738</v>
      </c>
      <c r="Z5" s="39">
        <v>1021.5175338650398</v>
      </c>
      <c r="AA5" s="40">
        <v>1310.1509660949384</v>
      </c>
      <c r="AB5" s="39">
        <v>1038.2199223780287</v>
      </c>
      <c r="AC5" s="40">
        <v>1349.7374786866837</v>
      </c>
      <c r="AD5" s="39">
        <v>1064.8704078629435</v>
      </c>
      <c r="AE5" s="40">
        <v>1393.7386053178441</v>
      </c>
      <c r="AF5" s="39">
        <v>1108.8741328711621</v>
      </c>
      <c r="AG5" s="40">
        <v>1446.0066936683593</v>
      </c>
      <c r="AH5" s="39">
        <v>1185.3835106450279</v>
      </c>
      <c r="AI5" s="40">
        <v>1513.8740684988391</v>
      </c>
      <c r="AJ5" s="39">
        <v>1329.4444106625112</v>
      </c>
      <c r="AK5" s="40">
        <v>1604.8740806220096</v>
      </c>
      <c r="AL5" s="39">
        <v>1638.772621955701</v>
      </c>
      <c r="AM5" s="40">
        <v>1701.8902073960523</v>
      </c>
      <c r="AN5" s="39">
        <v>2425.909885193882</v>
      </c>
      <c r="AO5" s="40">
        <v>1746.3570841131886</v>
      </c>
      <c r="AP5" s="39">
        <v>2729.0901655993125</v>
      </c>
      <c r="AQ5" s="40">
        <v>1748.4881757240955</v>
      </c>
      <c r="AR5" s="39">
        <v>3148.7041239473047</v>
      </c>
      <c r="AS5" s="40">
        <v>1749.535280259563</v>
      </c>
      <c r="AT5" s="39">
        <v>3787.6682029923604</v>
      </c>
      <c r="AU5" s="40">
        <v>1749.9490498907908</v>
      </c>
      <c r="AV5" s="39">
        <v>4974.3736203502458</v>
      </c>
      <c r="AW5" s="40">
        <v>1750.0587008197472</v>
      </c>
      <c r="AX5">
        <v>983.1109276963308</v>
      </c>
      <c r="AY5">
        <v>1609.533058627753</v>
      </c>
    </row>
    <row r="6" spans="1:51" x14ac:dyDescent="0.2">
      <c r="A6" t="s">
        <v>77</v>
      </c>
      <c r="B6" s="39">
        <v>1000.0000000000003</v>
      </c>
      <c r="C6" s="40">
        <v>1000.0000000000002</v>
      </c>
      <c r="D6" s="39">
        <v>998.44192146396711</v>
      </c>
      <c r="E6" s="40">
        <v>1020.1960941904485</v>
      </c>
      <c r="F6" s="39">
        <v>997.0697184674068</v>
      </c>
      <c r="G6" s="40">
        <v>1042.464882484441</v>
      </c>
      <c r="H6" s="39">
        <v>995.92677879866721</v>
      </c>
      <c r="I6" s="40">
        <v>1067.0782561288065</v>
      </c>
      <c r="J6" s="39">
        <v>995.07243163445401</v>
      </c>
      <c r="K6" s="40">
        <v>1094.3493264555382</v>
      </c>
      <c r="L6" s="39">
        <v>994.58915120711958</v>
      </c>
      <c r="M6" s="40">
        <v>1124.6380003455793</v>
      </c>
      <c r="N6" s="39">
        <v>994.59381410972958</v>
      </c>
      <c r="O6" s="40">
        <v>1158.3566359316405</v>
      </c>
      <c r="P6" s="39">
        <v>995.25440411737281</v>
      </c>
      <c r="Q6" s="40">
        <v>1195.9766095915231</v>
      </c>
      <c r="R6" s="39">
        <v>996.81702202599206</v>
      </c>
      <c r="S6" s="40">
        <v>1238.0364741837811</v>
      </c>
      <c r="T6" s="39">
        <v>999.64921244569064</v>
      </c>
      <c r="U6" s="40">
        <v>1285.1608389245102</v>
      </c>
      <c r="V6" s="39">
        <v>1004.3127889720427</v>
      </c>
      <c r="W6" s="40">
        <v>1338.1057320241143</v>
      </c>
      <c r="X6" s="39">
        <v>1011.6881415922636</v>
      </c>
      <c r="Y6" s="40">
        <v>1397.8896348053497</v>
      </c>
      <c r="Z6" s="39">
        <v>1023.2015974070348</v>
      </c>
      <c r="AA6" s="40">
        <v>1466.1460915428838</v>
      </c>
      <c r="AB6" s="39">
        <v>1041.2640062219382</v>
      </c>
      <c r="AC6" s="40">
        <v>1546.0581747726014</v>
      </c>
      <c r="AD6" s="39">
        <v>1070.1805858247687</v>
      </c>
      <c r="AE6" s="40">
        <v>1644.8127603451874</v>
      </c>
      <c r="AF6" s="39">
        <v>1118.1861465570128</v>
      </c>
      <c r="AG6" s="40">
        <v>1780.2349542321178</v>
      </c>
      <c r="AH6" s="39">
        <v>1202.4340095735986</v>
      </c>
      <c r="AI6" s="40">
        <v>2000.1415191336184</v>
      </c>
      <c r="AJ6" s="39">
        <v>1363.8113746141482</v>
      </c>
      <c r="AK6" s="40">
        <v>2449.356062479696</v>
      </c>
      <c r="AL6" s="39">
        <v>1722.9557644575807</v>
      </c>
      <c r="AM6" s="40">
        <v>3681.8630787083775</v>
      </c>
      <c r="AN6" s="39">
        <v>2722.8896307651312</v>
      </c>
      <c r="AO6" s="40">
        <v>8803.3927302338816</v>
      </c>
      <c r="AP6" s="39">
        <v>3145.0483568161158</v>
      </c>
      <c r="AQ6" s="40">
        <v>11710.136391501677</v>
      </c>
      <c r="AR6" s="39">
        <v>3767.9898235998644</v>
      </c>
      <c r="AS6" s="40">
        <v>16822.152333898874</v>
      </c>
      <c r="AT6" s="39">
        <v>4814.1925395445196</v>
      </c>
      <c r="AU6" s="40">
        <v>27658.325018260541</v>
      </c>
      <c r="AV6" s="39">
        <v>7147.0872478717711</v>
      </c>
      <c r="AW6" s="40">
        <v>62250.496194814754</v>
      </c>
      <c r="AX6">
        <v>981.84253903156787</v>
      </c>
      <c r="AY6">
        <v>2481.0544675387359</v>
      </c>
    </row>
    <row r="7" spans="1:51" x14ac:dyDescent="0.2">
      <c r="A7" t="s">
        <v>13</v>
      </c>
      <c r="B7" s="31">
        <v>1015.9116825427475</v>
      </c>
      <c r="C7" s="32">
        <v>1015.9116825427475</v>
      </c>
      <c r="D7" s="31">
        <v>1014.4411208136644</v>
      </c>
      <c r="E7" s="32">
        <v>1014.4411208136644</v>
      </c>
      <c r="F7" s="31">
        <v>1013.1457236269317</v>
      </c>
      <c r="G7" s="32">
        <v>1013.1457236269317</v>
      </c>
      <c r="H7" s="31">
        <v>1012.0665647279384</v>
      </c>
      <c r="I7" s="32">
        <v>1012.0665647279384</v>
      </c>
      <c r="J7" s="31">
        <v>1011.2597793217243</v>
      </c>
      <c r="K7" s="32">
        <v>1011.2597793217243</v>
      </c>
      <c r="L7" s="31">
        <v>1010.8033595660991</v>
      </c>
      <c r="M7" s="32">
        <v>1010.8033595660991</v>
      </c>
      <c r="N7" s="31">
        <v>1010.8077633918264</v>
      </c>
      <c r="O7" s="32">
        <v>1010.8077633918264</v>
      </c>
      <c r="P7" s="31">
        <v>1011.4316291014204</v>
      </c>
      <c r="Q7" s="32">
        <v>1011.4316291014204</v>
      </c>
      <c r="R7" s="31">
        <v>1012.9071428878478</v>
      </c>
      <c r="S7" s="32">
        <v>1012.9071428878478</v>
      </c>
      <c r="T7" s="31">
        <v>1015.5806268567602</v>
      </c>
      <c r="U7" s="32">
        <v>1015.5806268567602</v>
      </c>
      <c r="V7" s="31">
        <v>1019.9805267258201</v>
      </c>
      <c r="W7" s="32">
        <v>1019.9805267258201</v>
      </c>
      <c r="X7" s="31">
        <v>1026.9329331832448</v>
      </c>
      <c r="Y7" s="32">
        <v>1026.9329331832448</v>
      </c>
      <c r="Z7" s="31">
        <v>1037.7715965757507</v>
      </c>
      <c r="AA7" s="32">
        <v>1037.7715965757507</v>
      </c>
      <c r="AB7" s="31">
        <v>1054.7397481924638</v>
      </c>
      <c r="AC7" s="32">
        <v>1054.7397481924638</v>
      </c>
      <c r="AD7" s="31">
        <v>1081.8142877420246</v>
      </c>
      <c r="AE7" s="32">
        <v>1081.8142877420246</v>
      </c>
      <c r="AF7" s="31">
        <v>1126.5181860532725</v>
      </c>
      <c r="AG7" s="32">
        <v>1126.5181860532725</v>
      </c>
      <c r="AH7" s="31">
        <v>1204.244956757819</v>
      </c>
      <c r="AI7" s="32">
        <v>1204.244956757819</v>
      </c>
      <c r="AJ7" s="31">
        <v>1350.598108083203</v>
      </c>
      <c r="AK7" s="32">
        <v>1350.598108083203</v>
      </c>
      <c r="AL7" s="31">
        <v>1664.8482516760059</v>
      </c>
      <c r="AM7" s="32">
        <v>1664.8482516760059</v>
      </c>
      <c r="AN7" s="31">
        <v>2464.5101931643999</v>
      </c>
      <c r="AO7" s="32">
        <v>2464.5101931643999</v>
      </c>
      <c r="AP7" s="31">
        <v>2772.514581944863</v>
      </c>
      <c r="AQ7" s="32">
        <v>2772.514581944863</v>
      </c>
      <c r="AR7" s="31">
        <v>3198.8053043885939</v>
      </c>
      <c r="AS7" s="32">
        <v>3198.8053043885939</v>
      </c>
      <c r="AT7" s="31">
        <v>3847.9363770156338</v>
      </c>
      <c r="AU7" s="32">
        <v>3847.9363770156338</v>
      </c>
      <c r="AV7" s="31">
        <v>5053.524274246276</v>
      </c>
      <c r="AW7" s="32">
        <v>5053.524274246276</v>
      </c>
      <c r="AX7">
        <v>998.7538766821408</v>
      </c>
      <c r="AY7">
        <v>998.7538766821408</v>
      </c>
    </row>
    <row r="8" spans="1:51" x14ac:dyDescent="0.2">
      <c r="B8" s="33">
        <v>1005.7716594496609</v>
      </c>
      <c r="C8" s="34">
        <v>1005.7716594496609</v>
      </c>
      <c r="D8" s="33">
        <v>1062.5643921385526</v>
      </c>
      <c r="E8" s="34">
        <v>1062.5643921385526</v>
      </c>
      <c r="F8" s="33">
        <v>1125.5630276629208</v>
      </c>
      <c r="G8" s="34">
        <v>1125.5630276629208</v>
      </c>
      <c r="H8" s="33">
        <v>1195.6356874527016</v>
      </c>
      <c r="I8" s="34">
        <v>1195.6356874527016</v>
      </c>
      <c r="J8" s="33">
        <v>1273.773081151784</v>
      </c>
      <c r="K8" s="34">
        <v>1273.773081151784</v>
      </c>
      <c r="L8" s="33">
        <v>1361.0955531320215</v>
      </c>
      <c r="M8" s="34">
        <v>1361.0955531320215</v>
      </c>
      <c r="N8" s="33">
        <v>1458.8517827743099</v>
      </c>
      <c r="O8" s="34">
        <v>1458.8517827743099</v>
      </c>
      <c r="P8" s="33">
        <v>1568.4071587712303</v>
      </c>
      <c r="Q8" s="34">
        <v>1568.4071587712303</v>
      </c>
      <c r="R8" s="33">
        <v>1691.2135603716301</v>
      </c>
      <c r="S8" s="34">
        <v>1691.2135603716301</v>
      </c>
      <c r="T8" s="33">
        <v>1828.7691392943423</v>
      </c>
      <c r="U8" s="34">
        <v>1828.7691392943423</v>
      </c>
      <c r="V8" s="33">
        <v>1982.5941979942249</v>
      </c>
      <c r="W8" s="34">
        <v>1982.5941979942249</v>
      </c>
      <c r="X8" s="33">
        <v>2154.3523808441328</v>
      </c>
      <c r="Y8" s="34">
        <v>2154.3523808441328</v>
      </c>
      <c r="Z8" s="33">
        <v>2346.4526323847717</v>
      </c>
      <c r="AA8" s="34">
        <v>2346.4526323847717</v>
      </c>
      <c r="AB8" s="33">
        <v>2564.0766292929525</v>
      </c>
      <c r="AC8" s="34">
        <v>2564.0766292929525</v>
      </c>
      <c r="AD8" s="33">
        <v>2821.1806495929231</v>
      </c>
      <c r="AE8" s="34">
        <v>2821.1806495929231</v>
      </c>
      <c r="AF8" s="33">
        <v>3157.9388287939878</v>
      </c>
      <c r="AG8" s="34">
        <v>3157.9388287939878</v>
      </c>
      <c r="AH8" s="33">
        <v>3694.5633673897883</v>
      </c>
      <c r="AI8" s="34">
        <v>3694.5633673897883</v>
      </c>
      <c r="AJ8" s="33">
        <v>4827.4662930750856</v>
      </c>
      <c r="AK8" s="34">
        <v>4827.4662930750856</v>
      </c>
      <c r="AL8" s="33">
        <v>8206.6642684894905</v>
      </c>
      <c r="AM8" s="34">
        <v>8206.6642684894905</v>
      </c>
      <c r="AN8" s="33">
        <v>24167.092392981045</v>
      </c>
      <c r="AO8" s="34">
        <v>24167.092392981045</v>
      </c>
      <c r="AP8" s="33">
        <v>33885.683756337407</v>
      </c>
      <c r="AQ8" s="34">
        <v>33885.683756337407</v>
      </c>
      <c r="AR8" s="33">
        <v>51581.474999542719</v>
      </c>
      <c r="AS8" s="34">
        <v>51581.474999542719</v>
      </c>
      <c r="AT8" s="33">
        <v>90573.602130731597</v>
      </c>
      <c r="AU8" s="34">
        <v>90573.602130731597</v>
      </c>
      <c r="AV8" s="33">
        <v>220967.38471975073</v>
      </c>
      <c r="AW8" s="34">
        <v>220967.38471975073</v>
      </c>
      <c r="AX8">
        <v>6030.5399777207003</v>
      </c>
      <c r="AY8">
        <v>6030.5399777207003</v>
      </c>
    </row>
    <row r="9" spans="1:51" x14ac:dyDescent="0.2">
      <c r="A9" t="s">
        <v>14</v>
      </c>
      <c r="B9" s="39">
        <v>1015.9116825427475</v>
      </c>
      <c r="C9" s="40">
        <v>1005.7716594496609</v>
      </c>
      <c r="D9" s="39">
        <v>1014.4411208136644</v>
      </c>
      <c r="E9" s="40">
        <v>1062.5643921385526</v>
      </c>
      <c r="F9" s="39">
        <v>1013.1457236269317</v>
      </c>
      <c r="G9" s="40">
        <v>1125.5630276629208</v>
      </c>
      <c r="H9" s="39">
        <v>1012.0665647279384</v>
      </c>
      <c r="I9" s="40">
        <v>1195.6356874527016</v>
      </c>
      <c r="J9" s="39">
        <v>1011.2597793217243</v>
      </c>
      <c r="K9" s="40">
        <v>1273.773081151784</v>
      </c>
      <c r="L9" s="39">
        <v>1010.8033595660991</v>
      </c>
      <c r="M9" s="40">
        <v>1361.0955531320215</v>
      </c>
      <c r="N9" s="39">
        <v>1010.8077633918264</v>
      </c>
      <c r="O9" s="40">
        <v>1458.8517827743099</v>
      </c>
      <c r="P9" s="39">
        <v>1011.4316291014204</v>
      </c>
      <c r="Q9" s="40">
        <v>1568.4071587712303</v>
      </c>
      <c r="R9" s="39">
        <v>1012.9071428878478</v>
      </c>
      <c r="S9" s="40">
        <v>1691.2135603716301</v>
      </c>
      <c r="T9" s="39">
        <v>1015.5806268567602</v>
      </c>
      <c r="U9" s="40">
        <v>1828.7691392943423</v>
      </c>
      <c r="V9" s="39">
        <v>1019.9805267258201</v>
      </c>
      <c r="W9" s="40">
        <v>1982.5941979942249</v>
      </c>
      <c r="X9" s="39">
        <v>1026.9329331832448</v>
      </c>
      <c r="Y9" s="40">
        <v>2154.3523808441328</v>
      </c>
      <c r="Z9" s="39">
        <v>1037.7715965757507</v>
      </c>
      <c r="AA9" s="40">
        <v>2346.4526323847717</v>
      </c>
      <c r="AB9" s="39">
        <v>1054.7397481924638</v>
      </c>
      <c r="AC9" s="40">
        <v>2564.0766292929525</v>
      </c>
      <c r="AD9" s="39">
        <v>1081.8142877420246</v>
      </c>
      <c r="AE9" s="40">
        <v>2821.1806495929231</v>
      </c>
      <c r="AF9" s="39">
        <v>1126.5181860532725</v>
      </c>
      <c r="AG9" s="40">
        <v>3157.9388287939878</v>
      </c>
      <c r="AH9" s="39">
        <v>1204.244956757819</v>
      </c>
      <c r="AI9" s="40">
        <v>3694.5633673897883</v>
      </c>
      <c r="AJ9" s="39">
        <v>1350.598108083203</v>
      </c>
      <c r="AK9" s="40">
        <v>4827.4662930750856</v>
      </c>
      <c r="AL9" s="39">
        <v>1664.8482516760059</v>
      </c>
      <c r="AM9" s="40">
        <v>8206.6642684894905</v>
      </c>
      <c r="AN9" s="39">
        <v>2464.5101931643999</v>
      </c>
      <c r="AO9" s="40">
        <v>24167.092392981045</v>
      </c>
      <c r="AP9" s="39">
        <v>2772.514581944863</v>
      </c>
      <c r="AQ9" s="40">
        <v>33885.683756337407</v>
      </c>
      <c r="AR9" s="39">
        <v>3198.8053043885939</v>
      </c>
      <c r="AS9" s="40">
        <v>51581.474999542719</v>
      </c>
      <c r="AT9" s="39">
        <v>3847.9363770156338</v>
      </c>
      <c r="AU9" s="40">
        <v>90573.602130731597</v>
      </c>
      <c r="AV9" s="39">
        <v>5053.524274246276</v>
      </c>
      <c r="AW9" s="40">
        <v>220967.38471975073</v>
      </c>
      <c r="AX9">
        <v>998.7538766821408</v>
      </c>
      <c r="AY9">
        <v>6030.5399777207003</v>
      </c>
    </row>
    <row r="10" spans="1:51" x14ac:dyDescent="0.2">
      <c r="A10" t="s">
        <v>15</v>
      </c>
      <c r="B10" s="39">
        <v>1015.9116825427475</v>
      </c>
      <c r="C10" s="40">
        <v>1005.7716594496609</v>
      </c>
      <c r="D10" s="39">
        <v>1014.4411208136644</v>
      </c>
      <c r="E10" s="40">
        <v>1062.5643921385526</v>
      </c>
      <c r="F10" s="39">
        <v>1013.1457236269317</v>
      </c>
      <c r="G10" s="40">
        <v>1125.5630276629208</v>
      </c>
      <c r="H10" s="39">
        <v>1012.0665647279384</v>
      </c>
      <c r="I10" s="40">
        <v>1195.6356874527016</v>
      </c>
      <c r="J10" s="39">
        <v>1011.2597793217243</v>
      </c>
      <c r="K10" s="40">
        <v>1273.773081151784</v>
      </c>
      <c r="L10" s="39">
        <v>1010.8033595660991</v>
      </c>
      <c r="M10" s="40">
        <v>1361.0955531320215</v>
      </c>
      <c r="N10" s="39">
        <v>1010.8077633918264</v>
      </c>
      <c r="O10" s="40">
        <v>1458.8517827743099</v>
      </c>
      <c r="P10" s="39">
        <v>1011.4316291014204</v>
      </c>
      <c r="Q10" s="40">
        <v>1568.4071587712303</v>
      </c>
      <c r="R10" s="39">
        <v>1012.9071428878478</v>
      </c>
      <c r="S10" s="40">
        <v>1691.2135603716301</v>
      </c>
      <c r="T10" s="39">
        <v>1015.5806268567602</v>
      </c>
      <c r="U10" s="40">
        <v>1828.7691392943423</v>
      </c>
      <c r="V10" s="39">
        <v>1019.9805267258201</v>
      </c>
      <c r="W10" s="40">
        <v>1982.5941979942249</v>
      </c>
      <c r="X10" s="39">
        <v>1026.9329331832448</v>
      </c>
      <c r="Y10" s="40">
        <v>2154.3523808441328</v>
      </c>
      <c r="Z10" s="39">
        <v>1037.7715965757507</v>
      </c>
      <c r="AA10" s="40">
        <v>2346.4526323847717</v>
      </c>
      <c r="AB10" s="39">
        <v>1054.7397481924638</v>
      </c>
      <c r="AC10" s="40">
        <v>2564.0766292929525</v>
      </c>
      <c r="AD10" s="39">
        <v>1081.8142877420246</v>
      </c>
      <c r="AE10" s="40">
        <v>2821.1806495929231</v>
      </c>
      <c r="AF10" s="39">
        <v>1126.5181860532725</v>
      </c>
      <c r="AG10" s="40">
        <v>3157.9388287939878</v>
      </c>
      <c r="AH10" s="39">
        <v>1204.244956757819</v>
      </c>
      <c r="AI10" s="40">
        <v>3694.5633673897883</v>
      </c>
      <c r="AJ10" s="39">
        <v>1350.598108083203</v>
      </c>
      <c r="AK10" s="40">
        <v>4827.4662930750856</v>
      </c>
      <c r="AL10" s="39">
        <v>1664.8482516760059</v>
      </c>
      <c r="AM10" s="40">
        <v>8206.6642684894905</v>
      </c>
      <c r="AN10" s="39">
        <v>2464.5101931643999</v>
      </c>
      <c r="AO10" s="40">
        <v>24167.092392981045</v>
      </c>
      <c r="AP10" s="39">
        <v>2772.514581944863</v>
      </c>
      <c r="AQ10" s="40">
        <v>33885.683756337407</v>
      </c>
      <c r="AR10" s="39">
        <v>3198.8053043885939</v>
      </c>
      <c r="AS10" s="40">
        <v>51581.474999542719</v>
      </c>
      <c r="AT10" s="39">
        <v>3847.9363770156338</v>
      </c>
      <c r="AU10" s="40">
        <v>90573.602130731597</v>
      </c>
      <c r="AV10" s="39">
        <v>5053.524274246276</v>
      </c>
      <c r="AW10" s="40">
        <v>220967.38471975073</v>
      </c>
      <c r="AX10">
        <v>998.7538766821408</v>
      </c>
      <c r="AY10">
        <v>6030.5399777207003</v>
      </c>
    </row>
    <row r="11" spans="1:51" x14ac:dyDescent="0.2">
      <c r="A11" t="s">
        <v>29</v>
      </c>
      <c r="B11" s="39">
        <v>1015.9116825427475</v>
      </c>
      <c r="C11" s="40">
        <v>1005.7716594496609</v>
      </c>
      <c r="D11" s="39">
        <v>1014.4411208136644</v>
      </c>
      <c r="E11" s="40">
        <v>1062.5643921385526</v>
      </c>
      <c r="F11" s="39">
        <v>1013.1457236269317</v>
      </c>
      <c r="G11" s="40">
        <v>1125.5630276629208</v>
      </c>
      <c r="H11" s="39">
        <v>1012.0665647279384</v>
      </c>
      <c r="I11" s="40">
        <v>1195.6356874527016</v>
      </c>
      <c r="J11" s="39">
        <v>1011.2597793217243</v>
      </c>
      <c r="K11" s="40">
        <v>1273.773081151784</v>
      </c>
      <c r="L11" s="39">
        <v>1010.8033595660991</v>
      </c>
      <c r="M11" s="40">
        <v>1361.0955531320215</v>
      </c>
      <c r="N11" s="39">
        <v>1010.8077633918264</v>
      </c>
      <c r="O11" s="40">
        <v>1458.8517827743099</v>
      </c>
      <c r="P11" s="39">
        <v>1011.4316291014204</v>
      </c>
      <c r="Q11" s="40">
        <v>1568.4071587712303</v>
      </c>
      <c r="R11" s="39">
        <v>1012.9071428878478</v>
      </c>
      <c r="S11" s="40">
        <v>1691.2135603716301</v>
      </c>
      <c r="T11" s="39">
        <v>1015.5806268567602</v>
      </c>
      <c r="U11" s="40">
        <v>1828.7691392943423</v>
      </c>
      <c r="V11" s="39">
        <v>1019.9805267258201</v>
      </c>
      <c r="W11" s="40">
        <v>1982.5941979942249</v>
      </c>
      <c r="X11" s="39">
        <v>1026.9329331832448</v>
      </c>
      <c r="Y11" s="40">
        <v>2154.3523808441328</v>
      </c>
      <c r="Z11" s="39">
        <v>1037.7715965757507</v>
      </c>
      <c r="AA11" s="40">
        <v>2346.4526323847717</v>
      </c>
      <c r="AB11" s="39">
        <v>1054.7397481924638</v>
      </c>
      <c r="AC11" s="40">
        <v>2564.0766292929525</v>
      </c>
      <c r="AD11" s="39">
        <v>1081.8142877420246</v>
      </c>
      <c r="AE11" s="40">
        <v>2821.1806495929231</v>
      </c>
      <c r="AF11" s="39">
        <v>1126.5181860532725</v>
      </c>
      <c r="AG11" s="40">
        <v>3157.9388287939878</v>
      </c>
      <c r="AH11" s="39">
        <v>1204.244956757819</v>
      </c>
      <c r="AI11" s="40">
        <v>3694.5633673897883</v>
      </c>
      <c r="AJ11" s="39">
        <v>1350.598108083203</v>
      </c>
      <c r="AK11" s="40">
        <v>4827.4662930750856</v>
      </c>
      <c r="AL11" s="39">
        <v>1664.8482516760059</v>
      </c>
      <c r="AM11" s="40">
        <v>8206.6642684894905</v>
      </c>
      <c r="AN11" s="39">
        <v>2464.5101931643999</v>
      </c>
      <c r="AO11" s="40">
        <v>24167.092392981045</v>
      </c>
      <c r="AP11" s="39">
        <v>2772.514581944863</v>
      </c>
      <c r="AQ11" s="40">
        <v>33885.683756337407</v>
      </c>
      <c r="AR11" s="39">
        <v>3198.8053043885939</v>
      </c>
      <c r="AS11" s="40">
        <v>51581.474999542719</v>
      </c>
      <c r="AT11" s="39">
        <v>3847.9363770156338</v>
      </c>
      <c r="AU11" s="40">
        <v>90573.602130731597</v>
      </c>
      <c r="AV11" s="39">
        <v>5053.524274246276</v>
      </c>
      <c r="AW11" s="40">
        <v>220967.38471975073</v>
      </c>
      <c r="AX11">
        <v>998.7538766821408</v>
      </c>
      <c r="AY11">
        <v>6030.5399777207003</v>
      </c>
    </row>
    <row r="12" spans="1:51" x14ac:dyDescent="0.2">
      <c r="A12" t="s">
        <v>16</v>
      </c>
      <c r="B12" s="39">
        <v>1000</v>
      </c>
      <c r="C12" s="40">
        <v>1000</v>
      </c>
      <c r="D12" s="39">
        <v>1000</v>
      </c>
      <c r="E12" s="40">
        <v>1000</v>
      </c>
      <c r="F12" s="39">
        <v>1000</v>
      </c>
      <c r="G12" s="40">
        <v>1000</v>
      </c>
      <c r="H12" s="39">
        <v>1000</v>
      </c>
      <c r="I12" s="40">
        <v>1000</v>
      </c>
      <c r="J12" s="39">
        <v>1000</v>
      </c>
      <c r="K12" s="40">
        <v>1000</v>
      </c>
      <c r="L12" s="39">
        <v>1000</v>
      </c>
      <c r="M12" s="40">
        <v>1000</v>
      </c>
      <c r="N12" s="39">
        <v>1000</v>
      </c>
      <c r="O12" s="40">
        <v>1000</v>
      </c>
      <c r="P12" s="39">
        <v>1000</v>
      </c>
      <c r="Q12" s="40">
        <v>1000</v>
      </c>
      <c r="R12" s="39">
        <v>1000</v>
      </c>
      <c r="S12" s="40">
        <v>1000</v>
      </c>
      <c r="T12" s="39">
        <v>1000</v>
      </c>
      <c r="U12" s="40">
        <v>1000</v>
      </c>
      <c r="V12" s="39">
        <v>1000</v>
      </c>
      <c r="W12" s="40">
        <v>1000</v>
      </c>
      <c r="X12" s="39">
        <v>1000</v>
      </c>
      <c r="Y12" s="40">
        <v>1000</v>
      </c>
      <c r="Z12" s="39">
        <v>1000</v>
      </c>
      <c r="AA12" s="40">
        <v>1000</v>
      </c>
      <c r="AB12" s="39">
        <v>1000</v>
      </c>
      <c r="AC12" s="40">
        <v>1000</v>
      </c>
      <c r="AD12" s="39">
        <v>1000</v>
      </c>
      <c r="AE12" s="40">
        <v>1000</v>
      </c>
      <c r="AF12" s="39">
        <v>1000</v>
      </c>
      <c r="AG12" s="40">
        <v>1000</v>
      </c>
      <c r="AH12" s="39">
        <v>1000</v>
      </c>
      <c r="AI12" s="40">
        <v>1000</v>
      </c>
      <c r="AJ12" s="39">
        <v>1000</v>
      </c>
      <c r="AK12" s="40">
        <v>1000</v>
      </c>
      <c r="AL12" s="39">
        <v>1000</v>
      </c>
      <c r="AM12" s="40">
        <v>1000</v>
      </c>
      <c r="AN12" s="39">
        <v>1000</v>
      </c>
      <c r="AO12" s="40">
        <v>1000</v>
      </c>
      <c r="AP12" s="39">
        <v>1000</v>
      </c>
      <c r="AQ12" s="40">
        <v>1000</v>
      </c>
      <c r="AR12" s="39">
        <v>1000</v>
      </c>
      <c r="AS12" s="40">
        <v>1000</v>
      </c>
      <c r="AT12" s="39">
        <v>1000</v>
      </c>
      <c r="AU12" s="40">
        <v>1000</v>
      </c>
      <c r="AV12" s="39">
        <v>1000</v>
      </c>
      <c r="AW12" s="40">
        <v>1000</v>
      </c>
      <c r="AX12">
        <v>1000</v>
      </c>
      <c r="AY12">
        <v>1000</v>
      </c>
    </row>
    <row r="13" spans="1:51" x14ac:dyDescent="0.2">
      <c r="A13" t="s">
        <v>17</v>
      </c>
      <c r="B13" s="93">
        <v>1000</v>
      </c>
      <c r="C13" s="94">
        <v>1000</v>
      </c>
      <c r="D13" s="93">
        <v>994.14954821930598</v>
      </c>
      <c r="E13" s="94">
        <v>994.14954821930598</v>
      </c>
      <c r="F13" s="93">
        <v>988.11717392425817</v>
      </c>
      <c r="G13" s="94">
        <v>988.11717392425817</v>
      </c>
      <c r="H13" s="93">
        <v>981.9039223170123</v>
      </c>
      <c r="I13" s="94">
        <v>981.9039223170123</v>
      </c>
      <c r="J13" s="93">
        <v>975.52136344806661</v>
      </c>
      <c r="K13" s="94">
        <v>975.52136344806661</v>
      </c>
      <c r="L13" s="93">
        <v>968.99804158456232</v>
      </c>
      <c r="M13" s="94">
        <v>968.99804158456232</v>
      </c>
      <c r="N13" s="93">
        <v>962.38984722286386</v>
      </c>
      <c r="O13" s="94">
        <v>962.38984722286386</v>
      </c>
      <c r="P13" s="93">
        <v>955.7955394139924</v>
      </c>
      <c r="Q13" s="94">
        <v>955.7955394139924</v>
      </c>
      <c r="R13" s="93">
        <v>949.38208011168467</v>
      </c>
      <c r="S13" s="94">
        <v>949.38208011168467</v>
      </c>
      <c r="T13" s="93">
        <v>943.42494042686394</v>
      </c>
      <c r="U13" s="94">
        <v>943.42494042686394</v>
      </c>
      <c r="V13" s="93">
        <v>938.37503389492929</v>
      </c>
      <c r="W13" s="94">
        <v>938.37503389492929</v>
      </c>
      <c r="X13" s="93">
        <v>934.97021219727674</v>
      </c>
      <c r="Y13" s="94">
        <v>934.97021219727674</v>
      </c>
      <c r="Z13" s="93">
        <v>934.4353159416778</v>
      </c>
      <c r="AA13" s="94">
        <v>934.4353159416778</v>
      </c>
      <c r="AB13" s="93">
        <v>938.86414851527184</v>
      </c>
      <c r="AC13" s="94">
        <v>938.86414851527184</v>
      </c>
      <c r="AD13" s="93">
        <v>952.01868206124288</v>
      </c>
      <c r="AE13" s="94">
        <v>952.01868206124288</v>
      </c>
      <c r="AF13" s="93">
        <v>981.16110484607248</v>
      </c>
      <c r="AG13" s="94">
        <v>981.16110484607248</v>
      </c>
      <c r="AH13" s="93">
        <v>1041.6699607612422</v>
      </c>
      <c r="AI13" s="94">
        <v>1041.6699607612422</v>
      </c>
      <c r="AJ13" s="93">
        <v>1171.0134840249436</v>
      </c>
      <c r="AK13" s="94">
        <v>1171.0134840249436</v>
      </c>
      <c r="AL13" s="93">
        <v>1483.4745234712846</v>
      </c>
      <c r="AM13" s="94">
        <v>1483.4745234712846</v>
      </c>
      <c r="AN13" s="93">
        <v>2437.8067359419092</v>
      </c>
      <c r="AO13" s="94">
        <v>2437.8067359419092</v>
      </c>
      <c r="AP13" s="93">
        <v>2871.4588983162544</v>
      </c>
      <c r="AQ13" s="94">
        <v>2871.4588983162544</v>
      </c>
      <c r="AR13" s="93">
        <v>3543.1757844103026</v>
      </c>
      <c r="AS13" s="94">
        <v>3543.1757844103026</v>
      </c>
      <c r="AT13" s="93">
        <v>4752.8342371443432</v>
      </c>
      <c r="AU13" s="94">
        <v>4752.8342371443432</v>
      </c>
      <c r="AV13" s="93">
        <v>7779.4273245226723</v>
      </c>
      <c r="AW13" s="94">
        <v>7779.4273245226723</v>
      </c>
      <c r="AX13">
        <v>883.40395292481617</v>
      </c>
      <c r="AY13">
        <v>883.40395292481617</v>
      </c>
    </row>
    <row r="14" spans="1:51" x14ac:dyDescent="0.2">
      <c r="A14" t="s">
        <v>36</v>
      </c>
      <c r="B14" s="39">
        <v>1457.0034251455234</v>
      </c>
      <c r="C14" s="40">
        <v>1457.0034251455236</v>
      </c>
      <c r="D14" s="39">
        <v>1448.4792968624033</v>
      </c>
      <c r="E14" s="40">
        <v>1448.4792968624035</v>
      </c>
      <c r="F14" s="39">
        <v>1439.6901068527588</v>
      </c>
      <c r="G14" s="40">
        <v>1439.6901068527591</v>
      </c>
      <c r="H14" s="39">
        <v>1430.6373779797107</v>
      </c>
      <c r="I14" s="40">
        <v>1430.6373779797109</v>
      </c>
      <c r="J14" s="39">
        <v>1421.3379678464639</v>
      </c>
      <c r="K14" s="40">
        <v>1421.3379678464642</v>
      </c>
      <c r="L14" s="39">
        <v>1411.8334655480114</v>
      </c>
      <c r="M14" s="40">
        <v>1411.8334655480116</v>
      </c>
      <c r="N14" s="39">
        <v>1402.2053037289895</v>
      </c>
      <c r="O14" s="40">
        <v>1402.2053037289897</v>
      </c>
      <c r="P14" s="39">
        <v>1392.597374665</v>
      </c>
      <c r="Q14" s="40">
        <v>1392.5973746650002</v>
      </c>
      <c r="R14" s="39">
        <v>1383.2529424945062</v>
      </c>
      <c r="S14" s="40">
        <v>1383.2529424945064</v>
      </c>
      <c r="T14" s="39">
        <v>1374.573369569652</v>
      </c>
      <c r="U14" s="40">
        <v>1374.5733695696522</v>
      </c>
      <c r="V14" s="39">
        <v>1367.2156384559585</v>
      </c>
      <c r="W14" s="40">
        <v>1367.2156384559587</v>
      </c>
      <c r="X14" s="39">
        <v>1362.2548015804689</v>
      </c>
      <c r="Y14" s="40">
        <v>1362.2548015804691</v>
      </c>
      <c r="Z14" s="39">
        <v>1361.4754559039638</v>
      </c>
      <c r="AA14" s="40">
        <v>1361.4754559039638</v>
      </c>
      <c r="AB14" s="39">
        <v>1367.9282801330862</v>
      </c>
      <c r="AC14" s="40">
        <v>1367.9282801330864</v>
      </c>
      <c r="AD14" s="39">
        <v>1387.0944805657577</v>
      </c>
      <c r="AE14" s="40">
        <v>1387.094480565758</v>
      </c>
      <c r="AF14" s="39">
        <v>1429.5550903802934</v>
      </c>
      <c r="AG14" s="40">
        <v>1429.5550903802937</v>
      </c>
      <c r="AH14" s="39">
        <v>1517.7167007003327</v>
      </c>
      <c r="AI14" s="40">
        <v>1517.7167007003329</v>
      </c>
      <c r="AJ14" s="39">
        <v>1706.1706571159355</v>
      </c>
      <c r="AK14" s="40">
        <v>1706.1706571159357</v>
      </c>
      <c r="AL14" s="39">
        <v>2161.4274618137847</v>
      </c>
      <c r="AM14" s="40">
        <v>2161.4274618137847</v>
      </c>
      <c r="AN14" s="39">
        <v>3551.89276411019</v>
      </c>
      <c r="AO14" s="40">
        <v>3551.8927641101905</v>
      </c>
      <c r="AP14" s="39">
        <v>4183.7254500113731</v>
      </c>
      <c r="AQ14" s="40">
        <v>4183.7254500113741</v>
      </c>
      <c r="AR14" s="39">
        <v>5162.4192537784875</v>
      </c>
      <c r="AS14" s="40">
        <v>5162.4192537784875</v>
      </c>
      <c r="AT14" s="39">
        <v>6924.8957626682186</v>
      </c>
      <c r="AU14" s="40">
        <v>6924.8957626682195</v>
      </c>
      <c r="AV14" s="39">
        <v>11334.652257500207</v>
      </c>
      <c r="AW14" s="40">
        <v>11334.652257500209</v>
      </c>
      <c r="AX14">
        <v>1287.1225851985519</v>
      </c>
      <c r="AY14">
        <v>1287.1225851985519</v>
      </c>
    </row>
    <row r="15" spans="1:51" x14ac:dyDescent="0.2">
      <c r="A15" t="s">
        <v>18</v>
      </c>
      <c r="B15" s="144">
        <v>1000</v>
      </c>
      <c r="C15" s="145">
        <v>1000</v>
      </c>
      <c r="D15" s="144">
        <v>998.55247089451484</v>
      </c>
      <c r="E15" s="145">
        <v>998.55247089451484</v>
      </c>
      <c r="F15" s="144">
        <v>997.2773628226297</v>
      </c>
      <c r="G15" s="145">
        <v>997.2773628226297</v>
      </c>
      <c r="H15" s="144">
        <v>996.21510621357845</v>
      </c>
      <c r="I15" s="145">
        <v>996.21510621357845</v>
      </c>
      <c r="J15" s="144">
        <v>995.42095705664121</v>
      </c>
      <c r="K15" s="145">
        <v>995.42095705664121</v>
      </c>
      <c r="L15" s="144">
        <v>994.97168596008009</v>
      </c>
      <c r="M15" s="145">
        <v>994.97168596008009</v>
      </c>
      <c r="N15" s="144">
        <v>994.97602081103514</v>
      </c>
      <c r="O15" s="145">
        <v>994.97602081103514</v>
      </c>
      <c r="P15" s="144">
        <v>995.59011524494554</v>
      </c>
      <c r="Q15" s="145">
        <v>995.59011524494554</v>
      </c>
      <c r="R15" s="144">
        <v>997.04251884634357</v>
      </c>
      <c r="S15" s="145">
        <v>997.04251884634357</v>
      </c>
      <c r="T15" s="144">
        <v>999.67412946255467</v>
      </c>
      <c r="U15" s="145">
        <v>999.67412946255467</v>
      </c>
      <c r="V15" s="144">
        <v>1004.0051160479705</v>
      </c>
      <c r="W15" s="145">
        <v>1004.0051160479705</v>
      </c>
      <c r="X15" s="144">
        <v>1010.8486306732019</v>
      </c>
      <c r="Y15" s="145">
        <v>1010.8486306732019</v>
      </c>
      <c r="Z15" s="144">
        <v>1021.5175338650398</v>
      </c>
      <c r="AA15" s="145">
        <v>1021.5175338650398</v>
      </c>
      <c r="AB15" s="144">
        <v>1038.2199223780287</v>
      </c>
      <c r="AC15" s="145">
        <v>1038.2199223780287</v>
      </c>
      <c r="AD15" s="144">
        <v>1064.8704078629435</v>
      </c>
      <c r="AE15" s="145">
        <v>1064.8704078629435</v>
      </c>
      <c r="AF15" s="144">
        <v>1108.8741328711621</v>
      </c>
      <c r="AG15" s="145">
        <v>1108.8741328711621</v>
      </c>
      <c r="AH15" s="144">
        <v>1185.3835106450279</v>
      </c>
      <c r="AI15" s="145">
        <v>1185.3835106450279</v>
      </c>
      <c r="AJ15" s="144">
        <v>1329.444410662511</v>
      </c>
      <c r="AK15" s="145">
        <v>1329.444410662511</v>
      </c>
      <c r="AL15" s="144">
        <v>1638.7726219557005</v>
      </c>
      <c r="AM15" s="145">
        <v>1638.7726219557005</v>
      </c>
      <c r="AN15" s="144">
        <v>2425.9098851938825</v>
      </c>
      <c r="AO15" s="145">
        <v>2425.9098851938825</v>
      </c>
      <c r="AP15" s="144">
        <v>2729.090165599313</v>
      </c>
      <c r="AQ15" s="145">
        <v>2729.090165599313</v>
      </c>
      <c r="AR15" s="144">
        <v>3148.7041239473051</v>
      </c>
      <c r="AS15" s="145">
        <v>3148.7041239473051</v>
      </c>
      <c r="AT15" s="144">
        <v>3787.6682029923609</v>
      </c>
      <c r="AU15" s="145">
        <v>3787.6682029923609</v>
      </c>
      <c r="AV15" s="144">
        <v>4974.3736203502513</v>
      </c>
      <c r="AW15" s="145">
        <v>4974.3736203502513</v>
      </c>
      <c r="AX15">
        <v>839.67417131714535</v>
      </c>
      <c r="AY15">
        <v>839.67417131714535</v>
      </c>
    </row>
    <row r="16" spans="1:51" s="27" customFormat="1" x14ac:dyDescent="0.2">
      <c r="A16" t="s">
        <v>61</v>
      </c>
      <c r="B16" s="39">
        <v>1000</v>
      </c>
      <c r="C16" s="40">
        <v>1000</v>
      </c>
      <c r="D16" s="39">
        <v>996.20429298882016</v>
      </c>
      <c r="E16" s="40">
        <v>997.29546484294781</v>
      </c>
      <c r="F16" s="39">
        <v>992.39038296066747</v>
      </c>
      <c r="G16" s="40">
        <v>994.66151458328898</v>
      </c>
      <c r="H16" s="39">
        <v>988.57725862722464</v>
      </c>
      <c r="I16" s="40">
        <v>992.127157259108</v>
      </c>
      <c r="J16" s="39">
        <v>984.79633430933143</v>
      </c>
      <c r="K16" s="40">
        <v>989.73495549134395</v>
      </c>
      <c r="L16" s="39">
        <v>981.09798776072364</v>
      </c>
      <c r="M16" s="40">
        <v>987.54763768582143</v>
      </c>
      <c r="N16" s="39">
        <v>977.56193958039501</v>
      </c>
      <c r="O16" s="40">
        <v>985.65851025104882</v>
      </c>
      <c r="P16" s="39">
        <v>974.31272256364593</v>
      </c>
      <c r="Q16" s="40">
        <v>984.20693047399175</v>
      </c>
      <c r="R16" s="39">
        <v>971.54482366957438</v>
      </c>
      <c r="S16" s="40">
        <v>983.40337118321145</v>
      </c>
      <c r="T16" s="39">
        <v>969.56280875311757</v>
      </c>
      <c r="U16" s="40">
        <v>983.56946916305844</v>
      </c>
      <c r="V16" s="39">
        <v>968.84826532257023</v>
      </c>
      <c r="W16" s="40">
        <v>985.20495593416615</v>
      </c>
      <c r="X16" s="39">
        <v>970.17238250502635</v>
      </c>
      <c r="Y16" s="40">
        <v>989.10075842247113</v>
      </c>
      <c r="Z16" s="39">
        <v>974.79924759579694</v>
      </c>
      <c r="AA16" s="40">
        <v>996.54387200751376</v>
      </c>
      <c r="AB16" s="39">
        <v>984.87443337760203</v>
      </c>
      <c r="AC16" s="40">
        <v>1009.7091354901155</v>
      </c>
      <c r="AD16" s="39">
        <v>1004.2305888561162</v>
      </c>
      <c r="AE16" s="40">
        <v>1032.4673645116052</v>
      </c>
      <c r="AF16" s="39">
        <v>1040.1994318125317</v>
      </c>
      <c r="AG16" s="40">
        <v>1072.1840337420319</v>
      </c>
      <c r="AH16" s="39">
        <v>1108.06800688625</v>
      </c>
      <c r="AI16" s="40">
        <v>1144.0817857746388</v>
      </c>
      <c r="AJ16" s="39">
        <v>1244.2250985364421</v>
      </c>
      <c r="AK16" s="40">
        <v>1283.9186838081505</v>
      </c>
      <c r="AL16" s="39">
        <v>1555.3969067384194</v>
      </c>
      <c r="AM16" s="40">
        <v>1594.2112439085965</v>
      </c>
      <c r="AN16" s="39">
        <v>2432.2506081881029</v>
      </c>
      <c r="AO16" s="40">
        <v>2429.3046649149828</v>
      </c>
      <c r="AP16" s="39">
        <v>2804.724914682688</v>
      </c>
      <c r="AQ16" s="40">
        <v>2769.6148813113145</v>
      </c>
      <c r="AR16" s="39">
        <v>3357.2828824602316</v>
      </c>
      <c r="AS16" s="40">
        <v>3260.5804367359246</v>
      </c>
      <c r="AT16" s="39">
        <v>4294.0936537010684</v>
      </c>
      <c r="AU16" s="40">
        <v>4059.7674150150247</v>
      </c>
      <c r="AV16" s="39">
        <v>6423.4165751271603</v>
      </c>
      <c r="AW16" s="40">
        <v>5755.5073130136043</v>
      </c>
      <c r="AX16" s="27">
        <v>862.90617138687799</v>
      </c>
      <c r="AY16" s="27">
        <v>852.12174253160242</v>
      </c>
    </row>
    <row r="17" spans="1:51" x14ac:dyDescent="0.2">
      <c r="A17" t="s">
        <v>62</v>
      </c>
      <c r="B17" s="33">
        <v>1000.0000000000002</v>
      </c>
      <c r="C17" s="34">
        <v>999.99999999999977</v>
      </c>
      <c r="D17" s="33">
        <v>998.68496077929012</v>
      </c>
      <c r="E17" s="34">
        <v>1028.6768042123442</v>
      </c>
      <c r="F17" s="33">
        <v>997.52864248900698</v>
      </c>
      <c r="G17" s="34">
        <v>1060.4262258667327</v>
      </c>
      <c r="H17" s="33">
        <v>996.56684137335401</v>
      </c>
      <c r="I17" s="34">
        <v>1095.6664978839869</v>
      </c>
      <c r="J17" s="33">
        <v>995.84868489529663</v>
      </c>
      <c r="K17" s="34">
        <v>1134.8764284911392</v>
      </c>
      <c r="L17" s="33">
        <v>995.4427431883089</v>
      </c>
      <c r="M17" s="34">
        <v>1178.6010331112402</v>
      </c>
      <c r="N17" s="33">
        <v>995.44665840948539</v>
      </c>
      <c r="O17" s="34">
        <v>1227.4551201585045</v>
      </c>
      <c r="P17" s="33">
        <v>996.00159326402081</v>
      </c>
      <c r="Q17" s="34">
        <v>1282.1249309313721</v>
      </c>
      <c r="R17" s="33">
        <v>997.31589124602658</v>
      </c>
      <c r="S17" s="34">
        <v>1343.3665921073864</v>
      </c>
      <c r="T17" s="33">
        <v>999.70373755178287</v>
      </c>
      <c r="U17" s="34">
        <v>1412.0094265893235</v>
      </c>
      <c r="V17" s="33">
        <v>1003.6515138212754</v>
      </c>
      <c r="W17" s="34">
        <v>1488.9841923931224</v>
      </c>
      <c r="X17" s="33">
        <v>1009.9342843511388</v>
      </c>
      <c r="Y17" s="34">
        <v>1575.4505911293265</v>
      </c>
      <c r="Z17" s="33">
        <v>1019.8354929863779</v>
      </c>
      <c r="AA17" s="34">
        <v>1673.2105495176002</v>
      </c>
      <c r="AB17" s="33">
        <v>1035.5860495741883</v>
      </c>
      <c r="AC17" s="34">
        <v>1785.9106045069525</v>
      </c>
      <c r="AD17" s="33">
        <v>1061.3107562372554</v>
      </c>
      <c r="AE17" s="34">
        <v>1922.3702009837127</v>
      </c>
      <c r="AF17" s="33">
        <v>1105.2340829877653</v>
      </c>
      <c r="AG17" s="34">
        <v>2105.8887092234786</v>
      </c>
      <c r="AH17" s="33">
        <v>1185.310533196744</v>
      </c>
      <c r="AI17" s="34">
        <v>2402.1466334837646</v>
      </c>
      <c r="AJ17" s="33">
        <v>1346.4068403035965</v>
      </c>
      <c r="AK17" s="34">
        <v>3018.2754872028968</v>
      </c>
      <c r="AL17" s="33">
        <v>1727.5115320083071</v>
      </c>
      <c r="AM17" s="34">
        <v>4780.2217397244322</v>
      </c>
      <c r="AN17" s="33">
        <v>2886.99109521942</v>
      </c>
      <c r="AO17" s="34">
        <v>12594.739179914834</v>
      </c>
      <c r="AP17" s="33">
        <v>3411.9736485980852</v>
      </c>
      <c r="AQ17" s="34">
        <v>17200.263897383516</v>
      </c>
      <c r="AR17" s="33">
        <v>4222.1546596734361</v>
      </c>
      <c r="AS17" s="34">
        <v>25457.350092466106</v>
      </c>
      <c r="AT17" s="33">
        <v>5673.5006435364885</v>
      </c>
      <c r="AU17" s="34">
        <v>43349.685171447862</v>
      </c>
      <c r="AV17" s="33">
        <v>9287.1577089879884</v>
      </c>
      <c r="AW17" s="34">
        <v>102039.2179366537</v>
      </c>
      <c r="AX17">
        <v>984.81592524638256</v>
      </c>
      <c r="AY17">
        <v>3309.9498186684973</v>
      </c>
    </row>
    <row r="18" spans="1:51" x14ac:dyDescent="0.2">
      <c r="A18" t="s">
        <v>19</v>
      </c>
      <c r="B18" s="31">
        <v>27857.010133999996</v>
      </c>
      <c r="C18" s="32">
        <v>1236.7674480000003</v>
      </c>
      <c r="D18" s="31">
        <v>27690.143657063727</v>
      </c>
      <c r="E18" s="32">
        <v>1150.6157186892044</v>
      </c>
      <c r="F18" s="31">
        <v>27495.315755994583</v>
      </c>
      <c r="G18" s="32">
        <v>1065.4091243368975</v>
      </c>
      <c r="H18" s="31">
        <v>27266.622526026142</v>
      </c>
      <c r="I18" s="32">
        <v>981.2266305886659</v>
      </c>
      <c r="J18" s="31">
        <v>26996.581378898638</v>
      </c>
      <c r="K18" s="32">
        <v>898.16437709035313</v>
      </c>
      <c r="L18" s="31">
        <v>26675.644422533031</v>
      </c>
      <c r="M18" s="32">
        <v>816.34399506703176</v>
      </c>
      <c r="N18" s="31">
        <v>26291.549710814281</v>
      </c>
      <c r="O18" s="32">
        <v>735.92690079671274</v>
      </c>
      <c r="P18" s="31">
        <v>25828.584369441367</v>
      </c>
      <c r="Q18" s="32">
        <v>657.12456387750638</v>
      </c>
      <c r="R18" s="31">
        <v>25266.704879813962</v>
      </c>
      <c r="S18" s="32">
        <v>580.21460750446545</v>
      </c>
      <c r="T18" s="31">
        <v>24580.735144034763</v>
      </c>
      <c r="U18" s="32">
        <v>505.54961032046458</v>
      </c>
      <c r="V18" s="31">
        <v>23739.961518384975</v>
      </c>
      <c r="W18" s="32">
        <v>433.56073894405756</v>
      </c>
      <c r="X18" s="31">
        <v>22709.004414620063</v>
      </c>
      <c r="Y18" s="32">
        <v>364.72811625997065</v>
      </c>
      <c r="Z18" s="31">
        <v>21451.164876755127</v>
      </c>
      <c r="AA18" s="32">
        <v>299.51417588990182</v>
      </c>
      <c r="AB18" s="31">
        <v>19936.253648127356</v>
      </c>
      <c r="AC18" s="32">
        <v>238.23380229728167</v>
      </c>
      <c r="AD18" s="31">
        <v>18154.953710682734</v>
      </c>
      <c r="AE18" s="32">
        <v>180.88261089837454</v>
      </c>
      <c r="AF18" s="31">
        <v>16140.408093209064</v>
      </c>
      <c r="AG18" s="32">
        <v>127.05242253335089</v>
      </c>
      <c r="AH18" s="31">
        <v>13988.244778277882</v>
      </c>
      <c r="AI18" s="32">
        <v>76.513499670323441</v>
      </c>
      <c r="AJ18" s="31">
        <v>11829.267563943911</v>
      </c>
      <c r="AK18" s="32">
        <v>32.187796552036794</v>
      </c>
      <c r="AL18" s="31">
        <v>9651.6789706933068</v>
      </c>
      <c r="AM18" s="32">
        <v>5.3116264018039283</v>
      </c>
      <c r="AN18" s="31">
        <v>6911.1026659014969</v>
      </c>
      <c r="AO18" s="32">
        <v>9.0080991905976057E-2</v>
      </c>
      <c r="AP18" s="31">
        <v>6167.5769776342204</v>
      </c>
      <c r="AQ18" s="32">
        <v>2.3130975126442011E-2</v>
      </c>
      <c r="AR18" s="31">
        <v>5295.8751265130113</v>
      </c>
      <c r="AS18" s="32">
        <v>4.083350450618509E-3</v>
      </c>
      <c r="AT18" s="31">
        <v>4229.1246781151576</v>
      </c>
      <c r="AU18" s="32">
        <v>3.728712526396111E-4</v>
      </c>
      <c r="AV18" s="31">
        <v>2810.4920228542824</v>
      </c>
      <c r="AW18" s="32">
        <v>7.2672524490057603E-6</v>
      </c>
      <c r="AX18">
        <v>1071.424485113155</v>
      </c>
      <c r="AY18">
        <v>2.0619534083626854</v>
      </c>
    </row>
    <row r="19" spans="1:51" x14ac:dyDescent="0.2">
      <c r="A19" t="s">
        <v>3</v>
      </c>
      <c r="B19" s="39">
        <v>1886.3937399999966</v>
      </c>
      <c r="C19" s="40">
        <v>262.78711299999759</v>
      </c>
      <c r="D19" s="39">
        <v>1867.914154314441</v>
      </c>
      <c r="E19" s="40">
        <v>266.33110049436823</v>
      </c>
      <c r="F19" s="39">
        <v>1848.4984753735937</v>
      </c>
      <c r="G19" s="40">
        <v>270.34092856779665</v>
      </c>
      <c r="H19" s="39">
        <v>1827.9461583764364</v>
      </c>
      <c r="I19" s="40">
        <v>274.80905137666906</v>
      </c>
      <c r="J19" s="39">
        <v>1806.0133498110338</v>
      </c>
      <c r="K19" s="40">
        <v>279.70468554659516</v>
      </c>
      <c r="L19" s="39">
        <v>1782.4038697901226</v>
      </c>
      <c r="M19" s="40">
        <v>284.96174276142284</v>
      </c>
      <c r="N19" s="39">
        <v>1756.7599033780568</v>
      </c>
      <c r="O19" s="40">
        <v>290.462069968506</v>
      </c>
      <c r="P19" s="39">
        <v>1728.6570250054353</v>
      </c>
      <c r="Q19" s="40">
        <v>296.01372074284888</v>
      </c>
      <c r="R19" s="39">
        <v>1697.6088586397896</v>
      </c>
      <c r="S19" s="40">
        <v>301.32395661912165</v>
      </c>
      <c r="T19" s="39">
        <v>1663.0986403145569</v>
      </c>
      <c r="U19" s="40">
        <v>305.97253393751839</v>
      </c>
      <c r="V19" s="39">
        <v>1624.6700380399175</v>
      </c>
      <c r="W19" s="40">
        <v>309.39283119805555</v>
      </c>
      <c r="X19" s="39">
        <v>1582.1435697926354</v>
      </c>
      <c r="Y19" s="40">
        <v>310.88637831663192</v>
      </c>
      <c r="Z19" s="39">
        <v>1536.0872002172412</v>
      </c>
      <c r="AA19" s="40">
        <v>309.70589738238056</v>
      </c>
      <c r="AB19" s="39">
        <v>1488.7956141343586</v>
      </c>
      <c r="AC19" s="40">
        <v>305.25978917258146</v>
      </c>
      <c r="AD19" s="39">
        <v>1446.3106620810479</v>
      </c>
      <c r="AE19" s="40">
        <v>297.47511903451669</v>
      </c>
      <c r="AF19" s="39">
        <v>1422.7445313406956</v>
      </c>
      <c r="AG19" s="40">
        <v>287.22705877505445</v>
      </c>
      <c r="AH19" s="39">
        <v>1450.2686625315343</v>
      </c>
      <c r="AI19" s="40">
        <v>276.05344807395898</v>
      </c>
      <c r="AJ19" s="39">
        <v>1607.2311845404538</v>
      </c>
      <c r="AK19" s="40">
        <v>261.4924850526898</v>
      </c>
      <c r="AL19" s="39">
        <v>2124.3326561011131</v>
      </c>
      <c r="AM19" s="40">
        <v>220.46019198020255</v>
      </c>
      <c r="AN19" s="39">
        <v>3822.3474528148986</v>
      </c>
      <c r="AO19" s="40">
        <v>122.20986724639393</v>
      </c>
      <c r="AP19" s="39">
        <v>4552.4619284771006</v>
      </c>
      <c r="AQ19" s="40">
        <v>98.245994821483293</v>
      </c>
      <c r="AR19" s="39">
        <v>5612.0465020674192</v>
      </c>
      <c r="AS19" s="40">
        <v>73.861162286050487</v>
      </c>
      <c r="AT19" s="39">
        <v>7316.499261827852</v>
      </c>
      <c r="AU19" s="40">
        <v>49.287373643048184</v>
      </c>
      <c r="AV19" s="39">
        <v>10716.709295574739</v>
      </c>
      <c r="AW19" s="40">
        <v>24.649864041413405</v>
      </c>
      <c r="AX19">
        <v>69.333076737405378</v>
      </c>
      <c r="AY19">
        <v>17.636145260905064</v>
      </c>
    </row>
    <row r="20" spans="1:51" x14ac:dyDescent="0.2">
      <c r="A20" t="s">
        <v>114</v>
      </c>
      <c r="B20" s="79">
        <v>26548.356269999993</v>
      </c>
      <c r="C20" s="80">
        <v>1408.5418709999938</v>
      </c>
      <c r="D20" s="79">
        <v>26364.553616359219</v>
      </c>
      <c r="E20" s="80">
        <v>1338.1147774499941</v>
      </c>
      <c r="F20" s="79">
        <v>26157.27299987663</v>
      </c>
      <c r="G20" s="80">
        <v>1267.6876838999945</v>
      </c>
      <c r="H20" s="79">
        <v>25921.638180059635</v>
      </c>
      <c r="I20" s="80">
        <v>1197.2605903499946</v>
      </c>
      <c r="J20" s="79">
        <v>25651.495342668226</v>
      </c>
      <c r="K20" s="80">
        <v>1126.8334967999951</v>
      </c>
      <c r="L20" s="79">
        <v>25339.028658329287</v>
      </c>
      <c r="M20" s="80">
        <v>1056.4064032499953</v>
      </c>
      <c r="N20" s="79">
        <v>24974.251016010254</v>
      </c>
      <c r="O20" s="80">
        <v>985.97930969999561</v>
      </c>
      <c r="P20" s="79">
        <v>24544.431289846365</v>
      </c>
      <c r="Q20" s="80">
        <v>915.55221614999596</v>
      </c>
      <c r="R20" s="79">
        <v>24033.419346962182</v>
      </c>
      <c r="S20" s="80">
        <v>845.12512259999642</v>
      </c>
      <c r="T20" s="79">
        <v>23421.051694873935</v>
      </c>
      <c r="U20" s="80">
        <v>774.69802904999653</v>
      </c>
      <c r="V20" s="79">
        <v>22682.901662129316</v>
      </c>
      <c r="W20" s="80">
        <v>704.27093549999688</v>
      </c>
      <c r="X20" s="79">
        <v>21791.088612067149</v>
      </c>
      <c r="Y20" s="80">
        <v>633.84384194999734</v>
      </c>
      <c r="Z20" s="79">
        <v>20717.12611016096</v>
      </c>
      <c r="AA20" s="80">
        <v>563.41674839999746</v>
      </c>
      <c r="AB20" s="79">
        <v>19438.450722503516</v>
      </c>
      <c r="AC20" s="80">
        <v>492.98965484999781</v>
      </c>
      <c r="AD20" s="79">
        <v>17950.367955337137</v>
      </c>
      <c r="AE20" s="80">
        <v>422.56256129999809</v>
      </c>
      <c r="AF20" s="79">
        <v>16284.248046458781</v>
      </c>
      <c r="AG20" s="80">
        <v>352.13546774999827</v>
      </c>
      <c r="AH20" s="79">
        <v>14525.663842966902</v>
      </c>
      <c r="AI20" s="80">
        <v>281.70837419999856</v>
      </c>
      <c r="AJ20" s="79">
        <v>12798.034476379304</v>
      </c>
      <c r="AK20" s="80">
        <v>211.28128064999876</v>
      </c>
      <c r="AL20" s="79">
        <v>11132.441362056497</v>
      </c>
      <c r="AM20" s="80">
        <v>140.85418709999905</v>
      </c>
      <c r="AN20" s="79">
        <v>9140.8403590184589</v>
      </c>
      <c r="AO20" s="80">
        <v>70.427093549999285</v>
      </c>
      <c r="AP20" s="79">
        <v>8602.3249572724853</v>
      </c>
      <c r="AQ20" s="80">
        <v>56.341674839999335</v>
      </c>
      <c r="AR20" s="79">
        <v>7966.4135132013353</v>
      </c>
      <c r="AS20" s="80">
        <v>42.256256129999379</v>
      </c>
      <c r="AT20" s="79">
        <v>7177.3606183873562</v>
      </c>
      <c r="AU20" s="80">
        <v>28.170837419999433</v>
      </c>
      <c r="AV20" s="79">
        <v>6095.227744908796</v>
      </c>
      <c r="AW20" s="80">
        <v>14.08541870999948</v>
      </c>
      <c r="AX20">
        <v>1009.5799488486065</v>
      </c>
      <c r="AY20">
        <v>14.08541870999948</v>
      </c>
    </row>
    <row r="21" spans="1:51" x14ac:dyDescent="0.2">
      <c r="A21" t="s">
        <v>76</v>
      </c>
      <c r="B21" s="79">
        <v>24661.96252999999</v>
      </c>
      <c r="C21" s="80">
        <v>1145.7547579999939</v>
      </c>
      <c r="D21" s="79">
        <v>24496.643687563046</v>
      </c>
      <c r="E21" s="80">
        <v>1071.9508260311484</v>
      </c>
      <c r="F21" s="79">
        <v>24308.789355718196</v>
      </c>
      <c r="G21" s="80">
        <v>998.05315442225628</v>
      </c>
      <c r="H21" s="79">
        <v>24093.720425360309</v>
      </c>
      <c r="I21" s="80">
        <v>924.1310388586387</v>
      </c>
      <c r="J21" s="79">
        <v>23845.523133102863</v>
      </c>
      <c r="K21" s="80">
        <v>850.28290470991703</v>
      </c>
      <c r="L21" s="79">
        <v>23556.673793435242</v>
      </c>
      <c r="M21" s="80">
        <v>776.64606960474248</v>
      </c>
      <c r="N21" s="79">
        <v>23217.539328817638</v>
      </c>
      <c r="O21" s="80">
        <v>703.40891751195113</v>
      </c>
      <c r="P21" s="79">
        <v>22815.810774865124</v>
      </c>
      <c r="Q21" s="80">
        <v>630.82471993764068</v>
      </c>
      <c r="R21" s="79">
        <v>22335.82656750637</v>
      </c>
      <c r="S21" s="80">
        <v>559.22619737658658</v>
      </c>
      <c r="T21" s="79">
        <v>21757.953244799035</v>
      </c>
      <c r="U21" s="80">
        <v>489.03519464808534</v>
      </c>
      <c r="V21" s="79">
        <v>21058.25945539615</v>
      </c>
      <c r="W21" s="80">
        <v>420.76162914145681</v>
      </c>
      <c r="X21" s="79">
        <v>20209.141212682873</v>
      </c>
      <c r="Y21" s="80">
        <v>354.97499410532214</v>
      </c>
      <c r="Z21" s="79">
        <v>19181.772611129814</v>
      </c>
      <c r="AA21" s="80">
        <v>292.23221713544285</v>
      </c>
      <c r="AB21" s="79">
        <v>17951.827039975622</v>
      </c>
      <c r="AC21" s="80">
        <v>232.94526111646931</v>
      </c>
      <c r="AD21" s="79">
        <v>16509.835211949678</v>
      </c>
      <c r="AE21" s="80">
        <v>177.20353709953369</v>
      </c>
      <c r="AF21" s="79">
        <v>14876.268120781098</v>
      </c>
      <c r="AG21" s="80">
        <v>124.68197148291297</v>
      </c>
      <c r="AH21" s="79">
        <v>13113.579311411873</v>
      </c>
      <c r="AI21" s="80">
        <v>75.203470256485247</v>
      </c>
      <c r="AJ21" s="79">
        <v>11297.049215546584</v>
      </c>
      <c r="AK21" s="80">
        <v>31.676641237051175</v>
      </c>
      <c r="AL21" s="79">
        <v>9355.555026412263</v>
      </c>
      <c r="AM21" s="80">
        <v>5.2305487156590127</v>
      </c>
      <c r="AN21" s="79">
        <v>6740.0849912621279</v>
      </c>
      <c r="AO21" s="80">
        <v>8.8714287971128292E-2</v>
      </c>
      <c r="AP21" s="79">
        <v>6017.0961990812148</v>
      </c>
      <c r="AQ21" s="80">
        <v>2.2780048607727203E-2</v>
      </c>
      <c r="AR21" s="79">
        <v>5167.6977623679477</v>
      </c>
      <c r="AS21" s="80">
        <v>4.0214020725337449E-3</v>
      </c>
      <c r="AT21" s="79">
        <v>4127.163833039589</v>
      </c>
      <c r="AU21" s="80">
        <v>3.6721446412341942E-4</v>
      </c>
      <c r="AV21" s="79">
        <v>2742.8279701863303</v>
      </c>
      <c r="AW21" s="80">
        <v>7.15699747261502E-6</v>
      </c>
      <c r="AX21">
        <v>940.26889919578002</v>
      </c>
      <c r="AY21">
        <v>2.0292991735501094</v>
      </c>
    </row>
    <row r="22" spans="1:51" x14ac:dyDescent="0.2">
      <c r="A22" t="s">
        <v>28</v>
      </c>
      <c r="B22" s="39">
        <v>6533.6044688320717</v>
      </c>
      <c r="C22" s="40">
        <v>379.90788307663411</v>
      </c>
      <c r="D22" s="39">
        <v>6469.3226341636</v>
      </c>
      <c r="E22" s="40">
        <v>363.65812239633163</v>
      </c>
      <c r="F22" s="39">
        <v>6398.0014938665463</v>
      </c>
      <c r="G22" s="40">
        <v>347.16595108356415</v>
      </c>
      <c r="H22" s="39">
        <v>6318.2904141539093</v>
      </c>
      <c r="I22" s="40">
        <v>330.42830154253011</v>
      </c>
      <c r="J22" s="39">
        <v>6228.5045711320199</v>
      </c>
      <c r="K22" s="40">
        <v>313.44238083551915</v>
      </c>
      <c r="L22" s="39">
        <v>6126.5287612641241</v>
      </c>
      <c r="M22" s="40">
        <v>296.20531213914086</v>
      </c>
      <c r="N22" s="39">
        <v>6009.6910785008149</v>
      </c>
      <c r="O22" s="40">
        <v>278.7135714593727</v>
      </c>
      <c r="P22" s="39">
        <v>5874.6242501750849</v>
      </c>
      <c r="Q22" s="40">
        <v>260.96258865930497</v>
      </c>
      <c r="R22" s="39">
        <v>5717.104827337801</v>
      </c>
      <c r="S22" s="40">
        <v>242.94635834105031</v>
      </c>
      <c r="T22" s="39">
        <v>5531.9222516626487</v>
      </c>
      <c r="U22" s="40">
        <v>224.65749443637804</v>
      </c>
      <c r="V22" s="39">
        <v>5312.8435252637237</v>
      </c>
      <c r="W22" s="40">
        <v>206.08832245469551</v>
      </c>
      <c r="X22" s="39">
        <v>5052.8565924766872</v>
      </c>
      <c r="Y22" s="40">
        <v>187.23356484370737</v>
      </c>
      <c r="Z22" s="39">
        <v>4744.9367434958349</v>
      </c>
      <c r="AA22" s="40">
        <v>168.09544661692254</v>
      </c>
      <c r="AB22" s="39">
        <v>4383.7329996410335</v>
      </c>
      <c r="AC22" s="40">
        <v>148.69083882209571</v>
      </c>
      <c r="AD22" s="39">
        <v>3968.5707318982459</v>
      </c>
      <c r="AE22" s="40">
        <v>129.05616166493036</v>
      </c>
      <c r="AF22" s="39">
        <v>3507.9204339586336</v>
      </c>
      <c r="AG22" s="40">
        <v>109.23503693438595</v>
      </c>
      <c r="AH22" s="39">
        <v>3023.5055054467316</v>
      </c>
      <c r="AI22" s="40">
        <v>89.189416539512493</v>
      </c>
      <c r="AJ22" s="39">
        <v>2544.718993367916</v>
      </c>
      <c r="AK22" s="40">
        <v>68.49131314064276</v>
      </c>
      <c r="AL22" s="39">
        <v>2072.4813667083076</v>
      </c>
      <c r="AM22" s="40">
        <v>45.996729827464399</v>
      </c>
      <c r="AN22" s="39">
        <v>1498.6715626314478</v>
      </c>
      <c r="AO22" s="40">
        <v>22.015153892753119</v>
      </c>
      <c r="AP22" s="39">
        <v>1345.9524405958518</v>
      </c>
      <c r="AQ22" s="40">
        <v>17.324303958480581</v>
      </c>
      <c r="AR22" s="39">
        <v>1167.9410816819063</v>
      </c>
      <c r="AS22" s="40">
        <v>12.73001438525333</v>
      </c>
      <c r="AT22" s="39">
        <v>950.98412520086015</v>
      </c>
      <c r="AU22" s="40">
        <v>8.260770220826581</v>
      </c>
      <c r="AV22" s="39">
        <v>661.65147951230938</v>
      </c>
      <c r="AW22" s="40">
        <v>3.963697708063151</v>
      </c>
      <c r="AX22">
        <v>215.68547536575392</v>
      </c>
      <c r="AY22">
        <v>4.2383205072298482</v>
      </c>
    </row>
    <row r="23" spans="1:51" x14ac:dyDescent="0.2">
      <c r="A23" t="s">
        <v>7</v>
      </c>
      <c r="B23" s="110">
        <v>3278.5018080150408</v>
      </c>
      <c r="C23" s="8">
        <v>0</v>
      </c>
      <c r="D23" s="110">
        <v>3261.8793451551687</v>
      </c>
      <c r="E23" s="8">
        <v>0</v>
      </c>
      <c r="F23" s="110">
        <v>3241.9759415127428</v>
      </c>
      <c r="G23" s="8">
        <v>0</v>
      </c>
      <c r="H23" s="110">
        <v>3218.0725420211506</v>
      </c>
      <c r="I23" s="8">
        <v>0</v>
      </c>
      <c r="J23" s="110">
        <v>3189.2556764491023</v>
      </c>
      <c r="K23" s="8">
        <v>0</v>
      </c>
      <c r="L23" s="110">
        <v>3154.3581340963246</v>
      </c>
      <c r="M23" s="8">
        <v>0</v>
      </c>
      <c r="N23" s="110">
        <v>3111.8798594613459</v>
      </c>
      <c r="O23" s="8">
        <v>0</v>
      </c>
      <c r="P23" s="110">
        <v>3059.8990973957088</v>
      </c>
      <c r="Q23" s="8">
        <v>0</v>
      </c>
      <c r="R23" s="110">
        <v>2995.9667695885651</v>
      </c>
      <c r="S23" s="8">
        <v>0</v>
      </c>
      <c r="T23" s="110">
        <v>2917.0128019676149</v>
      </c>
      <c r="U23" s="8">
        <v>0</v>
      </c>
      <c r="V23" s="110">
        <v>2819.3037235393194</v>
      </c>
      <c r="W23" s="8">
        <v>0</v>
      </c>
      <c r="X23" s="110">
        <v>2698.5651531657631</v>
      </c>
      <c r="Y23" s="8">
        <v>0</v>
      </c>
      <c r="Z23" s="110">
        <v>2550.4214028086967</v>
      </c>
      <c r="AA23" s="8">
        <v>0</v>
      </c>
      <c r="AB23" s="110">
        <v>2371.4180060799245</v>
      </c>
      <c r="AC23" s="8">
        <v>0</v>
      </c>
      <c r="AD23" s="110">
        <v>2160.9207247986456</v>
      </c>
      <c r="AE23" s="8">
        <v>0</v>
      </c>
      <c r="AF23" s="110">
        <v>1924.0781293418436</v>
      </c>
      <c r="AG23" s="8">
        <v>0</v>
      </c>
      <c r="AH23" s="110">
        <v>1675.0480660261928</v>
      </c>
      <c r="AI23" s="8">
        <v>0</v>
      </c>
      <c r="AJ23" s="110">
        <v>1435.6759748542102</v>
      </c>
      <c r="AK23" s="8">
        <v>0</v>
      </c>
      <c r="AL23" s="110">
        <v>1217.8610449961461</v>
      </c>
      <c r="AM23" s="8">
        <v>0</v>
      </c>
      <c r="AN23" s="110">
        <v>968.73860270789635</v>
      </c>
      <c r="AO23" s="8">
        <v>0</v>
      </c>
      <c r="AP23" s="110">
        <v>899.42419237011893</v>
      </c>
      <c r="AQ23" s="8">
        <v>0</v>
      </c>
      <c r="AR23" s="110">
        <v>815.7801395678639</v>
      </c>
      <c r="AS23" s="8">
        <v>0</v>
      </c>
      <c r="AT23" s="110">
        <v>709.09552971582934</v>
      </c>
      <c r="AU23" s="8">
        <v>0</v>
      </c>
      <c r="AV23" s="110">
        <v>556.63809474958839</v>
      </c>
      <c r="AW23" s="8">
        <v>0</v>
      </c>
      <c r="AX23">
        <v>129.40141898486127</v>
      </c>
      <c r="AY23">
        <v>0</v>
      </c>
    </row>
    <row r="24" spans="1:51" x14ac:dyDescent="0.2">
      <c r="A24" t="s">
        <v>8</v>
      </c>
      <c r="B24" s="93">
        <v>3196.3846373657216</v>
      </c>
      <c r="C24" s="8">
        <v>0</v>
      </c>
      <c r="D24" s="93">
        <v>3196.3846373657216</v>
      </c>
      <c r="E24" s="8">
        <v>0</v>
      </c>
      <c r="F24" s="93">
        <v>3196.3846373657216</v>
      </c>
      <c r="G24" s="8">
        <v>0</v>
      </c>
      <c r="H24" s="93">
        <v>3196.3846373657216</v>
      </c>
      <c r="I24" s="8">
        <v>0</v>
      </c>
      <c r="J24" s="93">
        <v>3196.3846373657216</v>
      </c>
      <c r="K24" s="8">
        <v>0</v>
      </c>
      <c r="L24" s="93">
        <v>3196.3846373657216</v>
      </c>
      <c r="M24" s="8">
        <v>0</v>
      </c>
      <c r="N24" s="93">
        <v>3196.3846373657216</v>
      </c>
      <c r="O24" s="8">
        <v>0</v>
      </c>
      <c r="P24" s="93">
        <v>3196.3846373657216</v>
      </c>
      <c r="Q24" s="8">
        <v>0</v>
      </c>
      <c r="R24" s="93">
        <v>3196.3846373657216</v>
      </c>
      <c r="S24" s="8">
        <v>0</v>
      </c>
      <c r="T24" s="93">
        <v>3196.3846373657216</v>
      </c>
      <c r="U24" s="8">
        <v>0</v>
      </c>
      <c r="V24" s="93">
        <v>3196.3846373657216</v>
      </c>
      <c r="W24" s="8">
        <v>0</v>
      </c>
      <c r="X24" s="93">
        <v>3196.3846373657216</v>
      </c>
      <c r="Y24" s="8">
        <v>0</v>
      </c>
      <c r="Z24" s="93">
        <v>3196.3846373657216</v>
      </c>
      <c r="AA24" s="8">
        <v>0</v>
      </c>
      <c r="AB24" s="93">
        <v>3196.3846373657216</v>
      </c>
      <c r="AC24" s="8">
        <v>0</v>
      </c>
      <c r="AD24" s="93">
        <v>3196.3846373657216</v>
      </c>
      <c r="AE24" s="8">
        <v>0</v>
      </c>
      <c r="AF24" s="93">
        <v>3196.3846373657216</v>
      </c>
      <c r="AG24" s="8">
        <v>0</v>
      </c>
      <c r="AH24" s="93">
        <v>3196.3846373657216</v>
      </c>
      <c r="AI24" s="8">
        <v>0</v>
      </c>
      <c r="AJ24" s="93">
        <v>3196.3846373657216</v>
      </c>
      <c r="AK24" s="8">
        <v>0</v>
      </c>
      <c r="AL24" s="93">
        <v>3196.3846373657216</v>
      </c>
      <c r="AM24" s="8">
        <v>0</v>
      </c>
      <c r="AN24" s="93">
        <v>3196.3846373657216</v>
      </c>
      <c r="AO24" s="8">
        <v>0</v>
      </c>
      <c r="AP24" s="93">
        <v>3196.3846373657216</v>
      </c>
      <c r="AQ24" s="8">
        <v>0</v>
      </c>
      <c r="AR24" s="93">
        <v>3196.3846373657216</v>
      </c>
      <c r="AS24" s="8">
        <v>0</v>
      </c>
      <c r="AT24" s="93">
        <v>3196.3846373657216</v>
      </c>
      <c r="AU24" s="8">
        <v>0</v>
      </c>
      <c r="AV24" s="93">
        <v>3196.3846373657216</v>
      </c>
      <c r="AW24" s="8">
        <v>0</v>
      </c>
      <c r="AX24">
        <v>157.60801186927367</v>
      </c>
      <c r="AY24">
        <v>0</v>
      </c>
    </row>
    <row r="25" spans="1:51" x14ac:dyDescent="0.2">
      <c r="A25" t="s">
        <v>0</v>
      </c>
      <c r="B25" s="39">
        <v>3195.0476040000012</v>
      </c>
      <c r="C25" s="40">
        <v>91.012690000004255</v>
      </c>
      <c r="D25" s="39">
        <v>3193.4862807717377</v>
      </c>
      <c r="E25" s="40">
        <v>78.60507938429997</v>
      </c>
      <c r="F25" s="39">
        <v>3186.477990660333</v>
      </c>
      <c r="G25" s="40">
        <v>67.130239693573756</v>
      </c>
      <c r="H25" s="39">
        <v>3172.8089824199956</v>
      </c>
      <c r="I25" s="40">
        <v>56.618547389317158</v>
      </c>
      <c r="J25" s="39">
        <v>3150.9229065946647</v>
      </c>
      <c r="K25" s="40">
        <v>47.092303755112162</v>
      </c>
      <c r="L25" s="39">
        <v>3118.8091319904743</v>
      </c>
      <c r="M25" s="40">
        <v>38.564023998533493</v>
      </c>
      <c r="N25" s="39">
        <v>3073.8514494068118</v>
      </c>
      <c r="O25" s="40">
        <v>31.034794276881033</v>
      </c>
      <c r="P25" s="39">
        <v>3012.6534467232837</v>
      </c>
      <c r="Q25" s="40">
        <v>24.492220461775165</v>
      </c>
      <c r="R25" s="39">
        <v>2930.825440550298</v>
      </c>
      <c r="S25" s="40">
        <v>18.908811746428061</v>
      </c>
      <c r="T25" s="39">
        <v>2822.7812660857326</v>
      </c>
      <c r="U25" s="40">
        <v>14.240344423201861</v>
      </c>
      <c r="V25" s="39">
        <v>2681.6136077485303</v>
      </c>
      <c r="W25" s="40">
        <v>10.425209365495705</v>
      </c>
      <c r="X25" s="39">
        <v>2499.2570199924303</v>
      </c>
      <c r="Y25" s="40">
        <v>7.3844210596892168</v>
      </c>
      <c r="Z25" s="39">
        <v>2267.2196699817678</v>
      </c>
      <c r="AA25" s="40">
        <v>5.0237649449726698</v>
      </c>
      <c r="AB25" s="39">
        <v>1978.40387241811</v>
      </c>
      <c r="AC25" s="40">
        <v>3.2386253221972772</v>
      </c>
      <c r="AD25" s="39">
        <v>1630.6628477457737</v>
      </c>
      <c r="AE25" s="40">
        <v>1.9231671197835103</v>
      </c>
      <c r="AF25" s="39">
        <v>1232.7847971542335</v>
      </c>
      <c r="AG25" s="40">
        <v>0.98606287798871417</v>
      </c>
      <c r="AH25" s="39">
        <v>812.69192391745275</v>
      </c>
      <c r="AI25" s="40">
        <v>0.37325453587411628</v>
      </c>
      <c r="AJ25" s="39">
        <v>423.05563841892592</v>
      </c>
      <c r="AK25" s="40">
        <v>6.9910377033016197E-2</v>
      </c>
      <c r="AL25" s="39">
        <v>137.53801348988415</v>
      </c>
      <c r="AM25" s="40">
        <v>2.2609304574051107E-3</v>
      </c>
      <c r="AN25" s="39">
        <v>15.885281685366897</v>
      </c>
      <c r="AO25" s="40">
        <v>1.1732845095202886E-6</v>
      </c>
      <c r="AP25" s="39">
        <v>7.967596738524513</v>
      </c>
      <c r="AQ25" s="40">
        <v>9.6231445270687453E-8</v>
      </c>
      <c r="AR25" s="39">
        <v>3.3212985849994183</v>
      </c>
      <c r="AS25" s="40">
        <v>3.9889757329519299E-9</v>
      </c>
      <c r="AT25" s="39">
        <v>0.9954228061612439</v>
      </c>
      <c r="AU25" s="40">
        <v>4.9845551193319584E-11</v>
      </c>
      <c r="AV25" s="39">
        <v>0.13618583379941518</v>
      </c>
      <c r="AW25" s="40">
        <v>3.7859073608393674E-14</v>
      </c>
      <c r="AX25">
        <v>131.07938464261122</v>
      </c>
      <c r="AY25">
        <v>4.2541345245667491E-3</v>
      </c>
    </row>
    <row r="26" spans="1:51" x14ac:dyDescent="0.2">
      <c r="A26" t="s">
        <v>27</v>
      </c>
      <c r="B26" s="31">
        <v>5036.2953101960647</v>
      </c>
      <c r="C26" s="32">
        <v>74.905331803938267</v>
      </c>
      <c r="D26" s="31">
        <v>5015.2376336294701</v>
      </c>
      <c r="E26" s="32">
        <v>70.024918503452227</v>
      </c>
      <c r="F26" s="31">
        <v>4989.7884852557445</v>
      </c>
      <c r="G26" s="32">
        <v>65.178268757038438</v>
      </c>
      <c r="H26" s="31">
        <v>4958.9155983379342</v>
      </c>
      <c r="I26" s="32">
        <v>60.367229943312338</v>
      </c>
      <c r="J26" s="31">
        <v>4921.2891693608999</v>
      </c>
      <c r="K26" s="32">
        <v>55.594258751257819</v>
      </c>
      <c r="L26" s="31">
        <v>4875.1846274376312</v>
      </c>
      <c r="M26" s="32">
        <v>50.862904721890672</v>
      </c>
      <c r="N26" s="31">
        <v>4818.3509488530781</v>
      </c>
      <c r="O26" s="32">
        <v>46.178627018609454</v>
      </c>
      <c r="P26" s="31">
        <v>4747.8566750015389</v>
      </c>
      <c r="Q26" s="32">
        <v>41.549558406706602</v>
      </c>
      <c r="R26" s="31">
        <v>4659.9003065246761</v>
      </c>
      <c r="S26" s="32">
        <v>36.987638870690951</v>
      </c>
      <c r="T26" s="31">
        <v>4549.6236898415582</v>
      </c>
      <c r="U26" s="32">
        <v>32.509522638007915</v>
      </c>
      <c r="V26" s="31">
        <v>4410.9860363418411</v>
      </c>
      <c r="W26" s="32">
        <v>28.137281252258791</v>
      </c>
      <c r="X26" s="31">
        <v>4236.8666359704312</v>
      </c>
      <c r="Y26" s="32">
        <v>23.89739637724659</v>
      </c>
      <c r="Z26" s="31">
        <v>4019.6315920286852</v>
      </c>
      <c r="AA26" s="32">
        <v>19.817445877007497</v>
      </c>
      <c r="AB26" s="31">
        <v>3752.5673613955205</v>
      </c>
      <c r="AC26" s="32">
        <v>15.9187710439863</v>
      </c>
      <c r="AD26" s="31">
        <v>3432.6016258247282</v>
      </c>
      <c r="AE26" s="32">
        <v>12.205912749457712</v>
      </c>
      <c r="AF26" s="31">
        <v>3064.4651428203829</v>
      </c>
      <c r="AG26" s="32">
        <v>8.6607238538266138</v>
      </c>
      <c r="AH26" s="31">
        <v>2664.6039900356673</v>
      </c>
      <c r="AI26" s="32">
        <v>5.2786207290456764</v>
      </c>
      <c r="AJ26" s="31">
        <v>2255.8955010143723</v>
      </c>
      <c r="AK26" s="32">
        <v>2.2629441210750731</v>
      </c>
      <c r="AL26" s="31">
        <v>1832.5026246171528</v>
      </c>
      <c r="AM26" s="32">
        <v>0.38847605468239671</v>
      </c>
      <c r="AN26" s="31">
        <v>1283.808257845634</v>
      </c>
      <c r="AO26" s="32">
        <v>7.2201247061686128E-3</v>
      </c>
      <c r="AP26" s="31">
        <v>1134.0678951277855</v>
      </c>
      <c r="AQ26" s="32">
        <v>1.9124088866417223E-3</v>
      </c>
      <c r="AR26" s="31">
        <v>959.11881428009838</v>
      </c>
      <c r="AS26" s="32">
        <v>3.5128244678216803E-4</v>
      </c>
      <c r="AT26" s="31">
        <v>747.06665621637239</v>
      </c>
      <c r="AU26" s="32">
        <v>3.3884985664155543E-5</v>
      </c>
      <c r="AV26" s="31">
        <v>472.09433791907833</v>
      </c>
      <c r="AW26" s="32">
        <v>7.222606270107038E-7</v>
      </c>
      <c r="AX26">
        <v>205.36265634429603</v>
      </c>
      <c r="AY26">
        <v>0.15680935079065161</v>
      </c>
    </row>
    <row r="27" spans="1:51" x14ac:dyDescent="0.2">
      <c r="A27" t="s">
        <v>2</v>
      </c>
      <c r="B27" s="33">
        <v>6425.1981590000414</v>
      </c>
      <c r="C27" s="34">
        <v>273.22915400000028</v>
      </c>
      <c r="D27" s="33">
        <v>6389.8565148847074</v>
      </c>
      <c r="E27" s="34">
        <v>255.25783510103781</v>
      </c>
      <c r="F27" s="33">
        <v>6348.2675438908163</v>
      </c>
      <c r="G27" s="34">
        <v>237.41928317520939</v>
      </c>
      <c r="H27" s="33">
        <v>6299.0755561098358</v>
      </c>
      <c r="I27" s="34">
        <v>219.72168329206767</v>
      </c>
      <c r="J27" s="33">
        <v>6240.5551914029829</v>
      </c>
      <c r="K27" s="34">
        <v>202.17562661037348</v>
      </c>
      <c r="L27" s="33">
        <v>6170.4957981160214</v>
      </c>
      <c r="M27" s="34">
        <v>184.79586796174783</v>
      </c>
      <c r="N27" s="33">
        <v>6086.046914756409</v>
      </c>
      <c r="O27" s="34">
        <v>167.60463630365209</v>
      </c>
      <c r="P27" s="33">
        <v>5983.5410133190262</v>
      </c>
      <c r="Q27" s="34">
        <v>150.63411508078318</v>
      </c>
      <c r="R27" s="33">
        <v>5858.2806623123797</v>
      </c>
      <c r="S27" s="34">
        <v>133.93069002573338</v>
      </c>
      <c r="T27" s="33">
        <v>5704.3410780187769</v>
      </c>
      <c r="U27" s="34">
        <v>117.55801629731761</v>
      </c>
      <c r="V27" s="33">
        <v>5514.4623640929076</v>
      </c>
      <c r="W27" s="34">
        <v>101.59973294546803</v>
      </c>
      <c r="X27" s="33">
        <v>5280.2395663506404</v>
      </c>
      <c r="Y27" s="34">
        <v>86.155223171173205</v>
      </c>
      <c r="Z27" s="33">
        <v>4992.8970982796063</v>
      </c>
      <c r="AA27" s="34">
        <v>71.327575135265988</v>
      </c>
      <c r="AB27" s="33">
        <v>4645.12983085411</v>
      </c>
      <c r="AC27" s="34">
        <v>57.196677943236111</v>
      </c>
      <c r="AD27" s="33">
        <v>4234.5118646327201</v>
      </c>
      <c r="AE27" s="34">
        <v>43.781125275707524</v>
      </c>
      <c r="AF27" s="33">
        <v>3768.6642330686295</v>
      </c>
      <c r="AG27" s="34">
        <v>31.016814777520835</v>
      </c>
      <c r="AH27" s="33">
        <v>3270.1629246447014</v>
      </c>
      <c r="AI27" s="34">
        <v>18.8849311453091</v>
      </c>
      <c r="AJ27" s="33">
        <v>2770.5234519008186</v>
      </c>
      <c r="AK27" s="34">
        <v>8.0988223722210577</v>
      </c>
      <c r="AL27" s="33">
        <v>2269.0724444890966</v>
      </c>
      <c r="AM27" s="34">
        <v>1.3960238143408137</v>
      </c>
      <c r="AN27" s="33">
        <v>1640.2607246763534</v>
      </c>
      <c r="AO27" s="34">
        <v>2.6355887657480578E-2</v>
      </c>
      <c r="AP27" s="33">
        <v>1469.0609359937912</v>
      </c>
      <c r="AQ27" s="34">
        <v>7.0292298090685063E-3</v>
      </c>
      <c r="AR27" s="33">
        <v>1267.7277669212283</v>
      </c>
      <c r="AS27" s="34">
        <v>1.3042470063472495E-3</v>
      </c>
      <c r="AT27" s="33">
        <v>1020.255426839671</v>
      </c>
      <c r="AU27" s="34">
        <v>1.278817866582773E-4</v>
      </c>
      <c r="AV27" s="33">
        <v>688.75838377063099</v>
      </c>
      <c r="AW27" s="34">
        <v>2.8173425437815806E-6</v>
      </c>
      <c r="AX27">
        <v>266.01821624489088</v>
      </c>
      <c r="AY27">
        <v>0.57635962572058086</v>
      </c>
    </row>
    <row r="28" spans="1:51" x14ac:dyDescent="0.2">
      <c r="A28" t="s">
        <v>35</v>
      </c>
      <c r="B28" s="39">
        <v>13763.097676000029</v>
      </c>
      <c r="C28" s="40">
        <v>382.36647899999997</v>
      </c>
      <c r="D28" s="39">
        <v>13697.064938445834</v>
      </c>
      <c r="E28" s="40">
        <v>357.28427455580703</v>
      </c>
      <c r="F28" s="39">
        <v>13618.363160578103</v>
      </c>
      <c r="G28" s="40">
        <v>332.38381145019463</v>
      </c>
      <c r="H28" s="39">
        <v>13524.126836663419</v>
      </c>
      <c r="I28" s="40">
        <v>307.6759600700878</v>
      </c>
      <c r="J28" s="39">
        <v>13410.686158193643</v>
      </c>
      <c r="K28" s="40">
        <v>283.17488934080671</v>
      </c>
      <c r="L28" s="39">
        <v>13273.309677493247</v>
      </c>
      <c r="M28" s="40">
        <v>258.9005305581112</v>
      </c>
      <c r="N28" s="39">
        <v>13105.858032370605</v>
      </c>
      <c r="O28" s="40">
        <v>234.88308315697347</v>
      </c>
      <c r="P28" s="39">
        <v>12900.382736284782</v>
      </c>
      <c r="Q28" s="40">
        <v>211.16661093134294</v>
      </c>
      <c r="R28" s="39">
        <v>12646.638036181032</v>
      </c>
      <c r="S28" s="40">
        <v>187.8149478281486</v>
      </c>
      <c r="T28" s="39">
        <v>12331.61344389134</v>
      </c>
      <c r="U28" s="40">
        <v>164.91609059193559</v>
      </c>
      <c r="V28" s="39">
        <v>11939.245731357443</v>
      </c>
      <c r="W28" s="40">
        <v>142.58594800390634</v>
      </c>
      <c r="X28" s="39">
        <v>11450.76385809985</v>
      </c>
      <c r="Y28" s="40">
        <v>120.96263328991894</v>
      </c>
      <c r="Z28" s="39">
        <v>10846.296517953851</v>
      </c>
      <c r="AA28" s="40">
        <v>100.18960289979462</v>
      </c>
      <c r="AB28" s="39">
        <v>10108.810840873553</v>
      </c>
      <c r="AC28" s="40">
        <v>80.378066113664332</v>
      </c>
      <c r="AD28" s="39">
        <v>9231.4944884179022</v>
      </c>
      <c r="AE28" s="40">
        <v>61.553499045388719</v>
      </c>
      <c r="AF28" s="39">
        <v>8228.9951003522383</v>
      </c>
      <c r="AG28" s="40">
        <v>43.625650066153291</v>
      </c>
      <c r="AH28" s="39">
        <v>7148.0370656014047</v>
      </c>
      <c r="AI28" s="40">
        <v>26.56919915552999</v>
      </c>
      <c r="AJ28" s="39">
        <v>6053.7274452573529</v>
      </c>
      <c r="AK28" s="40">
        <v>11.393169348062996</v>
      </c>
      <c r="AL28" s="39">
        <v>4937.2062286412465</v>
      </c>
      <c r="AM28" s="40">
        <v>1.9617402846318444</v>
      </c>
      <c r="AN28" s="39">
        <v>3510.7706167641049</v>
      </c>
      <c r="AO28" s="40">
        <v>3.6875620581874907E-2</v>
      </c>
      <c r="AP28" s="39">
        <v>3121.1005479172431</v>
      </c>
      <c r="AQ28" s="40">
        <v>9.8152258846433693E-3</v>
      </c>
      <c r="AR28" s="39">
        <v>2663.7830038003444</v>
      </c>
      <c r="AS28" s="40">
        <v>1.8156752483747681E-3</v>
      </c>
      <c r="AT28" s="39">
        <v>2104.6927454454753</v>
      </c>
      <c r="AU28" s="40">
        <v>1.7710959698153455E-4</v>
      </c>
      <c r="AV28" s="39">
        <v>1366.4327364433964</v>
      </c>
      <c r="AW28" s="40">
        <v>3.8573641328777078E-6</v>
      </c>
      <c r="AX28">
        <v>565.17794702288631</v>
      </c>
      <c r="AY28">
        <v>0.80479949501490244</v>
      </c>
    </row>
    <row r="29" spans="1:51" x14ac:dyDescent="0.2">
      <c r="A29" t="s">
        <v>53</v>
      </c>
      <c r="B29" s="33">
        <v>14362.768558000025</v>
      </c>
      <c r="C29" s="34">
        <v>817.26650999999993</v>
      </c>
      <c r="D29" s="33">
        <v>14276.095172642419</v>
      </c>
      <c r="E29" s="34">
        <v>757.76408360074538</v>
      </c>
      <c r="F29" s="33">
        <v>14175.078339648691</v>
      </c>
      <c r="G29" s="34">
        <v>699.15339051349326</v>
      </c>
      <c r="H29" s="33">
        <v>14056.697431908717</v>
      </c>
      <c r="I29" s="34">
        <v>641.50448063145973</v>
      </c>
      <c r="J29" s="33">
        <v>13917.124230025023</v>
      </c>
      <c r="K29" s="34">
        <v>584.89945085221609</v>
      </c>
      <c r="L29" s="33">
        <v>13751.473848021296</v>
      </c>
      <c r="M29" s="34">
        <v>529.43742860998623</v>
      </c>
      <c r="N29" s="33">
        <v>13553.472381028034</v>
      </c>
      <c r="O29" s="34">
        <v>475.24312543998337</v>
      </c>
      <c r="P29" s="33">
        <v>13315.078643337534</v>
      </c>
      <c r="Q29" s="34">
        <v>422.47222224901645</v>
      </c>
      <c r="R29" s="33">
        <v>13026.031090908684</v>
      </c>
      <c r="S29" s="34">
        <v>371.31999169375939</v>
      </c>
      <c r="T29" s="33">
        <v>12673.4305415163</v>
      </c>
      <c r="U29" s="34">
        <v>322.02440227441122</v>
      </c>
      <c r="V29" s="33">
        <v>12241.51790469108</v>
      </c>
      <c r="W29" s="34">
        <v>274.86519055841524</v>
      </c>
      <c r="X29" s="33">
        <v>11712.087946832857</v>
      </c>
      <c r="Y29" s="34">
        <v>230.14103415873828</v>
      </c>
      <c r="Z29" s="33">
        <v>11066.135272507308</v>
      </c>
      <c r="AA29" s="34">
        <v>188.12347973591434</v>
      </c>
      <c r="AB29" s="33">
        <v>10287.725702861891</v>
      </c>
      <c r="AC29" s="34">
        <v>148.97232168104668</v>
      </c>
      <c r="AD29" s="33">
        <v>9371.0752442141857</v>
      </c>
      <c r="AE29" s="34">
        <v>112.62802363717626</v>
      </c>
      <c r="AF29" s="33">
        <v>8331.0539241938495</v>
      </c>
      <c r="AG29" s="34">
        <v>78.765182241669507</v>
      </c>
      <c r="AH29" s="33">
        <v>7212.3351886063947</v>
      </c>
      <c r="AI29" s="34">
        <v>47.176611522188459</v>
      </c>
      <c r="AJ29" s="33">
        <v>6073.0402346774072</v>
      </c>
      <c r="AK29" s="34">
        <v>19.666320121478822</v>
      </c>
      <c r="AL29" s="33">
        <v>4888.9250161813161</v>
      </c>
      <c r="AM29" s="34">
        <v>3.1863968027244667</v>
      </c>
      <c r="AN29" s="33">
        <v>3362.8373574379116</v>
      </c>
      <c r="AO29" s="34">
        <v>5.2233175582251795E-2</v>
      </c>
      <c r="AP29" s="33">
        <v>2953.0583760912505</v>
      </c>
      <c r="AQ29" s="34">
        <v>1.3289396467392453E-2</v>
      </c>
      <c r="AR29" s="33">
        <v>2478.8355337355965</v>
      </c>
      <c r="AS29" s="34">
        <v>2.321627262264933E-3</v>
      </c>
      <c r="AT29" s="33">
        <v>1910.8248306716414</v>
      </c>
      <c r="AU29" s="34">
        <v>2.0941355386657883E-4</v>
      </c>
      <c r="AV29" s="33">
        <v>1185.9103575029296</v>
      </c>
      <c r="AW29" s="34">
        <v>4.017941885797885E-6</v>
      </c>
      <c r="AX29">
        <v>552.09197426094613</v>
      </c>
      <c r="AY29">
        <v>1.2252977763275799</v>
      </c>
    </row>
    <row r="30" spans="1:51" x14ac:dyDescent="0.2">
      <c r="A30" t="s">
        <v>48</v>
      </c>
      <c r="B30" s="112">
        <v>2924829.9599999995</v>
      </c>
      <c r="D30" s="112">
        <v>2947525.046803216</v>
      </c>
      <c r="F30" s="112">
        <v>2967975.4409750579</v>
      </c>
      <c r="H30" s="112">
        <v>2985554.4768826333</v>
      </c>
      <c r="J30" s="112">
        <v>2999443.7913005324</v>
      </c>
      <c r="L30" s="112">
        <v>3008573.5044218819</v>
      </c>
      <c r="N30" s="112">
        <v>3011543.8597659506</v>
      </c>
      <c r="P30" s="112">
        <v>3006537.3495043144</v>
      </c>
      <c r="R30" s="112">
        <v>2991218.488309416</v>
      </c>
      <c r="T30" s="112">
        <v>2962657.565733755</v>
      </c>
      <c r="V30" s="112">
        <v>2917329.8942964054</v>
      </c>
      <c r="X30" s="112">
        <v>2851341.1921269945</v>
      </c>
      <c r="Z30" s="112">
        <v>2761112.8436632138</v>
      </c>
      <c r="AB30" s="112">
        <v>2644976.8831910873</v>
      </c>
      <c r="AD30" s="112">
        <v>2506408.5474973177</v>
      </c>
      <c r="AF30" s="112">
        <v>2360187.8812991083</v>
      </c>
      <c r="AH30" s="112">
        <v>2243778.9625509866</v>
      </c>
      <c r="AJ30" s="112">
        <v>2239628.5046809008</v>
      </c>
      <c r="AL30" s="112">
        <v>2529814.5194995869</v>
      </c>
      <c r="AN30" s="112">
        <v>3452967.5804446591</v>
      </c>
      <c r="AP30" s="112">
        <v>3766014.2554471986</v>
      </c>
      <c r="AR30" s="112">
        <v>4154165.0945820562</v>
      </c>
      <c r="AT30" s="112">
        <v>4655708.4526173174</v>
      </c>
      <c r="AV30" s="112">
        <v>5345523.0873642918</v>
      </c>
      <c r="AX30">
        <v>166332.97935953378</v>
      </c>
    </row>
    <row r="31" spans="1:51" x14ac:dyDescent="0.2">
      <c r="A31" t="s">
        <v>47</v>
      </c>
      <c r="B31" s="77">
        <v>1</v>
      </c>
      <c r="D31" s="77">
        <v>0.98832029808171684</v>
      </c>
      <c r="F31" s="77">
        <v>0.97548502887114275</v>
      </c>
      <c r="H31" s="77">
        <v>0.96129056733561735</v>
      </c>
      <c r="J31" s="77">
        <v>0.94548600928686866</v>
      </c>
      <c r="L31" s="77">
        <v>0.92776020911596147</v>
      </c>
      <c r="N31" s="77">
        <v>0.90772492437162022</v>
      </c>
      <c r="P31" s="77">
        <v>0.88489683376294892</v>
      </c>
      <c r="R31" s="77">
        <v>0.85867717135546451</v>
      </c>
      <c r="T31" s="77">
        <v>0.82833653367129378</v>
      </c>
      <c r="V31" s="77">
        <v>0.79301410076928014</v>
      </c>
      <c r="X31" s="77">
        <v>0.75175631858072334</v>
      </c>
      <c r="Z31" s="77">
        <v>0.70362742042761672</v>
      </c>
      <c r="AB31" s="77">
        <v>0.64794318347737589</v>
      </c>
      <c r="AD31" s="77">
        <v>0.58467572591309758</v>
      </c>
      <c r="AF31" s="77">
        <v>0.51503727639463259</v>
      </c>
      <c r="AH31" s="77">
        <v>0.44195758366189286</v>
      </c>
      <c r="AJ31" s="77">
        <v>0.36907271897858795</v>
      </c>
      <c r="AL31" s="77">
        <v>0.29523332431932636</v>
      </c>
      <c r="AN31" s="77">
        <v>0.20386767442293616</v>
      </c>
      <c r="AP31" s="77">
        <v>0.17995391063525931</v>
      </c>
      <c r="AR31" s="77">
        <v>0.1524940511452213</v>
      </c>
      <c r="AT31" s="77">
        <v>0.11975401432011709</v>
      </c>
      <c r="AV31" s="77">
        <v>7.7692453171667383E-2</v>
      </c>
      <c r="AX31">
        <v>3.0345040070762268E-2</v>
      </c>
    </row>
    <row r="32" spans="1:51" x14ac:dyDescent="0.2">
      <c r="A32" t="s">
        <v>64</v>
      </c>
      <c r="B32" s="83">
        <v>14734457.915000005</v>
      </c>
      <c r="D32" s="83">
        <v>14638531.733962674</v>
      </c>
      <c r="F32" s="83">
        <v>14530631.326344157</v>
      </c>
      <c r="H32" s="83">
        <v>14408132.306067578</v>
      </c>
      <c r="J32" s="83">
        <v>14267729.014876159</v>
      </c>
      <c r="L32" s="83">
        <v>14105239.260102192</v>
      </c>
      <c r="N32" s="83">
        <v>13915351.185601084</v>
      </c>
      <c r="P32" s="83">
        <v>13691354.53934527</v>
      </c>
      <c r="R32" s="83">
        <v>13424848.900331767</v>
      </c>
      <c r="T32" s="83">
        <v>13105558.200722372</v>
      </c>
      <c r="V32" s="83">
        <v>12721447.38053376</v>
      </c>
      <c r="X32" s="83">
        <v>12259641.48996266</v>
      </c>
      <c r="Z32" s="83">
        <v>11708911.000004878</v>
      </c>
      <c r="AB32" s="83">
        <v>11065121.997564642</v>
      </c>
      <c r="AD32" s="83">
        <v>10341756.984018549</v>
      </c>
      <c r="AF32" s="83">
        <v>9588787.4263033308</v>
      </c>
      <c r="AH32" s="83">
        <v>8923698.5408621319</v>
      </c>
      <c r="AJ32" s="83">
        <v>8577986.3421947826</v>
      </c>
      <c r="AL32" s="83">
        <v>8969643.3322253805</v>
      </c>
      <c r="AN32" s="83">
        <v>10561850.244227406</v>
      </c>
      <c r="AP32" s="83">
        <v>11031668.032229327</v>
      </c>
      <c r="AR32" s="83">
        <v>11544196.650825949</v>
      </c>
      <c r="AT32" s="83">
        <v>12070782.116560828</v>
      </c>
      <c r="AV32" s="83">
        <v>12444288.233937245</v>
      </c>
      <c r="AX32">
        <v>571742.26441154757</v>
      </c>
    </row>
    <row r="33" spans="1:51 16319:16384" x14ac:dyDescent="0.2">
      <c r="A33" t="s">
        <v>54</v>
      </c>
      <c r="B33" s="111">
        <v>7019665.6909999941</v>
      </c>
      <c r="D33" s="111">
        <v>6949157.0756764337</v>
      </c>
      <c r="F33" s="111">
        <v>6872865.0122727072</v>
      </c>
      <c r="H33" s="111">
        <v>6789602.3438748382</v>
      </c>
      <c r="J33" s="111">
        <v>6697890.6253077257</v>
      </c>
      <c r="L33" s="111">
        <v>6595879.587530775</v>
      </c>
      <c r="N33" s="111">
        <v>6481244.1883421205</v>
      </c>
      <c r="P33" s="111">
        <v>6351076.3679380231</v>
      </c>
      <c r="R33" s="111">
        <v>6201770.4919183422</v>
      </c>
      <c r="T33" s="111">
        <v>6028959.7608028501</v>
      </c>
      <c r="V33" s="111">
        <v>5827586.449683398</v>
      </c>
      <c r="X33" s="111">
        <v>5592311.9176613558</v>
      </c>
      <c r="Z33" s="111">
        <v>5318588.5831547854</v>
      </c>
      <c r="AB33" s="111">
        <v>5004952.1449980792</v>
      </c>
      <c r="AD33" s="111">
        <v>4657347.2656821832</v>
      </c>
      <c r="AF33" s="111">
        <v>4296693.7286821315</v>
      </c>
      <c r="AH33" s="111">
        <v>3970557.2077694777</v>
      </c>
      <c r="AJ33" s="111">
        <v>3767532.1636010036</v>
      </c>
      <c r="AL33" s="111">
        <v>3827846.6991378414</v>
      </c>
      <c r="AN33" s="111">
        <v>4225533.6004826836</v>
      </c>
      <c r="AP33" s="111">
        <v>4318718.6533920132</v>
      </c>
      <c r="AR33" s="111">
        <v>4392649.0460541984</v>
      </c>
      <c r="AT33" s="111">
        <v>4407534.1245993217</v>
      </c>
      <c r="AV33" s="111">
        <v>4219519.7291768026</v>
      </c>
      <c r="AX33">
        <v>240976.06592282013</v>
      </c>
    </row>
    <row r="34" spans="1:51 16319:16384" x14ac:dyDescent="0.2">
      <c r="A34" t="s">
        <v>75</v>
      </c>
      <c r="B34" s="111">
        <v>1136879.4410000113</v>
      </c>
      <c r="D34" s="111">
        <v>1137846.1053472287</v>
      </c>
      <c r="F34" s="111">
        <v>1134768.8264125166</v>
      </c>
      <c r="H34" s="111">
        <v>1126672.3200562072</v>
      </c>
      <c r="J34" s="111">
        <v>1112297.1749921481</v>
      </c>
      <c r="L34" s="111">
        <v>1090007.5434374623</v>
      </c>
      <c r="N34" s="111">
        <v>1057664.2703371302</v>
      </c>
      <c r="P34" s="111">
        <v>1012474.9214367747</v>
      </c>
      <c r="R34" s="111">
        <v>950801.43703781487</v>
      </c>
      <c r="T34" s="111">
        <v>867950.43625685934</v>
      </c>
      <c r="V34" s="111">
        <v>757975.94787605316</v>
      </c>
      <c r="X34" s="111">
        <v>613611.4929428522</v>
      </c>
      <c r="Z34" s="111">
        <v>426450.33732711879</v>
      </c>
      <c r="AB34" s="111">
        <v>187587.09443336714</v>
      </c>
      <c r="AD34" s="111">
        <v>-111199.76625000744</v>
      </c>
      <c r="AF34" s="111">
        <v>-476200.73008352786</v>
      </c>
      <c r="AH34" s="111">
        <v>-913256.9321521665</v>
      </c>
      <c r="AJ34" s="111">
        <v>-1445598.1207971848</v>
      </c>
      <c r="AL34" s="111">
        <v>-2207252.5736609744</v>
      </c>
      <c r="AN34" s="111">
        <v>-3928672.0372026409</v>
      </c>
      <c r="AP34" s="111">
        <v>-4642740.3264638279</v>
      </c>
      <c r="AR34" s="111">
        <v>-5682586.365764481</v>
      </c>
      <c r="AT34" s="111">
        <v>-7364791.2126646889</v>
      </c>
      <c r="AV34" s="111">
        <v>-10741222.973782355</v>
      </c>
      <c r="AX34">
        <v>44114.416778825347</v>
      </c>
    </row>
    <row r="35" spans="1:51 16319:16384" x14ac:dyDescent="0.2">
      <c r="A35" t="s">
        <v>78</v>
      </c>
      <c r="B35" s="192">
        <v>1</v>
      </c>
      <c r="D35" s="192">
        <v>1.0016552508043648</v>
      </c>
      <c r="F35" s="192">
        <v>1.0036984655006744</v>
      </c>
      <c r="H35" s="192">
        <v>1.0061952655180326</v>
      </c>
      <c r="J35" s="192">
        <v>1.0092287825670412</v>
      </c>
      <c r="L35" s="192">
        <v>1.0129061678513376</v>
      </c>
      <c r="N35" s="192">
        <v>1.0173684454097034</v>
      </c>
      <c r="P35" s="192">
        <v>1.0228049766880629</v>
      </c>
      <c r="R35" s="192">
        <v>1.0294766363747494</v>
      </c>
      <c r="T35" s="192">
        <v>1.0377535852377688</v>
      </c>
      <c r="V35" s="192">
        <v>1.0481804709994929</v>
      </c>
      <c r="X35" s="192">
        <v>1.061593429295929</v>
      </c>
      <c r="Z35" s="192">
        <v>1.0793460674123385</v>
      </c>
      <c r="AB35" s="192">
        <v>1.1037712504764519</v>
      </c>
      <c r="AD35" s="192">
        <v>1.1391886947926173</v>
      </c>
      <c r="AF35" s="192">
        <v>1.1942589345798127</v>
      </c>
      <c r="AH35" s="192">
        <v>1.2879884779971835</v>
      </c>
      <c r="AJ35" s="192">
        <v>1.4680985484879192</v>
      </c>
      <c r="AL35" s="192">
        <v>1.8832859688771666</v>
      </c>
      <c r="AN35" s="192">
        <v>3.1389461201654432</v>
      </c>
      <c r="AP35" s="192">
        <v>3.7104213755045699</v>
      </c>
      <c r="AR35" s="192">
        <v>4.5966527317082466</v>
      </c>
      <c r="AT35" s="192">
        <v>6.194529782046919</v>
      </c>
      <c r="AV35" s="192">
        <v>10.197049878088983</v>
      </c>
      <c r="AX35">
        <v>1.1640049791785474</v>
      </c>
    </row>
    <row r="36" spans="1:51 16319:16384" x14ac:dyDescent="0.2">
      <c r="A36" t="s">
        <v>21</v>
      </c>
      <c r="B36" s="35">
        <v>0.47195767671988198</v>
      </c>
      <c r="C36" s="36">
        <v>0.31738834428178964</v>
      </c>
      <c r="D36" s="35">
        <v>0.47198038868541892</v>
      </c>
      <c r="E36" s="36">
        <v>0.3196221369715056</v>
      </c>
      <c r="F36" s="35">
        <v>0.47200080593089128</v>
      </c>
      <c r="G36" s="36">
        <v>0.32203564718868005</v>
      </c>
      <c r="H36" s="35">
        <v>0.47201811080783912</v>
      </c>
      <c r="I36" s="36">
        <v>0.32464560320762309</v>
      </c>
      <c r="J36" s="35">
        <v>0.47203122488689286</v>
      </c>
      <c r="K36" s="36">
        <v>0.32746910515761296</v>
      </c>
      <c r="L36" s="35">
        <v>0.47203871111371337</v>
      </c>
      <c r="M36" s="36">
        <v>0.33052277352826559</v>
      </c>
      <c r="N36" s="35">
        <v>0.47203863858192996</v>
      </c>
      <c r="O36" s="36">
        <v>0.3338212928429552</v>
      </c>
      <c r="P36" s="35">
        <v>0.47202841898055725</v>
      </c>
      <c r="Q36" s="36">
        <v>0.33737522993209274</v>
      </c>
      <c r="R36" s="35">
        <v>0.47200460868474664</v>
      </c>
      <c r="S36" s="36">
        <v>0.34118764266582036</v>
      </c>
      <c r="T36" s="35">
        <v>0.47196274669517996</v>
      </c>
      <c r="U36" s="36">
        <v>0.34524946943970464</v>
      </c>
      <c r="V36" s="35">
        <v>0.47189738275568727</v>
      </c>
      <c r="W36" s="36">
        <v>0.34953371197846123</v>
      </c>
      <c r="X36" s="35">
        <v>0.47180280272644742</v>
      </c>
      <c r="Y36" s="36">
        <v>0.35399054707553829</v>
      </c>
      <c r="Z36" s="35">
        <v>0.47167569295645234</v>
      </c>
      <c r="AA36" s="36">
        <v>0.3585482500162982</v>
      </c>
      <c r="AB36" s="35">
        <v>0.47152313223864906</v>
      </c>
      <c r="AC36" s="36">
        <v>0.36313419445294998</v>
      </c>
      <c r="AD36" s="35">
        <v>0.47138497832508242</v>
      </c>
      <c r="AE36" s="36">
        <v>0.36775116382349871</v>
      </c>
      <c r="AF36" s="35">
        <v>0.47139529155292864</v>
      </c>
      <c r="AG36" s="36">
        <v>0.37270074096125577</v>
      </c>
      <c r="AH36" s="35">
        <v>0.47194713786403486</v>
      </c>
      <c r="AI36" s="36">
        <v>0.37919553598936934</v>
      </c>
      <c r="AJ36" s="35">
        <v>0.47413496836695174</v>
      </c>
      <c r="AK36" s="36">
        <v>0.39100131365332869</v>
      </c>
      <c r="AL36" s="35">
        <v>0.48110678455690609</v>
      </c>
      <c r="AM36" s="36">
        <v>0.41909542862560711</v>
      </c>
      <c r="AN36" s="35">
        <v>0.50310363979898809</v>
      </c>
      <c r="AO36" s="36">
        <v>0.49566547239617698</v>
      </c>
      <c r="AP36" s="35">
        <v>0.51244622332087431</v>
      </c>
      <c r="AQ36" s="36">
        <v>0.52560279076537908</v>
      </c>
      <c r="AR36" s="35">
        <v>0.52612746159015455</v>
      </c>
      <c r="AS36" s="36">
        <v>0.56751798238505313</v>
      </c>
      <c r="AT36" s="35">
        <v>0.54878876050839431</v>
      </c>
      <c r="AU36" s="36">
        <v>0.63310553328772812</v>
      </c>
      <c r="AV36" s="35">
        <v>0.59795705309727565</v>
      </c>
      <c r="AW36" s="36">
        <v>0.76446705306808649</v>
      </c>
      <c r="AX36">
        <v>0.47225442819300384</v>
      </c>
      <c r="AY36">
        <v>0.43652058113546394</v>
      </c>
    </row>
    <row r="37" spans="1:51 16319:16384" x14ac:dyDescent="0.2">
      <c r="B37" s="37">
        <v>2.1403217525954466E-2</v>
      </c>
      <c r="C37" s="38">
        <v>0.3496246130199252</v>
      </c>
      <c r="D37" s="37">
        <v>2.080874814241572E-2</v>
      </c>
      <c r="E37" s="38">
        <v>0.3461272778006505</v>
      </c>
      <c r="F37" s="37">
        <v>2.0205501600919346E-2</v>
      </c>
      <c r="G37" s="38">
        <v>0.34255862513612462</v>
      </c>
      <c r="H37" s="37">
        <v>1.9594348807150285E-2</v>
      </c>
      <c r="I37" s="38">
        <v>0.33892330774210566</v>
      </c>
      <c r="J37" s="37">
        <v>1.8976515857302763E-2</v>
      </c>
      <c r="K37" s="38">
        <v>0.33522832356040377</v>
      </c>
      <c r="L37" s="37">
        <v>1.8353684612559523E-2</v>
      </c>
      <c r="M37" s="38">
        <v>0.33148370098965552</v>
      </c>
      <c r="N37" s="37">
        <v>1.7728128990930209E-2</v>
      </c>
      <c r="O37" s="38">
        <v>0.32770341589706525</v>
      </c>
      <c r="P37" s="37">
        <v>1.7102864027342818E-2</v>
      </c>
      <c r="Q37" s="38">
        <v>0.32390640064506804</v>
      </c>
      <c r="R37" s="37">
        <v>1.6481842068958034E-2</v>
      </c>
      <c r="S37" s="38">
        <v>0.32011784673122179</v>
      </c>
      <c r="T37" s="37">
        <v>1.5870135673894035E-2</v>
      </c>
      <c r="U37" s="38">
        <v>0.31637042008871008</v>
      </c>
      <c r="V37" s="37">
        <v>1.5274075050765234E-2</v>
      </c>
      <c r="W37" s="38">
        <v>0.31270516178114005</v>
      </c>
      <c r="X37" s="37">
        <v>1.4701089432808085E-2</v>
      </c>
      <c r="Y37" s="38">
        <v>0.30917047894426231</v>
      </c>
      <c r="Z37" s="37">
        <v>1.415889501093795E-2</v>
      </c>
      <c r="AA37" s="38">
        <v>0.30581692151195755</v>
      </c>
      <c r="AB37" s="37">
        <v>1.3653013623524297E-2</v>
      </c>
      <c r="AC37" s="38">
        <v>0.30268128791804677</v>
      </c>
      <c r="AD37" s="37">
        <v>1.3180297588185398E-2</v>
      </c>
      <c r="AE37" s="38">
        <v>0.29974529027619057</v>
      </c>
      <c r="AF37" s="37">
        <v>1.2712641925902012E-2</v>
      </c>
      <c r="AG37" s="38">
        <v>0.29683181533247177</v>
      </c>
      <c r="AH37" s="37">
        <v>1.2158284258791473E-2</v>
      </c>
      <c r="AI37" s="38">
        <v>0.29335869611842957</v>
      </c>
      <c r="AJ37" s="37">
        <v>1.128760842700071E-2</v>
      </c>
      <c r="AK37" s="38">
        <v>0.28786771041445497</v>
      </c>
      <c r="AL37" s="37">
        <v>9.6752624495471881E-3</v>
      </c>
      <c r="AM37" s="38">
        <v>0.27767953349865604</v>
      </c>
      <c r="AN37" s="37">
        <v>7.0015491507887931E-3</v>
      </c>
      <c r="AO37" s="38">
        <v>0.2610391549419761</v>
      </c>
      <c r="AP37" s="37">
        <v>6.3252437072498493E-3</v>
      </c>
      <c r="AQ37" s="38">
        <v>0.25694621293359893</v>
      </c>
      <c r="AR37" s="37">
        <v>5.5751334773516386E-3</v>
      </c>
      <c r="AS37" s="38">
        <v>0.25249738830768131</v>
      </c>
      <c r="AT37" s="37">
        <v>4.7078240577733575E-3</v>
      </c>
      <c r="AU37" s="38">
        <v>0.24751022940929573</v>
      </c>
      <c r="AV37" s="37">
        <v>3.6014047235416965E-3</v>
      </c>
      <c r="AW37" s="38">
        <v>0.24148731951670138</v>
      </c>
      <c r="AX37">
        <v>8.6691077328614856E-3</v>
      </c>
      <c r="AY37">
        <v>0.27100686365746035</v>
      </c>
    </row>
    <row r="38" spans="1:51 16319:16384" x14ac:dyDescent="0.2">
      <c r="A38" t="s">
        <v>22</v>
      </c>
      <c r="B38" s="35">
        <v>0.18079094942242827</v>
      </c>
      <c r="C38" s="36">
        <v>6.0565413429233668E-2</v>
      </c>
      <c r="D38" s="35">
        <v>0.18111995718556295</v>
      </c>
      <c r="E38" s="36">
        <v>6.0858649300589665E-2</v>
      </c>
      <c r="F38" s="35">
        <v>0.18147776623252129</v>
      </c>
      <c r="G38" s="36">
        <v>6.1176751041629097E-2</v>
      </c>
      <c r="H38" s="35">
        <v>0.18186761464881182</v>
      </c>
      <c r="I38" s="36">
        <v>6.1522209101781425E-2</v>
      </c>
      <c r="J38" s="35">
        <v>0.18229305037887247</v>
      </c>
      <c r="K38" s="36">
        <v>6.1897643871557349E-2</v>
      </c>
      <c r="L38" s="35">
        <v>0.18275789518769947</v>
      </c>
      <c r="M38" s="36">
        <v>6.2305725318300663E-2</v>
      </c>
      <c r="N38" s="35">
        <v>0.18326614451605286</v>
      </c>
      <c r="O38" s="36">
        <v>6.2748931950464895E-2</v>
      </c>
      <c r="P38" s="35">
        <v>0.18382179244089281</v>
      </c>
      <c r="Q38" s="36">
        <v>6.322934903168799E-2</v>
      </c>
      <c r="R38" s="35">
        <v>0.18442849309755294</v>
      </c>
      <c r="S38" s="36">
        <v>6.3748203496249073E-2</v>
      </c>
      <c r="T38" s="35">
        <v>0.18508900011258037</v>
      </c>
      <c r="U38" s="36">
        <v>6.4305306490890862E-2</v>
      </c>
      <c r="V38" s="35">
        <v>0.18580426227421787</v>
      </c>
      <c r="W38" s="36">
        <v>6.489813012309989E-2</v>
      </c>
      <c r="X38" s="35">
        <v>0.18657209971048908</v>
      </c>
      <c r="Y38" s="36">
        <v>6.5521124673078454E-2</v>
      </c>
      <c r="Z38" s="35">
        <v>0.18738523595911713</v>
      </c>
      <c r="AA38" s="36">
        <v>6.6165301919773489E-2</v>
      </c>
      <c r="AB38" s="35">
        <v>0.18822831147857136</v>
      </c>
      <c r="AC38" s="36">
        <v>6.6819951201223554E-2</v>
      </c>
      <c r="AD38" s="35">
        <v>0.18907245264992978</v>
      </c>
      <c r="AE38" s="36">
        <v>6.7479746609337546E-2</v>
      </c>
      <c r="AF38" s="35">
        <v>0.1898629281938497</v>
      </c>
      <c r="AG38" s="36">
        <v>6.8166538513291228E-2</v>
      </c>
      <c r="AH38" s="35">
        <v>0.19048880200991961</v>
      </c>
      <c r="AI38" s="36">
        <v>6.8989403854089346E-2</v>
      </c>
      <c r="AJ38" s="35">
        <v>0.19070457987529452</v>
      </c>
      <c r="AK38" s="36">
        <v>7.0304412338901695E-2</v>
      </c>
      <c r="AL38" s="35">
        <v>0.18986361131378565</v>
      </c>
      <c r="AM38" s="36">
        <v>7.3136931195022098E-2</v>
      </c>
      <c r="AN38" s="35">
        <v>0.18576026430337678</v>
      </c>
      <c r="AO38" s="36">
        <v>8.0151478723777494E-2</v>
      </c>
      <c r="AP38" s="35">
        <v>0.18387575854185692</v>
      </c>
      <c r="AQ38" s="36">
        <v>8.2677400160945463E-2</v>
      </c>
      <c r="AR38" s="35">
        <v>0.18110676542927015</v>
      </c>
      <c r="AS38" s="36">
        <v>8.6027993685665397E-2</v>
      </c>
      <c r="AT38" s="35">
        <v>0.17664805676746473</v>
      </c>
      <c r="AU38" s="36">
        <v>9.0875832943083393E-2</v>
      </c>
      <c r="AV38" s="35">
        <v>0.16797569040584867</v>
      </c>
      <c r="AW38" s="36">
        <v>9.93856525666061E-2</v>
      </c>
      <c r="AX38">
        <v>0.19167254360684816</v>
      </c>
      <c r="AY38">
        <v>7.6048930181777302E-2</v>
      </c>
    </row>
    <row r="39" spans="1:51 16319:16384" x14ac:dyDescent="0.2">
      <c r="A39" t="s">
        <v>23</v>
      </c>
      <c r="B39" s="37">
        <v>0.23064923795098771</v>
      </c>
      <c r="C39" s="38">
        <v>0.22092201281804777</v>
      </c>
      <c r="D39" s="37">
        <v>0.23076285172159666</v>
      </c>
      <c r="E39" s="38">
        <v>0.22184455761809918</v>
      </c>
      <c r="F39" s="37">
        <v>0.23088542063775916</v>
      </c>
      <c r="G39" s="38">
        <v>0.22284329817709916</v>
      </c>
      <c r="H39" s="37">
        <v>0.23101781491628945</v>
      </c>
      <c r="I39" s="38">
        <v>0.22392551979581959</v>
      </c>
      <c r="J39" s="37">
        <v>0.23116094233623202</v>
      </c>
      <c r="K39" s="38">
        <v>0.22509869214066494</v>
      </c>
      <c r="L39" s="37">
        <v>0.23131571632825398</v>
      </c>
      <c r="M39" s="38">
        <v>0.22637009530103036</v>
      </c>
      <c r="N39" s="37">
        <v>0.23148300429978408</v>
      </c>
      <c r="O39" s="38">
        <v>0.22774631029549769</v>
      </c>
      <c r="P39" s="37">
        <v>0.23166352935696882</v>
      </c>
      <c r="Q39" s="38">
        <v>0.22923220856626303</v>
      </c>
      <c r="R39" s="37">
        <v>0.23185772304613683</v>
      </c>
      <c r="S39" s="38">
        <v>0.23082957287438274</v>
      </c>
      <c r="T39" s="37">
        <v>0.23206551978991982</v>
      </c>
      <c r="U39" s="38">
        <v>0.23253507449604868</v>
      </c>
      <c r="V39" s="37">
        <v>0.23228607004364071</v>
      </c>
      <c r="W39" s="38">
        <v>0.2343379458041229</v>
      </c>
      <c r="X39" s="37">
        <v>0.23251743977605732</v>
      </c>
      <c r="Y39" s="38">
        <v>0.23621766277476547</v>
      </c>
      <c r="Z39" s="37">
        <v>0.23275645527716776</v>
      </c>
      <c r="AA39" s="38">
        <v>0.23814423782560876</v>
      </c>
      <c r="AB39" s="37">
        <v>0.23299913378110707</v>
      </c>
      <c r="AC39" s="38">
        <v>0.24008632440774649</v>
      </c>
      <c r="AD39" s="37">
        <v>0.23324277947021421</v>
      </c>
      <c r="AE39" s="38">
        <v>0.24204164821739066</v>
      </c>
      <c r="AF39" s="37">
        <v>0.23349249977478959</v>
      </c>
      <c r="AG39" s="38">
        <v>0.24412611864507355</v>
      </c>
      <c r="AH39" s="37">
        <v>0.23377936091902568</v>
      </c>
      <c r="AI39" s="38">
        <v>0.24681828993157162</v>
      </c>
      <c r="AJ39" s="37">
        <v>0.23420921345506521</v>
      </c>
      <c r="AK39" s="38">
        <v>0.25161158077807527</v>
      </c>
      <c r="AL39" s="37">
        <v>0.23509613730201626</v>
      </c>
      <c r="AM39" s="38">
        <v>0.26282417262379332</v>
      </c>
      <c r="AN39" s="37">
        <v>0.23733705082536127</v>
      </c>
      <c r="AO39" s="38">
        <v>0.29257990059645539</v>
      </c>
      <c r="AP39" s="37">
        <v>0.23819093646031775</v>
      </c>
      <c r="AQ39" s="38">
        <v>0.30388817465084261</v>
      </c>
      <c r="AR39" s="37">
        <v>0.23938022265187819</v>
      </c>
      <c r="AS39" s="38">
        <v>0.31940609117928975</v>
      </c>
      <c r="AT39" s="37">
        <v>0.2412450576638899</v>
      </c>
      <c r="AU39" s="38">
        <v>0.34296499328651137</v>
      </c>
      <c r="AV39" s="37">
        <v>0.24506683462176884</v>
      </c>
      <c r="AW39" s="38">
        <v>0.38767643804186602</v>
      </c>
      <c r="AX39">
        <v>0.24828461542653305</v>
      </c>
      <c r="AY39">
        <v>0.27952116831691409</v>
      </c>
    </row>
    <row r="40" spans="1:51 16319:16384" x14ac:dyDescent="0.2">
      <c r="B40" s="126"/>
      <c r="C40" s="126"/>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126"/>
      <c r="AB40" s="126"/>
      <c r="AC40" s="126"/>
      <c r="AD40" s="126"/>
      <c r="AE40" s="126"/>
      <c r="AF40" s="126"/>
      <c r="AG40" s="126"/>
      <c r="AH40" s="126"/>
      <c r="AI40" s="126"/>
      <c r="AJ40" s="126"/>
      <c r="AK40" s="126"/>
      <c r="AL40" s="126"/>
      <c r="AM40" s="126"/>
      <c r="AN40" s="126"/>
      <c r="AO40" s="126"/>
      <c r="AP40" s="126"/>
      <c r="AQ40" s="126"/>
      <c r="AR40" s="126"/>
      <c r="AS40" s="126"/>
      <c r="AT40" s="126"/>
      <c r="AU40" s="126"/>
    </row>
    <row r="41" spans="1:51 16319:16384" x14ac:dyDescent="0.2">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126"/>
      <c r="AB41" s="126"/>
      <c r="AC41" s="126"/>
      <c r="AD41" s="126"/>
      <c r="AE41" s="126"/>
      <c r="AF41" s="126"/>
      <c r="AG41" s="126"/>
      <c r="AH41" s="126"/>
      <c r="AI41" s="126"/>
      <c r="AJ41" s="126"/>
      <c r="AK41" s="126"/>
      <c r="AL41" s="126"/>
      <c r="AM41" s="126"/>
      <c r="AN41" s="126"/>
      <c r="AO41" s="126"/>
      <c r="AP41" s="126"/>
      <c r="AQ41" s="126"/>
      <c r="AR41" s="126"/>
      <c r="AS41" s="126"/>
      <c r="AT41" s="126"/>
      <c r="AU41" s="126"/>
    </row>
    <row r="42" spans="1:51 16319:16384" x14ac:dyDescent="0.2">
      <c r="A42" t="s">
        <v>94</v>
      </c>
      <c r="B42" s="167">
        <f>6.1%+(1-6.1%)*(1-SUM(B26:C26)/SUM($B$26:$C$26))</f>
        <v>6.0999999999999999E-2</v>
      </c>
      <c r="C42" s="126"/>
      <c r="D42" s="167">
        <f>6.1%+(1-6.1%)*(1-SUM(D26:E26)/SUM($B$26:$C$26))</f>
        <v>6.5765194734295943E-2</v>
      </c>
      <c r="E42" s="126"/>
      <c r="F42" s="167">
        <f>6.1%+(1-6.1%)*(1-SUM(F26:G26)/SUM($B$26:$C$26))</f>
        <v>7.1330962237345918E-2</v>
      </c>
      <c r="G42" s="126"/>
      <c r="H42" s="167">
        <f>6.1%+(1-6.1%)*(1-SUM(H26:I26)/SUM($B$26:$C$26))</f>
        <v>7.788660514961504E-2</v>
      </c>
      <c r="I42" s="126"/>
      <c r="J42" s="167">
        <f>6.1%+(1-6.1%)*(1-SUM(J26:K26)/SUM($B$26:$C$26))</f>
        <v>8.5675975895819059E-2</v>
      </c>
      <c r="K42" s="126"/>
      <c r="L42" s="167">
        <f>6.1%+(1-6.1%)*(1-SUM(L26:M26)/SUM($B$26:$C$26))</f>
        <v>9.501525048959561E-2</v>
      </c>
      <c r="M42" s="126"/>
      <c r="N42" s="167">
        <f>6.1%+(1-6.1%)*(1-SUM(N26:O26)/SUM($B$26:$C$26))</f>
        <v>0.10631697096591666</v>
      </c>
      <c r="O42" s="126"/>
      <c r="P42" s="167">
        <f>6.1%+(1-6.1%)*(1-SUM(P26:Q26)/SUM($B$26:$C$26))</f>
        <v>0.12011819371454455</v>
      </c>
      <c r="Q42" s="126"/>
      <c r="R42" s="167">
        <f>6.1%+(1-6.1%)*(1-SUM(R26:S26)/SUM($B$26:$C$26))</f>
        <v>0.13711511450263145</v>
      </c>
      <c r="S42" s="126"/>
      <c r="T42" s="167">
        <f>6.1%+(1-6.1%)*(1-SUM(T26:U26)/SUM($B$26:$C$26))</f>
        <v>0.15819718538094713</v>
      </c>
      <c r="U42" s="126"/>
      <c r="V42" s="167">
        <f>6.1%+(1-6.1%)*(1-SUM(V26:W26)/SUM($B$26:$C$26))</f>
        <v>0.18447012997912809</v>
      </c>
      <c r="W42" s="126"/>
      <c r="X42" s="167">
        <f>6.1%+(1-6.1%)*(1-SUM(X26:Y26)/SUM($B$26:$C$26))</f>
        <v>0.21723725860056606</v>
      </c>
      <c r="Y42" s="152"/>
      <c r="Z42" s="167">
        <f>6.1%+(1-6.1%)*(1-SUM(Z26:AA26)/SUM($B$26:$C$26))</f>
        <v>0.25789595982104996</v>
      </c>
      <c r="AA42" s="126"/>
      <c r="AB42" s="167">
        <f>6.1%+(1-6.1%)*(1-SUM(AB26:AC26)/SUM($B$26:$C$26))</f>
        <v>0.30767568596641004</v>
      </c>
      <c r="AC42" s="126"/>
      <c r="AD42" s="167">
        <f>6.1%+(1-6.1%)*(1-SUM(AD26:AE26)/SUM($B$26:$C$26))</f>
        <v>0.36714003122064126</v>
      </c>
      <c r="AE42" s="126"/>
      <c r="AF42" s="167">
        <f>6.1%+(1-6.1%)*(1-SUM(AF26:AG26)/SUM($B$26:$C$26))</f>
        <v>0.43542322226702351</v>
      </c>
      <c r="AG42" s="126"/>
      <c r="AH42" s="167">
        <f>6.1%+(1-6.1%)*(1-SUM(AH26:AI26)/SUM($B$26:$C$26))</f>
        <v>0.50950472362457033</v>
      </c>
      <c r="AI42" s="126"/>
      <c r="AJ42" s="167">
        <f>6.1%+(1-6.1%)*(1-SUM(AJ26:AK26)/SUM($B$26:$C$26))</f>
        <v>0.58514428829926102</v>
      </c>
      <c r="AK42" s="126"/>
      <c r="AL42" s="167">
        <f>6.1%+(1-6.1%)*(1-SUM(AL26:AM26)/SUM($B$26:$C$26))</f>
        <v>0.66327192687599212</v>
      </c>
      <c r="AM42" s="126"/>
      <c r="AN42" s="167">
        <f>6.1%+(1-6.1%)*(1-SUM(AN26:AO26)/SUM($B$26:$C$26))</f>
        <v>0.76414490092440612</v>
      </c>
      <c r="AO42" s="126"/>
      <c r="AP42" s="167">
        <f>6.1%+(1-6.1%)*(1-SUM(AP26:AQ26)/SUM($B$26:$C$26))</f>
        <v>0.79165530295828002</v>
      </c>
      <c r="AQ42" s="126"/>
      <c r="AR42" s="167">
        <f>6.1%+(1-6.1%)*(1-SUM(AR26:AS26)/SUM($B$26:$C$26))</f>
        <v>0.82379621549921755</v>
      </c>
      <c r="AS42" s="126"/>
      <c r="AT42" s="167">
        <f>6.1%+(1-6.1%)*(1-SUM(AT26:AU26)/SUM($B$26:$C$26))</f>
        <v>0.86275326070340275</v>
      </c>
      <c r="AU42" s="126"/>
      <c r="AV42" s="167">
        <f>6.1%+(1-6.1%)*(1-SUM(AV26:AW26)/SUM($B$26:$C$26))</f>
        <v>0.91326957890450644</v>
      </c>
      <c r="XFD42" s="167"/>
    </row>
    <row r="43" spans="1:51 16319:16384" x14ac:dyDescent="0.2">
      <c r="A43" t="s">
        <v>95</v>
      </c>
      <c r="B43" s="152">
        <f>SUM(B15:C15*B27:C27)/SUM(B15:C15*B27:C27,B13:C13*B26:C26)</f>
        <v>0.56058995943839207</v>
      </c>
      <c r="C43" s="126"/>
      <c r="D43" s="152">
        <f t="array" ref="D43">SUM(D15:E15*D27:E27)/SUM(D15:E15*D27:E27,D13:E13*D26:E26)</f>
        <v>0.56757261837179762</v>
      </c>
      <c r="E43" s="126"/>
      <c r="F43" s="152">
        <f t="array" ref="F43">SUM(F15:G15*F27:G27)/SUM(F15:G15*F27:G27,F13:G13*F26:G26)</f>
        <v>0.56801451793620417</v>
      </c>
      <c r="G43" s="126"/>
      <c r="H43" s="152">
        <f t="array" ref="H43">SUM(H15:I15*H27:I27)/SUM(H15:I15*H27:I27,H13:I13*H26:I26)</f>
        <v>0.56853403925139623</v>
      </c>
      <c r="I43" s="126"/>
      <c r="J43" s="152">
        <f t="array" ref="J43">SUM(J15:K15*J27:K27)/SUM(J15:K15*J27:K27,J13:K13*J26:K26)</f>
        <v>0.56913976333803395</v>
      </c>
      <c r="K43" s="126"/>
      <c r="L43" s="152">
        <f t="array" ref="L43">SUM(L15:M15*L27:M27)/SUM(L15:M15*L27:M27,L13:M13*L26:M26)</f>
        <v>0.56984101791122899</v>
      </c>
      <c r="M43" s="126"/>
      <c r="N43" s="152">
        <f t="array" ref="N43">SUM(N15:O15*N27:O27)/SUM(N15:O15*N27:O27,N13:O13*N26:O26)</f>
        <v>0.57064777607693096</v>
      </c>
      <c r="O43" s="126"/>
      <c r="P43" s="152">
        <f t="array" ref="P43">SUM(P15:Q15*P27:Q27)/SUM(P15:Q15*P27:Q27,P13:Q13*P26:Q26)</f>
        <v>0.57157029337557852</v>
      </c>
      <c r="Q43" s="126"/>
      <c r="R43" s="152">
        <f t="array" ref="R43">SUM(R15:S15*R27:S27)/SUM(R15:S15*R27:S27,R13:S13*R26:S26)</f>
        <v>0.57261845320991289</v>
      </c>
      <c r="S43" s="126"/>
      <c r="T43" s="152">
        <f t="array" ref="T43">SUM(T15:U15*T27:U27)/SUM(T15:U15*T27:U27,T13:U13*T26:U26)</f>
        <v>0.57380054314912943</v>
      </c>
      <c r="U43" s="126"/>
      <c r="V43" s="152">
        <f t="array" ref="V43">SUM(V15:W15*V27:W27)/SUM(V15:W15*V27:W27,V13:W13*V26:W26)</f>
        <v>0.57512111993655501</v>
      </c>
      <c r="W43" s="126"/>
      <c r="X43" s="152">
        <f t="array" ref="X43">SUM(X15:Y15*X27:Y27)/SUM(X15:Y15*X27:Y27,X13:Y13*X26:Y26)</f>
        <v>0.57657734824088014</v>
      </c>
      <c r="Y43" s="126"/>
      <c r="Z43" s="152">
        <f t="array" ref="Z43">SUM(Z15:AA15*Z27:AA27)/SUM(Z15:AA15*Z27:AA27,Z13:AA13*Z26:AA26)</f>
        <v>0.57815277233014184</v>
      </c>
      <c r="AA43" s="126"/>
      <c r="AB43" s="152">
        <f t="array" ref="AB43">SUM(AB15:AC15*AB27:AC27)/SUM(AB15:AC15*AB27:AC27,AB13:AC13*AB26:AC26)</f>
        <v>0.57980577800986843</v>
      </c>
      <c r="AC43" s="126"/>
      <c r="AD43" s="152">
        <f t="array" ref="AD43">SUM(AD15:AE15*AD27:AE27)/SUM(AD15:AE15*AD27:AE27,AD13:AE13*AD26:AE26)</f>
        <v>0.5814454156177471</v>
      </c>
      <c r="AE43" s="126"/>
      <c r="AF43" s="152">
        <f t="array" ref="AF43">SUM(AF15:AG15*AF27:AG27)/SUM(AF15:AG15*AF27:AG27,AF13:AG13*AF26:AG26)</f>
        <v>0.58287472837794463</v>
      </c>
      <c r="AG43" s="126"/>
      <c r="AH43" s="152">
        <f t="array" ref="AH43">SUM(AH15:AI15*AH27:AI27)/SUM(AH15:AI15*AH27:AI27,AH13:AI13*AH26:AI26)</f>
        <v>0.58365718789364851</v>
      </c>
      <c r="AI43" s="126"/>
      <c r="AJ43" s="152">
        <f t="array" ref="AJ43">SUM(AJ15:AK15*AJ27:AK27)/SUM(AJ15:AK15*AJ27:AK27,AJ13:AK13*AJ26:AK26)</f>
        <v>0.58280455995241387</v>
      </c>
      <c r="AK43" s="126"/>
      <c r="AL43" s="152">
        <f t="array" ref="AL43">SUM(AL15:AM15*AL27:AM27)/SUM(AL15:AM15*AL27:AM27,AL13:AM13*AL26:AM26)</f>
        <v>0.57777647055454273</v>
      </c>
      <c r="AM43" s="126"/>
      <c r="AN43" s="152">
        <f t="array" ref="AN43">SUM(AN15:AO15*AN27:AO27)/SUM(AN15:AO15*AN27:AO27,AN13:AO13*AN26:AO26)</f>
        <v>0.55974881452124325</v>
      </c>
      <c r="AO43" s="126"/>
      <c r="AP43" s="152">
        <f t="array" ref="AP43">SUM(AP15:AQ15*AP27:AQ27)/SUM(AP15:AQ15*AP27:AQ27,AP13:AQ13*AP26:AQ26)</f>
        <v>0.55180429177239543</v>
      </c>
      <c r="AQ43" s="126"/>
      <c r="AR43" s="152">
        <f t="array" ref="AR43">SUM(AR15:AS15*AR27:AS27)/SUM(AR15:AS15*AR27:AS27,AR13:AS13*AR26:AS26)</f>
        <v>0.54014705134451191</v>
      </c>
      <c r="AS43" s="126"/>
      <c r="AT43" s="152">
        <f t="array" ref="AT43">SUM(AT15:AU15*AT27:AU27)/SUM(AT15:AU15*AT27:AU27,AT13:AU13*AT26:AU26)</f>
        <v>0.5211532208272287</v>
      </c>
      <c r="AU43" s="126"/>
      <c r="AV43" s="152">
        <f t="array" ref="AV43">SUM(AV15:AW15*AV27:AW27)/SUM(AV15:AW15*AV27:AW27,AV13:AW13*AV26:AW26)</f>
        <v>0.48263908978231296</v>
      </c>
    </row>
    <row r="44" spans="1:51 16319:16384" x14ac:dyDescent="0.2">
      <c r="A44" t="s">
        <v>129</v>
      </c>
      <c r="B44" s="183">
        <f>(SUM(B11:C11*B24:C24)+B34)/B32</f>
        <v>0.29754226190682431</v>
      </c>
      <c r="D44" s="183">
        <f>(SUM(D11:E11*D24:E24)+D34)/D32</f>
        <v>0.29923698626585621</v>
      </c>
      <c r="F44" s="183">
        <f>(SUM(F11:G11*F24:G24)+F34)/F32</f>
        <v>0.30096230195434254</v>
      </c>
      <c r="H44" s="183">
        <f>(SUM(H11:I11*H24:I24)+H34)/H32</f>
        <v>0.30271975901465831</v>
      </c>
      <c r="J44" s="183">
        <f>(SUM(J11:K11*J24:K24)+J34)/J32</f>
        <v>0.30451043704797115</v>
      </c>
      <c r="L44" s="183">
        <f>(SUM(L11:M11*L24:M24)+L34)/L32</f>
        <v>0.306334674206788</v>
      </c>
      <c r="N44" s="183">
        <f>(SUM(N11:O11*N24:O24)+N34)/N32</f>
        <v>0.30819162372347414</v>
      </c>
      <c r="P44" s="183">
        <f>(SUM(P11:Q11*P24:Q24)+P34)/P32</f>
        <v>0.31007884795052265</v>
      </c>
      <c r="R44" s="183">
        <f>(SUM(R11:S11*R24:S24)+R34)/R32</f>
        <v>0.31199176234594556</v>
      </c>
      <c r="T44" s="183">
        <f>(SUM(T11:U11*T24:U24)+T34)/T32</f>
        <v>0.31392304600358711</v>
      </c>
      <c r="V44" s="183">
        <f>(SUM(V11:W11*V24:W24)+V34)/V32</f>
        <v>0.31586233183366486</v>
      </c>
      <c r="X44" s="183">
        <f>(SUM(X11:Y11*X24:Y24)+X34)/X32</f>
        <v>0.31779755936293386</v>
      </c>
      <c r="Z44" s="183">
        <f>(SUM(Z11:AA11*Z24:AA24)+Z34)/Z32</f>
        <v>0.31971953034016454</v>
      </c>
      <c r="AB44" s="183">
        <f>(SUM(AB11:AC11*AB24:AC24)+AB34)/AB32</f>
        <v>0.32163594967665488</v>
      </c>
      <c r="AD44" s="183">
        <f>(SUM(AD11:AE11*AD24:AE24)+AD34)/AD32</f>
        <v>0.32360988647703631</v>
      </c>
      <c r="AF44" s="183">
        <f>(SUM(AF11:AG11*AF24:AG24)+AF34)/AF32</f>
        <v>0.32585816690013347</v>
      </c>
      <c r="AH44" s="183">
        <f>(SUM(AH11:AI11*AH24:AI24)+AH34)/AH32</f>
        <v>0.3290085533268165</v>
      </c>
      <c r="AJ44" s="183">
        <f>(SUM(AJ11:AK11*AJ24:AK24)+AJ34)/AJ32</f>
        <v>0.3347444037082114</v>
      </c>
      <c r="AL44" s="183">
        <f>(SUM(AL11:AM11*AL24:AM24)+AL34)/AL32</f>
        <v>0.34719806420315535</v>
      </c>
      <c r="AN44" s="183">
        <f>(SUM(AN11:AO11*AN24:AO24)+AN34)/AN32</f>
        <v>0.37387866628932026</v>
      </c>
      <c r="AP44" s="183">
        <f>(SUM(AP11:AQ11*AP24:AQ24)+AP34)/AP32</f>
        <v>0.38247005600698147</v>
      </c>
      <c r="AR44" s="183">
        <f>(SUM(AR11:AS11*AR24:AS24)+AR34)/AR32</f>
        <v>0.39344667320633642</v>
      </c>
      <c r="AT44" s="183">
        <f>(SUM(AT11:AU11*AT24:AU24)+AT34)/AT32</f>
        <v>0.40881307116118953</v>
      </c>
      <c r="AV44" s="183">
        <f>(SUM(AV11:AW11*AV24:AW24)+AV34)/AV32</f>
        <v>0.43488098951409182</v>
      </c>
    </row>
    <row r="45" spans="1:51 16319:16384" x14ac:dyDescent="0.2">
      <c r="A45" t="s">
        <v>82</v>
      </c>
      <c r="B45" s="183">
        <f>SUM(B11:C11*B24:C24)/B32</f>
        <v>0.22038438833194082</v>
      </c>
      <c r="D45" s="183">
        <f>SUM(D11:E11*D24:E24)/D32</f>
        <v>0.22150746215604911</v>
      </c>
      <c r="F45" s="183">
        <f>SUM(F11:G11*F24:G24)/F32</f>
        <v>0.22286735886985509</v>
      </c>
      <c r="H45" s="183">
        <f>SUM(H11:I11*H24:I24)/H32</f>
        <v>0.22452278690733379</v>
      </c>
      <c r="J45" s="183">
        <f>SUM(J11:K11*J24:K24)/J32</f>
        <v>0.22655148690023433</v>
      </c>
      <c r="L45" s="183">
        <f>SUM(L11:M11*L24:M24)/L32</f>
        <v>0.22905788908194177</v>
      </c>
      <c r="N45" s="183">
        <f>SUM(N11:O11*N24:O24)/N32</f>
        <v>0.23218461130746351</v>
      </c>
      <c r="P45" s="183">
        <f>SUM(P11:Q11*P24:Q24)/P32</f>
        <v>0.23612890249208063</v>
      </c>
      <c r="R45" s="183">
        <f>SUM(R11:S11*R24:S24)/R32</f>
        <v>0.24116776692545949</v>
      </c>
      <c r="T45" s="183">
        <f>SUM(T11:U11*T24:U24)/T32</f>
        <v>0.24769538725273599</v>
      </c>
      <c r="V45" s="183">
        <f>SUM(V11:W11*V24:W24)/V32</f>
        <v>0.25627980751839702</v>
      </c>
      <c r="X45" s="183">
        <f>SUM(X11:Y11*X24:Y24)/X32</f>
        <v>0.26774621867362947</v>
      </c>
      <c r="Z45" s="183">
        <f>SUM(Z11:AA11*Z24:AA24)/Z32</f>
        <v>0.28329852267113864</v>
      </c>
      <c r="AB45" s="183">
        <f>SUM(AB11:AC11*AB24:AC24)/AB32</f>
        <v>0.3046829423374991</v>
      </c>
      <c r="AD45" s="183">
        <f>SUM(AD11:AE11*AD24:AE24)/AD32</f>
        <v>0.33436238882473679</v>
      </c>
      <c r="AF45" s="183">
        <f>SUM(AF11:AG11*AF24:AG24)/AF32</f>
        <v>0.37552041395102187</v>
      </c>
      <c r="AH45" s="183">
        <f>SUM(AH11:AI11*AH24:AI24)/AH32</f>
        <v>0.43134918350053991</v>
      </c>
      <c r="AJ45" s="183">
        <f>SUM(AJ11:AK11*AJ24:AK24)/AJ32</f>
        <v>0.50326858445752587</v>
      </c>
      <c r="AL45" s="183">
        <f>SUM(AL11:AM11*AL24:AM24)/AL32</f>
        <v>0.59327836995298855</v>
      </c>
      <c r="AN45" s="183">
        <f>SUM(AN11:AO11*AN24:AO24)/AN32</f>
        <v>0.74584682966579519</v>
      </c>
      <c r="AP45" s="183">
        <f>SUM(AP11:AQ11*AP24:AQ24)/AP32</f>
        <v>0.80332575189086164</v>
      </c>
      <c r="AR45" s="183">
        <f>SUM(AR11:AS11*AR24:AS24)/AR32</f>
        <v>0.88569282403380956</v>
      </c>
      <c r="AT45" s="183">
        <f>SUM(AT11:AU11*AT24:AU24)/AT32</f>
        <v>1.018946792534585</v>
      </c>
      <c r="AV45" s="183">
        <f>SUM(AV11:AW11*AV24:AW24)/AV32</f>
        <v>1.2980258132163907</v>
      </c>
      <c r="XCQ45" s="183"/>
    </row>
    <row r="46" spans="1:51 16319:16384" x14ac:dyDescent="0.2">
      <c r="A46" t="s">
        <v>126</v>
      </c>
      <c r="B46" s="183">
        <f>B34/B32</f>
        <v>7.7157873574883462E-2</v>
      </c>
      <c r="D46" s="183">
        <f>D34/D32</f>
        <v>7.7729524109807144E-2</v>
      </c>
      <c r="F46" s="183">
        <f>F34/F32</f>
        <v>7.8094943084487403E-2</v>
      </c>
      <c r="H46" s="183">
        <f>H34/H32</f>
        <v>7.8196972107324486E-2</v>
      </c>
      <c r="J46" s="183">
        <f>J34/J32</f>
        <v>7.795895014773678E-2</v>
      </c>
      <c r="L46" s="183">
        <f>L34/L32</f>
        <v>7.7276785124846245E-2</v>
      </c>
      <c r="N46" s="183">
        <f>N34/N32</f>
        <v>7.6007012416010655E-2</v>
      </c>
      <c r="P46" s="183">
        <f>P34/P32</f>
        <v>7.3949945458441968E-2</v>
      </c>
      <c r="R46" s="183">
        <f>R34/R32</f>
        <v>7.0823995420486091E-2</v>
      </c>
      <c r="T46" s="183">
        <f>T34/T32</f>
        <v>6.6227658750851098E-2</v>
      </c>
      <c r="V46" s="183">
        <f>V34/V32</f>
        <v>5.9582524315267844E-2</v>
      </c>
      <c r="X46" s="183">
        <f>X34/X32</f>
        <v>5.0051340689304377E-2</v>
      </c>
      <c r="Z46" s="183">
        <f>Z34/Z32</f>
        <v>3.6421007669025847E-2</v>
      </c>
      <c r="AB46" s="183">
        <f>AB34/AB32</f>
        <v>1.6953007339155751E-2</v>
      </c>
      <c r="AD46" s="183">
        <f>AD34/AD32</f>
        <v>-1.0752502347700494E-2</v>
      </c>
      <c r="AF46" s="183">
        <f>AF34/AF32</f>
        <v>-4.9662247050888349E-2</v>
      </c>
      <c r="AH46" s="183">
        <f>AH34/AH32</f>
        <v>-0.1023406301737234</v>
      </c>
      <c r="AJ46" s="183">
        <f>AJ34/AJ32</f>
        <v>-0.16852418074931452</v>
      </c>
      <c r="AL46" s="183">
        <f>AL34/AL32</f>
        <v>-0.24608030574983319</v>
      </c>
      <c r="AN46" s="183">
        <f>AN34/AN32</f>
        <v>-0.37196816337647487</v>
      </c>
      <c r="AP46" s="183">
        <f>AP34/AP32</f>
        <v>-0.42085569588388011</v>
      </c>
      <c r="AR46" s="183">
        <f>AR34/AR32</f>
        <v>-0.49224615082747319</v>
      </c>
      <c r="AT46" s="183">
        <f>AT34/AT32</f>
        <v>-0.6101337213733955</v>
      </c>
      <c r="AV46" s="183">
        <f>AV34/AV32</f>
        <v>-0.86314482370229884</v>
      </c>
      <c r="XCS46" s="183"/>
    </row>
    <row r="48" spans="1:51 16319:16384" x14ac:dyDescent="0.2">
      <c r="A48" t="s">
        <v>143</v>
      </c>
      <c r="B48" s="181">
        <f>B24/$B$24</f>
        <v>1</v>
      </c>
      <c r="C48" s="181"/>
      <c r="D48" s="181">
        <f>D24/$B$24</f>
        <v>1</v>
      </c>
      <c r="E48" s="181"/>
      <c r="F48" s="181">
        <f>F24/$B$24</f>
        <v>1</v>
      </c>
      <c r="G48" s="181"/>
      <c r="H48" s="181">
        <f>H24/$B$24</f>
        <v>1</v>
      </c>
      <c r="I48" s="181"/>
      <c r="J48" s="181">
        <f>J24/$B$24</f>
        <v>1</v>
      </c>
      <c r="K48" s="181"/>
      <c r="L48" s="181">
        <f>L24/$B$24</f>
        <v>1</v>
      </c>
      <c r="M48" s="181"/>
      <c r="N48" s="181">
        <f>N24/$B$24</f>
        <v>1</v>
      </c>
      <c r="O48" s="181"/>
      <c r="P48" s="181">
        <f>P24/$B$24</f>
        <v>1</v>
      </c>
      <c r="Q48" s="181"/>
      <c r="R48" s="181">
        <f>R24/$B$24</f>
        <v>1</v>
      </c>
      <c r="S48" s="181"/>
      <c r="T48" s="181">
        <f>T24/$B$24</f>
        <v>1</v>
      </c>
      <c r="U48" s="181"/>
      <c r="V48" s="181">
        <f>V24/$B$24</f>
        <v>1</v>
      </c>
      <c r="W48" s="181"/>
      <c r="X48" s="181">
        <f>X24/$B$24</f>
        <v>1</v>
      </c>
      <c r="Y48" s="181"/>
      <c r="Z48" s="181">
        <f>Z24/$B$24</f>
        <v>1</v>
      </c>
      <c r="AA48" s="181"/>
      <c r="AB48" s="181">
        <f>AB24/$B$24</f>
        <v>1</v>
      </c>
      <c r="AC48" s="181"/>
      <c r="AD48" s="181">
        <f>AD24/$B$24</f>
        <v>1</v>
      </c>
      <c r="AE48" s="181"/>
      <c r="AF48" s="181">
        <f>AF24/$B$24</f>
        <v>1</v>
      </c>
      <c r="AG48" s="181"/>
      <c r="AH48" s="181">
        <f>AH24/$B$24</f>
        <v>1</v>
      </c>
      <c r="AI48" s="181"/>
      <c r="AJ48" s="181">
        <f>AJ24/$B$24</f>
        <v>1</v>
      </c>
      <c r="AK48" s="181"/>
      <c r="AL48" s="181">
        <f>AL24/$B$24</f>
        <v>1</v>
      </c>
      <c r="AM48" s="181"/>
      <c r="AN48" s="181">
        <f>AN24/$B$24</f>
        <v>1</v>
      </c>
      <c r="AO48" s="181"/>
      <c r="AP48" s="181">
        <f>AP24/$B$24</f>
        <v>1</v>
      </c>
      <c r="AQ48" s="181"/>
      <c r="AR48" s="181">
        <f>AR24/$B$24</f>
        <v>1</v>
      </c>
      <c r="AS48" s="181"/>
      <c r="AT48" s="181">
        <f>AT24/$B$24</f>
        <v>1</v>
      </c>
      <c r="AU48" s="181"/>
      <c r="AV48" s="181">
        <f>AV24/$B$24</f>
        <v>1</v>
      </c>
    </row>
    <row r="49" spans="1:48 16321:16384" x14ac:dyDescent="0.2">
      <c r="A49" t="s">
        <v>144</v>
      </c>
      <c r="B49" s="181">
        <f>B13/B35/$B$13*$B$35</f>
        <v>1</v>
      </c>
      <c r="C49" s="181"/>
      <c r="D49" s="181">
        <f>D13/D35/$B$13*$B$35</f>
        <v>0.99250670070462721</v>
      </c>
      <c r="E49" s="181"/>
      <c r="F49" s="181">
        <f>F13/F35/$B$13*$B$35</f>
        <v>0.9844761229472998</v>
      </c>
      <c r="G49" s="181"/>
      <c r="H49" s="181">
        <f>H13/H35/$B$13*$B$35</f>
        <v>0.97585822152669921</v>
      </c>
      <c r="I49" s="181"/>
      <c r="J49" s="181">
        <f>J13/J35/$B$13*$B$35</f>
        <v>0.96660081470007486</v>
      </c>
      <c r="K49" s="181"/>
      <c r="L49" s="181">
        <f>L13/L35/$B$13*$B$35</f>
        <v>0.9566513388304102</v>
      </c>
      <c r="M49" s="181"/>
      <c r="N49" s="181">
        <f>N13/N35/$B$13*$B$35</f>
        <v>0.94595999272938025</v>
      </c>
      <c r="O49" s="181"/>
      <c r="P49" s="181">
        <f>P13/P35/$B$13*$B$35</f>
        <v>0.93448463900610523</v>
      </c>
      <c r="Q49" s="181"/>
      <c r="R49" s="181">
        <f>R13/R35/$B$13*$B$35</f>
        <v>0.92219876252353461</v>
      </c>
      <c r="S49" s="181"/>
      <c r="T49" s="181">
        <f>T13/T35/$B$13*$B$35</f>
        <v>0.90910304126842179</v>
      </c>
      <c r="U49" s="181"/>
      <c r="V49" s="181">
        <f>V13/V35/$B$13*$B$35</f>
        <v>0.89524185944825085</v>
      </c>
      <c r="W49" s="181"/>
      <c r="X49" s="181">
        <f>X13/X35/$B$13*$B$35</f>
        <v>0.88072343554101362</v>
      </c>
      <c r="Y49" s="181"/>
      <c r="Z49" s="181">
        <f>Z13/Z35/$B$13*$B$35</f>
        <v>0.86574208602244251</v>
      </c>
      <c r="AA49" s="181"/>
      <c r="AB49" s="181">
        <f>AB13/AB35/$B$13*$B$35</f>
        <v>0.85059666856697302</v>
      </c>
      <c r="AC49" s="181"/>
      <c r="AD49" s="181">
        <f>AD13/AD35/$B$13*$B$35</f>
        <v>0.83569884990348531</v>
      </c>
      <c r="AE49" s="181"/>
      <c r="AF49" s="181">
        <f>AF13/AF35/$B$13*$B$35</f>
        <v>0.82156480176661484</v>
      </c>
      <c r="AG49" s="181"/>
      <c r="AH49" s="181">
        <f>AH13/AH35/$B$13*$B$35</f>
        <v>0.80875720439753818</v>
      </c>
      <c r="AI49" s="181"/>
      <c r="AJ49" s="181">
        <f>AJ13/AJ35/$B$13*$B$35</f>
        <v>0.79763956256958302</v>
      </c>
      <c r="AK49" s="181"/>
      <c r="AL49" s="181">
        <f>AL13/AL35/$B$13*$B$35</f>
        <v>0.78770539789862426</v>
      </c>
      <c r="AM49" s="181"/>
      <c r="AN49" s="181">
        <f>AN13/AN35/$B$13*$B$35</f>
        <v>0.77663223343681376</v>
      </c>
      <c r="AO49" s="181"/>
      <c r="AP49" s="181">
        <f>AP13/AP35/$B$13*$B$35</f>
        <v>0.77389024256733441</v>
      </c>
      <c r="AQ49" s="181"/>
      <c r="AR49" s="181">
        <f>AR13/AR35/$B$13*$B$35</f>
        <v>0.77081650305429061</v>
      </c>
      <c r="AS49" s="181"/>
      <c r="AT49" s="181">
        <f>AT13/AT35/$B$13*$B$35</f>
        <v>0.76726311832725058</v>
      </c>
      <c r="AU49" s="181"/>
      <c r="AV49" s="181">
        <f>AV13/AV35/$B$13*$B$35</f>
        <v>0.76290960792873996</v>
      </c>
    </row>
    <row r="51" spans="1:48 16321:16384" x14ac:dyDescent="0.2">
      <c r="A51" t="s">
        <v>150</v>
      </c>
      <c r="B51" s="27">
        <f>B30-B10*B23</f>
        <v>-405838.32800000021</v>
      </c>
      <c r="D51" s="27">
        <f>D30-D10*D23</f>
        <v>-361459.49205493508</v>
      </c>
      <c r="F51" s="27">
        <f>F30-F10*F23</f>
        <v>-316618.6202699733</v>
      </c>
      <c r="H51" s="27">
        <f>H30-H10*H23</f>
        <v>-271349.14576601656</v>
      </c>
      <c r="J51" s="27">
        <f>J30-J10*J23</f>
        <v>-225722.20026594354</v>
      </c>
      <c r="L51" s="27">
        <f>L30-L10*L23</f>
        <v>-179862.29479733482</v>
      </c>
      <c r="N51" s="27">
        <f>N30-N10*N23</f>
        <v>-133968.46092024352</v>
      </c>
      <c r="P51" s="27">
        <f>P30-P10*P23</f>
        <v>-88341.37946059322</v>
      </c>
      <c r="R51" s="27">
        <f>R30-R10*R23</f>
        <v>-43417.652461472433</v>
      </c>
      <c r="T51" s="27">
        <f>T30-T10*T23</f>
        <v>195.87576229032129</v>
      </c>
      <c r="V51" s="27">
        <f>V30-V10*V23</f>
        <v>41694.997360704467</v>
      </c>
      <c r="X51" s="27">
        <f>X30-X10*X23</f>
        <v>80095.764000385068</v>
      </c>
      <c r="Z51" s="27">
        <f>Z30-Z10*Z23</f>
        <v>114357.95252946671</v>
      </c>
      <c r="AB51" s="27">
        <f>AB30-AB10*AB23</f>
        <v>143748.05259927316</v>
      </c>
      <c r="AD51" s="27">
        <f>AD30-AD10*AD23</f>
        <v>168693.63273229124</v>
      </c>
      <c r="AF51" s="27">
        <f>AF30-AF10*AF23</f>
        <v>192678.8772081607</v>
      </c>
      <c r="AH51" s="27">
        <f>AH30-AH10*AH23</f>
        <v>226610.77671200573</v>
      </c>
      <c r="AJ51" s="27">
        <f>AJ30-AJ10*AJ23</f>
        <v>300607.24922229652</v>
      </c>
      <c r="AL51" s="27">
        <f>AL30-AL10*AL23</f>
        <v>502260.68795343954</v>
      </c>
      <c r="AN51" s="27">
        <f>AN30-AN10*AN23</f>
        <v>1065501.4195592105</v>
      </c>
      <c r="AP51" s="27">
        <f>AP30-AP10*AP23</f>
        <v>1272347.5667470624</v>
      </c>
      <c r="AQ51" s="27"/>
      <c r="AR51" s="27">
        <f>AR30-AR10*AR23</f>
        <v>1544643.2569175055</v>
      </c>
      <c r="AT51" s="27">
        <f>AT30-AT10*AT23</f>
        <v>1927153.9690446076</v>
      </c>
      <c r="AV51" s="27">
        <f>AV30-AV10*AV23</f>
        <v>2532538.9635770484</v>
      </c>
      <c r="XFD51" s="27"/>
    </row>
    <row r="52" spans="1:48 16321:16384" x14ac:dyDescent="0.2">
      <c r="A52" t="s">
        <v>151</v>
      </c>
      <c r="B52" s="27">
        <f t="array" ref="B52">Calibration!sL*SUM(B13:C13*B26:C26)</f>
        <v>2073093.0976150823</v>
      </c>
      <c r="D52" s="27">
        <f t="array" ref="D52">Calibration!sL*SUM(D13:E13*D26:E26)</f>
        <v>2050505.6766348446</v>
      </c>
      <c r="F52" s="27">
        <f t="array" ref="F52">Calibration!sL*SUM(F13:G13*F26:G26)</f>
        <v>2025921.564391149</v>
      </c>
      <c r="H52" s="27">
        <f t="array" ref="H52">Calibration!sL*SUM(H13:I13*H26:I26)</f>
        <v>1998971.2086737093</v>
      </c>
      <c r="J52" s="27">
        <f t="array" ref="J52">Calibration!sL*SUM(J13:K13*J26:K26)</f>
        <v>1969201.3696967566</v>
      </c>
      <c r="L52" s="27">
        <f t="array" ref="L52">Calibration!sL*SUM(L13:M13*L26:M26)</f>
        <v>1936053.5853800047</v>
      </c>
      <c r="N52" s="27">
        <f t="array" ref="N52">Calibration!sL*SUM(N13:O13*N26:O26)</f>
        <v>1898837.3117618132</v>
      </c>
      <c r="P52" s="27">
        <f t="array" ref="P52">Calibration!sL*SUM(P13:Q13*P26:Q26)</f>
        <v>1856703.4759587869</v>
      </c>
      <c r="R52" s="27">
        <f t="array" ref="R52">Calibration!sL*SUM(R13:S13*R26:S26)</f>
        <v>1808619.06805886</v>
      </c>
      <c r="T52" s="27">
        <f t="array" ref="T52">Calibration!sL*SUM(T13:U13*T26:U26)</f>
        <v>1753359.375665253</v>
      </c>
      <c r="V52" s="27">
        <f t="array" ref="V52">Calibration!sL*SUM(V13:W13*V26:W26)</f>
        <v>1689544.0930705513</v>
      </c>
      <c r="X52" s="27">
        <f t="array" ref="X52">Calibration!sL*SUM(X13:Y13*X26:Y26)</f>
        <v>1615775.9276337617</v>
      </c>
      <c r="Z52" s="27">
        <f t="array" ref="Z52">Calibration!sL*SUM(Z13:AA13*Z26:AA26)</f>
        <v>1530972.0182802621</v>
      </c>
      <c r="AB52" s="27">
        <f t="array" ref="AB52">Calibration!sL*SUM(AB13:AC13*AB26:AC26)</f>
        <v>1435045.1090046726</v>
      </c>
      <c r="AD52" s="27">
        <f t="array" ref="AD52">Calibration!sL*SUM(AD13:AE13*AD26:AE26)</f>
        <v>1330167.4303453381</v>
      </c>
      <c r="AF52" s="27">
        <f t="array" ref="AF52">Calibration!sL*SUM(AF13:AG13*AF26:AG26)</f>
        <v>1222972.0949549449</v>
      </c>
      <c r="AH52" s="27">
        <f t="array" ref="AH52">Calibration!sL*SUM(AH13:AI13*AH26:AI26)</f>
        <v>1128023.5927611925</v>
      </c>
      <c r="AJ52" s="27">
        <f t="array" ref="AJ52">Calibration!sL*SUM(AJ13:AK13*AJ26:AK26)</f>
        <v>1072536.7527005908</v>
      </c>
      <c r="AL52" s="27">
        <f t="array" ref="AL52">Calibration!sL*SUM(AL13:AM13*AL26:AM26)</f>
        <v>1102840.3080461172</v>
      </c>
      <c r="AN52" s="27">
        <f t="array" ref="AN52">Calibration!sL*SUM(AN13:AO13*AN26:AO26)</f>
        <v>1269397.8430415194</v>
      </c>
      <c r="AP52" s="27">
        <f t="array" ref="AP52">Calibration!sL*SUM(AP13:AQ13*AP26:AQ26)</f>
        <v>1320803.6746789764</v>
      </c>
      <c r="AQ52" s="27"/>
      <c r="AR52" s="27">
        <f t="array" ref="AR52">Calibration!sL*SUM(AR13:AS13*AR26:AS26)</f>
        <v>1378355.1855552394</v>
      </c>
      <c r="AT52" s="27">
        <f t="array" ref="AT52">Calibration!sL*SUM(AT13:AU13*AT26:AU26)</f>
        <v>1440150.6226156317</v>
      </c>
      <c r="AV52" s="27">
        <f t="array" ref="AV52">Calibration!sL*SUM(AV13:AW13*AV26:AW26)</f>
        <v>1489609.0300447429</v>
      </c>
    </row>
    <row r="53" spans="1:48 16321:16384" x14ac:dyDescent="0.2">
      <c r="A53" t="s">
        <v>152</v>
      </c>
      <c r="B53" s="27">
        <f t="array" ref="B53">Calibration!sK*SUM(B15:C15*B27:C27)</f>
        <v>2716869.1663849424</v>
      </c>
      <c r="D53" s="27">
        <f t="array" ref="D53">Calibration!sK*SUM(D15:E15*D27:E27)</f>
        <v>2691344.0853162915</v>
      </c>
      <c r="F53" s="27">
        <f t="array" ref="F53">Calibration!sK*SUM(F15:G15*F27:G27)</f>
        <v>2663869.2931913286</v>
      </c>
      <c r="H53" s="27">
        <f t="array" ref="H53">Calibration!sK*SUM(H15:I15*H27:I27)</f>
        <v>2634004.25294891</v>
      </c>
      <c r="J53" s="27">
        <f t="array" ref="J53">Calibration!sK*SUM(J15:K15*J27:K27)</f>
        <v>2601193.3943986492</v>
      </c>
      <c r="L53" s="27">
        <f t="array" ref="L53">Calibration!sK*SUM(L15:M15*L27:M27)</f>
        <v>2564732.5564759513</v>
      </c>
      <c r="N53" s="27">
        <f t="array" ref="N53">Calibration!sK*SUM(N15:O15*N27:O27)</f>
        <v>2523725.8099842272</v>
      </c>
      <c r="P53" s="27">
        <f t="array" ref="P53">Calibration!sK*SUM(P15:Q15*P27:Q27)</f>
        <v>2477037.7358438936</v>
      </c>
      <c r="R53" s="27">
        <f t="array" ref="R53">Calibration!sK*SUM(R15:S15*R27:S27)</f>
        <v>2423241.3892836794</v>
      </c>
      <c r="T53" s="27">
        <f t="array" ref="T53">Calibration!sK*SUM(T15:U15*T27:U27)</f>
        <v>2360581.5209763944</v>
      </c>
      <c r="V53" s="27">
        <f t="array" ref="V53">Calibration!sK*SUM(V15:W15*V27:W27)</f>
        <v>2286987.0369735225</v>
      </c>
      <c r="X53" s="27">
        <f t="array" ref="X53">Calibration!sK*SUM(X15:Y15*X27:Y27)</f>
        <v>2200212.4728946011</v>
      </c>
      <c r="Z53" s="27">
        <f t="array" ref="Z53">Calibration!sK*SUM(Z15:AA15*Z27:AA27)</f>
        <v>2098237.6051581455</v>
      </c>
      <c r="AB53" s="27">
        <f t="array" ref="AB53">Calibration!sK*SUM(AB15:AC15*AB27:AC27)</f>
        <v>1980149.6602331949</v>
      </c>
      <c r="AD53" s="27">
        <f t="array" ref="AD53">Calibration!sK*SUM(AD15:AE15*AD27:AE27)</f>
        <v>1847834.8660780543</v>
      </c>
      <c r="AF53" s="27">
        <f t="array" ref="AF53">Calibration!sK*SUM(AF15:AG15*AF27:AG27)</f>
        <v>1708933.9250261292</v>
      </c>
      <c r="AH53" s="27">
        <f t="array" ref="AH53">Calibration!sK*SUM(AH15:AI15*AH27:AI27)</f>
        <v>1581338.8844107394</v>
      </c>
      <c r="AJ53" s="27">
        <f t="array" ref="AJ53">Calibration!sK*SUM(AJ15:AK15*AJ27:AK27)</f>
        <v>1498288.9317274443</v>
      </c>
      <c r="AL53" s="27">
        <f t="array" ref="AL53">Calibration!sK*SUM(AL15:AM15*AL27:AM27)</f>
        <v>1509141.808380632</v>
      </c>
      <c r="AN53" s="27">
        <f t="array" ref="AN53">Calibration!sK*SUM(AN15:AO15*AN27:AO27)</f>
        <v>1613951.2197465715</v>
      </c>
      <c r="AP53" s="27">
        <f t="array" ref="AP53">Calibration!sK*SUM(AP15:AQ15*AP27:AQ27)</f>
        <v>1626131.4486003395</v>
      </c>
      <c r="AQ53" s="27"/>
      <c r="AR53" s="27">
        <f t="array" ref="AR53">Calibration!sK*SUM(AR15:AS15*AR27:AS27)</f>
        <v>1619027.3246260174</v>
      </c>
      <c r="AT53" s="27">
        <f t="array" ref="AT53">Calibration!sK*SUM(AT15:AU15*AT27:AU27)</f>
        <v>1567388.9187457091</v>
      </c>
      <c r="AV53" s="27">
        <f t="array" ref="AV53">Calibration!sK*SUM(AV15:AW15*AV27:AW27)</f>
        <v>1389636.3876617639</v>
      </c>
      <c r="XFD53" s="27"/>
    </row>
    <row r="55" spans="1:48 16321:16384" x14ac:dyDescent="0.2">
      <c r="A55" t="s">
        <v>153</v>
      </c>
      <c r="B55" s="183">
        <f>B30/B32</f>
        <v>0.19850271905982084</v>
      </c>
      <c r="D55" s="183">
        <f>D30/D32</f>
        <v>0.20135387212125244</v>
      </c>
      <c r="F55" s="183">
        <f>F30/F32</f>
        <v>0.20425646858124419</v>
      </c>
      <c r="H55" s="183">
        <f>H30/H32</f>
        <v>0.20721314973109675</v>
      </c>
      <c r="J55" s="183">
        <f>J30/J32</f>
        <v>0.21022573306327735</v>
      </c>
      <c r="L55" s="183">
        <f>L30/L32</f>
        <v>0.21329475161274825</v>
      </c>
      <c r="N55" s="183">
        <f>N30/N32</f>
        <v>0.21641881829631054</v>
      </c>
      <c r="P55" s="183">
        <f>P30/P32</f>
        <v>0.21959385690176489</v>
      </c>
      <c r="R55" s="183">
        <f>R30/R32</f>
        <v>0.22281207859520075</v>
      </c>
      <c r="T55" s="183">
        <f>T30/T32</f>
        <v>0.22606115057124807</v>
      </c>
      <c r="V55" s="183">
        <f>V30/V32</f>
        <v>0.22932374021846572</v>
      </c>
      <c r="X55" s="183">
        <f>X30/X32</f>
        <v>0.23257949218673923</v>
      </c>
      <c r="Z55" s="183">
        <f>Z30/Z32</f>
        <v>0.23581294995427529</v>
      </c>
      <c r="AB55" s="183">
        <f>AB30/AB32</f>
        <v>0.23903729970381066</v>
      </c>
      <c r="AD55" s="183">
        <f>AD30/AD32</f>
        <v>0.2423580975041815</v>
      </c>
      <c r="AF55" s="183">
        <f>AF30/AF32</f>
        <v>0.2461403904757338</v>
      </c>
      <c r="AH55" s="183">
        <f>AH30/AH32</f>
        <v>0.2514404708178557</v>
      </c>
      <c r="AJ55" s="183">
        <f>AJ30/AJ32</f>
        <v>0.26109023905345419</v>
      </c>
      <c r="AL55" s="183">
        <f>AL30/AL32</f>
        <v>0.28204181881019524</v>
      </c>
      <c r="AN55" s="183">
        <f>AN30/AN32</f>
        <v>0.32692828440091576</v>
      </c>
      <c r="AP55" s="183">
        <f>AP30/AP32</f>
        <v>0.34138212321515499</v>
      </c>
      <c r="AR55" s="183">
        <f>AR30/AR32</f>
        <v>0.35984878118693858</v>
      </c>
      <c r="AT55" s="183">
        <f>AT30/AT32</f>
        <v>0.38570064538152798</v>
      </c>
      <c r="AV55" s="183">
        <f>AV30/AV32</f>
        <v>0.42955635443948753</v>
      </c>
      <c r="XCS55" s="183"/>
      <c r="XFD55" s="183"/>
    </row>
    <row r="56" spans="1:48 16321:16384" x14ac:dyDescent="0.2">
      <c r="A56" t="s">
        <v>154</v>
      </c>
      <c r="B56" s="183">
        <f>(Model!$C$52*B5*B20+B2*C5*C20)/B32</f>
        <v>2.9221206744340551E-2</v>
      </c>
      <c r="D56" s="183">
        <f>(Model!$C$52*D5*D20+D2*E5*E20)/D32</f>
        <v>3.2844766842026189E-2</v>
      </c>
      <c r="F56" s="183">
        <f>(Model!$C$52*F5*F20+F2*G5*G20)/F32</f>
        <v>3.6554443852400094E-2</v>
      </c>
      <c r="H56" s="183">
        <f>(Model!$C$52*H5*H20+H2*I5*I20)/H32</f>
        <v>4.0355964958468236E-2</v>
      </c>
      <c r="J56" s="183">
        <f>(Model!$C$52*J5*J20+J2*K5*K20)/J32</f>
        <v>4.4254306266348679E-2</v>
      </c>
      <c r="L56" s="183">
        <f>(Model!$C$52*L5*L20+L2*M5*M20)/L32</f>
        <v>4.8253125416143856E-2</v>
      </c>
      <c r="N56" s="183">
        <f>(Model!$C$52*N5*N20+N2*O5*O20)/N32</f>
        <v>5.2353917772307981E-2</v>
      </c>
      <c r="P56" s="183">
        <f>(Model!$C$52*P5*P20+P2*Q5*Q20)/P32</f>
        <v>5.6554988658667309E-2</v>
      </c>
      <c r="R56" s="183">
        <f>(Model!$C$52*R5*R20+R2*S5*S20)/R32</f>
        <v>6.0849980360630419E-2</v>
      </c>
      <c r="T56" s="183">
        <f>(Model!$C$52*T5*T20+T2*U5*U20)/T32</f>
        <v>6.5226471304584643E-2</v>
      </c>
      <c r="V56" s="183">
        <f>(Model!$C$52*V5*V20+V2*W5*W20)/V32</f>
        <v>6.9664692726830624E-2</v>
      </c>
      <c r="X56" s="183">
        <f>(Model!$C$52*X5*X20+X2*Y5*Y20)/X32</f>
        <v>7.4138809398311967E-2</v>
      </c>
      <c r="Z56" s="183">
        <f>(Model!$C$52*Z5*Z20+Z2*AA5*AA20)/Z32</f>
        <v>7.8624492248885888E-2</v>
      </c>
      <c r="AB56" s="183">
        <f>(Model!$C$52*AB5*AB20+AB2*AC5*AC20)/AB32</f>
        <v>8.3123932928068911E-2</v>
      </c>
      <c r="AD56" s="183">
        <f>(Model!$C$52*AD5*AD20+AD2*AE5*AE20)/AD32</f>
        <v>8.7734844877795315E-2</v>
      </c>
      <c r="AF56" s="183">
        <f>(Model!$C$52*AF5*AF20+AF2*AG5*AG20)/AF32</f>
        <v>9.2832609812509223E-2</v>
      </c>
      <c r="AH56" s="183">
        <f>(Model!$C$52*AH5*AH20+AH2*AI5*AI20)/AH32</f>
        <v>9.9543194874299828E-2</v>
      </c>
      <c r="AJ56" s="183">
        <f>(Model!$C$52*AJ5*AJ20+AJ2*AK5*AK20)/AJ32</f>
        <v>0.1109350284077547</v>
      </c>
      <c r="AL56" s="183">
        <f>(Model!$C$52*AL5*AL20+AL2*AM5*AM20)/AL32</f>
        <v>0.13451037424752685</v>
      </c>
      <c r="AN56" s="183">
        <f>(Model!$C$52*AN5*AN20+AN2*AO5*AO20)/AN32</f>
        <v>0.18290985304215299</v>
      </c>
      <c r="AP56" s="183">
        <f>(Model!$C$52*AP5*AP20+AP2*AQ5*AQ20)/AP32</f>
        <v>0.19799493220566966</v>
      </c>
      <c r="AR56" s="183">
        <f>(Model!$C$52*AR5*AR20+AR2*AS5*AS20)/AR32</f>
        <v>0.21697810639325268</v>
      </c>
      <c r="AT56" s="183">
        <f>(Model!$C$52*AT5*AT20+AT2*AU5*AU20)/AT32</f>
        <v>0.24313280452151281</v>
      </c>
      <c r="AV56" s="183">
        <f>(Model!$C$52*AV5*AV20+AV2*AW5*AW20)/AV32</f>
        <v>0.28689540293525401</v>
      </c>
      <c r="XFD56" s="183"/>
    </row>
    <row r="57" spans="1:48 16321:16384" x14ac:dyDescent="0.2">
      <c r="A57" t="s">
        <v>155</v>
      </c>
      <c r="B57" s="183">
        <f t="array" ref="B57">SUM(Model!tauL*B13:C13*B26:C26)/B32</f>
        <v>0.15852881819439493</v>
      </c>
      <c r="D57" s="183">
        <f t="array" ref="D57">SUM(Model!tauL*D13:E13*D26:E26)/D32</f>
        <v>0.15782908416521102</v>
      </c>
      <c r="F57" s="183">
        <f t="array" ref="F57">SUM(Model!tauL*F13:G13*F26:G26)/F32</f>
        <v>0.15709476840328931</v>
      </c>
      <c r="H57" s="183">
        <f t="array" ref="H57">SUM(Model!tauL*H13:I13*H26:I26)/H32</f>
        <v>0.15632283773064642</v>
      </c>
      <c r="J57" s="183">
        <f t="array" ref="J57">SUM(Model!tauL*J13:K13*J26:K26)/J32</f>
        <v>0.15551019143230316</v>
      </c>
      <c r="L57" s="183">
        <f t="array" ref="L57">SUM(Model!tauL*L13:M13*L26:M26)/L32</f>
        <v>0.15465376426037031</v>
      </c>
      <c r="N57" s="183">
        <f t="array" ref="N57">SUM(Model!tauL*N13:O13*N26:O26)/N32</f>
        <v>0.15375072231834153</v>
      </c>
      <c r="P57" s="183">
        <f t="array" ref="P57">SUM(Model!tauL*P13:Q13*P26:Q26)/P32</f>
        <v>0.15279871881948789</v>
      </c>
      <c r="R57" s="183">
        <f t="array" ref="R57">SUM(Model!tauL*R13:S13*R26:S26)/R32</f>
        <v>0.15179633219810809</v>
      </c>
      <c r="T57" s="183">
        <f t="array" ref="T57">SUM(Model!tauL*T13:U13*T26:U26)/T32</f>
        <v>0.15074363918163131</v>
      </c>
      <c r="V57" s="183">
        <f t="array" ref="V57">SUM(Model!tauL*V13:W13*V26:W26)/V32</f>
        <v>0.14964306106795705</v>
      </c>
      <c r="X57" s="183">
        <f t="array" ref="X57">SUM(Model!tauL*X13:Y13*X26:Y26)/X32</f>
        <v>0.14850016711425848</v>
      </c>
      <c r="Y57" s="183"/>
      <c r="Z57" s="183">
        <f t="array" ref="Z57">SUM(Model!tauL*Z13:AA13*Z26:AA26)/Z32</f>
        <v>0.1473242799878699</v>
      </c>
      <c r="AB57" s="183">
        <f t="array" ref="AB57">SUM(Model!tauL*AB13:AC13*AB26:AC26)/AB32</f>
        <v>0.14612782672299565</v>
      </c>
      <c r="AD57" s="183">
        <f t="array" ref="AD57">SUM(Model!tauL*AD13:AE13*AD26:AE26)/AD32</f>
        <v>0.14492241433013822</v>
      </c>
      <c r="AF57" s="183">
        <f t="array" ref="AF57">SUM(Model!tauL*AF13:AG13*AF26:AG26)/AF32</f>
        <v>0.14370650783501532</v>
      </c>
      <c r="AH57" s="183">
        <f t="array" ref="AH57">SUM(Model!tauL*AH13:AI13*AH26:AI26)/AH32</f>
        <v>0.14242849050252848</v>
      </c>
      <c r="AJ57" s="183">
        <f t="array" ref="AJ57">SUM(Model!tauL*AJ13:AK13*AJ26:AK26)/AJ32</f>
        <v>0.14088034670162858</v>
      </c>
      <c r="AL57" s="183">
        <f t="array" ref="AL57">SUM(Model!tauL*AL13:AM13*AL26:AM26)/AL32</f>
        <v>0.13853548701294857</v>
      </c>
      <c r="AN57" s="183">
        <f t="array" ref="AN57">SUM(Model!tauL*AN13:AO13*AN26:AO26)/AN32</f>
        <v>0.13541953859217626</v>
      </c>
      <c r="AP57" s="183">
        <f t="array" ref="AP57">SUM(Model!tauL*AP13:AQ13*AP26:AQ26)/AP32</f>
        <v>0.13490270658706124</v>
      </c>
      <c r="AR57" s="183">
        <f t="array" ref="AR57">SUM(Model!tauL*AR13:AS13*AR26:AS26)/AR32</f>
        <v>0.13453057775760416</v>
      </c>
      <c r="AT57" s="183">
        <f t="array" ref="AT57">SUM(Model!tauL*AT13:AU13*AT26:AU26)/AT32</f>
        <v>0.13442996476121927</v>
      </c>
      <c r="AV57" s="183">
        <f t="array" ref="AV57">SUM(Model!tauL*AV13:AW13*AV26:AW26)/AV32</f>
        <v>0.13487324722019875</v>
      </c>
      <c r="XFD57" s="183"/>
    </row>
    <row r="58" spans="1:48 16321:16384" x14ac:dyDescent="0.2">
      <c r="A58" t="s">
        <v>156</v>
      </c>
      <c r="B58" s="183">
        <f t="array" ref="B58">SUM(Model!tauY/(1+Model!tauY)*B3:C3*B18:C18)/B32</f>
        <v>1.075269412108535E-2</v>
      </c>
      <c r="D58" s="183">
        <f t="array" ref="D58">SUM(Model!tauY/(1+Model!tauY)*D3:E3*D18:E18)/D32</f>
        <v>1.0680021114015236E-2</v>
      </c>
      <c r="F58" s="183">
        <f t="array" ref="F58">SUM(Model!tauY/(1+Model!tauY)*F3:G3*F18:G18)/F32</f>
        <v>1.0607256325554818E-2</v>
      </c>
      <c r="H58" s="183">
        <f t="array" ref="H58">SUM(Model!tauY/(1+Model!tauY)*H3:I3*H18:I18)/H32</f>
        <v>1.053434704198206E-2</v>
      </c>
      <c r="J58" s="183">
        <f t="array" ref="J58">SUM(Model!tauY/(1+Model!tauY)*J3:K3*J18:K18)/J32</f>
        <v>1.0461235364625536E-2</v>
      </c>
      <c r="L58" s="183">
        <f t="array" ref="L58">SUM(Model!tauY/(1+Model!tauY)*L3:M3*L18:M18)/L32</f>
        <v>1.0387861936234057E-2</v>
      </c>
      <c r="N58" s="183">
        <f t="array" ref="N58">SUM(Model!tauY/(1+Model!tauY)*N3:O3*N18:O18)/N32</f>
        <v>1.0314178205661091E-2</v>
      </c>
      <c r="P58" s="183">
        <f t="array" ref="P58">SUM(Model!tauY/(1+Model!tauY)*P3:Q3*P18:Q18)/P32</f>
        <v>1.0240149423609679E-2</v>
      </c>
      <c r="R58" s="183">
        <f t="array" ref="R58">SUM(Model!tauY/(1+Model!tauY)*R3:S3*R18:S18)/R32</f>
        <v>1.0165766036462265E-2</v>
      </c>
      <c r="T58" s="183">
        <f t="array" ref="T58">SUM(Model!tauY/(1+Model!tauY)*T3:U3*T18:U18)/T32</f>
        <v>1.0091040085032104E-2</v>
      </c>
      <c r="V58" s="183">
        <f t="array" ref="V58">SUM(Model!tauY/(1+Model!tauY)*V3:W3*V18:W18)/V32</f>
        <v>1.0015986423678057E-2</v>
      </c>
      <c r="X58" s="183">
        <f t="array" ref="X58">SUM(Model!tauY/(1+Model!tauY)*X3:Y3*X18:Y18)/X32</f>
        <v>9.9405156741687716E-3</v>
      </c>
      <c r="Y58" s="183"/>
      <c r="Z58" s="183">
        <f t="array" ref="Z58">SUM(Model!tauY/(1+Model!tauY)*Z3:AA3*Z18:AA18)/Z32</f>
        <v>9.8641777175195212E-3</v>
      </c>
      <c r="AB58" s="183">
        <f t="array" ref="AB58">SUM(Model!tauY/(1+Model!tauY)*AB3:AC3*AB18:AC18)/AB32</f>
        <v>9.7855400527460945E-3</v>
      </c>
      <c r="AD58" s="183">
        <f t="array" ref="AD58">SUM(Model!tauY/(1+Model!tauY)*AD3:AE3*AD18:AE18)/AD32</f>
        <v>9.7008382962479947E-3</v>
      </c>
      <c r="AF58" s="183">
        <f t="array" ref="AF58">SUM(Model!tauY/(1+Model!tauY)*AF3:AG3*AF18:AG18)/AF32</f>
        <v>9.6012728282092834E-3</v>
      </c>
      <c r="AH58" s="183">
        <f t="array" ref="AH58">SUM(Model!tauY/(1+Model!tauY)*AH3:AI3*AH18:AI18)/AH32</f>
        <v>9.4687854410274355E-3</v>
      </c>
      <c r="AJ58" s="183">
        <f t="array" ref="AJ58">SUM(Model!tauY/(1+Model!tauY)*AJ3:AK3*AJ18:AK18)/AJ32</f>
        <v>9.2748639440708835E-3</v>
      </c>
      <c r="AL58" s="183">
        <f t="array" ref="AL58">SUM(Model!tauY/(1+Model!tauY)*AL3:AM3*AL18:AM18)/AL32</f>
        <v>8.995957549719805E-3</v>
      </c>
      <c r="AN58" s="183">
        <f t="array" ref="AN58">SUM(Model!tauY/(1+Model!tauY)*AN3:AO3*AN18:AO18)/AN32</f>
        <v>8.5988927665865706E-3</v>
      </c>
      <c r="AP58" s="183">
        <f t="array" ref="AP58">SUM(Model!tauY/(1+Model!tauY)*AP3:AQ3*AP18:AQ18)/AP32</f>
        <v>8.4844844224240979E-3</v>
      </c>
      <c r="AR58" s="183">
        <f t="array" ref="AR58">SUM(Model!tauY/(1+Model!tauY)*AR3:AS3*AR18:AS18)/AR32</f>
        <v>8.3400970360817204E-3</v>
      </c>
      <c r="AT58" s="183">
        <f t="array" ref="AT58">SUM(Model!tauY/(1+Model!tauY)*AT3:AU3*AT18:AU18)/AT32</f>
        <v>8.1378760987959112E-3</v>
      </c>
      <c r="AV58" s="183">
        <f t="array" ref="AV58">SUM(Model!tauY/(1+Model!tauY)*AV3:AW3*AV18:AW18)/AV32</f>
        <v>7.7877042840347795E-3</v>
      </c>
      <c r="XFD58" s="183"/>
    </row>
    <row r="59" spans="1:48 16321:16384" x14ac:dyDescent="0.2">
      <c r="A59" t="s">
        <v>157</v>
      </c>
      <c r="B59" s="183">
        <f>(B2*C5*C20)/B32</f>
        <v>5.5174232040962052E-4</v>
      </c>
      <c r="D59" s="183">
        <f>(D2*E5*E20)/D32</f>
        <v>4.228702724536587E-3</v>
      </c>
      <c r="F59" s="183">
        <f>(F2*G5*G20)/F32</f>
        <v>7.9890610898396604E-3</v>
      </c>
      <c r="H59" s="183">
        <f>(H2*I5*I20)/H32</f>
        <v>1.1837641867943382E-2</v>
      </c>
      <c r="J59" s="183">
        <f>(J2*K5*K20)/J32</f>
        <v>1.5778192433340252E-2</v>
      </c>
      <c r="L59" s="183">
        <f>(L2*M5*M20)/L32</f>
        <v>1.9812683973442238E-2</v>
      </c>
      <c r="N59" s="183">
        <f>(N2*O5*O20)/N32</f>
        <v>2.3940268130273341E-2</v>
      </c>
      <c r="P59" s="183">
        <f>(P2*Q5*Q20)/P32</f>
        <v>2.8155976182580131E-2</v>
      </c>
      <c r="R59" s="183">
        <f>(R2*S5*S20)/R32</f>
        <v>3.2448829241383946E-2</v>
      </c>
      <c r="T59" s="183">
        <f>(T2*U5*U20)/T32</f>
        <v>3.6799837959540775E-2</v>
      </c>
      <c r="V59" s="183">
        <f>(V2*W5*W20)/V32</f>
        <v>4.117983101429562E-2</v>
      </c>
      <c r="X59" s="183">
        <f>(X2*Y5*Y20)/X32</f>
        <v>4.5549518141581369E-2</v>
      </c>
      <c r="Z59" s="183">
        <f>(Z2*AA5*AA20)/Z32</f>
        <v>4.9865415766015636E-2</v>
      </c>
      <c r="AB59" s="183">
        <f>(AB2*AC5*AC20)/AB32</f>
        <v>5.4103031024871143E-2</v>
      </c>
      <c r="AD59" s="183">
        <f>(AD2*AE5*AE20)/AD32</f>
        <v>5.8325057073793325E-2</v>
      </c>
      <c r="AF59" s="183">
        <f>(AF2*AG5*AG20)/AF32</f>
        <v>6.2868431258061602E-2</v>
      </c>
      <c r="AH59" s="183">
        <f>(AH2*AI5*AI20)/AH32</f>
        <v>6.8841235975521164E-2</v>
      </c>
      <c r="AJ59" s="183">
        <f>(AJ2*AK5*AK20)/AJ32</f>
        <v>7.9374503816893358E-2</v>
      </c>
      <c r="AL59" s="183">
        <f>(AL2*AM5*AM20)/AL32</f>
        <v>0.10214727929623922</v>
      </c>
      <c r="AN59" s="183">
        <f>(AN2*AO5*AO20)/AN32</f>
        <v>0.14950289831276753</v>
      </c>
      <c r="AP59" s="183">
        <f>(AP2*AQ5*AQ20)/AP32</f>
        <v>0.16413324062893073</v>
      </c>
      <c r="AR59" s="183">
        <f>(AR2*AS5*AS20)/AR32</f>
        <v>0.18240430858236129</v>
      </c>
      <c r="AT59" s="183">
        <f>(AT2*AU5*AU20)/AT32</f>
        <v>0.20729698091044066</v>
      </c>
      <c r="AV59" s="183">
        <f>(AV2*AW5*AW20)/AV32</f>
        <v>0.2481273149108158</v>
      </c>
      <c r="XFD59" s="183"/>
    </row>
    <row r="60" spans="1:48 16321:16384" x14ac:dyDescent="0.2">
      <c r="A60" t="s">
        <v>158</v>
      </c>
      <c r="B60" s="183">
        <f>Model!$C$52*B5*B20/B32</f>
        <v>2.8669464423930927E-2</v>
      </c>
      <c r="D60" s="183">
        <f>Model!$C$52*D5*D20/D32</f>
        <v>2.8616064117489601E-2</v>
      </c>
      <c r="F60" s="183">
        <f>Model!$C$52*F5*F20/F32</f>
        <v>2.8565382762560435E-2</v>
      </c>
      <c r="H60" s="183">
        <f>Model!$C$52*H5*H20/H32</f>
        <v>2.8518323090524853E-2</v>
      </c>
      <c r="J60" s="183">
        <f>Model!$C$52*J5*J20/J32</f>
        <v>2.847611383300843E-2</v>
      </c>
      <c r="L60" s="183">
        <f>Model!$C$52*L5*L20/L32</f>
        <v>2.8440441442701615E-2</v>
      </c>
      <c r="N60" s="183">
        <f>Model!$C$52*N5*N20/N32</f>
        <v>2.841364964203464E-2</v>
      </c>
      <c r="P60" s="183">
        <f>Model!$C$52*P5*P20/P32</f>
        <v>2.8399012476087178E-2</v>
      </c>
      <c r="R60" s="183">
        <f>Model!$C$52*R5*R20/R32</f>
        <v>2.8401151119246473E-2</v>
      </c>
      <c r="T60" s="183">
        <f>Model!$C$52*T5*T20/T32</f>
        <v>2.8426633345043875E-2</v>
      </c>
      <c r="V60" s="183">
        <f>Model!$C$52*V5*V20/V32</f>
        <v>2.8484861712535E-2</v>
      </c>
      <c r="X60" s="183">
        <f>Model!$C$52*X5*X20/X32</f>
        <v>2.8589291256730605E-2</v>
      </c>
      <c r="Z60" s="183">
        <f>Model!$C$52*Z5*Z20/Z32</f>
        <v>2.8759076482870245E-2</v>
      </c>
      <c r="AB60" s="183">
        <f>Model!$C$52*AB5*AB20/AB32</f>
        <v>2.9020901903197761E-2</v>
      </c>
      <c r="AD60" s="183">
        <f>Model!$C$52*AD5*AD20/AD32</f>
        <v>2.9409787804001983E-2</v>
      </c>
      <c r="AF60" s="183">
        <f>Model!$C$52*AF5*AF20/AF32</f>
        <v>2.9964178554447617E-2</v>
      </c>
      <c r="AH60" s="183">
        <f>Model!$C$52*AH5*AH20/AH32</f>
        <v>3.0701958898778664E-2</v>
      </c>
      <c r="AJ60" s="183">
        <f>Model!$C$52*AJ5*AJ20/AJ32</f>
        <v>3.1560524590861345E-2</v>
      </c>
      <c r="AL60" s="183">
        <f>Model!$C$52*AL5*AL20/AL32</f>
        <v>3.2363094951287634E-2</v>
      </c>
      <c r="AN60" s="183">
        <f>Model!$C$52*AN5*AN20/AN32</f>
        <v>3.3406954729385457E-2</v>
      </c>
      <c r="AP60" s="183">
        <f>Model!$C$52*AP5*AP20/AP32</f>
        <v>3.3861691576738948E-2</v>
      </c>
      <c r="AR60" s="183">
        <f>Model!$C$52*AR5*AR20/AR32</f>
        <v>3.4573797810891427E-2</v>
      </c>
      <c r="AT60" s="183">
        <f>Model!$C$52*AT5*AT20/AT32</f>
        <v>3.5835823611072147E-2</v>
      </c>
      <c r="AV60" s="183">
        <f>Model!$C$52*AV5*AV20/AV32</f>
        <v>3.8768088024438208E-2</v>
      </c>
      <c r="XFD60" s="183"/>
    </row>
    <row r="62" spans="1:48 16321:16384" x14ac:dyDescent="0.2">
      <c r="A62" t="s">
        <v>159</v>
      </c>
      <c r="B62">
        <f>B13/B15</f>
        <v>1</v>
      </c>
      <c r="D62">
        <f>D13/D15</f>
        <v>0.99559069472707362</v>
      </c>
      <c r="F62">
        <f>F13/F15</f>
        <v>0.9908148031431846</v>
      </c>
      <c r="H62">
        <f>H13/H15</f>
        <v>0.98563444399979017</v>
      </c>
      <c r="J62">
        <f>J13/J15</f>
        <v>0.98000886613095262</v>
      </c>
      <c r="L62">
        <f>L13/L15</f>
        <v>0.97389509194881763</v>
      </c>
      <c r="N62">
        <f>N13/N15</f>
        <v>0.96724928751387462</v>
      </c>
      <c r="P62">
        <f>P13/P15</f>
        <v>0.96002915735943961</v>
      </c>
      <c r="R62">
        <f>R13/R15</f>
        <v>0.95219818830815184</v>
      </c>
      <c r="T62">
        <f>T13/T15</f>
        <v>0.94373247503570845</v>
      </c>
      <c r="V62">
        <f>V13/V15</f>
        <v>0.93463172537269668</v>
      </c>
      <c r="X62">
        <f>X13/X15</f>
        <v>0.92493592396183799</v>
      </c>
      <c r="Z62">
        <f>Z13/Z15</f>
        <v>0.91475210651169592</v>
      </c>
      <c r="AB62">
        <f>AB13/AB15</f>
        <v>0.90430180376891267</v>
      </c>
      <c r="AD62">
        <f>AD13/AD15</f>
        <v>0.89402304264593158</v>
      </c>
      <c r="AF62">
        <f>AF13/AF15</f>
        <v>0.88482639802011831</v>
      </c>
      <c r="AH62">
        <f>AH13/AH15</f>
        <v>0.87876197990506577</v>
      </c>
      <c r="AJ62">
        <f>AJ13/AJ15</f>
        <v>0.88082922056243373</v>
      </c>
      <c r="AL62">
        <f>AL13/AL15</f>
        <v>0.90523511535170498</v>
      </c>
      <c r="AN62">
        <f>AN13/AN15</f>
        <v>1.0049040777733076</v>
      </c>
      <c r="AP62">
        <f>AP13/AP15</f>
        <v>1.0521671048144636</v>
      </c>
      <c r="AR62">
        <f>AR13/AR15</f>
        <v>1.1252806376638771</v>
      </c>
      <c r="AT62">
        <f>AT13/AT15</f>
        <v>1.2548179994724658</v>
      </c>
      <c r="AV62">
        <f>AV13/AV15</f>
        <v>1.5639008884851142</v>
      </c>
    </row>
    <row r="65" spans="1:48 16384:16384" x14ac:dyDescent="0.2">
      <c r="A65" t="s">
        <v>160</v>
      </c>
      <c r="B65" s="181">
        <f>SQRT((B9:C9*$B$22:$C$22+B10:C10*$B$23:$C$23+B11:C11*$B$24:$C$24+B4:C4*($B$25:$C$25-$B$19:$C$19))/($B$9:$C$9*$B$22:$C$22+$B$10:$C$10*$B$23:$C$23+$B$11:$C$11*$B$24:$C$24+$B$4:$C$4*($B$25:$C$25-$B$19:$C$19))*(B9:C9*B22:C22+B10:C10*B23:C23+B11:C11*B24:C24+B4:C4*(B25:C25-B19:C19))/($B$9:$C$9*B22:C22+$B$10:$C$10*B23:C23+$B$11:$C$11*B24:C24+$B$4:$C$4*(B25:C25-B19:C19)))</f>
        <v>1</v>
      </c>
      <c r="C65" s="181"/>
      <c r="D65" s="181">
        <f t="array" ref="D65">SQRT((D9:E9*$B$22:$C$22+D10:E10*$B$23:$C$23+D11:E11*$B$24:$C$24+D4:E4*($B$25:$C$25-$B$19:$C$19))/($B$9:$C$9*$B$22:$C$22+$B$10:$C$10*$B$23:$C$23+$B$11:$C$11*$B$24:$C$24+$B$4:$C$4*($B$25:$C$25-$B$19:$C$19))*(D9:E9*D22:E22+D10:E10*D23:E23+D11:E11*D24:E24+D4:E4*(D25:E25-D19:E19))/($B$9:$C$9*D22:E22+$B$10:$C$10*D23:E23+$B$11:$C$11*D24:E24+$B$4:$C$4*(D25:E25-D19:E19)))</f>
        <v>0.99868403748744294</v>
      </c>
      <c r="E65" s="181"/>
      <c r="F65" s="181">
        <f t="array" ref="F65">SQRT((F9:G9*$B$22:$C$22+F10:G10*$B$23:$C$23+F11:G11*$B$24:$C$24+F4:G4*($B$25:$C$25-$B$19:$C$19))/($B$9:$C$9*$B$22:$C$22+$B$10:$C$10*$B$23:$C$23+$B$11:$C$11*$B$24:$C$24+$B$4:$C$4*($B$25:$C$25-$B$19:$C$19))*(F9:G9*F22:G22+F10:G10*F23:G23+F11:G11*F24:G24+F4:G4*(F25:G25-F19:G19))/($B$9:$C$9*F22:G22+$B$10:$C$10*F23:G23+$B$11:$C$11*F24:G24+$B$4:$C$4*(F25:G25-F19:G19)))</f>
        <v>0.99752669598660026</v>
      </c>
      <c r="G65" s="181"/>
      <c r="H65" s="181">
        <f t="array" ref="H65">SQRT((H9:I9*$B$22:$C$22+H10:I10*$B$23:$C$23+H11:I11*$B$24:$C$24+H4:I4*($B$25:$C$25-$B$19:$C$19))/($B$9:$C$9*$B$22:$C$22+$B$10:$C$10*$B$23:$C$23+$B$11:$C$11*$B$24:$C$24+$B$4:$C$4*($B$25:$C$25-$B$19:$C$19))*(H9:I9*H22:I22+H10:I10*H23:I23+H11:I11*H24:I24+H4:I4*(H25:I25-H19:I19))/($B$9:$C$9*H22:I22+$B$10:$C$10*H23:I23+$B$11:$C$11*H24:I24+$B$4:$C$4*(H25:I25-H19:I19)))</f>
        <v>0.99656384387944619</v>
      </c>
      <c r="I65" s="181"/>
      <c r="J65" s="181">
        <f t="array" ref="J65">SQRT((J9:K9*$B$22:$C$22+J10:K10*$B$23:$C$23+J11:K11*$B$24:$C$24+J4:K4*($B$25:$C$25-$B$19:$C$19))/($B$9:$C$9*$B$22:$C$22+$B$10:$C$10*$B$23:$C$23+$B$11:$C$11*$B$24:$C$24+$B$4:$C$4*($B$25:$C$25-$B$19:$C$19))*(J9:K9*J22:K22+J10:K10*J23:K23+J11:K11*J24:K24+J4:K4*(J25:K25-J19:K19))/($B$9:$C$9*J22:K22+$B$10:$C$10*J23:K23+$B$11:$C$11*J24:K24+$B$4:$C$4*(J25:K25-J19:K19)))</f>
        <v>0.99584470870441921</v>
      </c>
      <c r="K65" s="181"/>
      <c r="L65" s="181">
        <f t="array" ref="L65">SQRT((L9:M9*$B$22:$C$22+L10:M10*$B$23:$C$23+L11:M11*$B$24:$C$24+L4:M4*($B$25:$C$25-$B$19:$C$19))/($B$9:$C$9*$B$22:$C$22+$B$10:$C$10*$B$23:$C$23+$B$11:$C$11*$B$24:$C$24+$B$4:$C$4*($B$25:$C$25-$B$19:$C$19))*(L9:M9*L22:M22+L10:M10*L23:M23+L11:M11*L24:M24+L4:M4*(L25:M25-L19:M19))/($B$9:$C$9*L22:M22+$B$10:$C$10*L23:M23+$B$11:$C$11*L24:M24+$B$4:$C$4*(L25:M25-L19:M19)))</f>
        <v>0.99543800258484405</v>
      </c>
      <c r="M65" s="181"/>
      <c r="N65" s="181">
        <f t="array" ref="N65">SQRT((N9:O9*$B$22:$C$22+N10:O10*$B$23:$C$23+N11:O11*$B$24:$C$24+N4:O4*($B$25:$C$25-$B$19:$C$19))/($B$9:$C$9*$B$22:$C$22+$B$10:$C$10*$B$23:$C$23+$B$11:$C$11*$B$24:$C$24+$B$4:$C$4*($B$25:$C$25-$B$19:$C$19))*(N9:O9*N22:O22+N10:O10*N23:O23+N11:O11*N24:O24+N4:O4*(N25:O25-N19:O19))/($B$9:$C$9*N22:O22+$B$10:$C$10*N23:O23+$B$11:$C$11*N24:O24+$B$4:$C$4*(N25:O25-N19:O19)))</f>
        <v>0.99544156579176057</v>
      </c>
      <c r="O65" s="181"/>
      <c r="P65" s="181">
        <f t="array" ref="P65">SQRT((P9:Q9*$B$22:$C$22+P10:Q10*$B$23:$C$23+P11:Q11*$B$24:$C$24+P4:Q4*($B$25:$C$25-$B$19:$C$19))/($B$9:$C$9*$B$22:$C$22+$B$10:$C$10*$B$23:$C$23+$B$11:$C$11*$B$24:$C$24+$B$4:$C$4*($B$25:$C$25-$B$19:$C$19))*(P9:Q9*P22:Q22+P10:Q10*P23:Q23+P11:Q11*P24:Q24+P4:Q4*(P25:Q25-P19:Q19))/($B$9:$C$9*P22:Q22+$B$10:$C$10*P23:Q23+$B$11:$C$11*P24:Q24+$B$4:$C$4*(P25:Q25-P19:Q19)))</f>
        <v>0.99599683564772012</v>
      </c>
      <c r="Q65" s="181"/>
      <c r="R65" s="181">
        <f t="array" ref="R65">SQRT((R9:S9*$B$22:$C$22+R10:S10*$B$23:$C$23+R11:S11*$B$24:$C$24+R4:S4*($B$25:$C$25-$B$19:$C$19))/($B$9:$C$9*$B$22:$C$22+$B$10:$C$10*$B$23:$C$23+$B$11:$C$11*$B$24:$C$24+$B$4:$C$4*($B$25:$C$25-$B$19:$C$19))*(R9:S9*R22:S22+R10:S10*R23:S23+R11:S11*R24:S24+R4:S4*(R25:S25-R19:S19))/($B$9:$C$9*R22:S22+$B$10:$C$10*R23:S23+$B$11:$C$11*R24:S24+$B$4:$C$4*(R25:S25-R19:S19)))</f>
        <v>0.99731253884455628</v>
      </c>
      <c r="S65" s="181"/>
      <c r="T65" s="181">
        <f t="array" ref="T65">SQRT((T9:U9*$B$22:$C$22+T10:U10*$B$23:$C$23+T11:U11*$B$24:$C$24+T4:U4*($B$25:$C$25-$B$19:$C$19))/($B$9:$C$9*$B$22:$C$22+$B$10:$C$10*$B$23:$C$23+$B$11:$C$11*$B$24:$C$24+$B$4:$C$4*($B$25:$C$25-$B$19:$C$19))*(T9:U9*T22:U22+T10:U10*T23:U23+T11:U11*T24:U24+T4:U4*(T25:U25-T19:U19))/($B$9:$C$9*T22:U22+$B$10:$C$10*T23:U23+$B$11:$C$11*T24:U24+$B$4:$C$4*(T25:U25-T19:U19)))</f>
        <v>0.9997033559783155</v>
      </c>
      <c r="U65" s="181"/>
      <c r="V65" s="181">
        <f t="array" ref="V65">SQRT((V9:W9*$B$22:$C$22+V10:W10*$B$23:$C$23+V11:W11*$B$24:$C$24+V4:W4*($B$25:$C$25-$B$19:$C$19))/($B$9:$C$9*$B$22:$C$22+$B$10:$C$10*$B$23:$C$23+$B$11:$C$11*$B$24:$C$24+$B$4:$C$4*($B$25:$C$25-$B$19:$C$19))*(V9:W9*V22:W22+V10:W10*V23:W23+V11:W11*V24:W24+V4:W4*(V25:W25-V19:W19))/($B$9:$C$9*V22:W22+$B$10:$C$10*V23:W23+$B$11:$C$11*V24:W24+$B$4:$C$4*(V25:W25-V19:W19)))</f>
        <v>1.0036562399045623</v>
      </c>
      <c r="W65" s="181"/>
      <c r="X65" s="181">
        <f t="array" ref="X65">SQRT((X9:Y9*$B$22:$C$22+X10:Y10*$B$23:$C$23+X11:Y11*$B$24:$C$24+X4:Y4*($B$25:$C$25-$B$19:$C$19))/($B$9:$C$9*$B$22:$C$22+$B$10:$C$10*$B$23:$C$23+$B$11:$C$11*$B$24:$C$24+$B$4:$C$4*($B$25:$C$25-$B$19:$C$19))*(X9:Y9*X22:Y22+X10:Y10*X23:Y23+X11:Y11*X24:Y24+X4:Y4*(X25:Y25-X19:Y19))/($B$9:$C$9*X22:Y22+$B$10:$C$10*X23:Y23+$B$11:$C$11*X24:Y24+$B$4:$C$4*(X25:Y25-X19:Y19)))</f>
        <v>1.0099466736041074</v>
      </c>
      <c r="Y65" s="181"/>
      <c r="Z65" s="181">
        <f t="array" ref="Z65">SQRT((Z9:AA9*$B$22:$C$22+Z10:AA10*$B$23:$C$23+Z11:AA11*$B$24:$C$24+Z4:AA4*($B$25:$C$25-$B$19:$C$19))/($B$9:$C$9*$B$22:$C$22+$B$10:$C$10*$B$23:$C$23+$B$11:$C$11*$B$24:$C$24+$B$4:$C$4*($B$25:$C$25-$B$19:$C$19))*(Z9:AA9*Z22:AA22+Z10:AA10*Z23:AA23+Z11:AA11*Z24:AA24+Z4:AA4*(Z25:AA25-Z19:AA19))/($B$9:$C$9*Z22:AA22+$B$10:$C$10*Z23:AA23+$B$11:$C$11*Z24:AA24+$B$4:$C$4*(Z25:AA25-Z19:AA19)))</f>
        <v>1.0198574846661388</v>
      </c>
      <c r="AA65" s="181"/>
      <c r="AB65" s="181">
        <f t="array" ref="AB65">SQRT((AB9:AC9*$B$22:$C$22+AB10:AC10*$B$23:$C$23+AB11:AC11*$B$24:$C$24+AB4:AC4*($B$25:$C$25-$B$19:$C$19))/($B$9:$C$9*$B$22:$C$22+$B$10:$C$10*$B$23:$C$23+$B$11:$C$11*$B$24:$C$24+$B$4:$C$4*($B$25:$C$25-$B$19:$C$19))*(AB9:AC9*AB22:AC22+AB10:AC10*AB23:AC23+AB11:AC11*AB24:AC24+AB4:AC4*(AB25:AC25-AB19:AC19))/($B$9:$C$9*AB22:AC22+$B$10:$C$10*AB23:AC23+$B$11:$C$11*AB24:AC24+$B$4:$C$4*(AB25:AC25-AB19:AC19)))</f>
        <v>1.035615014718908</v>
      </c>
      <c r="AC65" s="181"/>
      <c r="AD65" s="181">
        <f t="array" ref="AD65">SQRT((AD9:AE9*$B$22:$C$22+AD10:AE10*$B$23:$C$23+AD11:AE11*$B$24:$C$24+AD4:AE4*($B$25:$C$25-$B$19:$C$19))/($B$9:$C$9*$B$22:$C$22+$B$10:$C$10*$B$23:$C$23+$B$11:$C$11*$B$24:$C$24+$B$4:$C$4*($B$25:$C$25-$B$19:$C$19))*(AD9:AE9*AD22:AE22+AD10:AE10*AD23:AE23+AD11:AE11*AD24:AE24+AD4:AE4*(AD25:AE25-AD19:AE19))/($B$9:$C$9*AD22:AE22+$B$10:$C$10*AD23:AE23+$B$11:$C$11*AD24:AE24+$B$4:$C$4*(AD25:AE25-AD19:AE19)))</f>
        <v>1.0613263459190339</v>
      </c>
      <c r="AE65" s="181"/>
      <c r="AF65" s="181">
        <f t="array" ref="AF65">SQRT((AF9:AG9*$B$22:$C$22+AF10:AG10*$B$23:$C$23+AF11:AG11*$B$24:$C$24+AF4:AG4*($B$25:$C$25-$B$19:$C$19))/($B$9:$C$9*$B$22:$C$22+$B$10:$C$10*$B$23:$C$23+$B$11:$C$11*$B$24:$C$24+$B$4:$C$4*($B$25:$C$25-$B$19:$C$19))*(AF9:AG9*AF22:AG22+AF10:AG10*AF23:AG23+AF11:AG11*AF24:AG24+AF4:AG4*(AF25:AG25-AF19:AG19))/($B$9:$C$9*AF22:AG22+$B$10:$C$10*AF23:AG23+$B$11:$C$11*AF24:AG24+$B$4:$C$4*(AF25:AG25-AF19:AG19)))</f>
        <v>1.1051581779669588</v>
      </c>
      <c r="AG65" s="181"/>
      <c r="AH65" s="181">
        <f t="array" ref="AH65">SQRT((AH9:AI9*$B$22:$C$22+AH10:AI10*$B$23:$C$23+AH11:AI11*$B$24:$C$24+AH4:AI4*($B$25:$C$25-$B$19:$C$19))/($B$9:$C$9*$B$22:$C$22+$B$10:$C$10*$B$23:$C$23+$B$11:$C$11*$B$24:$C$24+$B$4:$C$4*($B$25:$C$25-$B$19:$C$19))*(AH9:AI9*AH22:AI22+AH10:AI10*AH23:AI23+AH11:AI11*AH24:AI24+AH4:AI4*(AH25:AI25-AH19:AI19))/($B$9:$C$9*AH22:AI22+$B$10:$C$10*AH23:AI23+$B$11:$C$11*AH24:AI24+$B$4:$C$4*(AH25:AI25-AH19:AI19)))</f>
        <v>1.184923548603815</v>
      </c>
      <c r="AI65" s="181"/>
      <c r="AJ65" s="181">
        <f t="array" ref="AJ65">SQRT((AJ9:AK9*$B$22:$C$22+AJ10:AK10*$B$23:$C$23+AJ11:AK11*$B$24:$C$24+AJ4:AK4*($B$25:$C$25-$B$19:$C$19))/($B$9:$C$9*$B$22:$C$22+$B$10:$C$10*$B$23:$C$23+$B$11:$C$11*$B$24:$C$24+$B$4:$C$4*($B$25:$C$25-$B$19:$C$19))*(AJ9:AK9*AJ22:AK22+AJ10:AK10*AJ23:AK23+AJ11:AK11*AJ24:AK24+AJ4:AK4*(AJ25:AK25-AJ19:AK19))/($B$9:$C$9*AJ22:AK22+$B$10:$C$10*AJ23:AK23+$B$11:$C$11*AJ24:AK24+$B$4:$C$4*(AJ25:AK25-AJ19:AK19)))</f>
        <v>1.345731109151838</v>
      </c>
      <c r="AK65" s="181"/>
      <c r="AL65" s="181">
        <f t="array" ref="AL65">SQRT((AL9:AM9*$B$22:$C$22+AL10:AM10*$B$23:$C$23+AL11:AM11*$B$24:$C$24+AL4:AM4*($B$25:$C$25-$B$19:$C$19))/($B$9:$C$9*$B$22:$C$22+$B$10:$C$10*$B$23:$C$23+$B$11:$C$11*$B$24:$C$24+$B$4:$C$4*($B$25:$C$25-$B$19:$C$19))*(AL9:AM9*AL22:AM22+AL10:AM10*AL23:AM23+AL11:AM11*AL24:AM24+AL4:AM4*(AL25:AM25-AL19:AM19))/($B$9:$C$9*AL22:AM22+$B$10:$C$10*AL23:AM23+$B$11:$C$11*AL24:AM24+$B$4:$C$4*(AL25:AM25-AL19:AM19)))</f>
        <v>1.7398867985179507</v>
      </c>
      <c r="AM65" s="181"/>
      <c r="AN65" s="181">
        <f t="array" ref="AN65">SQRT((AN9:AO9*$B$22:$C$22+AN10:AO10*$B$23:$C$23+AN11:AO11*$B$24:$C$24+AN4:AO4*($B$25:$C$25-$B$19:$C$19))/($B$9:$C$9*$B$22:$C$22+$B$10:$C$10*$B$23:$C$23+$B$11:$C$11*$B$24:$C$24+$B$4:$C$4*($B$25:$C$25-$B$19:$C$19))*(AN9:AO9*AN22:AO22+AN10:AO10*AN23:AO23+AN11:AO11*AN24:AO24+AN4:AO4*(AN25:AO25-AN19:AO19))/($B$9:$C$9*AN22:AO22+$B$10:$C$10*AN23:AO23+$B$11:$C$11*AN24:AO24+$B$4:$C$4*(AN25:AO25-AN19:AO19)))</f>
        <v>3.4607008428463968</v>
      </c>
      <c r="AO65" s="181"/>
      <c r="AP65" s="181">
        <f t="array" ref="AP65">SQRT((AP9:AQ9*$B$22:$C$22+AP10:AQ10*$B$23:$C$23+AP11:AQ11*$B$24:$C$24+AP4:AQ4*($B$25:$C$25-$B$19:$C$19))/($B$9:$C$9*$B$22:$C$22+$B$10:$C$10*$B$23:$C$23+$B$11:$C$11*$B$24:$C$24+$B$4:$C$4*($B$25:$C$25-$B$19:$C$19))*(AP9:AQ9*AP22:AQ22+AP10:AQ10*AP23:AQ23+AP11:AQ11*AP24:AQ24+AP4:AQ4*(AP25:AQ25-AP19:AQ19))/($B$9:$C$9*AP22:AQ22+$B$10:$C$10*AP23:AQ23+$B$11:$C$11*AP24:AQ24+$B$4:$C$4*(AP25:AQ25-AP19:AQ19)))</f>
        <v>5.2512027393644463</v>
      </c>
      <c r="AQ65" s="181"/>
      <c r="AR65" s="181" t="e">
        <f t="array" ref="AR65">SQRT((AR9:AS9*$B$22:$C$22+AR10:AS10*$B$23:$C$23+AR11:AS11*$B$24:$C$24+AR4:AS4*($B$25:$C$25-$B$19:$C$19))/($B$9:$C$9*$B$22:$C$22+$B$10:$C$10*$B$23:$C$23+$B$11:$C$11*$B$24:$C$24+$B$4:$C$4*($B$25:$C$25-$B$19:$C$19))*(AR9:AS9*AR22:AS22+AR10:AS10*AR23:AS23+AR11:AS11*AR24:AS24+AR4:AS4*(AR25:AS25-AR19:AS19))/($B$9:$C$9*AR22:AS22+$B$10:$C$10*AR23:AS23+$B$11:$C$11*AR24:AS24+$B$4:$C$4*(AR25:AS25-AR19:AS19)))</f>
        <v>#NUM!</v>
      </c>
      <c r="AS65" s="181"/>
      <c r="AT65" s="181" t="e">
        <f t="array" ref="AT65">SQRT((AT9:AU9*$B$22:$C$22+AT10:AU10*$B$23:$C$23+AT11:AU11*$B$24:$C$24+AT4:AU4*($B$25:$C$25-$B$19:$C$19))/($B$9:$C$9*$B$22:$C$22+$B$10:$C$10*$B$23:$C$23+$B$11:$C$11*$B$24:$C$24+$B$4:$C$4*($B$25:$C$25-$B$19:$C$19))*(AT9:AU9*AT22:AU22+AT10:AU10*AT23:AU23+AT11:AU11*AT24:AU24+AT4:AU4*(AT25:AU25-AT19:AU19))/($B$9:$C$9*AT22:AU22+$B$10:$C$10*AT23:AU23+$B$11:$C$11*AT24:AU24+$B$4:$C$4*(AT25:AU25-AT19:AU19)))</f>
        <v>#NUM!</v>
      </c>
      <c r="AU65" s="181"/>
      <c r="AV65" s="181" t="e">
        <f t="array" ref="AV65">SQRT((AV9:AW9*$B$22:$C$22+AV10:AW10*$B$23:$C$23+AV11:AW11*$B$24:$C$24+AV4:AW4*($B$25:$C$25-$B$19:$C$19))/($B$9:$C$9*$B$22:$C$22+$B$10:$C$10*$B$23:$C$23+$B$11:$C$11*$B$24:$C$24+$B$4:$C$4*($B$25:$C$25-$B$19:$C$19))*(AV9:AW9*AV22:AW22+AV10:AW10*AV23:AW23+AV11:AW11*AV24:AW24+AV4:AW4*(AV25:AW25-AV19:AW19))/($B$9:$C$9*AV22:AW22+$B$10:$C$10*AV23:AW23+$B$11:$C$11*AV24:AW24+$B$4:$C$4*(AV25:AW25-AV19:AW19)))</f>
        <v>#NUM!</v>
      </c>
    </row>
    <row r="66" spans="1:48 16384:16384" x14ac:dyDescent="0.2">
      <c r="A66" t="s">
        <v>166</v>
      </c>
      <c r="B66" s="181">
        <f t="array" ref="B66">SQRT((B9:C9*$B$22:$C$22)/($B$9:$C$9*$B$22:$C$22)*(B9:C9*B22:C22)/($B$9:$C$9*B22:C22))</f>
        <v>1</v>
      </c>
      <c r="C66" s="181"/>
      <c r="D66" s="181">
        <f t="array" ref="D66">SQRT((D9:E9*$B$22:$C$22)/($B$9:$C$9*$B$22:$C$22)*(D9:E9*D22:E22)/($B$9:$C$9*D22:E22))</f>
        <v>0.99855247089451482</v>
      </c>
      <c r="E66" s="181"/>
      <c r="F66" s="181">
        <f t="array" ref="F66">SQRT((F9:G9*$B$22:$C$22)/($B$9:$C$9*$B$22:$C$22)*(F9:G9*F22:G22)/($B$9:$C$9*F22:G22))</f>
        <v>0.99727736282262958</v>
      </c>
      <c r="G66" s="181"/>
      <c r="H66" s="181">
        <f t="array" ref="H66">SQRT((H9:I9*$B$22:$C$22)/($B$9:$C$9*$B$22:$C$22)*(H9:I9*H22:I22)/($B$9:$C$9*H22:I22))</f>
        <v>0.99621510621357845</v>
      </c>
      <c r="I66" s="181"/>
      <c r="J66" s="181">
        <f t="array" ref="J66">SQRT((J9:K9*$B$22:$C$22)/($B$9:$C$9*$B$22:$C$22)*(J9:K9*J22:K22)/($B$9:$C$9*J22:K22))</f>
        <v>0.99542095705664102</v>
      </c>
      <c r="K66" s="181"/>
      <c r="L66" s="181">
        <f t="array" ref="L66">SQRT((L9:M9*$B$22:$C$22)/($B$9:$C$9*$B$22:$C$22)*(L9:M9*L22:M22)/($B$9:$C$9*L22:M22))</f>
        <v>0.99497168596008012</v>
      </c>
      <c r="M66" s="181"/>
      <c r="N66" s="181">
        <f t="array" ref="N66">SQRT((N9:O9*$B$22:$C$22)/($B$9:$C$9*$B$22:$C$22)*(N9:O9*N22:O22)/($B$9:$C$9*N22:O22))</f>
        <v>0.99497602081103509</v>
      </c>
      <c r="O66" s="181"/>
      <c r="P66" s="181">
        <f t="array" ref="P66">SQRT((P9:Q9*$B$22:$C$22)/($B$9:$C$9*$B$22:$C$22)*(P9:Q9*P22:Q22)/($B$9:$C$9*P22:Q22))</f>
        <v>0.99559011524494545</v>
      </c>
      <c r="Q66" s="181"/>
      <c r="R66" s="181">
        <f t="array" ref="R66">SQRT((R9:S9*$B$22:$C$22)/($B$9:$C$9*$B$22:$C$22)*(R9:S9*R22:S22)/($B$9:$C$9*R22:S22))</f>
        <v>0.99704251884634354</v>
      </c>
      <c r="S66" s="181"/>
      <c r="T66" s="181">
        <f t="array" ref="T66">SQRT((T9:U9*$B$22:$C$22)/($B$9:$C$9*$B$22:$C$22)*(T9:U9*T22:U22)/($B$9:$C$9*T22:U22))</f>
        <v>0.99967412946255463</v>
      </c>
      <c r="U66" s="181"/>
      <c r="V66" s="181">
        <f t="array" ref="V66">SQRT((V9:W9*$B$22:$C$22)/($B$9:$C$9*$B$22:$C$22)*(V9:W9*V22:W22)/($B$9:$C$9*V22:W22))</f>
        <v>1.0040051160479704</v>
      </c>
      <c r="W66" s="181"/>
      <c r="X66" s="181">
        <f t="array" ref="X66">SQRT((X9:Y9*$B$22:$C$22)/($B$9:$C$9*$B$22:$C$22)*(X9:Y9*X22:Y22)/($B$9:$C$9*X22:Y22))</f>
        <v>1.0108486306732019</v>
      </c>
      <c r="Y66" s="181"/>
      <c r="Z66" s="181">
        <f t="array" ref="Z66">SQRT((Z9:AA9*$B$22:$C$22)/($B$9:$C$9*$B$22:$C$22)*(Z9:AA9*Z22:AA22)/($B$9:$C$9*Z22:AA22))</f>
        <v>1.0215175338650397</v>
      </c>
      <c r="AA66" s="181"/>
      <c r="AB66" s="181">
        <f t="array" ref="AB66">SQRT((AB9:AC9*$B$22:$C$22)/($B$9:$C$9*$B$22:$C$22)*(AB9:AC9*AB22:AC22)/($B$9:$C$9*AB22:AC22))</f>
        <v>1.0382199223780288</v>
      </c>
      <c r="AC66" s="181"/>
      <c r="AD66" s="181">
        <f t="array" ref="AD66">SQRT((AD9:AE9*$B$22:$C$22)/($B$9:$C$9*$B$22:$C$22)*(AD9:AE9*AD22:AE22)/($B$9:$C$9*AD22:AE22))</f>
        <v>1.0648704078629434</v>
      </c>
      <c r="AE66" s="181"/>
      <c r="AF66" s="181">
        <f t="array" ref="AF66">SQRT((AF9:AG9*$B$22:$C$22)/($B$9:$C$9*$B$22:$C$22)*(AF9:AG9*AF22:AG22)/($B$9:$C$9*AF22:AG22))</f>
        <v>1.1088741328711622</v>
      </c>
      <c r="AG66" s="181"/>
      <c r="AH66" s="181">
        <f t="array" ref="AH66">SQRT((AH9:AI9*$B$22:$C$22)/($B$9:$C$9*$B$22:$C$22)*(AH9:AI9*AH22:AI22)/($B$9:$C$9*AH22:AI22))</f>
        <v>1.1853835106450277</v>
      </c>
      <c r="AI66" s="181"/>
      <c r="AJ66" s="181">
        <f t="array" ref="AJ66">SQRT((AJ9:AK9*$B$22:$C$22)/($B$9:$C$9*$B$22:$C$22)*(AJ9:AK9*AJ22:AK22)/($B$9:$C$9*AJ22:AK22))</f>
        <v>1.3294444106625112</v>
      </c>
      <c r="AK66" s="181"/>
      <c r="AL66" s="181">
        <f t="array" ref="AL66">SQRT((AL9:AM9*$B$22:$C$22)/($B$9:$C$9*$B$22:$C$22)*(AL9:AM9*AL22:AM22)/($B$9:$C$9*AL22:AM22))</f>
        <v>1.6387726219557008</v>
      </c>
      <c r="AM66" s="181"/>
      <c r="AN66" s="181">
        <f t="array" ref="AN66">SQRT((AN9:AO9*$B$22:$C$22)/($B$9:$C$9*$B$22:$C$22)*(AN9:AO9*AN22:AO22)/($B$9:$C$9*AN22:AO22))</f>
        <v>2.4259098851938821</v>
      </c>
      <c r="AO66" s="181"/>
      <c r="AP66" s="181">
        <f t="array" ref="AP66">SQRT((AP9:AQ9*$B$22:$C$22)/($B$9:$C$9*$B$22:$C$22)*(AP9:AQ9*AP22:AQ22)/($B$9:$C$9*AP22:AQ22))</f>
        <v>2.7290901655993123</v>
      </c>
      <c r="AQ66" s="181"/>
      <c r="AR66" s="181">
        <f t="array" ref="AR66">SQRT((AR9:AS9*$B$22:$C$22)/($B$9:$C$9*$B$22:$C$22)*(AR9:AS9*AR22:AS22)/($B$9:$C$9*AR22:AS22))</f>
        <v>3.1487041239473048</v>
      </c>
      <c r="AS66" s="181"/>
      <c r="AT66" s="181">
        <f t="array" ref="AT66">SQRT((AT9:AU9*$B$22:$C$22)/($B$9:$C$9*$B$22:$C$22)*(AT9:AU9*AT22:AU22)/($B$9:$C$9*AT22:AU22))</f>
        <v>3.7876682029923607</v>
      </c>
      <c r="AU66" s="181"/>
      <c r="AV66" s="181">
        <f t="array" ref="AV66">SQRT((AV9:AW9*$B$22:$C$22)/($B$9:$C$9*$B$22:$C$22)*(AV9:AW9*AV22:AW22)/($B$9:$C$9*AV22:AW22))</f>
        <v>4.9743736203502458</v>
      </c>
      <c r="XFD66" s="181"/>
    </row>
    <row r="67" spans="1:48 16384:16384" x14ac:dyDescent="0.2">
      <c r="A67" t="s">
        <v>167</v>
      </c>
      <c r="B67" s="181">
        <f t="array" ref="B67">SQRT((B4:C4*$B$19:$C$19)/($B$4:$C$4*$B$19:$C$19)*(B4:C4*B19:C19)/($B$4:$C$4*B19:C19))</f>
        <v>1</v>
      </c>
      <c r="C67" s="181"/>
      <c r="D67" s="181">
        <f t="array" ref="D67">SQRT((D4:E4*$B$19:$C$19)/($B$4:$C$4*$B$19:$C$19)*(D4:E4*D19:E19)/($B$4:$C$4*D19:E19))</f>
        <v>1</v>
      </c>
      <c r="E67" s="181"/>
      <c r="F67" s="181">
        <f t="array" ref="F67">SQRT((F4:G4*$B$19:$C$19)/($B$4:$C$4*$B$19:$C$19)*(F4:G4*F19:G19)/($B$4:$C$4*F19:G19))</f>
        <v>1</v>
      </c>
      <c r="G67" s="181"/>
      <c r="H67" s="181">
        <f t="array" ref="H67">SQRT((H4:I4*$B$19:$C$19)/($B$4:$C$4*$B$19:$C$19)*(H4:I4*H19:I19)/($B$4:$C$4*H19:I19))</f>
        <v>1</v>
      </c>
      <c r="I67" s="181"/>
      <c r="J67" s="181">
        <f t="array" ref="J67">SQRT((J4:K4*$B$19:$C$19)/($B$4:$C$4*$B$19:$C$19)*(J4:K4*J19:K19)/($B$4:$C$4*J19:K19))</f>
        <v>1</v>
      </c>
      <c r="K67" s="181"/>
      <c r="L67" s="181">
        <f t="array" ref="L67">SQRT((L4:M4*$B$19:$C$19)/($B$4:$C$4*$B$19:$C$19)*(L4:M4*L19:M19)/($B$4:$C$4*L19:M19))</f>
        <v>1</v>
      </c>
      <c r="M67" s="181"/>
      <c r="N67" s="181">
        <f t="array" ref="N67">SQRT((N4:O4*$B$19:$C$19)/($B$4:$C$4*$B$19:$C$19)*(N4:O4*N19:O19)/($B$4:$C$4*N19:O19))</f>
        <v>1</v>
      </c>
      <c r="O67" s="181"/>
      <c r="P67" s="181">
        <f t="array" ref="P67">SQRT((P4:Q4*$B$19:$C$19)/($B$4:$C$4*$B$19:$C$19)*(P4:Q4*P19:Q19)/($B$4:$C$4*P19:Q19))</f>
        <v>1</v>
      </c>
      <c r="Q67" s="181"/>
      <c r="R67" s="181">
        <f t="array" ref="R67">SQRT((R4:S4*$B$19:$C$19)/($B$4:$C$4*$B$19:$C$19)*(R4:S4*R19:S19)/($B$4:$C$4*R19:S19))</f>
        <v>1</v>
      </c>
      <c r="S67" s="181"/>
      <c r="T67" s="181">
        <f t="array" ref="T67">SQRT((T4:U4*$B$19:$C$19)/($B$4:$C$4*$B$19:$C$19)*(T4:U4*T19:U19)/($B$4:$C$4*T19:U19))</f>
        <v>1</v>
      </c>
      <c r="U67" s="181"/>
      <c r="V67" s="181">
        <f t="array" ref="V67">SQRT((V4:W4*$B$19:$C$19)/($B$4:$C$4*$B$19:$C$19)*(V4:W4*V19:W19)/($B$4:$C$4*V19:W19))</f>
        <v>1</v>
      </c>
      <c r="W67" s="181"/>
      <c r="X67" s="181">
        <f t="array" ref="X67">SQRT((X4:Y4*$B$19:$C$19)/($B$4:$C$4*$B$19:$C$19)*(X4:Y4*X19:Y19)/($B$4:$C$4*X19:Y19))</f>
        <v>1</v>
      </c>
      <c r="Y67" s="181"/>
      <c r="Z67" s="181">
        <f t="array" ref="Z67">SQRT((Z4:AA4*$B$19:$C$19)/($B$4:$C$4*$B$19:$C$19)*(Z4:AA4*Z19:AA19)/($B$4:$C$4*Z19:AA19))</f>
        <v>1</v>
      </c>
      <c r="AA67" s="181"/>
      <c r="AB67" s="181">
        <f t="array" ref="AB67">SQRT((AB4:AC4*$B$19:$C$19)/($B$4:$C$4*$B$19:$C$19)*(AB4:AC4*AB19:AC19)/($B$4:$C$4*AB19:AC19))</f>
        <v>1</v>
      </c>
      <c r="AC67" s="181"/>
      <c r="AD67" s="181">
        <f t="array" ref="AD67">SQRT((AD4:AE4*$B$19:$C$19)/($B$4:$C$4*$B$19:$C$19)*(AD4:AE4*AD19:AE19)/($B$4:$C$4*AD19:AE19))</f>
        <v>1</v>
      </c>
      <c r="AE67" s="181"/>
      <c r="AF67" s="181">
        <f t="array" ref="AF67">SQRT((AF4:AG4*$B$19:$C$19)/($B$4:$C$4*$B$19:$C$19)*(AF4:AG4*AF19:AG19)/($B$4:$C$4*AF19:AG19))</f>
        <v>1</v>
      </c>
      <c r="AG67" s="181"/>
      <c r="AH67" s="181">
        <f t="array" ref="AH67">SQRT((AH4:AI4*$B$19:$C$19)/($B$4:$C$4*$B$19:$C$19)*(AH4:AI4*AH19:AI19)/($B$4:$C$4*AH19:AI19))</f>
        <v>1</v>
      </c>
      <c r="AI67" s="181"/>
      <c r="AJ67" s="181">
        <f t="array" ref="AJ67">SQRT((AJ4:AK4*$B$19:$C$19)/($B$4:$C$4*$B$19:$C$19)*(AJ4:AK4*AJ19:AK19)/($B$4:$C$4*AJ19:AK19))</f>
        <v>1</v>
      </c>
      <c r="AK67" s="181"/>
      <c r="AL67" s="181">
        <f t="array" ref="AL67">SQRT((AL4:AM4*$B$19:$C$19)/($B$4:$C$4*$B$19:$C$19)*(AL4:AM4*AL19:AM19)/($B$4:$C$4*AL19:AM19))</f>
        <v>1</v>
      </c>
      <c r="AM67" s="181"/>
      <c r="AN67" s="181">
        <f t="array" ref="AN67">SQRT((AN4:AO4*$B$19:$C$19)/($B$4:$C$4*$B$19:$C$19)*(AN4:AO4*AN19:AO19)/($B$4:$C$4*AN19:AO19))</f>
        <v>1</v>
      </c>
      <c r="AO67" s="181"/>
      <c r="AP67" s="181">
        <f t="array" ref="AP67">SQRT((AP4:AQ4*$B$19:$C$19)/($B$4:$C$4*$B$19:$C$19)*(AP4:AQ4*AP19:AQ19)/($B$4:$C$4*AP19:AQ19))</f>
        <v>1</v>
      </c>
      <c r="AQ67" s="181"/>
      <c r="AR67" s="181">
        <f t="array" ref="AR67">SQRT((AR4:AS4*$B$19:$C$19)/($B$4:$C$4*$B$19:$C$19)*(AR4:AS4*AR19:AS19)/($B$4:$C$4*AR19:AS19))</f>
        <v>1</v>
      </c>
      <c r="AS67" s="181"/>
      <c r="AT67" s="181">
        <f t="array" ref="AT67">SQRT((AT4:AU4*$B$19:$C$19)/($B$4:$C$4*$B$19:$C$19)*(AT4:AU4*AT19:AU19)/($B$4:$C$4*AT19:AU19))</f>
        <v>1</v>
      </c>
      <c r="AU67" s="181"/>
      <c r="AV67" s="181">
        <f t="array" ref="AV67">SQRT((AV4:AW4*$B$19:$C$19)/($B$4:$C$4*$B$19:$C$19)*(AV4:AW4*AV19:AW19)/($B$4:$C$4*AV19:AW19))</f>
        <v>1</v>
      </c>
      <c r="XFD67" s="181"/>
    </row>
    <row r="68" spans="1:48 16384:16384" x14ac:dyDescent="0.2">
      <c r="A68" t="s">
        <v>165</v>
      </c>
      <c r="B68" s="181">
        <f>B66/B67</f>
        <v>1</v>
      </c>
      <c r="C68" s="181"/>
      <c r="D68" s="181">
        <f>D66/D67</f>
        <v>0.99855247089451482</v>
      </c>
      <c r="E68" s="181"/>
      <c r="F68" s="181">
        <f>F66/F67</f>
        <v>0.99727736282262958</v>
      </c>
      <c r="G68" s="181"/>
      <c r="H68" s="181">
        <f>H66/H67</f>
        <v>0.99621510621357845</v>
      </c>
      <c r="I68" s="181"/>
      <c r="J68" s="181">
        <f>J66/J67</f>
        <v>0.99542095705664102</v>
      </c>
      <c r="K68" s="181"/>
      <c r="L68" s="181">
        <f>L66/L67</f>
        <v>0.99497168596008012</v>
      </c>
      <c r="M68" s="181"/>
      <c r="N68" s="181">
        <f>N66/N67</f>
        <v>0.99497602081103509</v>
      </c>
      <c r="O68" s="181"/>
      <c r="P68" s="181">
        <f>P66/P67</f>
        <v>0.99559011524494545</v>
      </c>
      <c r="Q68" s="181"/>
      <c r="R68" s="181">
        <f>R66/R67</f>
        <v>0.99704251884634354</v>
      </c>
      <c r="S68" s="181"/>
      <c r="T68" s="181">
        <f>T66/T67</f>
        <v>0.99967412946255463</v>
      </c>
      <c r="U68" s="181"/>
      <c r="V68" s="181">
        <f>V66/V67</f>
        <v>1.0040051160479704</v>
      </c>
      <c r="W68" s="181"/>
      <c r="X68" s="181">
        <f>X66/X67</f>
        <v>1.0108486306732019</v>
      </c>
      <c r="Y68" s="181"/>
      <c r="Z68" s="181">
        <f>Z66/Z67</f>
        <v>1.0215175338650397</v>
      </c>
      <c r="AA68" s="181"/>
      <c r="AB68" s="181">
        <f>AB66/AB67</f>
        <v>1.0382199223780288</v>
      </c>
      <c r="AC68" s="181"/>
      <c r="AD68" s="181">
        <f>AD66/AD67</f>
        <v>1.0648704078629434</v>
      </c>
      <c r="AE68" s="181"/>
      <c r="AF68" s="181">
        <f>AF66/AF67</f>
        <v>1.1088741328711622</v>
      </c>
      <c r="AG68" s="181"/>
      <c r="AH68" s="181">
        <f>AH66/AH67</f>
        <v>1.1853835106450277</v>
      </c>
      <c r="AI68" s="181"/>
      <c r="AJ68" s="181">
        <f>AJ66/AJ67</f>
        <v>1.3294444106625112</v>
      </c>
      <c r="AK68" s="181"/>
      <c r="AL68" s="181">
        <f>AL66/AL67</f>
        <v>1.6387726219557008</v>
      </c>
      <c r="AM68" s="181"/>
      <c r="AN68" s="181">
        <f>AN66/AN67</f>
        <v>2.4259098851938821</v>
      </c>
      <c r="AO68" s="181"/>
      <c r="AP68" s="181">
        <f>AP66/AP67</f>
        <v>2.7290901655993123</v>
      </c>
      <c r="AQ68" s="181"/>
      <c r="AR68" s="181">
        <f>AR66/AR67</f>
        <v>3.1487041239473048</v>
      </c>
      <c r="AS68" s="181"/>
      <c r="AT68" s="181">
        <f>AT66/AT67</f>
        <v>3.7876682029923607</v>
      </c>
      <c r="AU68" s="181"/>
      <c r="AV68" s="181">
        <f>AV66/AV67</f>
        <v>4.9743736203502458</v>
      </c>
      <c r="XFD68" s="181"/>
    </row>
    <row r="69" spans="1:48 16384:16384" x14ac:dyDescent="0.2">
      <c r="A69" t="s">
        <v>161</v>
      </c>
      <c r="B69" s="181">
        <f>B32/B65/($B$32)</f>
        <v>1</v>
      </c>
      <c r="C69" s="181"/>
      <c r="D69" s="181">
        <f>D32/D65/($B$32)</f>
        <v>0.99479878807283906</v>
      </c>
      <c r="E69" s="181"/>
      <c r="F69" s="181">
        <f>F32/F65/($B$32)</f>
        <v>0.98861180959604011</v>
      </c>
      <c r="G69" s="181"/>
      <c r="H69" s="181">
        <f>H32/H65/($B$32)</f>
        <v>0.98122453417046052</v>
      </c>
      <c r="I69" s="181"/>
      <c r="J69" s="181">
        <f>J32/J65/($B$32)</f>
        <v>0.9723644431725359</v>
      </c>
      <c r="K69" s="181"/>
      <c r="L69" s="181">
        <f>L32/L65/($B$32)</f>
        <v>0.96168330779009426</v>
      </c>
      <c r="M69" s="181"/>
      <c r="N69" s="181">
        <f>N32/N65/($B$32)</f>
        <v>0.94873350311160765</v>
      </c>
      <c r="O69" s="181"/>
      <c r="P69" s="181">
        <f>P32/P65/($B$32)</f>
        <v>0.93294124910014353</v>
      </c>
      <c r="Q69" s="181"/>
      <c r="R69" s="181">
        <f>R32/R65/($B$32)</f>
        <v>0.9135744904541403</v>
      </c>
      <c r="S69" s="181"/>
      <c r="T69" s="181">
        <f>T32/T65/($B$32)</f>
        <v>0.8897135622796557</v>
      </c>
      <c r="U69" s="181"/>
      <c r="V69" s="181">
        <f>V32/V65/($B$32)</f>
        <v>0.86023552627680455</v>
      </c>
      <c r="W69" s="181"/>
      <c r="X69" s="181">
        <f>X32/X65/($B$32)</f>
        <v>0.82384434402750695</v>
      </c>
      <c r="Y69" s="181"/>
      <c r="Z69" s="181">
        <f>Z32/Z65/($B$32)</f>
        <v>0.77918907515295877</v>
      </c>
      <c r="AA69" s="181"/>
      <c r="AB69" s="181">
        <f>AB32/AB65/($B$32)</f>
        <v>0.72514307776558129</v>
      </c>
      <c r="AC69" s="181"/>
      <c r="AD69" s="181">
        <f>AD32/AD65/($B$32)</f>
        <v>0.66131933522884523</v>
      </c>
      <c r="AE69" s="181"/>
      <c r="AF69" s="181">
        <f>AF32/AF65/($B$32)</f>
        <v>0.588850551955312</v>
      </c>
      <c r="AG69" s="181"/>
      <c r="AH69" s="181">
        <f>AH32/AH65/($B$32)</f>
        <v>0.51111708398379818</v>
      </c>
      <c r="AI69" s="181"/>
      <c r="AJ69" s="181">
        <f>AJ32/AJ65/($B$32)</f>
        <v>0.43260635573838385</v>
      </c>
      <c r="AK69" s="181"/>
      <c r="AL69" s="181">
        <f>AL32/AL65/($B$32)</f>
        <v>0.34988072567107042</v>
      </c>
      <c r="AM69" s="181"/>
      <c r="AN69" s="181">
        <f>AN32/AN65/($B$32)</f>
        <v>0.20712941757144701</v>
      </c>
      <c r="AO69" s="181"/>
      <c r="AP69" s="181">
        <f>AP32/AP65/($B$32)</f>
        <v>0.14257659406513709</v>
      </c>
      <c r="AQ69" s="181"/>
      <c r="AR69" s="181" t="e">
        <f>AR32/AR65/($B$32)</f>
        <v>#NUM!</v>
      </c>
      <c r="AS69" s="181"/>
      <c r="AT69" s="181" t="e">
        <f>AT32/AT65/($B$32)</f>
        <v>#NUM!</v>
      </c>
      <c r="AU69" s="181"/>
      <c r="AV69" s="181" t="e">
        <f>AV32/AV65/($B$32)</f>
        <v>#NUM!</v>
      </c>
    </row>
    <row r="70" spans="1:48 16384:16384" x14ac:dyDescent="0.2">
      <c r="A70" t="s">
        <v>162</v>
      </c>
      <c r="B70" s="129">
        <f>B18/$B$18</f>
        <v>1</v>
      </c>
      <c r="C70" s="129"/>
      <c r="D70" s="129">
        <f>D18/$B$18</f>
        <v>0.99400989280135965</v>
      </c>
      <c r="E70" s="129"/>
      <c r="F70" s="129">
        <f>F18/$B$18</f>
        <v>0.98701603739002997</v>
      </c>
      <c r="G70" s="129"/>
      <c r="H70" s="129">
        <f>H18/$B$18</f>
        <v>0.97880649771336103</v>
      </c>
      <c r="I70" s="129"/>
      <c r="J70" s="129">
        <f>J18/$B$18</f>
        <v>0.96911266675919427</v>
      </c>
      <c r="K70" s="129"/>
      <c r="L70" s="129">
        <f>L18/$B$18</f>
        <v>0.95759179805067851</v>
      </c>
      <c r="M70" s="129"/>
      <c r="N70" s="129">
        <f>N18/$B$18</f>
        <v>0.94380371706599475</v>
      </c>
      <c r="O70" s="129"/>
      <c r="P70" s="129">
        <f>P18/$B$18</f>
        <v>0.92718436921976422</v>
      </c>
      <c r="Q70" s="129"/>
      <c r="R70" s="129">
        <f>R18/$B$18</f>
        <v>0.90701424015980381</v>
      </c>
      <c r="S70" s="129"/>
      <c r="T70" s="129">
        <f>T18/$B$18</f>
        <v>0.88238956821979686</v>
      </c>
      <c r="U70" s="129"/>
      <c r="V70" s="129">
        <f>V18/$B$18</f>
        <v>0.85220780709017696</v>
      </c>
      <c r="W70" s="129"/>
      <c r="X70" s="129">
        <f>X18/$B$18</f>
        <v>0.81519891421884161</v>
      </c>
      <c r="Y70" s="129"/>
      <c r="Z70" s="129">
        <f>Z18/$B$18</f>
        <v>0.77004548490914981</v>
      </c>
      <c r="AA70" s="129"/>
      <c r="AB70" s="129">
        <f>AB18/$B$18</f>
        <v>0.71566379709194961</v>
      </c>
      <c r="AC70" s="129"/>
      <c r="AD70" s="129">
        <f>AD18/$B$18</f>
        <v>0.65171939211538987</v>
      </c>
      <c r="AE70" s="129"/>
      <c r="AF70" s="129">
        <f>AF18/$B$18</f>
        <v>0.57940202539932295</v>
      </c>
      <c r="AG70" s="129"/>
      <c r="AH70" s="129">
        <f>AH18/$B$18</f>
        <v>0.50214451267348936</v>
      </c>
      <c r="AI70" s="129"/>
      <c r="AJ70" s="129">
        <f>AJ18/$B$18</f>
        <v>0.42464239726524244</v>
      </c>
      <c r="AK70" s="129"/>
      <c r="AL70" s="129">
        <f>AL18/$B$18</f>
        <v>0.3464721778922446</v>
      </c>
      <c r="AM70" s="129"/>
      <c r="AN70" s="129">
        <f>AN18/$B$18</f>
        <v>0.24809204694463488</v>
      </c>
      <c r="AO70" s="129"/>
      <c r="AP70" s="129">
        <f>AP18/$B$18</f>
        <v>0.22140125404580221</v>
      </c>
      <c r="AQ70" s="129"/>
      <c r="AR70" s="129">
        <f>AR18/$B$18</f>
        <v>0.19010924363520612</v>
      </c>
      <c r="AS70" s="129"/>
      <c r="AT70" s="129">
        <f>AT18/$B$18</f>
        <v>0.15181545534757274</v>
      </c>
      <c r="AU70" s="129"/>
      <c r="AV70" s="129">
        <f>AV18/$B$18</f>
        <v>0.10088993791275629</v>
      </c>
    </row>
    <row r="71" spans="1:48 16384:16384" x14ac:dyDescent="0.2">
      <c r="A71" t="s">
        <v>163</v>
      </c>
      <c r="B71" s="129">
        <f>C18/$C$18</f>
        <v>1</v>
      </c>
      <c r="D71" s="129">
        <f>E18/$C$18</f>
        <v>0.93034120565663869</v>
      </c>
      <c r="E71" s="129"/>
      <c r="F71" s="129">
        <f>G18/$C$18</f>
        <v>0.86144660910973236</v>
      </c>
      <c r="G71" s="129"/>
      <c r="H71" s="129">
        <f>I18/$C$18</f>
        <v>0.79338005877776441</v>
      </c>
      <c r="I71" s="129"/>
      <c r="J71" s="129">
        <f>K18/$C$18</f>
        <v>0.72621928927931556</v>
      </c>
      <c r="K71" s="129"/>
      <c r="L71" s="129">
        <f>M18/$C$18</f>
        <v>0.66006264669009262</v>
      </c>
      <c r="M71" s="129"/>
      <c r="N71" s="129">
        <f>O18/$C$18</f>
        <v>0.59504064566608206</v>
      </c>
      <c r="O71" s="129"/>
      <c r="P71" s="129">
        <f>Q18/$C$18</f>
        <v>0.53132427194793552</v>
      </c>
      <c r="Q71" s="129"/>
      <c r="R71" s="129">
        <f>S18/$C$18</f>
        <v>0.46913800039186132</v>
      </c>
      <c r="S71" s="129"/>
      <c r="T71" s="129">
        <f>U18/$C$18</f>
        <v>0.40876691178927638</v>
      </c>
      <c r="U71" s="129"/>
      <c r="V71" s="129">
        <f>W18/$C$18</f>
        <v>0.35055962998151086</v>
      </c>
      <c r="W71" s="129"/>
      <c r="X71" s="129">
        <f>Y18/$C$18</f>
        <v>0.2949043628612471</v>
      </c>
      <c r="Y71" s="129"/>
      <c r="Z71" s="129">
        <f>AA18/$C$18</f>
        <v>0.24217501550049023</v>
      </c>
      <c r="AA71" s="129"/>
      <c r="AB71" s="129">
        <f>AC18/$C$18</f>
        <v>0.19262619070588735</v>
      </c>
      <c r="AC71" s="129"/>
      <c r="AD71" s="129">
        <f>AE18/$C$18</f>
        <v>0.14625434328085138</v>
      </c>
      <c r="AE71" s="129"/>
      <c r="AF71" s="129">
        <f>AG18/$C$18</f>
        <v>0.10272943611089518</v>
      </c>
      <c r="AG71" s="129"/>
      <c r="AH71" s="129">
        <f>AI18/$C$18</f>
        <v>6.1865712744990864E-2</v>
      </c>
      <c r="AI71" s="129"/>
      <c r="AJ71" s="129">
        <f>AK18/$C$18</f>
        <v>2.6025746880780441E-2</v>
      </c>
      <c r="AK71" s="129"/>
      <c r="AL71" s="129">
        <f>AM18/$C$18</f>
        <v>4.294765689696522E-3</v>
      </c>
      <c r="AM71" s="129"/>
      <c r="AN71" s="129">
        <f>AO18/$C$18</f>
        <v>7.2835836722293844E-5</v>
      </c>
      <c r="AO71" s="129"/>
      <c r="AP71" s="129">
        <f>AQ18/$C$18</f>
        <v>1.870276838531572E-5</v>
      </c>
      <c r="AQ71" s="129"/>
      <c r="AR71" s="129">
        <f>AS18/$C$18</f>
        <v>3.3016315696388771E-6</v>
      </c>
      <c r="AS71" s="129"/>
      <c r="AT71" s="129">
        <f>AU18/$C$18</f>
        <v>3.0148857268404675E-7</v>
      </c>
      <c r="AU71" s="129"/>
      <c r="AV71" s="129">
        <f>AW18/$C$18</f>
        <v>5.8760055989165705E-9</v>
      </c>
      <c r="XFD71" s="129"/>
    </row>
    <row r="72" spans="1:48 16384:16384" x14ac:dyDescent="0.2">
      <c r="A72" t="s">
        <v>164</v>
      </c>
      <c r="B72" s="129">
        <f>C19/$C$19</f>
        <v>1</v>
      </c>
      <c r="D72" s="129">
        <f>E19/$C$19</f>
        <v>1.0134861540732047</v>
      </c>
      <c r="E72" s="129"/>
      <c r="F72" s="129">
        <f>G19/$C$19</f>
        <v>1.0287450000175584</v>
      </c>
      <c r="G72" s="129"/>
      <c r="H72" s="129">
        <f>I19/$C$19</f>
        <v>1.0457478231692114</v>
      </c>
      <c r="I72" s="129"/>
      <c r="J72" s="129">
        <f>K19/$C$19</f>
        <v>1.0643774816560267</v>
      </c>
      <c r="K72" s="129"/>
      <c r="L72" s="129">
        <f>M19/$C$19</f>
        <v>1.08438248553469</v>
      </c>
      <c r="M72" s="129"/>
      <c r="N72" s="129">
        <f>O19/$C$19</f>
        <v>1.1053132197106967</v>
      </c>
      <c r="O72" s="129"/>
      <c r="P72" s="129">
        <f>Q19/$C$19</f>
        <v>1.1264392586209186</v>
      </c>
      <c r="Q72" s="129"/>
      <c r="R72" s="129">
        <f>S19/$C$19</f>
        <v>1.1466466265380542</v>
      </c>
      <c r="S72" s="129"/>
      <c r="T72" s="129">
        <f>U19/$C$19</f>
        <v>1.164336144358499</v>
      </c>
      <c r="U72" s="129"/>
      <c r="V72" s="129">
        <f>W19/$C$19</f>
        <v>1.1773516123603001</v>
      </c>
      <c r="W72" s="129"/>
      <c r="X72" s="129">
        <f>Y19/$C$19</f>
        <v>1.1830350992768612</v>
      </c>
      <c r="Y72" s="129"/>
      <c r="Z72" s="129">
        <f>AA19/$C$19</f>
        <v>1.1785429424097498</v>
      </c>
      <c r="AA72" s="129"/>
      <c r="AB72" s="129">
        <f>AC19/$C$19</f>
        <v>1.1616238927689893</v>
      </c>
      <c r="AC72" s="129"/>
      <c r="AD72" s="129">
        <f>AE19/$C$19</f>
        <v>1.132000407624705</v>
      </c>
      <c r="AE72" s="129"/>
      <c r="AF72" s="129">
        <f>AG19/$C$19</f>
        <v>1.0930028322015055</v>
      </c>
      <c r="AG72" s="129"/>
      <c r="AH72" s="129">
        <f>AI19/$C$19</f>
        <v>1.0504832026293522</v>
      </c>
      <c r="AI72" s="129"/>
      <c r="AJ72" s="129">
        <f>AK19/$C$19</f>
        <v>0.99507347246777733</v>
      </c>
      <c r="AK72" s="129"/>
      <c r="AL72" s="129">
        <f>AM19/$C$19</f>
        <v>0.83893075829865593</v>
      </c>
      <c r="AM72" s="129"/>
      <c r="AN72" s="129">
        <f>AO19/$C$19</f>
        <v>0.46505274117606765</v>
      </c>
      <c r="AO72" s="129"/>
      <c r="AP72" s="129">
        <f>AQ19/$C$19</f>
        <v>0.37386154024030926</v>
      </c>
      <c r="AQ72" s="129"/>
      <c r="AR72" s="129">
        <f>AS19/$C$19</f>
        <v>0.28106843384687269</v>
      </c>
      <c r="AS72" s="129"/>
      <c r="AT72" s="129">
        <f>AU19/$C$19</f>
        <v>0.18755628112954167</v>
      </c>
      <c r="AU72" s="129"/>
      <c r="AV72" s="129">
        <f>AW19/$C$19</f>
        <v>9.3801647120396014E-2</v>
      </c>
      <c r="XFD72" s="129"/>
    </row>
    <row r="73" spans="1:48 16384:16384" x14ac:dyDescent="0.2">
      <c r="A73" t="s">
        <v>168</v>
      </c>
      <c r="B73" s="183">
        <f t="array" ref="B73">SUM(B9:C9*B22:C22)/B32</f>
        <v>0.47641153352875115</v>
      </c>
      <c r="D73" s="183">
        <f t="array" ref="D73">SUM(D9:E9*D22:E22)/D32</f>
        <v>0.47471680916971909</v>
      </c>
      <c r="E73" s="129"/>
      <c r="F73" s="183">
        <f t="array" ref="F73">SUM(F9:G9*F22:G22)/F32</f>
        <v>0.47299149348123259</v>
      </c>
      <c r="G73" s="129"/>
      <c r="H73" s="183">
        <f t="array" ref="H73">SUM(H9:I9*H22:I22)/H32</f>
        <v>0.47123403642091705</v>
      </c>
      <c r="I73" s="129"/>
      <c r="J73" s="183">
        <f t="array" ref="J73">SUM(J9:K9*J22:K22)/J32</f>
        <v>0.4694433583876042</v>
      </c>
      <c r="K73" s="129"/>
      <c r="L73" s="183">
        <f t="array" ref="L73">SUM(L9:M9*L22:M22)/L32</f>
        <v>0.46761912122878718</v>
      </c>
      <c r="M73" s="129"/>
      <c r="N73" s="183">
        <f t="array" ref="N73">SUM(N9:O9*N22:O22)/N32</f>
        <v>0.46576217171210116</v>
      </c>
      <c r="O73" s="129"/>
      <c r="P73" s="183">
        <f t="array" ref="P73">SUM(P9:Q9*P22:Q22)/P32</f>
        <v>0.46387494748505248</v>
      </c>
      <c r="Q73" s="129"/>
      <c r="R73" s="183">
        <f t="array" ref="R73">SUM(R9:S9*R22:S22)/R32</f>
        <v>0.4619620330896298</v>
      </c>
      <c r="S73" s="129"/>
      <c r="T73" s="183">
        <f t="array" ref="T73">SUM(T9:U9*T22:U22)/T32</f>
        <v>0.46003074943198824</v>
      </c>
      <c r="U73" s="129"/>
      <c r="V73" s="183">
        <f t="array" ref="V73">SUM(V9:W9*V22:W22)/V32</f>
        <v>0.45809146360191028</v>
      </c>
      <c r="W73" s="129"/>
      <c r="X73" s="183">
        <f t="array" ref="X73">SUM(X9:Y9*X22:Y22)/X32</f>
        <v>0.45615623607264139</v>
      </c>
      <c r="Y73" s="129"/>
      <c r="Z73" s="183">
        <f t="array" ref="Z73">SUM(Z9:AA9*Z22:AA22)/Z32</f>
        <v>0.45423426509541082</v>
      </c>
      <c r="AA73" s="129"/>
      <c r="AB73" s="183">
        <f t="array" ref="AB73">SUM(AB9:AC9*AB22:AC22)/AB32</f>
        <v>0.45231784575892026</v>
      </c>
      <c r="AC73" s="129"/>
      <c r="AD73" s="183">
        <f t="array" ref="AD73">SUM(AD9:AE9*AD22:AE22)/AD32</f>
        <v>0.45034390895853887</v>
      </c>
      <c r="AE73" s="129"/>
      <c r="AF73" s="183">
        <f t="array" ref="AF73">SUM(AF9:AG9*AF22:AG22)/AF32</f>
        <v>0.4480956285354416</v>
      </c>
      <c r="AG73" s="129"/>
      <c r="AH73" s="183">
        <f t="array" ref="AH73">SUM(AH9:AI9*AH22:AI22)/AH32</f>
        <v>0.44494524210875874</v>
      </c>
      <c r="AI73" s="129"/>
      <c r="AJ73" s="183">
        <f t="array" ref="AJ73">SUM(AJ9:AK9*AJ22:AK22)/AJ32</f>
        <v>0.43920939172736373</v>
      </c>
      <c r="AK73" s="129"/>
      <c r="AL73" s="183">
        <f t="array" ref="AL73">SUM(AL9:AM9*AL22:AM22)/AL32</f>
        <v>0.42675573123241994</v>
      </c>
      <c r="AM73" s="129"/>
      <c r="AN73" s="183">
        <f t="array" ref="AN73">SUM(AN9:AO9*AN22:AO22)/AN32</f>
        <v>0.40007512914625493</v>
      </c>
      <c r="AO73" s="129"/>
      <c r="AP73" s="183">
        <f t="array" ref="AP73">SUM(AP9:AQ9*AP22:AQ22)/AP32</f>
        <v>0.39148373942859371</v>
      </c>
      <c r="AQ73" s="129"/>
      <c r="AR73" s="183">
        <f t="array" ref="AR73">SUM(AR9:AS9*AR22:AS22)/AR32</f>
        <v>0.38050712222923871</v>
      </c>
      <c r="AS73" s="129"/>
      <c r="AT73" s="183">
        <f t="array" ref="AT73">SUM(AT9:AU9*AT22:AU22)/AT32</f>
        <v>0.36514072427438565</v>
      </c>
      <c r="AU73" s="129"/>
      <c r="AV73" s="183">
        <f t="array" ref="AV73">SUM(AV9:AW9*AV22:AW22)/AV32</f>
        <v>0.33907280592148337</v>
      </c>
      <c r="XFD73" s="183"/>
    </row>
    <row r="74" spans="1:48 16384:16384" x14ac:dyDescent="0.2">
      <c r="A74" t="s">
        <v>169</v>
      </c>
      <c r="B74" s="183">
        <f t="array" ref="B74">SUM(B10:C10*B23:C23)/B32</f>
        <v>0.22604620456442484</v>
      </c>
      <c r="D74" s="183">
        <f t="array" ref="D74">SUM(D10:E10*D23:E23)/D32</f>
        <v>0.22604620456442484</v>
      </c>
      <c r="E74" s="129"/>
      <c r="F74" s="183">
        <f t="array" ref="F74">SUM(F10:G10*F23:G23)/F32</f>
        <v>0.22604620456442484</v>
      </c>
      <c r="G74" s="129"/>
      <c r="H74" s="183">
        <f t="array" ref="H74">SUM(H10:I10*H23:I23)/H32</f>
        <v>0.22604620456442481</v>
      </c>
      <c r="I74" s="129"/>
      <c r="J74" s="183">
        <f t="array" ref="J74">SUM(J10:K10*J23:K23)/J32</f>
        <v>0.22604620456442484</v>
      </c>
      <c r="K74" s="129"/>
      <c r="L74" s="183">
        <f t="array" ref="L74">SUM(L10:M10*L23:M23)/L32</f>
        <v>0.22604620456442484</v>
      </c>
      <c r="M74" s="129"/>
      <c r="N74" s="183">
        <f t="array" ref="N74">SUM(N10:O10*N23:O23)/N32</f>
        <v>0.22604620456442484</v>
      </c>
      <c r="O74" s="129"/>
      <c r="P74" s="183">
        <f t="array" ref="P74">SUM(P10:Q10*P23:Q23)/P32</f>
        <v>0.22604620456442484</v>
      </c>
      <c r="Q74" s="129"/>
      <c r="R74" s="183">
        <f t="array" ref="R74">SUM(R10:S10*R23:S23)/R32</f>
        <v>0.22604620456442484</v>
      </c>
      <c r="S74" s="129"/>
      <c r="T74" s="183">
        <f t="array" ref="T74">SUM(T10:U10*T23:U23)/T32</f>
        <v>0.22604620456442481</v>
      </c>
      <c r="U74" s="129"/>
      <c r="V74" s="183">
        <f t="array" ref="V74">SUM(V10:W10*V23:W23)/V32</f>
        <v>0.22604620456442484</v>
      </c>
      <c r="W74" s="129"/>
      <c r="X74" s="183">
        <f t="array" ref="X74">SUM(X10:Y10*X23:Y23)/X32</f>
        <v>0.22604620456442484</v>
      </c>
      <c r="Y74" s="129"/>
      <c r="Z74" s="183">
        <f t="array" ref="Z74">SUM(Z10:AA10*Z23:AA23)/Z32</f>
        <v>0.22604620456442484</v>
      </c>
      <c r="AA74" s="129"/>
      <c r="AB74" s="183">
        <f t="array" ref="AB74">SUM(AB10:AC10*AB23:AC23)/AB32</f>
        <v>0.22604620456442484</v>
      </c>
      <c r="AC74" s="129"/>
      <c r="AD74" s="183">
        <f t="array" ref="AD74">SUM(AD10:AE10*AD23:AE23)/AD32</f>
        <v>0.22604620456442484</v>
      </c>
      <c r="AE74" s="129"/>
      <c r="AF74" s="183">
        <f t="array" ref="AF74">SUM(AF10:AG10*AF23:AG23)/AF32</f>
        <v>0.22604620456442484</v>
      </c>
      <c r="AG74" s="129"/>
      <c r="AH74" s="183">
        <f t="array" ref="AH74">SUM(AH10:AI10*AH23:AI23)/AH32</f>
        <v>0.22604620456442484</v>
      </c>
      <c r="AI74" s="129"/>
      <c r="AJ74" s="183">
        <f t="array" ref="AJ74">SUM(AJ10:AK10*AJ23:AK23)/AJ32</f>
        <v>0.22604620456442484</v>
      </c>
      <c r="AK74" s="129"/>
      <c r="AL74" s="183">
        <f t="array" ref="AL74">SUM(AL10:AM10*AL23:AM23)/AL32</f>
        <v>0.22604620456442481</v>
      </c>
      <c r="AM74" s="129"/>
      <c r="AN74" s="183">
        <f t="array" ref="AN74">SUM(AN10:AO10*AN23:AO23)/AN32</f>
        <v>0.22604620456442484</v>
      </c>
      <c r="AO74" s="129"/>
      <c r="AP74" s="183">
        <f t="array" ref="AP74">SUM(AP10:AQ10*AP23:AQ23)/AP32</f>
        <v>0.22604620456442481</v>
      </c>
      <c r="AQ74" s="129"/>
      <c r="AR74" s="183">
        <f t="array" ref="AR74">SUM(AR10:AS10*AR23:AS23)/AR32</f>
        <v>0.22604620456442484</v>
      </c>
      <c r="AS74" s="129"/>
      <c r="AT74" s="183">
        <f t="array" ref="AT74">SUM(AT10:AU10*AT23:AU23)/AT32</f>
        <v>0.22604620456442484</v>
      </c>
      <c r="AU74" s="129"/>
      <c r="AV74" s="183">
        <f t="array" ref="AV74">SUM(AV10:AW10*AV23:AW23)/AV32</f>
        <v>0.22604620456442481</v>
      </c>
      <c r="XFD74" s="183"/>
    </row>
    <row r="75" spans="1:48 16384:16384" x14ac:dyDescent="0.2">
      <c r="A75" t="s">
        <v>170</v>
      </c>
      <c r="B75" s="183">
        <f t="array" ref="B75">SUM(B11:C11*B24:C24)/B32</f>
        <v>0.22038438833194082</v>
      </c>
      <c r="D75" s="183">
        <f t="array" ref="D75">SUM(D11:E11*D24:E24)/D32</f>
        <v>0.22150746215604911</v>
      </c>
      <c r="E75" s="129"/>
      <c r="F75" s="183">
        <f t="array" ref="F75">SUM(F11:G11*F24:G24)/F32</f>
        <v>0.22286735886985509</v>
      </c>
      <c r="G75" s="129"/>
      <c r="H75" s="183">
        <f t="array" ref="H75">SUM(H11:I11*H24:I24)/H32</f>
        <v>0.22452278690733379</v>
      </c>
      <c r="I75" s="129"/>
      <c r="J75" s="183">
        <f t="array" ref="J75">SUM(J11:K11*J24:K24)/J32</f>
        <v>0.22655148690023433</v>
      </c>
      <c r="K75" s="129"/>
      <c r="L75" s="183">
        <f t="array" ref="L75">SUM(L11:M11*L24:M24)/L32</f>
        <v>0.22905788908194177</v>
      </c>
      <c r="M75" s="129"/>
      <c r="N75" s="183">
        <f t="array" ref="N75">SUM(N11:O11*N24:O24)/N32</f>
        <v>0.23218461130746351</v>
      </c>
      <c r="O75" s="129"/>
      <c r="P75" s="183">
        <f t="array" ref="P75">SUM(P11:Q11*P24:Q24)/P32</f>
        <v>0.23612890249208063</v>
      </c>
      <c r="Q75" s="129"/>
      <c r="R75" s="183">
        <f t="array" ref="R75">SUM(R11:S11*R24:S24)/R32</f>
        <v>0.24116776692545949</v>
      </c>
      <c r="S75" s="129"/>
      <c r="T75" s="183">
        <f t="array" ref="T75">SUM(T11:U11*T24:U24)/T32</f>
        <v>0.24769538725273599</v>
      </c>
      <c r="U75" s="129"/>
      <c r="V75" s="183">
        <f t="array" ref="V75">SUM(V11:W11*V24:W24)/V32</f>
        <v>0.25627980751839702</v>
      </c>
      <c r="W75" s="129"/>
      <c r="X75" s="183">
        <f t="array" ref="X75">SUM(X11:Y11*X24:Y24)/X32</f>
        <v>0.26774621867362947</v>
      </c>
      <c r="Y75" s="129"/>
      <c r="Z75" s="183">
        <f t="array" ref="Z75">SUM(Z11:AA11*Z24:AA24)/Z32</f>
        <v>0.28329852267113864</v>
      </c>
      <c r="AA75" s="129"/>
      <c r="AB75" s="183">
        <f t="array" ref="AB75">SUM(AB11:AC11*AB24:AC24)/AB32</f>
        <v>0.3046829423374991</v>
      </c>
      <c r="AC75" s="129"/>
      <c r="AD75" s="183">
        <f t="array" ref="AD75">SUM(AD11:AE11*AD24:AE24)/AD32</f>
        <v>0.33436238882473679</v>
      </c>
      <c r="AE75" s="129"/>
      <c r="AF75" s="183">
        <f t="array" ref="AF75">SUM(AF11:AG11*AF24:AG24)/AF32</f>
        <v>0.37552041395102187</v>
      </c>
      <c r="AG75" s="129"/>
      <c r="AH75" s="183">
        <f t="array" ref="AH75">SUM(AH11:AI11*AH24:AI24)/AH32</f>
        <v>0.43134918350053991</v>
      </c>
      <c r="AI75" s="129"/>
      <c r="AJ75" s="183">
        <f t="array" ref="AJ75">SUM(AJ11:AK11*AJ24:AK24)/AJ32</f>
        <v>0.50326858445752587</v>
      </c>
      <c r="AK75" s="129"/>
      <c r="AL75" s="183">
        <f t="array" ref="AL75">SUM(AL11:AM11*AL24:AM24)/AL32</f>
        <v>0.59327836995298855</v>
      </c>
      <c r="AM75" s="129"/>
      <c r="AN75" s="183">
        <f t="array" ref="AN75">SUM(AN11:AO11*AN24:AO24)/AN32</f>
        <v>0.74584682966579519</v>
      </c>
      <c r="AO75" s="129"/>
      <c r="AP75" s="183">
        <f t="array" ref="AP75">SUM(AP11:AQ11*AP24:AQ24)/AP32</f>
        <v>0.80332575189086164</v>
      </c>
      <c r="AQ75" s="129"/>
      <c r="AR75" s="183">
        <f t="array" ref="AR75">SUM(AR11:AS11*AR24:AS24)/AR32</f>
        <v>0.88569282403380956</v>
      </c>
      <c r="AS75" s="129"/>
      <c r="AT75" s="183">
        <f t="array" ref="AT75">SUM(AT11:AU11*AT24:AU24)/AT32</f>
        <v>1.018946792534585</v>
      </c>
      <c r="AU75" s="129"/>
      <c r="AV75" s="183">
        <f t="array" ref="AV75">SUM(AV11:AW11*AV24:AW24)/AV32</f>
        <v>1.2980258132163907</v>
      </c>
      <c r="XFD75" s="183"/>
    </row>
    <row r="76" spans="1:48 16384:16384" x14ac:dyDescent="0.2">
      <c r="A76" t="s">
        <v>171</v>
      </c>
      <c r="B76" s="183">
        <f t="array" ref="B76">SUM(B12:C12*B25:C25)/B32</f>
        <v>0.22301874374724862</v>
      </c>
      <c r="D76" s="183">
        <f t="array" ref="D76">SUM(D12:E12*D25:E25)/D32</f>
        <v>0.22352592593453208</v>
      </c>
      <c r="E76" s="129"/>
      <c r="F76" s="183">
        <f t="array" ref="F76">SUM(F12:G12*F25:G25)/F32</f>
        <v>0.22391375551969911</v>
      </c>
      <c r="G76" s="129"/>
      <c r="H76" s="183">
        <f t="array" ref="H76">SUM(H12:I12*H25:I25)/H32</f>
        <v>0.22413921951905805</v>
      </c>
      <c r="I76" s="129"/>
      <c r="J76" s="183">
        <f t="array" ref="J76">SUM(J12:K12*J25:K25)/J32</f>
        <v>0.22414325412372116</v>
      </c>
      <c r="K76" s="129"/>
      <c r="L76" s="183">
        <f t="array" ref="L76">SUM(L12:M12*L25:M25)/L32</f>
        <v>0.2238439985147854</v>
      </c>
      <c r="M76" s="129"/>
      <c r="N76" s="183">
        <f t="array" ref="N76">SUM(N12:O12*N25:O25)/N32</f>
        <v>0.22312668952950865</v>
      </c>
      <c r="O76" s="129"/>
      <c r="P76" s="183">
        <f t="array" ref="P76">SUM(P12:Q12*P25:Q25)/P32</f>
        <v>0.22182945145837243</v>
      </c>
      <c r="Q76" s="129"/>
      <c r="R76" s="183">
        <f t="array" ref="R76">SUM(R12:S12*R25:S25)/R32</f>
        <v>0.21972197036972457</v>
      </c>
      <c r="S76" s="129"/>
      <c r="T76" s="183">
        <f t="array" ref="T76">SUM(T12:U12*T25:U25)/T32</f>
        <v>0.21647468707991083</v>
      </c>
      <c r="U76" s="129"/>
      <c r="V76" s="183">
        <f t="array" ref="V76">SUM(V12:W12*V25:W25)/V32</f>
        <v>0.2116141926769558</v>
      </c>
      <c r="W76" s="129"/>
      <c r="X76" s="183">
        <f t="array" ref="X76">SUM(X12:Y12*X25:Y25)/X32</f>
        <v>0.20446286647977288</v>
      </c>
      <c r="Y76" s="129"/>
      <c r="Z76" s="183">
        <f t="array" ref="Z76">SUM(Z12:AA12*Z25:AA25)/Z32</f>
        <v>0.19406103906040398</v>
      </c>
      <c r="AA76" s="129"/>
      <c r="AB76" s="183">
        <f t="array" ref="AB76">SUM(AB12:AC12*AB25:AC25)/AB32</f>
        <v>0.17908907811196781</v>
      </c>
      <c r="AC76" s="129"/>
      <c r="AD76" s="183">
        <f t="array" ref="AD76">SUM(AD12:AE12*AD25:AE25)/AD32</f>
        <v>0.15786350591958842</v>
      </c>
      <c r="AE76" s="129"/>
      <c r="AF76" s="183">
        <f t="array" ref="AF76">SUM(AF12:AG12*AF25:AG25)/AF32</f>
        <v>0.12866807920340617</v>
      </c>
      <c r="AG76" s="129"/>
      <c r="AH76" s="183">
        <f t="array" ref="AH76">SUM(AH12:AI12*AH25:AI25)/AH32</f>
        <v>9.1113026143840967E-2</v>
      </c>
      <c r="AI76" s="129"/>
      <c r="AJ76" s="183">
        <f t="array" ref="AJ76">SUM(AJ12:AK12*AJ25:AK25)/AJ32</f>
        <v>4.9326908660908067E-2</v>
      </c>
      <c r="AK76" s="129"/>
      <c r="AL76" s="183">
        <f t="array" ref="AL76">SUM(AL12:AM12*AL25:AM25)/AL32</f>
        <v>1.5333973640423186E-2</v>
      </c>
      <c r="AM76" s="129"/>
      <c r="AN76" s="183">
        <f t="array" ref="AN76">SUM(AN12:AO12*AN25:AO25)/AN32</f>
        <v>1.5040246255464123E-3</v>
      </c>
      <c r="AO76" s="129"/>
      <c r="AP76" s="183">
        <f t="array" ref="AP76">SUM(AP12:AQ12*AP25:AQ25)/AP32</f>
        <v>7.2224769739974058E-4</v>
      </c>
      <c r="AQ76" s="129"/>
      <c r="AR76" s="183">
        <f t="array" ref="AR76">SUM(AR12:AS12*AR25:AS25)/AR32</f>
        <v>2.8770287699064496E-4</v>
      </c>
      <c r="AS76" s="129"/>
      <c r="AT76" s="183">
        <f t="array" ref="AT76">SUM(AT12:AU12*AT25:AU25)/AT32</f>
        <v>8.246547709989669E-5</v>
      </c>
      <c r="AU76" s="129"/>
      <c r="AV76" s="183">
        <f t="array" ref="AV76">SUM(AV12:AW12*AV25:AW25)/AV32</f>
        <v>1.0943641873229518E-5</v>
      </c>
      <c r="XFD76" s="183"/>
    </row>
    <row r="77" spans="1:48 16384:16384" x14ac:dyDescent="0.2">
      <c r="A77" t="s">
        <v>172</v>
      </c>
      <c r="B77" s="183">
        <f t="array" ref="B77">SUM(B4:C4*B19:C19)/B32</f>
        <v>0.14586087017236518</v>
      </c>
      <c r="D77" s="183">
        <f t="array" ref="D77">SUM(D4:E4*D19:E19)/D32</f>
        <v>0.14579640182472492</v>
      </c>
      <c r="E77" s="129"/>
      <c r="F77" s="183">
        <f t="array" ref="F77">SUM(F4:G4*F19:G19)/F32</f>
        <v>0.14581881243521172</v>
      </c>
      <c r="G77" s="129"/>
      <c r="H77" s="183">
        <f t="array" ref="H77">SUM(H4:I4*H19:I19)/H32</f>
        <v>0.14594224741173353</v>
      </c>
      <c r="I77" s="129"/>
      <c r="J77" s="183">
        <f t="array" ref="J77">SUM(J4:K4*J19:K19)/J32</f>
        <v>0.14618430397598442</v>
      </c>
      <c r="K77" s="129"/>
      <c r="L77" s="183">
        <f t="array" ref="L77">SUM(L4:M4*L19:M19)/L32</f>
        <v>0.14656721338993917</v>
      </c>
      <c r="M77" s="129"/>
      <c r="N77" s="183">
        <f t="array" ref="N77">SUM(N4:O4*N19:O19)/N32</f>
        <v>0.14711967711349799</v>
      </c>
      <c r="O77" s="129"/>
      <c r="P77" s="183">
        <f t="array" ref="P77">SUM(P4:Q4*P19:Q19)/P32</f>
        <v>0.14787950599993049</v>
      </c>
      <c r="Q77" s="129"/>
      <c r="R77" s="183">
        <f t="array" ref="R77">SUM(R4:S4*R19:S19)/R32</f>
        <v>0.14889797494923848</v>
      </c>
      <c r="S77" s="129"/>
      <c r="T77" s="183">
        <f t="array" ref="T77">SUM(T4:U4*T19:U19)/T32</f>
        <v>0.15024702832905973</v>
      </c>
      <c r="U77" s="129"/>
      <c r="V77" s="183">
        <f t="array" ref="V77">SUM(V4:W4*V19:W19)/V32</f>
        <v>0.15203166836168797</v>
      </c>
      <c r="W77" s="129"/>
      <c r="X77" s="183">
        <f t="array" ref="X77">SUM(X4:Y4*X19:Y19)/X32</f>
        <v>0.15441152579046852</v>
      </c>
      <c r="Y77" s="129"/>
      <c r="Z77" s="183">
        <f t="array" ref="Z77">SUM(Z4:AA4*Z19:AA19)/Z32</f>
        <v>0.15764003139137814</v>
      </c>
      <c r="AA77" s="129"/>
      <c r="AB77" s="183">
        <f t="array" ref="AB77">SUM(AB4:AC4*AB19:AC19)/AB32</f>
        <v>0.16213607077281203</v>
      </c>
      <c r="AC77" s="129"/>
      <c r="AD77" s="183">
        <f t="array" ref="AD77">SUM(AD4:AE4*AD19:AE19)/AD32</f>
        <v>0.1686160082672889</v>
      </c>
      <c r="AE77" s="129"/>
      <c r="AF77" s="183">
        <f t="array" ref="AF77">SUM(AF4:AG4*AF19:AG19)/AF32</f>
        <v>0.17833032625429454</v>
      </c>
      <c r="AG77" s="129"/>
      <c r="AH77" s="183">
        <f t="array" ref="AH77">SUM(AH4:AI4*AH19:AI19)/AH32</f>
        <v>0.19345365631756437</v>
      </c>
      <c r="AI77" s="129"/>
      <c r="AJ77" s="183">
        <f t="array" ref="AJ77">SUM(AJ4:AK4*AJ19:AK19)/AJ32</f>
        <v>0.21785108941022258</v>
      </c>
      <c r="AK77" s="129"/>
      <c r="AL77" s="183">
        <f t="array" ref="AL77">SUM(AL4:AM4*AL19:AM19)/AL32</f>
        <v>0.26141427939025641</v>
      </c>
      <c r="AM77" s="129"/>
      <c r="AN77" s="183">
        <f t="array" ref="AN77">SUM(AN4:AO4*AN19:AO19)/AN32</f>
        <v>0.37347218800202131</v>
      </c>
      <c r="AO77" s="129"/>
      <c r="AP77" s="183">
        <f t="array" ref="AP77">SUM(AP4:AQ4*AP19:AQ19)/AP32</f>
        <v>0.42157794358127992</v>
      </c>
      <c r="AQ77" s="129"/>
      <c r="AR77" s="183">
        <f t="array" ref="AR77">SUM(AR4:AS4*AR19:AS19)/AR32</f>
        <v>0.49253385370446384</v>
      </c>
      <c r="AS77" s="129"/>
      <c r="AT77" s="183">
        <f t="array" ref="AT77">SUM(AT4:AU4*AT19:AU19)/AT32</f>
        <v>0.61021618685049539</v>
      </c>
      <c r="AU77" s="129"/>
      <c r="AV77" s="183">
        <f t="array" ref="AV77">SUM(AV4:AW4*AV19:AW19)/AV32</f>
        <v>0.86315576734417199</v>
      </c>
      <c r="XFD77" s="183"/>
    </row>
    <row r="78" spans="1:48 16384:16384" x14ac:dyDescent="0.2">
      <c r="A78" t="s">
        <v>173</v>
      </c>
      <c r="B78" s="183">
        <f t="array" ref="B78">SUM(B13:C13*B26:C26)/B32</f>
        <v>0.346887593115773</v>
      </c>
      <c r="D78" s="183">
        <f t="array" ref="D78">SUM(D13:E13*D26:E26)/D32</f>
        <v>0.34535645791922359</v>
      </c>
      <c r="E78" s="129"/>
      <c r="F78" s="183">
        <f t="array" ref="F78">SUM(F13:G13*F26:G26)/F32</f>
        <v>0.34374965210220404</v>
      </c>
      <c r="G78" s="129"/>
      <c r="H78" s="183">
        <f t="array" ref="H78">SUM(H13:I13*H26:I26)/H32</f>
        <v>0.34206053856350999</v>
      </c>
      <c r="I78" s="129"/>
      <c r="J78" s="183">
        <f t="array" ref="J78">SUM(J13:K13*J26:K26)/J32</f>
        <v>0.34028233241968403</v>
      </c>
      <c r="K78" s="129"/>
      <c r="L78" s="183">
        <f t="array" ref="L78">SUM(L13:M13*L26:M26)/L32</f>
        <v>0.33840832639519941</v>
      </c>
      <c r="M78" s="129"/>
      <c r="N78" s="183">
        <f t="array" ref="N78">SUM(N13:O13*N26:O26)/N32</f>
        <v>0.33643231945008456</v>
      </c>
      <c r="O78" s="129"/>
      <c r="P78" s="183">
        <f t="array" ref="P78">SUM(P13:Q13*P26:Q26)/P32</f>
        <v>0.33434917642210732</v>
      </c>
      <c r="Q78" s="129"/>
      <c r="R78" s="183">
        <f t="array" ref="R78">SUM(R13:S13*R26:S26)/R32</f>
        <v>0.33215578668753226</v>
      </c>
      <c r="S78" s="129"/>
      <c r="T78" s="183">
        <f t="array" ref="T78">SUM(T13:U13*T26:U26)/T32</f>
        <v>0.32985231813881938</v>
      </c>
      <c r="U78" s="129"/>
      <c r="V78" s="183">
        <f t="array" ref="V78">SUM(V13:W13*V26:W26)/V32</f>
        <v>0.32744406898111605</v>
      </c>
      <c r="W78" s="129"/>
      <c r="X78" s="183">
        <f t="array" ref="X78">SUM(X13:Y13*X26:Y26)/X32</f>
        <v>0.32494322568145234</v>
      </c>
      <c r="Y78" s="129"/>
      <c r="Z78" s="183">
        <f t="array" ref="Z78">SUM(Z13:AA13*Z26:AA26)/Z32</f>
        <v>0.32237018779663962</v>
      </c>
      <c r="AA78" s="129"/>
      <c r="AB78" s="183">
        <f t="array" ref="AB78">SUM(AB13:AC13*AB26:AC26)/AB32</f>
        <v>0.31975214775789534</v>
      </c>
      <c r="AC78" s="129"/>
      <c r="AD78" s="183">
        <f t="array" ref="AD78">SUM(AD13:AE13*AD26:AE26)/AD32</f>
        <v>0.31711450364729904</v>
      </c>
      <c r="AE78" s="129"/>
      <c r="AF78" s="183">
        <f t="array" ref="AF78">SUM(AF13:AG13*AF26:AG26)/AF32</f>
        <v>0.31445389668415491</v>
      </c>
      <c r="AG78" s="129"/>
      <c r="AH78" s="183">
        <f t="array" ref="AH78">SUM(AH13:AI13*AH26:AI26)/AH32</f>
        <v>0.31165738081104116</v>
      </c>
      <c r="AI78" s="129"/>
      <c r="AJ78" s="183">
        <f t="array" ref="AJ78">SUM(AJ13:AK13*AJ26:AK26)/AJ32</f>
        <v>0.3082697830038541</v>
      </c>
      <c r="AK78" s="129"/>
      <c r="AL78" s="183">
        <f t="array" ref="AL78">SUM(AL13:AM13*AL26:AM26)/AL32</f>
        <v>0.303138837458023</v>
      </c>
      <c r="AM78" s="129"/>
      <c r="AN78" s="183">
        <f t="array" ref="AN78">SUM(AN13:AO13*AN26:AO26)/AN32</f>
        <v>0.29632062068036952</v>
      </c>
      <c r="AO78" s="129"/>
      <c r="AP78" s="183">
        <f t="array" ref="AP78">SUM(AP13:AQ13*AP26:AQ26)/AP32</f>
        <v>0.29518970573164582</v>
      </c>
      <c r="AQ78" s="129"/>
      <c r="AR78" s="183">
        <f t="array" ref="AR78">SUM(AR13:AS13*AR26:AS26)/AR32</f>
        <v>0.29437542555565238</v>
      </c>
      <c r="AS78" s="129"/>
      <c r="AT78" s="183">
        <f t="array" ref="AT78">SUM(AT13:AU13*AT26:AU26)/AT32</f>
        <v>0.29415526747619636</v>
      </c>
      <c r="AU78" s="129"/>
      <c r="AV78" s="183">
        <f t="array" ref="AV78">SUM(AV13:AW13*AV26:AW26)/AV32</f>
        <v>0.29512524370523291</v>
      </c>
      <c r="XFD78" s="183"/>
    </row>
    <row r="79" spans="1:48 16384:16384" x14ac:dyDescent="0.2">
      <c r="A79" t="s">
        <v>174</v>
      </c>
      <c r="B79" s="183">
        <f t="array" ref="B79">SUM(B15:C15*B27:C27)/B32</f>
        <v>0.45460968782440875</v>
      </c>
      <c r="D79" s="183">
        <f t="array" ref="D79">SUM(D15:E15*D27:E27)/D32</f>
        <v>0.45328967919370861</v>
      </c>
      <c r="F79" s="183">
        <f t="array" ref="F79">SUM(F15:G15*F27:G27)/F32</f>
        <v>0.45199387719408585</v>
      </c>
      <c r="H79" s="183">
        <f t="array" ref="H79">SUM(H15:I15*H27:I27)/H32</f>
        <v>0.45072630832941002</v>
      </c>
      <c r="J79" s="183">
        <f t="array" ref="J79">SUM(J15:K15*J27:K27)/J32</f>
        <v>0.4494919457916855</v>
      </c>
      <c r="L79" s="183">
        <f t="array" ref="L79">SUM(L15:M15*L27:M27)/L32</f>
        <v>0.44829691628496571</v>
      </c>
      <c r="N79" s="183">
        <f t="array" ref="N79">SUM(N15:O15*N27:O27)/N32</f>
        <v>0.44714885401174465</v>
      </c>
      <c r="P79" s="183">
        <f t="array" ref="P79">SUM(P15:Q15*P27:Q27)/P32</f>
        <v>0.44605697014608836</v>
      </c>
      <c r="R79" s="183">
        <f t="array" ref="R79">SUM(R15:S15*R27:S27)/R32</f>
        <v>0.44503215973233035</v>
      </c>
      <c r="T79" s="183">
        <f t="array" ref="T79">SUM(T15:U15*T27:U27)/T32</f>
        <v>0.44408653334647596</v>
      </c>
      <c r="V79" s="183">
        <f t="array" ref="V79">SUM(V15:W15*V27:W27)/V32</f>
        <v>0.44323219746973813</v>
      </c>
      <c r="X79" s="183">
        <f t="array" ref="X79">SUM(X15:Y15*X27:Y27)/X32</f>
        <v>0.4424772803577679</v>
      </c>
      <c r="Z79" s="183">
        <f t="array" ref="Z79">SUM(Z15:AA15*Z27:AA27)/Z32</f>
        <v>0.44181686062205877</v>
      </c>
      <c r="AB79" s="183">
        <f t="array" ref="AB79">SUM(AB15:AC15*AB27:AC27)/AB32</f>
        <v>0.44121059524099543</v>
      </c>
      <c r="AD79" s="183">
        <f t="array" ref="AD79">SUM(AD15:AE15*AD27:AE27)/AD32</f>
        <v>0.44052742760840602</v>
      </c>
      <c r="AF79" s="183">
        <f t="array" ref="AF79">SUM(AF15:AG15*AF27:AG27)/AF32</f>
        <v>0.43940571834552872</v>
      </c>
      <c r="AH79" s="183">
        <f t="array" ref="AH79">SUM(AH15:AI15*AH27:AI27)/AH32</f>
        <v>0.43690215173933888</v>
      </c>
      <c r="AJ79" s="183">
        <f t="array" ref="AJ79">SUM(AJ15:AK15*AJ27:AK27)/AJ32</f>
        <v>0.4306399782550232</v>
      </c>
      <c r="AL79" s="183">
        <f t="array" ref="AL79">SUM(AL15:AM15*AL27:AM27)/AL32</f>
        <v>0.41481934420978106</v>
      </c>
      <c r="AN79" s="183">
        <f t="array" ref="AN79">SUM(AN15:AO15*AN27:AO27)/AN32</f>
        <v>0.37675109486340991</v>
      </c>
      <c r="AP79" s="183">
        <f t="array" ref="AP79">SUM(AP15:AQ15*AP27:AQ27)/AP32</f>
        <v>0.36342817104137615</v>
      </c>
      <c r="AR79" s="183">
        <f t="array" ref="AR79">SUM(AR15:AS15*AR27:AS27)/AR32</f>
        <v>0.34577579325536817</v>
      </c>
      <c r="AT79" s="183">
        <f t="array" ref="AT79">SUM(AT15:AU15*AT27:AU27)/AT32</f>
        <v>0.32014408728685001</v>
      </c>
      <c r="AV79" s="183">
        <f t="array" ref="AV79">SUM(AV15:AW15*AV27:AW27)/AV32</f>
        <v>0.27531840187489937</v>
      </c>
      <c r="XFD79" s="183"/>
    </row>
    <row r="80" spans="1:48 16384:16384" x14ac:dyDescent="0.2">
      <c r="A80" t="s">
        <v>153</v>
      </c>
      <c r="B80" s="195">
        <f>B55</f>
        <v>0.19850271905982084</v>
      </c>
      <c r="D80" s="195">
        <f>D55</f>
        <v>0.20135387212125244</v>
      </c>
      <c r="F80" s="195">
        <f>F55</f>
        <v>0.20425646858124419</v>
      </c>
      <c r="H80" s="195">
        <f>H55</f>
        <v>0.20721314973109675</v>
      </c>
      <c r="J80" s="195">
        <f>J55</f>
        <v>0.21022573306327735</v>
      </c>
      <c r="L80" s="195">
        <f>L55</f>
        <v>0.21329475161274825</v>
      </c>
      <c r="N80" s="195">
        <f>N55</f>
        <v>0.21641881829631054</v>
      </c>
      <c r="P80" s="195">
        <f>P55</f>
        <v>0.21959385690176489</v>
      </c>
      <c r="R80" s="195">
        <f>R55</f>
        <v>0.22281207859520075</v>
      </c>
      <c r="T80" s="195">
        <f>T55</f>
        <v>0.22606115057124807</v>
      </c>
      <c r="V80" s="195">
        <f>V55</f>
        <v>0.22932374021846572</v>
      </c>
      <c r="X80" s="195">
        <f>X55</f>
        <v>0.23257949218673923</v>
      </c>
      <c r="Z80" s="195">
        <f>Z55</f>
        <v>0.23581294995427529</v>
      </c>
      <c r="AB80" s="195">
        <f>AB55</f>
        <v>0.23903729970381066</v>
      </c>
      <c r="AD80" s="195">
        <f>AD55</f>
        <v>0.2423580975041815</v>
      </c>
      <c r="AF80" s="195">
        <f>AF55</f>
        <v>0.2461403904757338</v>
      </c>
      <c r="AH80" s="195">
        <f>AH55</f>
        <v>0.2514404708178557</v>
      </c>
      <c r="AJ80" s="195">
        <f>AJ55</f>
        <v>0.26109023905345419</v>
      </c>
      <c r="AL80" s="195">
        <f>AL55</f>
        <v>0.28204181881019524</v>
      </c>
      <c r="AN80" s="195">
        <f>AN55</f>
        <v>0.32692828440091576</v>
      </c>
      <c r="AP80" s="195">
        <f>AP55</f>
        <v>0.34138212321515499</v>
      </c>
      <c r="AR80" s="195">
        <f>AR55</f>
        <v>0.35984878118693858</v>
      </c>
      <c r="AT80" s="195">
        <f>AT55</f>
        <v>0.38570064538152798</v>
      </c>
      <c r="AV80" s="195">
        <f>AV55</f>
        <v>0.42955635443948753</v>
      </c>
      <c r="XFD80" s="195"/>
    </row>
    <row r="81" spans="1:48 16384:16384" x14ac:dyDescent="0.2">
      <c r="A81" t="s">
        <v>175</v>
      </c>
      <c r="B81" s="195">
        <f>B51/B$32</f>
        <v>-2.7543485504603994E-2</v>
      </c>
      <c r="D81" s="195">
        <f>D51/D$32</f>
        <v>-2.4692332443172389E-2</v>
      </c>
      <c r="F81" s="195">
        <f>F51/F$32</f>
        <v>-2.1789735983180653E-2</v>
      </c>
      <c r="H81" s="195">
        <f>H51/H$32</f>
        <v>-1.8833054833328085E-2</v>
      </c>
      <c r="J81" s="195">
        <f>J51/J$32</f>
        <v>-1.5820471501147498E-2</v>
      </c>
      <c r="L81" s="195">
        <f>L51/L$32</f>
        <v>-1.2751452951676604E-2</v>
      </c>
      <c r="N81" s="195">
        <f>N51/N$32</f>
        <v>-9.627386268114272E-3</v>
      </c>
      <c r="P81" s="195">
        <f>P51/P$32</f>
        <v>-6.4523476626599553E-3</v>
      </c>
      <c r="R81" s="195">
        <f>R51/R$32</f>
        <v>-3.2341259692240899E-3</v>
      </c>
      <c r="T81" s="195">
        <f>T51/T$32</f>
        <v>1.4946006823236626E-5</v>
      </c>
      <c r="V81" s="195">
        <f>V51/V$32</f>
        <v>3.2775356540408885E-3</v>
      </c>
      <c r="X81" s="195">
        <f>X51/X$32</f>
        <v>6.5332876223143967E-3</v>
      </c>
      <c r="Z81" s="195">
        <f>Z51/Z$32</f>
        <v>9.7667453898504369E-3</v>
      </c>
      <c r="AB81" s="195">
        <f>AB51/AB$32</f>
        <v>1.2991095139385822E-2</v>
      </c>
      <c r="AD81" s="195">
        <f>AD51/AD$32</f>
        <v>1.6311892939756652E-2</v>
      </c>
      <c r="AF81" s="195">
        <f>AF51/AF$32</f>
        <v>2.0094185911308939E-2</v>
      </c>
      <c r="AH81" s="195">
        <f>AH51/AH$32</f>
        <v>2.5394266253430893E-2</v>
      </c>
      <c r="AJ81" s="195">
        <f>AJ51/AJ$32</f>
        <v>3.5044034489029333E-2</v>
      </c>
      <c r="AL81" s="195">
        <f>AL51/AL$32</f>
        <v>5.5995614245770459E-2</v>
      </c>
      <c r="AN81" s="195">
        <f>AN51/AN$32</f>
        <v>0.10088207983649095</v>
      </c>
      <c r="AP81" s="195">
        <f>AP51/AP$32</f>
        <v>0.11533591865073019</v>
      </c>
      <c r="AR81" s="195">
        <f>AR51/AR$32</f>
        <v>0.13380257662251374</v>
      </c>
      <c r="AT81" s="195">
        <f>AT51/AT$32</f>
        <v>0.15965444081710314</v>
      </c>
      <c r="AV81" s="195">
        <f>AV51/AV$32</f>
        <v>0.20351014987506272</v>
      </c>
      <c r="XFD81" s="195"/>
    </row>
    <row r="82" spans="1:48 16384:16384" x14ac:dyDescent="0.2">
      <c r="A82" t="s">
        <v>176</v>
      </c>
      <c r="B82" s="195">
        <f>B52/B$32</f>
        <v>0.14069693704202227</v>
      </c>
      <c r="D82" s="195">
        <f>D52/D$32</f>
        <v>0.14007591156683372</v>
      </c>
      <c r="F82" s="195">
        <f>F52/F$32</f>
        <v>0.13942419423429567</v>
      </c>
      <c r="H82" s="195">
        <f>H52/H$32</f>
        <v>0.13873909304899282</v>
      </c>
      <c r="J82" s="195">
        <f>J52/J$32</f>
        <v>0.13801785607531381</v>
      </c>
      <c r="L82" s="195">
        <f>L52/L$32</f>
        <v>0.13725776285527383</v>
      </c>
      <c r="N82" s="195">
        <f>N52/N$32</f>
        <v>0.13645629825905048</v>
      </c>
      <c r="P82" s="195">
        <f>P52/P$32</f>
        <v>0.1356113794747715</v>
      </c>
      <c r="R82" s="195">
        <f>R52/R$32</f>
        <v>0.13472174483946436</v>
      </c>
      <c r="T82" s="195">
        <f>T52/T$32</f>
        <v>0.13378746244998618</v>
      </c>
      <c r="V82" s="195">
        <f>V52/V$32</f>
        <v>0.13281068124810042</v>
      </c>
      <c r="X82" s="195">
        <f>X52/X$32</f>
        <v>0.13179634404127122</v>
      </c>
      <c r="Z82" s="195">
        <f>Z52/Z$32</f>
        <v>0.13075272485029771</v>
      </c>
      <c r="AB82" s="195">
        <f>AB52/AB$32</f>
        <v>0.12969085287270365</v>
      </c>
      <c r="AD82" s="195">
        <f>AD52/AD$32</f>
        <v>0.12862102952147189</v>
      </c>
      <c r="AF82" s="195">
        <f>AF52/AF$32</f>
        <v>0.12754189248164666</v>
      </c>
      <c r="AH82" s="195">
        <f>AH52/AH$32</f>
        <v>0.12640763105072489</v>
      </c>
      <c r="AJ82" s="195">
        <f>AJ52/AJ$32</f>
        <v>0.12503362793023159</v>
      </c>
      <c r="AL82" s="195">
        <f>AL52/AL$32</f>
        <v>0.12295252633780043</v>
      </c>
      <c r="AN82" s="195">
        <f>AN52/AN$32</f>
        <v>0.1201870707961714</v>
      </c>
      <c r="AP82" s="195">
        <f>AP52/AP$32</f>
        <v>0.1197283738796537</v>
      </c>
      <c r="AR82" s="195">
        <f>AR52/AR$32</f>
        <v>0.11939810341472507</v>
      </c>
      <c r="AT82" s="195">
        <f>AT52/AT$32</f>
        <v>0.11930880772338513</v>
      </c>
      <c r="AV82" s="195">
        <f>AV52/AV$32</f>
        <v>0.11970222820638138</v>
      </c>
    </row>
    <row r="83" spans="1:48 16384:16384" x14ac:dyDescent="0.2">
      <c r="A83" t="s">
        <v>177</v>
      </c>
      <c r="B83" s="195">
        <f>B53/B$32</f>
        <v>0.18438881036940691</v>
      </c>
      <c r="D83" s="195">
        <f>D53/D$32</f>
        <v>0.18385341742110228</v>
      </c>
      <c r="F83" s="195">
        <f>F53/F$32</f>
        <v>0.18332784263555785</v>
      </c>
      <c r="H83" s="195">
        <f>H53/H$32</f>
        <v>0.18281371915495762</v>
      </c>
      <c r="J83" s="195">
        <f>J53/J$32</f>
        <v>0.18231306409636258</v>
      </c>
      <c r="L83" s="195">
        <f>L53/L$32</f>
        <v>0.18182836243909059</v>
      </c>
      <c r="N83" s="195">
        <f>N53/N$32</f>
        <v>0.18136271060091202</v>
      </c>
      <c r="P83" s="195">
        <f>P53/P$32</f>
        <v>0.18091984461621774</v>
      </c>
      <c r="R83" s="195">
        <f>R53/R$32</f>
        <v>0.18050418349392328</v>
      </c>
      <c r="T83" s="195">
        <f>T53/T$32</f>
        <v>0.18012063926024</v>
      </c>
      <c r="V83" s="195">
        <f>V53/V$32</f>
        <v>0.17977412228053929</v>
      </c>
      <c r="X83" s="195">
        <f>X53/X$32</f>
        <v>0.17946792935959682</v>
      </c>
      <c r="Z83" s="195">
        <f>Z53/Z$32</f>
        <v>0.17920006439175012</v>
      </c>
      <c r="AB83" s="195">
        <f>AB53/AB$32</f>
        <v>0.1789541643254374</v>
      </c>
      <c r="AD83" s="195">
        <f>AD53/AD$32</f>
        <v>0.17867707285460036</v>
      </c>
      <c r="AF83" s="195">
        <f>AF53/AF$32</f>
        <v>0.17822210974646222</v>
      </c>
      <c r="AH83" s="195">
        <f>AH53/AH$32</f>
        <v>0.1772066679717717</v>
      </c>
      <c r="AJ83" s="195">
        <f>AJ53/AJ$32</f>
        <v>0.17466674251478101</v>
      </c>
      <c r="AL83" s="195">
        <f>AL53/AL$32</f>
        <v>0.16824992393607383</v>
      </c>
      <c r="AN83" s="195">
        <f>AN53/AN$32</f>
        <v>0.15280951560818418</v>
      </c>
      <c r="AP83" s="195">
        <f>AP53/AP$32</f>
        <v>0.14740576346655382</v>
      </c>
      <c r="AR83" s="195">
        <f>AR53/AR$32</f>
        <v>0.14024599316836667</v>
      </c>
      <c r="AT83" s="195">
        <f>AT53/AT$32</f>
        <v>0.12984982278781163</v>
      </c>
      <c r="AV83" s="195">
        <f>AV53/AV$32</f>
        <v>0.11166861145758734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6"/>
  <dimension ref="A1:Z78"/>
  <sheetViews>
    <sheetView topLeftCell="N1" workbookViewId="0">
      <selection activeCell="U8" sqref="U8"/>
    </sheetView>
  </sheetViews>
  <sheetFormatPr baseColWidth="10" defaultRowHeight="10" x14ac:dyDescent="0.2"/>
  <cols>
    <col min="1" max="1" width="19.6640625" customWidth="1"/>
    <col min="26" max="26" width="12"/>
  </cols>
  <sheetData>
    <row r="1" spans="1:26" ht="10.5" x14ac:dyDescent="0.25">
      <c r="A1" s="92" t="s">
        <v>182</v>
      </c>
    </row>
    <row r="2" spans="1:26" x14ac:dyDescent="0.2">
      <c r="A2" t="s">
        <v>181</v>
      </c>
      <c r="B2" s="202">
        <v>0</v>
      </c>
      <c r="C2" s="202">
        <v>0.05</v>
      </c>
      <c r="D2" s="202">
        <v>0.1</v>
      </c>
      <c r="E2" s="202">
        <v>0.15000000000000002</v>
      </c>
      <c r="F2" s="202">
        <v>0.2</v>
      </c>
      <c r="G2" s="202">
        <v>0.25</v>
      </c>
      <c r="H2" s="202">
        <v>0.3</v>
      </c>
      <c r="I2" s="202">
        <v>0.35</v>
      </c>
      <c r="J2" s="202">
        <v>0.39999999999999997</v>
      </c>
      <c r="K2" s="202">
        <v>0.44999999999999996</v>
      </c>
      <c r="L2" s="202">
        <v>0.49999999999999994</v>
      </c>
      <c r="M2" s="202">
        <v>0.54999999999999993</v>
      </c>
      <c r="N2" s="202">
        <v>0.6</v>
      </c>
      <c r="O2" s="202">
        <v>0.65</v>
      </c>
      <c r="P2" s="202">
        <v>0.70000000000000007</v>
      </c>
      <c r="Q2" s="202">
        <v>0.75000000000000011</v>
      </c>
      <c r="R2" s="202">
        <v>0.80000000000000016</v>
      </c>
      <c r="S2" s="202">
        <v>0.8500000000000002</v>
      </c>
      <c r="T2" s="202">
        <v>0.90000000000000024</v>
      </c>
      <c r="U2" s="202">
        <v>0.95000000000000029</v>
      </c>
      <c r="V2" s="202">
        <v>0.9600000000000003</v>
      </c>
      <c r="W2" s="202">
        <v>0.97000000000000031</v>
      </c>
      <c r="X2" s="202">
        <v>0.98000000000000032</v>
      </c>
      <c r="Y2" s="202">
        <v>0.99000000000000032</v>
      </c>
    </row>
    <row r="3" spans="1:26" x14ac:dyDescent="0.2">
      <c r="A3" t="s">
        <v>89</v>
      </c>
      <c r="B3" s="129">
        <f>NeoClassical!B$31</f>
        <v>1</v>
      </c>
      <c r="C3" s="129">
        <f>NeoClassical!D$31</f>
        <v>0.99313853018652332</v>
      </c>
      <c r="D3" s="129">
        <f>NeoClassical!F$31</f>
        <v>0.98575786979873314</v>
      </c>
      <c r="E3" s="129">
        <f>NeoClassical!H$31</f>
        <v>0.97778783561644322</v>
      </c>
      <c r="F3" s="129">
        <f>NeoClassical!J$31</f>
        <v>0.96914497682383649</v>
      </c>
      <c r="G3" s="129">
        <f>NeoClassical!L$31</f>
        <v>0.95972815759580854</v>
      </c>
      <c r="H3" s="129">
        <f>NeoClassical!N$31</f>
        <v>0.94941422606492154</v>
      </c>
      <c r="I3" s="129">
        <f>NeoClassical!P$31</f>
        <v>0.93804869803672342</v>
      </c>
      <c r="J3" s="129">
        <f>NeoClassical!R$31</f>
        <v>0.9254341338198826</v>
      </c>
      <c r="K3" s="129">
        <f>NeoClassical!T$31</f>
        <v>0.91131072167908667</v>
      </c>
      <c r="L3" s="129">
        <f>NeoClassical!V$31</f>
        <v>0.89532467005587324</v>
      </c>
      <c r="M3" s="129">
        <f>NeoClassical!X$31</f>
        <v>0.87697517212698528</v>
      </c>
      <c r="N3" s="129">
        <f>NeoClassical!Z$31</f>
        <v>0.85552070278418013</v>
      </c>
      <c r="O3" s="129">
        <f>NeoClassical!AB$31</f>
        <v>0.82980851615798479</v>
      </c>
      <c r="P3" s="129">
        <f>NeoClassical!AD$31</f>
        <v>0.79795546033901577</v>
      </c>
      <c r="Q3" s="129">
        <f>NeoClassical!AF$31</f>
        <v>0.75675932979072147</v>
      </c>
      <c r="R3" s="129">
        <f>NeoClassical!AH$31</f>
        <v>0.70070727364030716</v>
      </c>
      <c r="S3" s="129">
        <f>NeoClassical!AJ$31</f>
        <v>0.62050055201033094</v>
      </c>
      <c r="T3" s="129">
        <f>NeoClassical!AL$31</f>
        <v>0.49977649675663294</v>
      </c>
      <c r="U3" s="129">
        <f>NeoClassical!AN$31</f>
        <v>0.3026678316036453</v>
      </c>
      <c r="V3" s="129">
        <f>NeoClassical!AP$31</f>
        <v>0.24778921142187993</v>
      </c>
      <c r="W3" s="129">
        <f>NeoClassical!AR$31</f>
        <v>0.18591697098712431</v>
      </c>
      <c r="X3" s="129">
        <f>NeoClassical!AT$31</f>
        <v>0.11716524964155564</v>
      </c>
      <c r="Y3" s="129">
        <f>NeoClassical!AV$31</f>
        <v>4.587931959618697E-2</v>
      </c>
    </row>
    <row r="4" spans="1:26" x14ac:dyDescent="0.2">
      <c r="A4" t="s">
        <v>147</v>
      </c>
      <c r="B4" s="129">
        <f>Kaldorian!B$31</f>
        <v>1</v>
      </c>
      <c r="C4" s="129">
        <f>Kaldorian!D$31</f>
        <v>0.99789786016645821</v>
      </c>
      <c r="D4" s="129">
        <f>Kaldorian!F$31</f>
        <v>0.9953769177821955</v>
      </c>
      <c r="E4" s="129">
        <f>Kaldorian!H$31</f>
        <v>0.99237895791188491</v>
      </c>
      <c r="F4" s="129">
        <f>Kaldorian!J$31</f>
        <v>0.98883419742752088</v>
      </c>
      <c r="G4" s="129">
        <f>Kaldorian!L$31</f>
        <v>0.98465751663706269</v>
      </c>
      <c r="H4" s="129">
        <f>Kaldorian!N$31</f>
        <v>0.97974469825087795</v>
      </c>
      <c r="I4" s="129">
        <f>Kaldorian!P$31</f>
        <v>0.97396496058175763</v>
      </c>
      <c r="J4" s="129">
        <f>Kaldorian!R$31</f>
        <v>0.96715145437430905</v>
      </c>
      <c r="K4" s="129">
        <f>Kaldorian!T$31</f>
        <v>0.95908618772845944</v>
      </c>
      <c r="L4" s="129">
        <f>Kaldorian!V$31</f>
        <v>0.94947559160784256</v>
      </c>
      <c r="M4" s="129">
        <f>Kaldorian!X$31</f>
        <v>0.93791044861281991</v>
      </c>
      <c r="N4" s="129">
        <f>Kaldorian!Z$31</f>
        <v>0.92379564354091315</v>
      </c>
      <c r="O4" s="129">
        <f>Kaldorian!AB$31</f>
        <v>0.90622182216915015</v>
      </c>
      <c r="P4" s="129">
        <f>Kaldorian!AD$31</f>
        <v>0.88371907166387198</v>
      </c>
      <c r="Q4" s="129">
        <f>Kaldorian!AF$31</f>
        <v>0.85377130813274238</v>
      </c>
      <c r="R4" s="129">
        <f>Kaldorian!AH$31</f>
        <v>0.81185692142249399</v>
      </c>
      <c r="S4" s="129">
        <f>Kaldorian!AJ$31</f>
        <v>0.74950728467448013</v>
      </c>
      <c r="T4" s="129">
        <f>Kaldorian!AL$31</f>
        <v>0.64920914441408595</v>
      </c>
      <c r="U4" s="129">
        <f>Kaldorian!AN$31</f>
        <v>0</v>
      </c>
      <c r="V4" s="129">
        <f>Kaldorian!AP$31</f>
        <v>0</v>
      </c>
      <c r="W4" s="129">
        <f>Kaldorian!AR$31</f>
        <v>0</v>
      </c>
      <c r="X4" s="129">
        <f>Kaldorian!AT$31</f>
        <v>0</v>
      </c>
      <c r="Y4" s="129">
        <f>Kaldorian!AV$31</f>
        <v>0</v>
      </c>
    </row>
    <row r="5" spans="1:26" x14ac:dyDescent="0.2">
      <c r="A5" t="s">
        <v>90</v>
      </c>
      <c r="B5" s="129">
        <f>Johansen!B$31</f>
        <v>1</v>
      </c>
      <c r="C5" s="129">
        <f>Johansen!D$31</f>
        <v>0.99791875169437938</v>
      </c>
      <c r="D5" s="129">
        <f>Johansen!F$31</f>
        <v>0.9954184942629225</v>
      </c>
      <c r="E5" s="129">
        <f>Johansen!H$31</f>
        <v>0.99244122160564707</v>
      </c>
      <c r="F5" s="129">
        <f>Johansen!J$31</f>
        <v>0.98891734595324843</v>
      </c>
      <c r="G5" s="129">
        <f>Johansen!L$31</f>
        <v>0.98476202195981488</v>
      </c>
      <c r="H5" s="129">
        <f>Johansen!N$31</f>
        <v>0.97987117640739563</v>
      </c>
      <c r="I5" s="129">
        <f>Johansen!P$31</f>
        <v>0.97411416950903518</v>
      </c>
      <c r="J5" s="129">
        <f>Johansen!R$31</f>
        <v>0.96732394190828463</v>
      </c>
      <c r="K5" s="129">
        <f>Johansen!T$31</f>
        <v>0.95928197894094536</v>
      </c>
      <c r="L5" s="129">
        <f>Johansen!V$31</f>
        <v>0.94969357303173152</v>
      </c>
      <c r="M5" s="129">
        <f>Johansen!X$31</f>
        <v>0.93814739900828448</v>
      </c>
      <c r="N5" s="129">
        <f>Johansen!Z$31</f>
        <v>0.92404480180828841</v>
      </c>
      <c r="O5" s="129">
        <f>Johansen!AB$31</f>
        <v>0.90647070404248087</v>
      </c>
      <c r="P5" s="129">
        <f>Johansen!AD$31</f>
        <v>0.88394717379243593</v>
      </c>
      <c r="Q5" s="129">
        <f>Johansen!AF$31</f>
        <v>0.85394993294998855</v>
      </c>
      <c r="R5" s="129">
        <f>Johansen!AH$31</f>
        <v>0.81196093194935004</v>
      </c>
      <c r="S5" s="129">
        <f>Johansen!AJ$31</f>
        <v>0.74954284552923645</v>
      </c>
      <c r="T5" s="129">
        <f>Johansen!AL$31</f>
        <v>0.64921417122243641</v>
      </c>
      <c r="U5" s="129">
        <f>Johansen!AN$31</f>
        <v>0.46463443725027942</v>
      </c>
      <c r="V5" s="129">
        <f>Johansen!AP$31</f>
        <v>0.40723730350908688</v>
      </c>
      <c r="W5" s="129">
        <f>Johansen!AR$31</f>
        <v>0.33790314114581682</v>
      </c>
      <c r="X5" s="129">
        <f>Johansen!AT$31</f>
        <v>0.25223363655971076</v>
      </c>
      <c r="Y5" s="129">
        <f>Johansen!AV$31</f>
        <v>0.14331440924314767</v>
      </c>
    </row>
    <row r="6" spans="1:26" x14ac:dyDescent="0.2">
      <c r="A6" t="s">
        <v>130</v>
      </c>
      <c r="B6" s="129">
        <f>'Keynes-M'!B$31</f>
        <v>1</v>
      </c>
      <c r="C6" s="129">
        <f>'Keynes-M'!D$31</f>
        <v>1.0107467148825926</v>
      </c>
      <c r="D6" s="129">
        <f>'Keynes-M'!F$31</f>
        <v>1.0212562395014684</v>
      </c>
      <c r="E6" s="129">
        <f>'Keynes-M'!H$31</f>
        <v>1.0314870113356558</v>
      </c>
      <c r="F6" s="129">
        <f>'Keynes-M'!J$31</f>
        <v>1.0413890434890538</v>
      </c>
      <c r="G6" s="129">
        <f>'Keynes-M'!L$31</f>
        <v>1.05090361517612</v>
      </c>
      <c r="H6" s="129">
        <f>'Keynes-M'!N$31</f>
        <v>1.0599633670499549</v>
      </c>
      <c r="I6" s="129">
        <f>'Keynes-M'!P$31</f>
        <v>1.0684930691722792</v>
      </c>
      <c r="J6" s="129">
        <f>'Keynes-M'!R$31</f>
        <v>1.0764115903428197</v>
      </c>
      <c r="K6" s="129">
        <f>'Keynes-M'!T$31</f>
        <v>1.0836360064931678</v>
      </c>
      <c r="L6" s="129">
        <f>'Keynes-M'!V$31</f>
        <v>1.0900887971420172</v>
      </c>
      <c r="M6" s="129">
        <f>'Keynes-M'!X$31</f>
        <v>1.0957075870962401</v>
      </c>
      <c r="N6" s="129">
        <f>'Keynes-M'!Z$31</f>
        <v>1.1004445518045494</v>
      </c>
      <c r="O6" s="129">
        <f>'Keynes-M'!AB$31</f>
        <v>1.1041845679532283</v>
      </c>
      <c r="P6" s="129">
        <f>'Keynes-M'!AD$31</f>
        <v>1.1062940036107707</v>
      </c>
      <c r="Q6" s="129">
        <f>'Keynes-M'!AF$31</f>
        <v>0</v>
      </c>
      <c r="R6" s="129">
        <f>'Keynes-M'!AH$31</f>
        <v>0</v>
      </c>
      <c r="S6" s="129">
        <f>'Keynes-M'!AJ$31</f>
        <v>0</v>
      </c>
      <c r="T6" s="129">
        <f>'Keynes-M'!AL$31</f>
        <v>0</v>
      </c>
      <c r="U6" s="129"/>
      <c r="V6" s="129"/>
      <c r="W6" s="129"/>
      <c r="X6" s="129"/>
      <c r="Y6" s="129"/>
    </row>
    <row r="7" spans="1:26" x14ac:dyDescent="0.2">
      <c r="A7" t="s">
        <v>146</v>
      </c>
      <c r="B7" s="129">
        <f>Keynesian!B$31</f>
        <v>1</v>
      </c>
      <c r="C7" s="129">
        <f>Keynesian!D$31</f>
        <v>0.97822030048550723</v>
      </c>
      <c r="D7" s="129">
        <f>Keynesian!F$31</f>
        <v>0.9541557482871974</v>
      </c>
      <c r="E7" s="129">
        <f>Keynesian!H$31</f>
        <v>0.92758169713563066</v>
      </c>
      <c r="F7" s="129">
        <f>Keynesian!J$31</f>
        <v>0.89826490799738856</v>
      </c>
      <c r="G7" s="129">
        <f>Keynesian!L$31</f>
        <v>0.86597442352103915</v>
      </c>
      <c r="H7" s="129">
        <f>Keynesian!N$31</f>
        <v>0.83049645485730972</v>
      </c>
      <c r="I7" s="129">
        <f>Keynesian!P$31</f>
        <v>0.79166104553266547</v>
      </c>
      <c r="J7" s="129">
        <f>Keynesian!R$31</f>
        <v>0.74938453861859256</v>
      </c>
      <c r="K7" s="129">
        <f>Keynesian!T$31</f>
        <v>0.70374513574431197</v>
      </c>
      <c r="L7" s="129">
        <f>Keynesian!V$31</f>
        <v>0.65514606436598044</v>
      </c>
      <c r="M7" s="129">
        <f>Keynesian!X$31</f>
        <v>0.60477486065177044</v>
      </c>
      <c r="N7" s="129">
        <f>Keynesian!Z$31</f>
        <v>0</v>
      </c>
      <c r="O7" s="129">
        <f>Keynesian!AB$31</f>
        <v>0</v>
      </c>
      <c r="P7" s="129"/>
      <c r="Q7" s="129"/>
      <c r="R7" s="129"/>
      <c r="S7" s="129"/>
      <c r="T7" s="129"/>
      <c r="U7" s="129"/>
      <c r="V7" s="129"/>
      <c r="W7" s="129"/>
      <c r="X7" s="129"/>
      <c r="Y7" s="129"/>
    </row>
    <row r="8" spans="1:26" x14ac:dyDescent="0.2">
      <c r="A8" t="s">
        <v>131</v>
      </c>
      <c r="B8" s="129">
        <f>'Keynes-K'!B$31</f>
        <v>1</v>
      </c>
      <c r="C8" s="129">
        <f>'Keynes-K'!D$31</f>
        <v>1.0025088611072455</v>
      </c>
      <c r="D8" s="129">
        <f>'Keynes-K'!F$31</f>
        <v>1.004110451508355</v>
      </c>
      <c r="E8" s="129">
        <f>'Keynes-K'!H$31</f>
        <v>1.0047189336821041</v>
      </c>
      <c r="F8" s="129">
        <f>'Keynes-K'!J$31</f>
        <v>1.0042251599705101</v>
      </c>
      <c r="G8" s="129">
        <f>'Keynes-K'!L$31</f>
        <v>1.0024898992112201</v>
      </c>
      <c r="H8" s="129">
        <f>'Keynes-K'!N$31</f>
        <v>0.99933784041725926</v>
      </c>
      <c r="I8" s="129">
        <f>'Keynes-K'!P$31</f>
        <v>0.9945437250254523</v>
      </c>
      <c r="J8" s="129">
        <f>'Keynes-K'!R$31</f>
        <v>0.98781626134993616</v>
      </c>
      <c r="K8" s="129">
        <f>'Keynes-K'!T$31</f>
        <v>0.97877201861086116</v>
      </c>
      <c r="L8" s="129">
        <f>'Keynes-K'!V$31</f>
        <v>0.96689494809534471</v>
      </c>
      <c r="M8" s="129">
        <f>'Keynes-K'!X$31</f>
        <v>0.95147069835909892</v>
      </c>
      <c r="N8" s="129">
        <f>'Keynes-K'!Z$31</f>
        <v>0.93147572332006257</v>
      </c>
      <c r="O8" s="129">
        <f>'Keynes-K'!AB$31</f>
        <v>0.90538027798341147</v>
      </c>
      <c r="P8" s="129">
        <f>'Keynes-K'!AD$31</f>
        <v>0.87078489759575328</v>
      </c>
      <c r="Q8" s="129">
        <f>'Keynes-K'!AF$31</f>
        <v>0.82372839524943431</v>
      </c>
      <c r="R8" s="129">
        <f>'Keynes-K'!AH$31</f>
        <v>0.75738585636590738</v>
      </c>
      <c r="S8" s="129">
        <f>'Keynes-K'!AJ$31</f>
        <v>0.65985373623897603</v>
      </c>
      <c r="T8" s="129">
        <f>'Keynes-K'!AL$31</f>
        <v>0.51150776970273504</v>
      </c>
      <c r="U8" s="129"/>
      <c r="V8" s="129"/>
      <c r="W8" s="129"/>
      <c r="X8" s="129"/>
      <c r="Y8" s="129"/>
    </row>
    <row r="9" spans="1:26" x14ac:dyDescent="0.2">
      <c r="A9" t="s">
        <v>142</v>
      </c>
      <c r="B9" s="129">
        <f>'Neo-K1'!B$31</f>
        <v>1</v>
      </c>
      <c r="C9" s="129">
        <f>'Neo-K1'!D$31</f>
        <v>0.98947101121958003</v>
      </c>
      <c r="D9" s="129">
        <f>'Neo-K1'!F$31</f>
        <v>0.97799316255035018</v>
      </c>
      <c r="E9" s="129">
        <f>'Neo-K1'!H$31</f>
        <v>0.96541683917958876</v>
      </c>
      <c r="F9" s="129">
        <f>'Neo-K1'!J$31</f>
        <v>0.95155969576256516</v>
      </c>
      <c r="G9" s="129">
        <f>'Neo-K1'!L$31</f>
        <v>0.93619711060618527</v>
      </c>
      <c r="H9" s="129">
        <f>'Neo-K1'!N$31</f>
        <v>0.91904909224284015</v>
      </c>
      <c r="I9" s="129">
        <f>'Neo-K1'!P$31</f>
        <v>0.89976313486209825</v>
      </c>
      <c r="J9" s="129">
        <f>'Neo-K1'!R$31</f>
        <v>0.8778905032424511</v>
      </c>
      <c r="K9" s="129">
        <f>'Neo-K1'!T$31</f>
        <v>0.85285412158534091</v>
      </c>
      <c r="L9" s="129">
        <f>'Neo-K1'!V$31</f>
        <v>0.82390648439722247</v>
      </c>
      <c r="M9" s="129">
        <f>'Neo-K1'!X$31</f>
        <v>0.79007637784874662</v>
      </c>
      <c r="N9" s="129">
        <f>'Neo-K1'!Z$31</f>
        <v>0.75010795382056072</v>
      </c>
      <c r="O9" s="129">
        <f>'Neo-K1'!AB$31</f>
        <v>0.70240697534698793</v>
      </c>
      <c r="P9" s="129">
        <f>'Neo-K1'!AD$31</f>
        <v>0.64502954887370767</v>
      </c>
      <c r="Q9" s="129">
        <f>'Neo-K1'!AF$31</f>
        <v>0.57577783016593354</v>
      </c>
      <c r="R9" s="129">
        <f>'Neo-K1'!AH$31</f>
        <v>0.49247561561040504</v>
      </c>
      <c r="S9" s="129">
        <f>'Neo-K1'!AJ$31</f>
        <v>0.39342695166741865</v>
      </c>
      <c r="T9" s="129">
        <f>'Neo-K1'!AL$31</f>
        <v>0.27789079032847447</v>
      </c>
      <c r="U9" s="129">
        <f>'Neo-K1'!AN$31</f>
        <v>0.14628791543882241</v>
      </c>
      <c r="V9" s="129">
        <f>'Neo-K1'!AP$31</f>
        <v>0.11814884373653785</v>
      </c>
      <c r="W9" s="129">
        <f>'Neo-K1'!AR$31</f>
        <v>8.9435204793017337E-2</v>
      </c>
      <c r="X9" s="129">
        <f>'Neo-K1'!AT$31</f>
        <v>6.0162080443734743E-2</v>
      </c>
      <c r="Y9" s="129">
        <f>'Neo-K1'!AV$31</f>
        <v>3.0345040070762268E-2</v>
      </c>
    </row>
    <row r="10" spans="1:26" x14ac:dyDescent="0.2">
      <c r="A10" t="s">
        <v>141</v>
      </c>
      <c r="B10" s="129">
        <f>'Neo-K2'!B$31</f>
        <v>1</v>
      </c>
      <c r="C10" s="129">
        <f>'Neo-K2'!D$31</f>
        <v>0.98832029808171684</v>
      </c>
      <c r="D10" s="129">
        <f>'Neo-K2'!F$31</f>
        <v>0.97548502887114275</v>
      </c>
      <c r="E10" s="129">
        <f>'Neo-K2'!H$31</f>
        <v>0.96129056733561735</v>
      </c>
      <c r="F10" s="129">
        <f>'Neo-K2'!J$31</f>
        <v>0.94548600928686866</v>
      </c>
      <c r="G10" s="129">
        <f>'Neo-K2'!L$31</f>
        <v>0.92776020911596147</v>
      </c>
      <c r="H10" s="129">
        <f>'Neo-K2'!N$31</f>
        <v>0.90772492437162022</v>
      </c>
      <c r="I10" s="129">
        <f>'Neo-K2'!P$31</f>
        <v>0.88489683376294892</v>
      </c>
      <c r="J10" s="129">
        <f>'Neo-K2'!R$31</f>
        <v>0.85867717135546451</v>
      </c>
      <c r="K10" s="129">
        <f>'Neo-K2'!T$31</f>
        <v>0.82833653367129378</v>
      </c>
      <c r="L10" s="129">
        <f>'Neo-K2'!V$31</f>
        <v>0.79301410076928014</v>
      </c>
      <c r="M10" s="129">
        <f>'Neo-K2'!X$31</f>
        <v>0.75175631858072334</v>
      </c>
      <c r="N10" s="129">
        <f>'Neo-K2'!Z$31</f>
        <v>0.70362742042761672</v>
      </c>
      <c r="O10" s="129">
        <f>'Neo-K2'!AB$31</f>
        <v>0.64794318347737589</v>
      </c>
      <c r="P10" s="129">
        <f>'Neo-K2'!AD$31</f>
        <v>0.58467572591309758</v>
      </c>
      <c r="Q10" s="129">
        <f>'Neo-K2'!AF$31</f>
        <v>0.51503727639463259</v>
      </c>
      <c r="R10" s="129">
        <f>'Neo-K2'!AH$31</f>
        <v>0.44195758366189286</v>
      </c>
      <c r="S10" s="129">
        <f>'Neo-K2'!AJ$31</f>
        <v>0.36907271897858795</v>
      </c>
      <c r="T10" s="129">
        <f>'Neo-K2'!AL$31</f>
        <v>0.29523332431932636</v>
      </c>
      <c r="U10" s="129">
        <f>'Neo-K2'!AN$31</f>
        <v>0.20386767442293616</v>
      </c>
      <c r="V10" s="129">
        <f>'Neo-K2'!AP$31</f>
        <v>0.17995391063525931</v>
      </c>
      <c r="W10" s="129">
        <f>'Neo-K2'!AR$31</f>
        <v>0.1524940511452213</v>
      </c>
      <c r="X10" s="129">
        <f>'Neo-K2'!AT$31</f>
        <v>0.11975401432011709</v>
      </c>
      <c r="Y10" s="129">
        <f>'Neo-K2'!AV$31</f>
        <v>7.7692453171667383E-2</v>
      </c>
    </row>
    <row r="12" spans="1:26" ht="10.5" x14ac:dyDescent="0.25">
      <c r="A12" s="92" t="s">
        <v>183</v>
      </c>
    </row>
    <row r="13" spans="1:26" x14ac:dyDescent="0.2">
      <c r="A13" t="s">
        <v>181</v>
      </c>
      <c r="B13" s="202">
        <v>0</v>
      </c>
      <c r="C13" s="202">
        <v>0.05</v>
      </c>
      <c r="D13" s="202">
        <v>0.1</v>
      </c>
      <c r="E13" s="202">
        <v>0.15000000000000002</v>
      </c>
      <c r="F13" s="202">
        <v>0.2</v>
      </c>
      <c r="G13" s="202">
        <v>0.25</v>
      </c>
      <c r="H13" s="202">
        <v>0.3</v>
      </c>
      <c r="I13" s="202">
        <v>0.35</v>
      </c>
      <c r="J13" s="202">
        <v>0.39999999999999997</v>
      </c>
      <c r="K13" s="202">
        <v>0.44999999999999996</v>
      </c>
      <c r="L13" s="202">
        <v>0.49999999999999994</v>
      </c>
      <c r="M13" s="202">
        <v>0.54999999999999993</v>
      </c>
      <c r="N13" s="202">
        <v>0.6</v>
      </c>
      <c r="O13" s="202">
        <v>0.65</v>
      </c>
      <c r="P13" s="202">
        <v>0.70000000000000007</v>
      </c>
      <c r="Q13" s="202">
        <v>0.75000000000000011</v>
      </c>
      <c r="R13" s="202">
        <v>0.80000000000000016</v>
      </c>
      <c r="S13" s="202">
        <v>0.8500000000000002</v>
      </c>
      <c r="T13" s="202">
        <v>0.90000000000000024</v>
      </c>
      <c r="U13" s="202">
        <v>0.95000000000000029</v>
      </c>
      <c r="V13" s="202">
        <v>0.9600000000000003</v>
      </c>
      <c r="W13" s="202">
        <v>0.97000000000000031</v>
      </c>
      <c r="X13" s="202">
        <v>0.98000000000000032</v>
      </c>
      <c r="Y13" s="202">
        <v>0.99000000000000032</v>
      </c>
      <c r="Z13" s="130"/>
    </row>
    <row r="14" spans="1:26" x14ac:dyDescent="0.2">
      <c r="A14" t="s">
        <v>89</v>
      </c>
      <c r="B14" s="129">
        <f>NeoClassical!B2</f>
        <v>5.7716594496607888E-3</v>
      </c>
      <c r="C14" s="129">
        <f>NeoClassical!D2</f>
        <v>5.1988874691792378E-2</v>
      </c>
      <c r="D14" s="129">
        <f>NeoClassical!F2</f>
        <v>0.10299914014492036</v>
      </c>
      <c r="E14" s="129">
        <f>NeoClassical!H2</f>
        <v>0.1595925379634073</v>
      </c>
      <c r="F14" s="129">
        <f>NeoClassical!J2</f>
        <v>0.2227531646261402</v>
      </c>
      <c r="G14" s="129">
        <f>NeoClassical!L2</f>
        <v>0.29372581693113198</v>
      </c>
      <c r="H14" s="129">
        <f>NeoClassical!N2</f>
        <v>0.37412996207797278</v>
      </c>
      <c r="I14" s="129">
        <f>NeoClassical!P2</f>
        <v>0.46611819886864547</v>
      </c>
      <c r="J14" s="129">
        <f>NeoClassical!R2</f>
        <v>0.57264818058012501</v>
      </c>
      <c r="K14" s="129">
        <f>NeoClassical!T2</f>
        <v>0.69793636863972619</v>
      </c>
      <c r="L14" s="129">
        <f>NeoClassical!V2</f>
        <v>0.8482529855234503</v>
      </c>
      <c r="M14" s="129">
        <f>NeoClassical!X2</f>
        <v>1.0334056791920525</v>
      </c>
      <c r="N14" s="129">
        <f>NeoClassical!Z2</f>
        <v>1.2696597447529216</v>
      </c>
      <c r="O14" s="129">
        <f>NeoClassical!AB2</f>
        <v>1.5859208417998159</v>
      </c>
      <c r="P14" s="129">
        <f>NeoClassical!AD2</f>
        <v>2.0378443199475926</v>
      </c>
      <c r="Q14" s="129">
        <f>NeoClassical!AF2</f>
        <v>2.742723938137809</v>
      </c>
      <c r="R14" s="129">
        <f>NeoClassical!AH2</f>
        <v>3.9724722705946687</v>
      </c>
      <c r="S14" s="129">
        <f>NeoClassical!AJ2</f>
        <v>6.4283267005771236</v>
      </c>
      <c r="T14" s="129">
        <f>NeoClassical!AL2</f>
        <v>12.30469596273759</v>
      </c>
      <c r="U14" s="129">
        <f>NeoClassical!AN2</f>
        <v>32.494567606229353</v>
      </c>
      <c r="V14" s="129">
        <f>NeoClassical!AP2</f>
        <v>42.685459953486379</v>
      </c>
      <c r="W14" s="129">
        <f>NeoClassical!AR2</f>
        <v>58.925584296767298</v>
      </c>
      <c r="X14" s="129">
        <f>NeoClassical!AT2</f>
        <v>87.68295809393058</v>
      </c>
      <c r="Y14" s="129">
        <f>NeoClassical!AV2</f>
        <v>148.29311262085386</v>
      </c>
      <c r="Z14" s="129"/>
    </row>
    <row r="15" spans="1:26" x14ac:dyDescent="0.2">
      <c r="A15" t="s">
        <v>147</v>
      </c>
      <c r="B15" s="129">
        <f>Kaldorian!B2</f>
        <v>5.7716594496607888E-3</v>
      </c>
      <c r="C15" s="129">
        <f>Kaldorian!D2</f>
        <v>5.533144761672236E-2</v>
      </c>
      <c r="D15" s="129">
        <f>Kaldorian!F2</f>
        <v>0.11000373572638772</v>
      </c>
      <c r="E15" s="129">
        <f>Kaldorian!H2</f>
        <v>0.17063138141135584</v>
      </c>
      <c r="F15" s="129">
        <f>Kaldorian!J2</f>
        <v>0.23826507870596722</v>
      </c>
      <c r="G15" s="129">
        <f>Kaldorian!L2</f>
        <v>0.31423216926757364</v>
      </c>
      <c r="H15" s="129">
        <f>Kaldorian!N2</f>
        <v>0.40026026658351638</v>
      </c>
      <c r="I15" s="129">
        <f>Kaldorian!P2</f>
        <v>0.49864959921024532</v>
      </c>
      <c r="J15" s="129">
        <f>Kaldorian!R2</f>
        <v>0.61256978996400946</v>
      </c>
      <c r="K15" s="129">
        <f>Kaldorian!T2</f>
        <v>0.74655913810925589</v>
      </c>
      <c r="L15" s="129">
        <f>Kaldorian!V2</f>
        <v>0.90740972998436953</v>
      </c>
      <c r="M15" s="129">
        <f>Kaldorian!X2</f>
        <v>1.105833113273669</v>
      </c>
      <c r="N15" s="129">
        <f>Kaldorian!Z2</f>
        <v>1.3597788848184509</v>
      </c>
      <c r="O15" s="129">
        <f>Kaldorian!AB2</f>
        <v>1.7015340605575562</v>
      </c>
      <c r="P15" s="129">
        <f>Kaldorian!AD2</f>
        <v>2.1941433292834507</v>
      </c>
      <c r="Q15" s="129">
        <f>Kaldorian!AF2</f>
        <v>2.9724417853267013</v>
      </c>
      <c r="R15" s="129">
        <f>Kaldorian!AH2</f>
        <v>4.3528660876856611</v>
      </c>
      <c r="S15" s="129">
        <f>Kaldorian!AJ2</f>
        <v>7.1569693782349395</v>
      </c>
      <c r="T15" s="129">
        <f>Kaldorian!AL2</f>
        <v>13.970118200724537</v>
      </c>
      <c r="U15" s="129"/>
      <c r="V15" s="129"/>
      <c r="W15" s="129"/>
      <c r="X15" s="129"/>
      <c r="Y15" s="129"/>
      <c r="Z15" s="129"/>
    </row>
    <row r="16" spans="1:26" x14ac:dyDescent="0.2">
      <c r="A16" t="s">
        <v>90</v>
      </c>
      <c r="B16" s="129">
        <f>Johansen!B2</f>
        <v>5.7716594496607888E-3</v>
      </c>
      <c r="C16" s="129">
        <f>Johansen!D2</f>
        <v>5.3758747243408449E-2</v>
      </c>
      <c r="D16" s="129">
        <f>Johansen!F2</f>
        <v>0.10675926922623748</v>
      </c>
      <c r="E16" s="129">
        <f>Johansen!H2</f>
        <v>0.16560350234647006</v>
      </c>
      <c r="F16" s="129">
        <f>Johansen!J2</f>
        <v>0.23132727775937659</v>
      </c>
      <c r="G16" s="129">
        <f>Johansen!L2</f>
        <v>0.3052452195239112</v>
      </c>
      <c r="H16" s="129">
        <f>Johansen!N2</f>
        <v>0.38907246135784335</v>
      </c>
      <c r="I16" s="129">
        <f>Johansen!P2</f>
        <v>0.48510178334811738</v>
      </c>
      <c r="J16" s="129">
        <f>Johansen!R2</f>
        <v>0.59650184928176475</v>
      </c>
      <c r="K16" s="129">
        <f>Johansen!T2</f>
        <v>0.72782586665063032</v>
      </c>
      <c r="L16" s="129">
        <f>Johansen!V2</f>
        <v>0.88590636436014902</v>
      </c>
      <c r="M16" s="129">
        <f>Johansen!X2</f>
        <v>1.0815433444357012</v>
      </c>
      <c r="N16" s="129">
        <f>Johansen!Z2</f>
        <v>1.3328660402250474</v>
      </c>
      <c r="O16" s="129">
        <f>Johansen!AB2</f>
        <v>1.6725227201803503</v>
      </c>
      <c r="P16" s="129">
        <f>Johansen!AD2</f>
        <v>2.1642798767482949</v>
      </c>
      <c r="Q16" s="129">
        <f>Johansen!AF2</f>
        <v>2.9442865119199668</v>
      </c>
      <c r="R16" s="129">
        <f>Johansen!AH2</f>
        <v>4.3305788267649961</v>
      </c>
      <c r="S16" s="129">
        <f>Johansen!AJ2</f>
        <v>7.1441521389414833</v>
      </c>
      <c r="T16" s="129">
        <f>Johansen!AL2</f>
        <v>13.965664321552758</v>
      </c>
      <c r="U16" s="129">
        <f>Johansen!AN2</f>
        <v>37.630476620474006</v>
      </c>
      <c r="V16" s="129">
        <f>Johansen!AP2</f>
        <v>49.516828687887546</v>
      </c>
      <c r="W16" s="129">
        <f>Johansen!AR2</f>
        <v>68.23373848483881</v>
      </c>
      <c r="X16" s="129">
        <f>Johansen!AT2</f>
        <v>100.50669523022714</v>
      </c>
      <c r="Y16" s="129">
        <f>Johansen!AV2</f>
        <v>164.44118545266949</v>
      </c>
      <c r="Z16" s="129"/>
    </row>
    <row r="17" spans="1:26" x14ac:dyDescent="0.2">
      <c r="A17" t="s">
        <v>130</v>
      </c>
      <c r="B17" s="129">
        <f>'Keynes-M'!B2</f>
        <v>5.7716594496607888E-3</v>
      </c>
      <c r="C17" s="129">
        <f>'Keynes-M'!D2</f>
        <v>5.8540872659968421E-2</v>
      </c>
      <c r="D17" s="129">
        <f>'Keynes-M'!F2</f>
        <v>0.11766242044559665</v>
      </c>
      <c r="E17" s="129">
        <f>'Keynes-M'!H2</f>
        <v>0.1842316525079836</v>
      </c>
      <c r="F17" s="129">
        <f>'Keynes-M'!J2</f>
        <v>0.25966734890203164</v>
      </c>
      <c r="G17" s="129">
        <f>'Keynes-M'!L2</f>
        <v>0.34586238425236343</v>
      </c>
      <c r="H17" s="129">
        <f>'Keynes-M'!N2</f>
        <v>0.44542560865935688</v>
      </c>
      <c r="I17" s="129">
        <f>'Keynes-M'!P2</f>
        <v>0.5620818711477894</v>
      </c>
      <c r="J17" s="129">
        <f>'Keynes-M'!R2</f>
        <v>0.70136316229141848</v>
      </c>
      <c r="K17" s="129">
        <f>'Keynes-M'!T2</f>
        <v>0.87186103033363516</v>
      </c>
      <c r="L17" s="129">
        <f>'Keynes-M'!V2</f>
        <v>1.0876255630839435</v>
      </c>
      <c r="M17" s="129">
        <f>'Keynes-M'!X2</f>
        <v>1.3730648230203999</v>
      </c>
      <c r="N17" s="129">
        <f>'Keynes-M'!Z2</f>
        <v>1.773596908107858</v>
      </c>
      <c r="O17" s="129">
        <f>'Keynes-M'!AB2</f>
        <v>2.3800957261565654</v>
      </c>
      <c r="P17" s="129">
        <f>'Keynes-M'!AD2</f>
        <v>3.3859107106055477</v>
      </c>
      <c r="Q17" s="129">
        <f>'Keynes-M'!AF2</f>
        <v>0</v>
      </c>
      <c r="R17" s="129"/>
      <c r="S17" s="129"/>
      <c r="T17" s="129"/>
      <c r="U17" s="129"/>
      <c r="V17" s="129"/>
      <c r="W17" s="129"/>
      <c r="X17" s="129"/>
      <c r="Y17" s="129"/>
      <c r="Z17" s="129"/>
    </row>
    <row r="18" spans="1:26" x14ac:dyDescent="0.2">
      <c r="A18" t="s">
        <v>146</v>
      </c>
      <c r="B18" s="129">
        <f>Keynesian!B2</f>
        <v>5.7716594496607888E-3</v>
      </c>
      <c r="C18" s="129">
        <f>Keynesian!D2</f>
        <v>3.4630189951654476E-2</v>
      </c>
      <c r="D18" s="129">
        <f>Keynesian!F2</f>
        <v>6.4667668125236402E-2</v>
      </c>
      <c r="E18" s="129">
        <f>Keynesian!H2</f>
        <v>9.5799188565970389E-2</v>
      </c>
      <c r="F18" s="129">
        <f>Keynesian!J2</f>
        <v>0.12788976301752511</v>
      </c>
      <c r="G18" s="129">
        <f>Keynesian!L2</f>
        <v>0.16074225760756358</v>
      </c>
      <c r="H18" s="129">
        <f>Keynesian!N2</f>
        <v>0.19408179373269793</v>
      </c>
      <c r="I18" s="129">
        <f>Keynesian!P2</f>
        <v>0.22753948961788656</v>
      </c>
      <c r="J18" s="129">
        <f>Keynesian!R2</f>
        <v>0.26063027496692032</v>
      </c>
      <c r="K18" s="129">
        <f>Keynesian!T2</f>
        <v>0.29271419952939504</v>
      </c>
      <c r="L18" s="129">
        <f>Keynesian!V2</f>
        <v>0.32290255334542295</v>
      </c>
      <c r="M18" s="129">
        <f>Keynesian!X2</f>
        <v>0.34973463206622379</v>
      </c>
      <c r="N18" s="129">
        <f>Keynesian!Z2</f>
        <v>0</v>
      </c>
      <c r="O18" s="129">
        <f>Keynesian!AB2</f>
        <v>0</v>
      </c>
      <c r="P18" s="129"/>
      <c r="Q18" s="129"/>
      <c r="R18" s="129"/>
      <c r="S18" s="129"/>
      <c r="T18" s="129"/>
      <c r="U18" s="129"/>
      <c r="V18" s="129"/>
      <c r="W18" s="129"/>
      <c r="X18" s="129"/>
      <c r="Y18" s="129"/>
      <c r="Z18" s="129"/>
    </row>
    <row r="19" spans="1:26" x14ac:dyDescent="0.2">
      <c r="A19" t="s">
        <v>131</v>
      </c>
      <c r="B19" s="129">
        <f>'Keynes-K'!B2</f>
        <v>5.7716594496607888E-3</v>
      </c>
      <c r="C19" s="129">
        <f>'Keynes-K'!D2</f>
        <v>5.9206043101945431E-2</v>
      </c>
      <c r="D19" s="129">
        <f>'Keynes-K'!F2</f>
        <v>0.11785983951050434</v>
      </c>
      <c r="E19" s="129">
        <f>'Keynes-K'!H2</f>
        <v>0.18255209349067184</v>
      </c>
      <c r="F19" s="129">
        <f>'Keynes-K'!J2</f>
        <v>0.25429138958453151</v>
      </c>
      <c r="G19" s="129">
        <f>'Keynes-K'!L2</f>
        <v>0.33433920065221795</v>
      </c>
      <c r="H19" s="129">
        <f>'Keynes-K'!N2</f>
        <v>0.42432759063533293</v>
      </c>
      <c r="I19" s="129">
        <f>'Keynes-K'!P2</f>
        <v>0.52640292765818009</v>
      </c>
      <c r="J19" s="129">
        <f>'Keynes-K'!R2</f>
        <v>0.64348610141450735</v>
      </c>
      <c r="K19" s="129">
        <f>'Keynes-K'!T2</f>
        <v>0.77968572588962604</v>
      </c>
      <c r="L19" s="129">
        <f>'Keynes-K'!V2</f>
        <v>0.94100271794272472</v>
      </c>
      <c r="M19" s="129">
        <f>'Keynes-K'!X2</f>
        <v>1.1365749805031986</v>
      </c>
      <c r="N19" s="129">
        <f>'Keynes-K'!Z2</f>
        <v>1.3809699791230148</v>
      </c>
      <c r="O19" s="129">
        <f>'Keynes-K'!AB2</f>
        <v>1.6985710183342884</v>
      </c>
      <c r="P19" s="129">
        <f>'Keynes-K'!AD2</f>
        <v>2.1322163136068646</v>
      </c>
      <c r="Q19" s="129">
        <f>'Keynes-K'!AF2</f>
        <v>2.7599866791200158</v>
      </c>
      <c r="R19" s="129">
        <f>'Keynes-K'!AH2</f>
        <v>3.7238758709983708</v>
      </c>
      <c r="S19" s="129">
        <f>'Keynes-K'!AJ2</f>
        <v>5.2559053522660442</v>
      </c>
      <c r="T19" s="129">
        <f>'Keynes-K'!AL2</f>
        <v>7.5875433004420101</v>
      </c>
      <c r="U19" s="129"/>
      <c r="V19" s="129"/>
      <c r="W19" s="129"/>
      <c r="X19" s="129"/>
      <c r="Y19" s="129"/>
      <c r="Z19" s="129"/>
    </row>
    <row r="20" spans="1:26" x14ac:dyDescent="0.2">
      <c r="A20" t="s">
        <v>141</v>
      </c>
      <c r="B20" s="129">
        <f>'Neo-K2'!B$2</f>
        <v>5.7716594496607888E-3</v>
      </c>
      <c r="C20" s="129">
        <f>'Neo-K2'!D$2</f>
        <v>4.5518481263062793E-2</v>
      </c>
      <c r="D20" s="129">
        <f>'Neo-K2'!F$2</f>
        <v>8.8562863514592333E-2</v>
      </c>
      <c r="E20" s="129">
        <f>'Neo-K2'!H$2</f>
        <v>0.13526398872811385</v>
      </c>
      <c r="F20" s="129">
        <f>'Neo-K2'!J$2</f>
        <v>0.18601627035336959</v>
      </c>
      <c r="G20" s="129">
        <f>'Neo-K2'!L$2</f>
        <v>0.24124728954057867</v>
      </c>
      <c r="H20" s="129">
        <f>'Neo-K2'!N$2</f>
        <v>0.30141062494707521</v>
      </c>
      <c r="I20" s="129">
        <f>'Neo-K2'!P$2</f>
        <v>0.36697403507820481</v>
      </c>
      <c r="J20" s="129">
        <f>'Neo-K2'!R$2</f>
        <v>0.43839724569730387</v>
      </c>
      <c r="K20" s="129">
        <f>'Neo-K2'!T$2</f>
        <v>0.51610735644833494</v>
      </c>
      <c r="L20" s="129">
        <f>'Neo-K2'!V$2</f>
        <v>0.60047821555057568</v>
      </c>
      <c r="M20" s="129">
        <f>'Neo-K2'!X$2</f>
        <v>0.69188355998456963</v>
      </c>
      <c r="N20" s="129">
        <f>'Neo-K2'!Z$2</f>
        <v>0.79097882084432924</v>
      </c>
      <c r="O20" s="129">
        <f>'Neo-K2'!AB$2</f>
        <v>0.89968543496905795</v>
      </c>
      <c r="P20" s="129">
        <f>'Neo-K2'!AD$2</f>
        <v>1.0241820373121895</v>
      </c>
      <c r="Q20" s="129">
        <f>'Neo-K2'!AF$2</f>
        <v>1.1839033267423165</v>
      </c>
      <c r="R20" s="129">
        <f>'Neo-K2'!AH$2</f>
        <v>1.4404694183402753</v>
      </c>
      <c r="S20" s="129">
        <f>'Neo-K2'!AJ$2</f>
        <v>2.0080031520006099</v>
      </c>
      <c r="T20" s="129">
        <f>'Neo-K2'!AL$2</f>
        <v>3.822087954220005</v>
      </c>
      <c r="U20" s="129">
        <f>'Neo-K2'!AN$2</f>
        <v>12.838574374526187</v>
      </c>
      <c r="V20" s="129">
        <f>'Neo-K2'!AP$2</f>
        <v>18.379990226301899</v>
      </c>
      <c r="W20" s="129">
        <f>'Neo-K2'!AR$2</f>
        <v>28.482957892618224</v>
      </c>
      <c r="X20" s="129">
        <f>'Neo-K2'!AT$2</f>
        <v>50.757850970794856</v>
      </c>
      <c r="Y20" s="129">
        <f>'Neo-K2'!AV$2</f>
        <v>125.26284170710795</v>
      </c>
      <c r="Z20" s="129"/>
    </row>
    <row r="21" spans="1:26" x14ac:dyDescent="0.2">
      <c r="A21" t="s">
        <v>142</v>
      </c>
      <c r="B21" s="129">
        <f>'Neo-K1'!B$2</f>
        <v>5.7716594496607888E-3</v>
      </c>
      <c r="C21" s="129">
        <f>'Neo-K1'!D$2</f>
        <v>4.7192252775927965E-2</v>
      </c>
      <c r="D21" s="129">
        <f>'Neo-K1'!F$2</f>
        <v>9.2409102746193253E-2</v>
      </c>
      <c r="E21" s="129">
        <f>'Neo-K1'!H$2</f>
        <v>0.14193019819823718</v>
      </c>
      <c r="F21" s="129">
        <f>'Neo-K1'!J$2</f>
        <v>0.1963540514065705</v>
      </c>
      <c r="G21" s="129">
        <f>'Neo-K1'!L$2</f>
        <v>0.2563915901416729</v>
      </c>
      <c r="H21" s="129">
        <f>'Neo-K1'!N$2</f>
        <v>0.3228942042964611</v>
      </c>
      <c r="I21" s="129">
        <f>'Neo-K1'!P$2</f>
        <v>0.39688949721281652</v>
      </c>
      <c r="J21" s="129">
        <f>'Neo-K1'!R$2</f>
        <v>0.47962603296767758</v>
      </c>
      <c r="K21" s="129">
        <f>'Neo-K1'!T$2</f>
        <v>0.57262917734484242</v>
      </c>
      <c r="L21" s="129">
        <f>'Neo-K1'!V$2</f>
        <v>0.67776124666400739</v>
      </c>
      <c r="M21" s="129">
        <f>'Neo-K1'!X$2</f>
        <v>0.79727603601088703</v>
      </c>
      <c r="N21" s="129">
        <f>'Neo-K1'!Z$2</f>
        <v>0.93383363695356425</v>
      </c>
      <c r="O21" s="129">
        <f>'Neo-K1'!AB$2</f>
        <v>1.0904085821804719</v>
      </c>
      <c r="P21" s="129">
        <f>'Neo-K1'!AD$2</f>
        <v>1.2699759029781874</v>
      </c>
      <c r="Q21" s="129">
        <f>'Neo-K1'!AF$2</f>
        <v>1.4748427422845414</v>
      </c>
      <c r="R21" s="129">
        <f>'Neo-K1'!AH$2</f>
        <v>1.7056096592247467</v>
      </c>
      <c r="S21" s="129">
        <f>'Neo-K1'!AJ$2</f>
        <v>1.9601099223099308</v>
      </c>
      <c r="T21" s="129">
        <f>'Neo-K1'!AL$2</f>
        <v>2.2330645809713805</v>
      </c>
      <c r="U21" s="129">
        <f>'Neo-K1'!AN$2</f>
        <v>2.5170070487101355</v>
      </c>
      <c r="V21" s="129">
        <f>'Neo-K1'!AP$2</f>
        <v>2.5744091437968617</v>
      </c>
      <c r="W21" s="129">
        <f>'Neo-K1'!AR$2</f>
        <v>2.6318731531601074</v>
      </c>
      <c r="X21" s="129">
        <f>'Neo-K1'!AT$2</f>
        <v>2.6893425490522742</v>
      </c>
      <c r="Y21" s="129">
        <f>'Neo-K1'!AV$2</f>
        <v>2.7467636625383673</v>
      </c>
    </row>
    <row r="23" spans="1:26" ht="10.5" x14ac:dyDescent="0.25">
      <c r="A23" s="92" t="s">
        <v>161</v>
      </c>
    </row>
    <row r="24" spans="1:26" x14ac:dyDescent="0.2">
      <c r="A24" t="s">
        <v>181</v>
      </c>
      <c r="B24" s="202">
        <v>0</v>
      </c>
      <c r="C24" s="202">
        <v>0.05</v>
      </c>
      <c r="D24" s="202">
        <v>0.1</v>
      </c>
      <c r="E24" s="202">
        <v>0.15000000000000002</v>
      </c>
      <c r="F24" s="202">
        <v>0.2</v>
      </c>
      <c r="G24" s="202">
        <v>0.25</v>
      </c>
      <c r="H24" s="202">
        <v>0.3</v>
      </c>
      <c r="I24" s="202">
        <v>0.35</v>
      </c>
      <c r="J24" s="202">
        <v>0.39999999999999997</v>
      </c>
      <c r="K24" s="202">
        <v>0.44999999999999996</v>
      </c>
      <c r="L24" s="202">
        <v>0.49999999999999994</v>
      </c>
      <c r="M24" s="202">
        <v>0.54999999999999993</v>
      </c>
      <c r="N24" s="202">
        <v>0.6</v>
      </c>
      <c r="O24" s="202">
        <v>0.65</v>
      </c>
      <c r="P24" s="202">
        <v>0.70000000000000007</v>
      </c>
      <c r="Q24" s="202">
        <v>0.75000000000000011</v>
      </c>
      <c r="R24" s="202">
        <v>0.80000000000000016</v>
      </c>
      <c r="S24" s="202">
        <v>0.8500000000000002</v>
      </c>
      <c r="T24" s="202">
        <v>0.90000000000000024</v>
      </c>
      <c r="U24" s="202">
        <v>0.95000000000000029</v>
      </c>
      <c r="V24" s="202">
        <v>0.9600000000000003</v>
      </c>
      <c r="W24" s="202">
        <v>0.97000000000000031</v>
      </c>
      <c r="X24" s="202">
        <v>0.98000000000000032</v>
      </c>
      <c r="Y24" s="202">
        <v>0.99000000000000032</v>
      </c>
    </row>
    <row r="25" spans="1:26" x14ac:dyDescent="0.2">
      <c r="A25" t="s">
        <v>89</v>
      </c>
      <c r="B25" s="129">
        <f>NeoClassical!B$69</f>
        <v>1</v>
      </c>
      <c r="C25" s="129">
        <f>NeoClassical!D$69</f>
        <v>1.0014239745058358</v>
      </c>
      <c r="D25" s="129">
        <f>NeoClassical!F$69</f>
        <v>1.0027367251029209</v>
      </c>
      <c r="E25" s="129">
        <f>NeoClassical!H$69</f>
        <v>1.0039189107804523</v>
      </c>
      <c r="F25" s="129">
        <f>NeoClassical!J$69</f>
        <v>1.0049465326878824</v>
      </c>
      <c r="G25" s="129">
        <f>NeoClassical!L$69</f>
        <v>1.0057894125788278</v>
      </c>
      <c r="H25" s="129">
        <f>NeoClassical!N$69</f>
        <v>1.0064097167306987</v>
      </c>
      <c r="I25" s="129">
        <f>NeoClassical!P$69</f>
        <v>1.0067590656426639</v>
      </c>
      <c r="J25" s="129">
        <f>NeoClassical!R$69</f>
        <v>1.0067752193454773</v>
      </c>
      <c r="K25" s="129">
        <f>NeoClassical!T$69</f>
        <v>1.0063768866648772</v>
      </c>
      <c r="L25" s="129">
        <f>NeoClassical!V$69</f>
        <v>1.0054559207336069</v>
      </c>
      <c r="M25" s="129">
        <f>NeoClassical!X$69</f>
        <v>1.0038650164538871</v>
      </c>
      <c r="N25" s="129">
        <f>NeoClassical!Z$69</f>
        <v>1.0013965167362129</v>
      </c>
      <c r="O25" s="129">
        <f>NeoClassical!AB$69</f>
        <v>0.99774271907934253</v>
      </c>
      <c r="P25" s="129">
        <f>NeoClassical!AD$69</f>
        <v>0.99241080107872115</v>
      </c>
      <c r="Q25" s="129">
        <f>NeoClassical!AF$69</f>
        <v>0.98451149974033814</v>
      </c>
      <c r="R25" s="129">
        <f>NeoClassical!AH$69</f>
        <v>0.97215254382688876</v>
      </c>
      <c r="S25" s="129">
        <f>NeoClassical!AJ$69</f>
        <v>0.95056093527913843</v>
      </c>
      <c r="T25" s="129">
        <f>NeoClassical!AL$69</f>
        <v>0.90586393896726458</v>
      </c>
      <c r="U25" s="129">
        <f>NeoClassical!AN$69</f>
        <v>0.7847523814799412</v>
      </c>
      <c r="V25" s="129">
        <f>NeoClassical!AP$69</f>
        <v>0.73438854001382226</v>
      </c>
      <c r="W25" s="129">
        <f>NeoClassical!AR$69</f>
        <v>0.66311649430421893</v>
      </c>
      <c r="X25" s="129">
        <f>NeoClassical!AT$69</f>
        <v>0.55518101346125703</v>
      </c>
      <c r="Y25" s="129">
        <f>NeoClassical!AV$69</f>
        <v>0.37323457784413827</v>
      </c>
    </row>
    <row r="26" spans="1:26" x14ac:dyDescent="0.2">
      <c r="A26" t="s">
        <v>147</v>
      </c>
      <c r="B26" s="129">
        <f>Kaldorian!B$69</f>
        <v>1</v>
      </c>
      <c r="C26" s="129">
        <f>Kaldorian!D$69</f>
        <v>1.0014995248451064</v>
      </c>
      <c r="D26" s="129">
        <f>Kaldorian!F$69</f>
        <v>1.0028929334899317</v>
      </c>
      <c r="E26" s="129">
        <f>Kaldorian!H$69</f>
        <v>1.0041617353523866</v>
      </c>
      <c r="F26" s="129">
        <f>Kaldorian!J$69</f>
        <v>1.0052828629952058</v>
      </c>
      <c r="G26" s="129">
        <f>Kaldorian!L$69</f>
        <v>1.006227321788896</v>
      </c>
      <c r="H26" s="129">
        <f>Kaldorian!N$69</f>
        <v>1.0069586403826609</v>
      </c>
      <c r="I26" s="129">
        <f>Kaldorian!P$69</f>
        <v>1.007430173132527</v>
      </c>
      <c r="J26" s="129">
        <f>Kaldorian!R$69</f>
        <v>1.0075818732682744</v>
      </c>
      <c r="K26" s="129">
        <f>Kaldorian!T$69</f>
        <v>1.0073355881331352</v>
      </c>
      <c r="L26" s="129">
        <f>Kaldorian!V$69</f>
        <v>1.0065877899909179</v>
      </c>
      <c r="M26" s="129">
        <f>Kaldorian!X$69</f>
        <v>1.0051986373960893</v>
      </c>
      <c r="N26" s="129">
        <f>Kaldorian!Z$69</f>
        <v>1.0029733751947965</v>
      </c>
      <c r="O26" s="129">
        <f>Kaldorian!AB$69</f>
        <v>0.99962782510288417</v>
      </c>
      <c r="P26" s="129">
        <f>Kaldorian!AD$69</f>
        <v>0.9947135258337837</v>
      </c>
      <c r="Q26" s="129">
        <f>Kaldorian!AF$69</f>
        <v>0.9874240517974141</v>
      </c>
      <c r="R26" s="129">
        <f>Kaldorian!AH$69</f>
        <v>0.9760043570838689</v>
      </c>
      <c r="S26" s="129">
        <f>Kaldorian!AJ$69</f>
        <v>0.95584905863292191</v>
      </c>
      <c r="T26" s="129">
        <f>Kaldorian!AL$69</f>
        <v>0.91319691447774287</v>
      </c>
      <c r="U26" s="129"/>
      <c r="V26" s="129"/>
      <c r="W26" s="129"/>
      <c r="X26" s="129"/>
      <c r="Y26" s="129"/>
    </row>
    <row r="27" spans="1:26" x14ac:dyDescent="0.2">
      <c r="A27" t="s">
        <v>90</v>
      </c>
      <c r="B27" s="129">
        <f>Johansen!B$69</f>
        <v>1</v>
      </c>
      <c r="C27" s="129">
        <f>Johansen!D$69</f>
        <v>1.0014838632480656</v>
      </c>
      <c r="D27" s="129">
        <f>Johansen!F$69</f>
        <v>1.0028616102774259</v>
      </c>
      <c r="E27" s="129">
        <f>Johansen!H$69</f>
        <v>1.0041145202883957</v>
      </c>
      <c r="F27" s="129">
        <f>Johansen!J$69</f>
        <v>1.0052193152394437</v>
      </c>
      <c r="G27" s="129">
        <f>Johansen!L$69</f>
        <v>1.0061467286109069</v>
      </c>
      <c r="H27" s="129">
        <f>Johansen!N$69</f>
        <v>1.0068600249219501</v>
      </c>
      <c r="I27" s="129">
        <f>Johansen!P$69</f>
        <v>1.0073124306225483</v>
      </c>
      <c r="J27" s="129">
        <f>Johansen!R$69</f>
        <v>1.0074438709211557</v>
      </c>
      <c r="K27" s="129">
        <f>Johansen!T$69</f>
        <v>1.0071764686370779</v>
      </c>
      <c r="L27" s="129">
        <f>Johansen!V$69</f>
        <v>1.0064075202330256</v>
      </c>
      <c r="M27" s="129">
        <f>Johansen!X$69</f>
        <v>1.0049988603620481</v>
      </c>
      <c r="N27" s="129">
        <f>Johansen!Z$69</f>
        <v>1.0027588310778464</v>
      </c>
      <c r="O27" s="129">
        <f>Johansen!AB$69</f>
        <v>0.99940845853461091</v>
      </c>
      <c r="P27" s="129">
        <f>Johansen!AD$69</f>
        <v>0.99450733027408678</v>
      </c>
      <c r="Q27" s="129">
        <f>Johansen!AF$69</f>
        <v>0.98725797576764918</v>
      </c>
      <c r="R27" s="129">
        <f>Johansen!AH$69</f>
        <v>0.97590460185667383</v>
      </c>
      <c r="S27" s="129">
        <f>Johansen!AJ$69</f>
        <v>0.95581372359253614</v>
      </c>
      <c r="T27" s="129">
        <f>Johansen!AL$69</f>
        <v>0.9131917438637549</v>
      </c>
      <c r="U27" s="129">
        <f>Johansen!AN$69</f>
        <v>0.79410141906230247</v>
      </c>
      <c r="V27" s="129">
        <f>Johansen!AP$69</f>
        <v>0.74366431598896721</v>
      </c>
      <c r="W27" s="129">
        <f>Johansen!AR$69</f>
        <v>0.67170820336848203</v>
      </c>
      <c r="X27" s="129">
        <f>Johansen!AT$69</f>
        <v>0.56191602809765606</v>
      </c>
      <c r="Y27" s="129">
        <f>Johansen!AV$69</f>
        <v>0.37616460163397308</v>
      </c>
    </row>
    <row r="28" spans="1:26" x14ac:dyDescent="0.2">
      <c r="A28" t="s">
        <v>130</v>
      </c>
      <c r="B28" s="129">
        <f>'Keynes-M'!B$69</f>
        <v>1</v>
      </c>
      <c r="C28" s="129">
        <f>'Keynes-M'!D$69</f>
        <v>1.0151236795663272</v>
      </c>
      <c r="D28" s="129">
        <f>'Keynes-M'!F$69</f>
        <v>1.0305448653282783</v>
      </c>
      <c r="E28" s="129">
        <f>'Keynes-M'!H$69</f>
        <v>1.0462906575146329</v>
      </c>
      <c r="F28" s="129">
        <f>'Keynes-M'!J$69</f>
        <v>1.0623945607835636</v>
      </c>
      <c r="G28" s="129">
        <f>'Keynes-M'!L$69</f>
        <v>1.0789022878371384</v>
      </c>
      <c r="H28" s="129">
        <f>'Keynes-M'!N$69</f>
        <v>1.0958812709160231</v>
      </c>
      <c r="I28" s="129">
        <f>'Keynes-M'!P$69</f>
        <v>1.1134365793966108</v>
      </c>
      <c r="J28" s="129">
        <f>'Keynes-M'!R$69</f>
        <v>1.1317377828503703</v>
      </c>
      <c r="K28" s="129">
        <f>'Keynes-M'!T$69</f>
        <v>1.1510657148845069</v>
      </c>
      <c r="L28" s="129">
        <f>'Keynes-M'!V$69</f>
        <v>1.1718957324852737</v>
      </c>
      <c r="M28" s="129">
        <f>'Keynes-M'!X$69</f>
        <v>1.195048212797359</v>
      </c>
      <c r="N28" s="129">
        <f>'Keynes-M'!Z$69</f>
        <v>1.2219558805715021</v>
      </c>
      <c r="O28" s="129">
        <f>'Keynes-M'!AB$69</f>
        <v>1.2550806355456787</v>
      </c>
      <c r="P28" s="129">
        <f>'Keynes-M'!AD$69</f>
        <v>1.2982616819980521</v>
      </c>
      <c r="Q28" s="129" t="e">
        <f>'Keynes-M'!AF$69</f>
        <v>#DIV/0!</v>
      </c>
      <c r="R28" s="129"/>
      <c r="S28" s="129"/>
      <c r="T28" s="129"/>
      <c r="U28" s="129"/>
      <c r="V28" s="129"/>
      <c r="W28" s="129"/>
      <c r="X28" s="129"/>
      <c r="Y28" s="129"/>
    </row>
    <row r="29" spans="1:26" x14ac:dyDescent="0.2">
      <c r="A29" t="s">
        <v>146</v>
      </c>
      <c r="B29" s="129">
        <f>Keynesian!B$69</f>
        <v>1</v>
      </c>
      <c r="C29" s="129">
        <f>Keynesian!D$69</f>
        <v>0.98029615907915024</v>
      </c>
      <c r="D29" s="129">
        <f>Keynesian!F$69</f>
        <v>0.9582565951198555</v>
      </c>
      <c r="E29" s="129">
        <f>Keynesian!H$69</f>
        <v>0.93362751731750038</v>
      </c>
      <c r="F29" s="129">
        <f>Keynesian!J$69</f>
        <v>0.90614209247437993</v>
      </c>
      <c r="G29" s="129">
        <f>Keynesian!L$69</f>
        <v>0.87553187608181293</v>
      </c>
      <c r="H29" s="129">
        <f>Keynesian!N$69</f>
        <v>0.84154283211082004</v>
      </c>
      <c r="I29" s="129">
        <f>Keynesian!P$69</f>
        <v>0.80396448347610538</v>
      </c>
      <c r="J29" s="129">
        <f>Keynesian!R$69</f>
        <v>0.76267677220922858</v>
      </c>
      <c r="K29" s="129">
        <f>Keynesian!T$69</f>
        <v>0.71773348802433701</v>
      </c>
      <c r="L29" s="129">
        <f>Keynesian!V$69</f>
        <v>0.6695414937000389</v>
      </c>
      <c r="M29" s="129">
        <f>Keynesian!X$69</f>
        <v>0.6193620748161317</v>
      </c>
      <c r="N29" s="129" t="e">
        <f>Keynesian!Z$69</f>
        <v>#DIV/0!</v>
      </c>
      <c r="O29" s="129" t="e">
        <f>Keynesian!AB$69</f>
        <v>#DIV/0!</v>
      </c>
      <c r="P29" s="129"/>
      <c r="Q29" s="129"/>
      <c r="R29" s="129"/>
      <c r="S29" s="129"/>
      <c r="T29" s="129"/>
      <c r="U29" s="129"/>
      <c r="V29" s="129"/>
      <c r="W29" s="129"/>
      <c r="X29" s="129"/>
      <c r="Y29" s="129"/>
    </row>
    <row r="30" spans="1:26" x14ac:dyDescent="0.2">
      <c r="A30" t="s">
        <v>131</v>
      </c>
      <c r="B30" s="129">
        <f>'Keynes-K'!B$69</f>
        <v>1</v>
      </c>
      <c r="C30" s="129">
        <f>'Keynes-K'!D$69</f>
        <v>1.0064522781814911</v>
      </c>
      <c r="D30" s="129">
        <f>'Keynes-K'!F$69</f>
        <v>1.0123402982207186</v>
      </c>
      <c r="E30" s="129">
        <f>'Keynes-K'!H$69</f>
        <v>1.0176117367703355</v>
      </c>
      <c r="F30" s="129">
        <f>'Keynes-K'!J$69</f>
        <v>1.0221956318827432</v>
      </c>
      <c r="G30" s="129">
        <f>'Keynes-K'!L$69</f>
        <v>1.0259968290414079</v>
      </c>
      <c r="H30" s="129">
        <f>'Keynes-K'!N$69</f>
        <v>1.0288904336502238</v>
      </c>
      <c r="I30" s="129">
        <f>'Keynes-K'!P$69</f>
        <v>1.0307107697527618</v>
      </c>
      <c r="J30" s="129">
        <f>'Keynes-K'!R$69</f>
        <v>1.0312375423989737</v>
      </c>
      <c r="K30" s="129">
        <f>'Keynes-K'!T$69</f>
        <v>1.0301736945561426</v>
      </c>
      <c r="L30" s="129">
        <f>'Keynes-K'!V$69</f>
        <v>1.0271104435113612</v>
      </c>
      <c r="M30" s="129">
        <f>'Keynes-K'!X$69</f>
        <v>1.0214687293407665</v>
      </c>
      <c r="N30" s="129">
        <f>'Keynes-K'!Z$69</f>
        <v>1.0123955184360369</v>
      </c>
      <c r="O30" s="129">
        <f>'Keynes-K'!AB$69</f>
        <v>0.99856593111530556</v>
      </c>
      <c r="P30" s="129">
        <f>'Keynes-K'!AD$69</f>
        <v>0.97777739012949683</v>
      </c>
      <c r="Q30" s="129">
        <f>'Keynes-K'!AF$69</f>
        <v>0.94605383636252161</v>
      </c>
      <c r="R30" s="129">
        <f>'Keynes-K'!AH$69</f>
        <v>0.89558735078044993</v>
      </c>
      <c r="S30" s="129">
        <f>'Keynes-K'!AJ$69</f>
        <v>0.81019992053224499</v>
      </c>
      <c r="T30" s="129">
        <f>'Keynes-K'!AL$69</f>
        <v>0.65732459972932633</v>
      </c>
      <c r="U30" s="129"/>
      <c r="V30" s="129"/>
      <c r="W30" s="129"/>
      <c r="X30" s="129"/>
      <c r="Y30" s="129"/>
    </row>
    <row r="31" spans="1:26" x14ac:dyDescent="0.2">
      <c r="A31" t="s">
        <v>142</v>
      </c>
      <c r="B31" s="129">
        <f>'Neo-K1'!B$69</f>
        <v>1</v>
      </c>
      <c r="C31" s="129">
        <f>'Neo-K1'!D$69</f>
        <v>0.99652449511046215</v>
      </c>
      <c r="D31" s="129">
        <f>'Neo-K1'!F$69</f>
        <v>0.99234524529667378</v>
      </c>
      <c r="E31" s="129">
        <f>'Neo-K1'!H$69</f>
        <v>0.98732077340378055</v>
      </c>
      <c r="F31" s="129">
        <f>'Neo-K1'!J$69</f>
        <v>0.98127269186648491</v>
      </c>
      <c r="G31" s="129">
        <f>'Neo-K1'!L$69</f>
        <v>0.97397352060512499</v>
      </c>
      <c r="H31" s="129">
        <f>'Neo-K1'!N$69</f>
        <v>0.96512978120025872</v>
      </c>
      <c r="I31" s="129">
        <f>'Neo-K1'!P$69</f>
        <v>0.95435913957074014</v>
      </c>
      <c r="J31" s="129">
        <f>'Neo-K1'!R$69</f>
        <v>0.94115793123172986</v>
      </c>
      <c r="K31" s="129">
        <f>'Neo-K1'!T$69</f>
        <v>0.92485525201748298</v>
      </c>
      <c r="L31" s="129">
        <f>'Neo-K1'!V$69</f>
        <v>0.90454999346906995</v>
      </c>
      <c r="M31" s="129">
        <f>'Neo-K1'!X$69</f>
        <v>0.8790250279426306</v>
      </c>
      <c r="N31" s="129">
        <f>'Neo-K1'!Z$69</f>
        <v>0.84663779287800156</v>
      </c>
      <c r="O31" s="129">
        <f>'Neo-K1'!AB$69</f>
        <v>0.80519815939347184</v>
      </c>
      <c r="P31" s="129">
        <f>'Neo-K1'!AD$69</f>
        <v>0.75187298788424861</v>
      </c>
      <c r="Q31" s="129">
        <f>'Neo-K1'!AF$69</f>
        <v>0.68320677833848109</v>
      </c>
      <c r="R31" s="129">
        <f>'Neo-K1'!AH$69</f>
        <v>0.59539149586245299</v>
      </c>
      <c r="S31" s="129">
        <f>'Neo-K1'!AJ$69</f>
        <v>0.48486923161637019</v>
      </c>
      <c r="T31" s="129">
        <f>'Neo-K1'!AL$69</f>
        <v>0.34912359562888901</v>
      </c>
      <c r="U31" s="129">
        <f>'Neo-K1'!AN$69</f>
        <v>0.18725539366662389</v>
      </c>
      <c r="V31" s="129">
        <f>'Neo-K1'!AP$69</f>
        <v>0.15178736519060346</v>
      </c>
      <c r="W31" s="129">
        <f>'Neo-K1'!AR$69</f>
        <v>0.11531277049671525</v>
      </c>
      <c r="X31" s="129">
        <f>'Neo-K1'!AT$69</f>
        <v>7.7845945564014932E-2</v>
      </c>
      <c r="Y31" s="129">
        <f>'Neo-K1'!AV$69</f>
        <v>3.9402678307509174E-2</v>
      </c>
    </row>
    <row r="32" spans="1:26" x14ac:dyDescent="0.2">
      <c r="A32" t="s">
        <v>141</v>
      </c>
      <c r="B32" s="129">
        <f>'Neo-K2'!B$69</f>
        <v>1</v>
      </c>
      <c r="C32" s="129">
        <f>'Neo-K2'!D$69</f>
        <v>0.99479878807283906</v>
      </c>
      <c r="D32" s="129">
        <f>'Neo-K2'!F$69</f>
        <v>0.98861180959604011</v>
      </c>
      <c r="E32" s="129">
        <f>'Neo-K2'!H$69</f>
        <v>0.98122453417046052</v>
      </c>
      <c r="F32" s="129">
        <f>'Neo-K2'!J$69</f>
        <v>0.9723644431725359</v>
      </c>
      <c r="G32" s="129">
        <f>'Neo-K2'!L$69</f>
        <v>0.96168330779009426</v>
      </c>
      <c r="H32" s="129">
        <f>'Neo-K2'!N$69</f>
        <v>0.94873350311160765</v>
      </c>
      <c r="I32" s="129">
        <f>'Neo-K2'!P$69</f>
        <v>0.93294124910014353</v>
      </c>
      <c r="J32" s="129">
        <f>'Neo-K2'!R$69</f>
        <v>0.9135744904541403</v>
      </c>
      <c r="K32" s="129">
        <f>'Neo-K2'!T$69</f>
        <v>0.8897135622796557</v>
      </c>
      <c r="L32" s="129">
        <f>'Neo-K2'!V$69</f>
        <v>0.86023552627680455</v>
      </c>
      <c r="M32" s="129">
        <f>'Neo-K2'!X$69</f>
        <v>0.82384434402750695</v>
      </c>
      <c r="N32" s="129">
        <f>'Neo-K2'!Z$69</f>
        <v>0.77918907515295877</v>
      </c>
      <c r="O32" s="129">
        <f>'Neo-K2'!AB$69</f>
        <v>0.72514307776558129</v>
      </c>
      <c r="P32" s="129">
        <f>'Neo-K2'!AD$69</f>
        <v>0.66131933522884523</v>
      </c>
      <c r="Q32" s="129">
        <f>'Neo-K2'!AF$69</f>
        <v>0.588850551955312</v>
      </c>
      <c r="R32" s="129">
        <f>'Neo-K2'!AH$69</f>
        <v>0.51111708398379818</v>
      </c>
      <c r="S32" s="129">
        <f>'Neo-K2'!AJ$69</f>
        <v>0.43260635573838385</v>
      </c>
      <c r="T32" s="129">
        <f>'Neo-K2'!AL$69</f>
        <v>0.34988072567107042</v>
      </c>
      <c r="U32" s="129">
        <f>'Neo-K2'!AN$69</f>
        <v>0.20712941757144701</v>
      </c>
      <c r="V32" s="129">
        <f>'Neo-K2'!AP$69</f>
        <v>0.14257659406513709</v>
      </c>
      <c r="W32" s="129"/>
      <c r="X32" s="129"/>
      <c r="Y32" s="129"/>
    </row>
    <row r="34" spans="1:26" ht="10.5" x14ac:dyDescent="0.25">
      <c r="A34" s="92" t="s">
        <v>184</v>
      </c>
    </row>
    <row r="35" spans="1:26" x14ac:dyDescent="0.2">
      <c r="A35" t="s">
        <v>181</v>
      </c>
      <c r="B35" s="202">
        <v>0</v>
      </c>
      <c r="C35" s="202">
        <v>0.05</v>
      </c>
      <c r="D35" s="202">
        <v>0.1</v>
      </c>
      <c r="E35" s="202">
        <v>0.15000000000000002</v>
      </c>
      <c r="F35" s="202">
        <v>0.2</v>
      </c>
      <c r="G35" s="202">
        <v>0.25</v>
      </c>
      <c r="H35" s="202">
        <v>0.3</v>
      </c>
      <c r="I35" s="202">
        <v>0.35</v>
      </c>
      <c r="J35" s="202">
        <v>0.39999999999999997</v>
      </c>
      <c r="K35" s="202">
        <v>0.44999999999999996</v>
      </c>
      <c r="L35" s="202">
        <v>0.49999999999999994</v>
      </c>
      <c r="M35" s="202">
        <v>0.54999999999999993</v>
      </c>
      <c r="N35" s="202">
        <v>0.6</v>
      </c>
      <c r="O35" s="202">
        <v>0.65</v>
      </c>
      <c r="P35" s="202">
        <v>0.70000000000000007</v>
      </c>
      <c r="Q35" s="202">
        <v>0.75000000000000011</v>
      </c>
      <c r="R35" s="202">
        <v>0.80000000000000016</v>
      </c>
      <c r="S35" s="202">
        <v>0.8500000000000002</v>
      </c>
      <c r="T35" s="202">
        <v>0.90000000000000024</v>
      </c>
      <c r="U35" s="202">
        <v>0.95000000000000029</v>
      </c>
      <c r="V35" s="202">
        <v>0.9600000000000003</v>
      </c>
      <c r="W35" s="202">
        <v>0.97000000000000031</v>
      </c>
      <c r="X35" s="202">
        <v>0.98000000000000032</v>
      </c>
      <c r="Y35" s="202">
        <v>0.99000000000000032</v>
      </c>
      <c r="Z35" s="130"/>
    </row>
    <row r="36" spans="1:26" x14ac:dyDescent="0.2">
      <c r="A36" t="s">
        <v>89</v>
      </c>
      <c r="B36" s="167">
        <f>NeoClassical!B$43</f>
        <v>0.56058995943839207</v>
      </c>
      <c r="C36" s="167">
        <f>NeoClassical!D$43</f>
        <v>0.56570379235070256</v>
      </c>
      <c r="D36" s="167">
        <f>NeoClassical!F$43</f>
        <v>0.56421563462636737</v>
      </c>
      <c r="E36" s="167">
        <f>NeoClassical!H$43</f>
        <v>0.56273527716069349</v>
      </c>
      <c r="F36" s="167">
        <f>NeoClassical!J$43</f>
        <v>0.56126174264406803</v>
      </c>
      <c r="G36" s="167">
        <f>NeoClassical!L$43</f>
        <v>0.55979400299961135</v>
      </c>
      <c r="H36" s="167">
        <f>NeoClassical!N$43</f>
        <v>0.55833099572231815</v>
      </c>
      <c r="I36" s="167">
        <f>NeoClassical!P$43</f>
        <v>0.55687204483768449</v>
      </c>
      <c r="J36" s="167">
        <f>NeoClassical!R$43</f>
        <v>0.55541723733512438</v>
      </c>
      <c r="K36" s="167">
        <f>NeoClassical!T$43</f>
        <v>0.55396823613048662</v>
      </c>
      <c r="L36" s="167">
        <f>NeoClassical!V$43</f>
        <v>0.55252959377610777</v>
      </c>
      <c r="M36" s="167">
        <f>NeoClassical!X$43</f>
        <v>0.55111085793482995</v>
      </c>
      <c r="N36" s="167">
        <f>NeoClassical!Z$43</f>
        <v>0.54973004078899557</v>
      </c>
      <c r="O36" s="167">
        <f>NeoClassical!AB$43</f>
        <v>0.54841897876619317</v>
      </c>
      <c r="P36" s="167">
        <f>NeoClassical!AD$43</f>
        <v>0.54723078906580169</v>
      </c>
      <c r="Q36" s="167">
        <f>NeoClassical!AF$43</f>
        <v>0.54624558245424759</v>
      </c>
      <c r="R36" s="167">
        <f>NeoClassical!AH$43</f>
        <v>0.54555694625800577</v>
      </c>
      <c r="S36" s="167">
        <f>NeoClassical!AJ$43</f>
        <v>0.54520555067699517</v>
      </c>
      <c r="T36" s="167">
        <f>NeoClassical!AL$43</f>
        <v>0.54509957425460076</v>
      </c>
      <c r="U36" s="167">
        <f>NeoClassical!AN$43</f>
        <v>0.54508575044696728</v>
      </c>
      <c r="V36" s="167">
        <f>NeoClassical!AP$43</f>
        <v>0.54508550668093825</v>
      </c>
      <c r="W36" s="167">
        <f>NeoClassical!AR$43</f>
        <v>0.54508541755276174</v>
      </c>
      <c r="X36" s="167">
        <f>NeoClassical!AT$43</f>
        <v>0.54508539179644144</v>
      </c>
      <c r="Y36" s="167">
        <f>NeoClassical!AV$43</f>
        <v>0.54508538665545792</v>
      </c>
      <c r="Z36" s="129"/>
    </row>
    <row r="37" spans="1:26" x14ac:dyDescent="0.2">
      <c r="A37" t="s">
        <v>147</v>
      </c>
      <c r="B37" s="167">
        <f>Kaldorian!B$43</f>
        <v>0.56058995943839207</v>
      </c>
      <c r="C37" s="167">
        <f>Kaldorian!D$43</f>
        <v>0.56155700129179109</v>
      </c>
      <c r="D37" s="167">
        <f>Kaldorian!F$43</f>
        <v>0.55565480237055309</v>
      </c>
      <c r="E37" s="167">
        <f>Kaldorian!H$43</f>
        <v>0.54945494551644936</v>
      </c>
      <c r="F37" s="167">
        <f>Kaldorian!J$43</f>
        <v>0.54291028613142134</v>
      </c>
      <c r="G37" s="167">
        <f>Kaldorian!L$43</f>
        <v>0.53596302222274472</v>
      </c>
      <c r="H37" s="167">
        <f>Kaldorian!N$43</f>
        <v>0.52854033039493376</v>
      </c>
      <c r="I37" s="167">
        <f>Kaldorian!P$43</f>
        <v>0.52054808325404545</v>
      </c>
      <c r="J37" s="167">
        <f>Kaldorian!R$43</f>
        <v>0.51186010483249622</v>
      </c>
      <c r="K37" s="167">
        <f>Kaldorian!T$43</f>
        <v>0.50230013013748798</v>
      </c>
      <c r="L37" s="167">
        <f>Kaldorian!V$43</f>
        <v>0.49160937292702128</v>
      </c>
      <c r="M37" s="167">
        <f>Kaldorian!X$43</f>
        <v>0.47938653477218884</v>
      </c>
      <c r="N37" s="167">
        <f>Kaldorian!Z$43</f>
        <v>0.46497045418360428</v>
      </c>
      <c r="O37" s="167">
        <f>Kaldorian!AB$43</f>
        <v>0.44719864678018695</v>
      </c>
      <c r="P37" s="167">
        <f>Kaldorian!AD$43</f>
        <v>0.4238839460500014</v>
      </c>
      <c r="Q37" s="167">
        <f>Kaldorian!AF$43</f>
        <v>0.39063358981842355</v>
      </c>
      <c r="R37" s="167">
        <f>Kaldorian!AH$43</f>
        <v>0.33811268905851255</v>
      </c>
      <c r="S37" s="167">
        <f>Kaldorian!AJ$43</f>
        <v>0.24484798848155476</v>
      </c>
      <c r="T37" s="167">
        <f>Kaldorian!AL$43</f>
        <v>4.6140422985590693E-2</v>
      </c>
      <c r="U37" s="167"/>
      <c r="V37" s="167"/>
      <c r="W37" s="167"/>
      <c r="X37" s="167"/>
      <c r="Y37" s="167"/>
      <c r="Z37" s="129"/>
    </row>
    <row r="38" spans="1:26" x14ac:dyDescent="0.2">
      <c r="A38" t="s">
        <v>90</v>
      </c>
      <c r="B38" s="167">
        <f>Johansen!B$43</f>
        <v>0.56058995943839207</v>
      </c>
      <c r="C38" s="167">
        <f>Johansen!D$43</f>
        <v>0.56568931983455917</v>
      </c>
      <c r="D38" s="167">
        <f>Johansen!F$43</f>
        <v>0.5641869465407795</v>
      </c>
      <c r="E38" s="167">
        <f>Johansen!H$43</f>
        <v>0.56269244333317026</v>
      </c>
      <c r="F38" s="167">
        <f>Johansen!J$43</f>
        <v>0.56120463448517588</v>
      </c>
      <c r="G38" s="167">
        <f>Johansen!L$43</f>
        <v>0.55972228555646064</v>
      </c>
      <c r="H38" s="167">
        <f>Johansen!N$43</f>
        <v>0.55824418674791065</v>
      </c>
      <c r="I38" s="167">
        <f>Johansen!P$43</f>
        <v>0.55676954954205038</v>
      </c>
      <c r="J38" s="167">
        <f>Johansen!R$43</f>
        <v>0.55529855951695573</v>
      </c>
      <c r="K38" s="167">
        <f>Johansen!T$43</f>
        <v>0.5538332055480979</v>
      </c>
      <c r="L38" s="167">
        <f>Johansen!V$43</f>
        <v>0.55237881048718473</v>
      </c>
      <c r="M38" s="167">
        <f>Johansen!X$43</f>
        <v>0.55094637487171982</v>
      </c>
      <c r="N38" s="167">
        <f>Johansen!Z$43</f>
        <v>0.54955639134283485</v>
      </c>
      <c r="O38" s="167">
        <f>Johansen!AB$43</f>
        <v>0.54824467598831916</v>
      </c>
      <c r="P38" s="167">
        <f>Johansen!AD$43</f>
        <v>0.54706999385174226</v>
      </c>
      <c r="Q38" s="167">
        <f>Johansen!AF$43</f>
        <v>0.54611813517543473</v>
      </c>
      <c r="R38" s="167">
        <f>Johansen!AH$43</f>
        <v>0.54548076931972789</v>
      </c>
      <c r="S38" s="167">
        <f>Johansen!AJ$43</f>
        <v>0.54517800347176848</v>
      </c>
      <c r="T38" s="167">
        <f>Johansen!AL$43</f>
        <v>0.5450952471279541</v>
      </c>
      <c r="U38" s="167">
        <f>Johansen!AN$43</f>
        <v>0.54508561369842345</v>
      </c>
      <c r="V38" s="167">
        <f>Johansen!AP$43</f>
        <v>0.54508546055699947</v>
      </c>
      <c r="W38" s="167">
        <f>Johansen!AR$43</f>
        <v>0.54508540558574847</v>
      </c>
      <c r="X38" s="167">
        <f>Johansen!AT$43</f>
        <v>0.54508538977550069</v>
      </c>
      <c r="Y38" s="167">
        <f>Johansen!AV$43</f>
        <v>0.54508538653505278</v>
      </c>
      <c r="Z38" s="129"/>
    </row>
    <row r="39" spans="1:26" x14ac:dyDescent="0.2">
      <c r="A39" t="s">
        <v>130</v>
      </c>
      <c r="B39" s="167">
        <f>'Keynes-M'!B$43</f>
        <v>0.56058995943839207</v>
      </c>
      <c r="C39" s="167">
        <f>'Keynes-M'!D$43</f>
        <v>0.5799703189885772</v>
      </c>
      <c r="D39" s="167">
        <f>'Keynes-M'!F$43</f>
        <v>0.59329101788701699</v>
      </c>
      <c r="E39" s="167">
        <f>'Keynes-M'!H$43</f>
        <v>0.60722964928597323</v>
      </c>
      <c r="F39" s="167">
        <f>'Keynes-M'!J$43</f>
        <v>0.62187064368716516</v>
      </c>
      <c r="G39" s="167">
        <f>'Keynes-M'!L$43</f>
        <v>0.63732550395562126</v>
      </c>
      <c r="H39" s="167">
        <f>'Keynes-M'!N$43</f>
        <v>0.6537476931780567</v>
      </c>
      <c r="I39" s="167">
        <f>'Keynes-M'!P$43</f>
        <v>0.67135687362125818</v>
      </c>
      <c r="J39" s="167">
        <f>'Keynes-M'!R$43</f>
        <v>0.69047886229745681</v>
      </c>
      <c r="K39" s="167">
        <f>'Keynes-M'!T$43</f>
        <v>0.71161423268146307</v>
      </c>
      <c r="L39" s="167">
        <f>'Keynes-M'!V$43</f>
        <v>0.73556015382622841</v>
      </c>
      <c r="M39" s="167">
        <f>'Keynes-M'!X$43</f>
        <v>0.76363335513209352</v>
      </c>
      <c r="N39" s="167">
        <f>'Keynes-M'!Z$43</f>
        <v>0.79808330537605188</v>
      </c>
      <c r="O39" s="167">
        <f>'Keynes-M'!AB$43</f>
        <v>0.84282032382363792</v>
      </c>
      <c r="P39" s="167">
        <f>'Keynes-M'!AD$43</f>
        <v>0.90445022638657924</v>
      </c>
      <c r="Q39" s="167" t="e">
        <f>'Keynes-M'!AF$43</f>
        <v>#DIV/0!</v>
      </c>
      <c r="R39" s="167"/>
      <c r="S39" s="167"/>
      <c r="T39" s="167"/>
      <c r="U39" s="167"/>
      <c r="V39" s="167"/>
      <c r="W39" s="167"/>
      <c r="X39" s="167"/>
      <c r="Y39" s="167"/>
    </row>
    <row r="40" spans="1:26" x14ac:dyDescent="0.2">
      <c r="A40" t="s">
        <v>146</v>
      </c>
      <c r="B40" s="167">
        <f>Keynesian!B$43</f>
        <v>0.56058995943839207</v>
      </c>
      <c r="C40" s="167">
        <f>Keynesian!D$43</f>
        <v>0.57432378574222376</v>
      </c>
      <c r="D40" s="167">
        <f>Keynesian!F$43</f>
        <v>0.58145504302211415</v>
      </c>
      <c r="E40" s="167">
        <f>Keynesian!H$43</f>
        <v>0.58856654989053936</v>
      </c>
      <c r="F40" s="167">
        <f>Keynesian!J$43</f>
        <v>0.59562307084409583</v>
      </c>
      <c r="G40" s="167">
        <f>Keynesian!L$43</f>
        <v>0.60258202037385333</v>
      </c>
      <c r="H40" s="167">
        <f>Keynesian!N$43</f>
        <v>0.60939068812389108</v>
      </c>
      <c r="I40" s="167">
        <f>Keynesian!P$43</f>
        <v>0.61598576559399887</v>
      </c>
      <c r="J40" s="167">
        <f>Keynesian!R$43</f>
        <v>0.62229062891691977</v>
      </c>
      <c r="K40" s="167">
        <f>Keynesian!T$43</f>
        <v>0.62820822907087093</v>
      </c>
      <c r="L40" s="167">
        <f>Keynesian!V$43</f>
        <v>0.63360504072005075</v>
      </c>
      <c r="M40" s="167">
        <f>Keynesian!X$43</f>
        <v>0.63825259958638347</v>
      </c>
      <c r="N40" s="167" t="e">
        <f>Keynesian!Z$43</f>
        <v>#DIV/0!</v>
      </c>
      <c r="O40" s="167" t="e">
        <f>Keynesian!AB$43</f>
        <v>#DIV/0!</v>
      </c>
      <c r="P40" s="167"/>
      <c r="Q40" s="167"/>
      <c r="R40" s="167"/>
      <c r="S40" s="167"/>
      <c r="T40" s="167"/>
      <c r="U40" s="167"/>
      <c r="V40" s="167"/>
      <c r="W40" s="167"/>
      <c r="X40" s="167"/>
      <c r="Y40" s="167"/>
    </row>
    <row r="41" spans="1:26" x14ac:dyDescent="0.2">
      <c r="A41" t="s">
        <v>131</v>
      </c>
      <c r="B41" s="167">
        <f>'Keynes-K'!B$43</f>
        <v>0.56058995943839207</v>
      </c>
      <c r="C41" s="167">
        <f>'Keynes-K'!D$43</f>
        <v>0.56113037950882716</v>
      </c>
      <c r="D41" s="167">
        <f>'Keynes-K'!F$43</f>
        <v>0.55483624677550858</v>
      </c>
      <c r="E41" s="167">
        <f>'Keynes-K'!H$43</f>
        <v>0.5482802556327131</v>
      </c>
      <c r="F41" s="167">
        <f>'Keynes-K'!J$43</f>
        <v>0.54141785739970671</v>
      </c>
      <c r="G41" s="167">
        <f>'Keynes-K'!L$43</f>
        <v>0.53419552015736482</v>
      </c>
      <c r="H41" s="167">
        <f>'Keynes-K'!N$43</f>
        <v>0.52654680987212044</v>
      </c>
      <c r="I41" s="167">
        <f>'Keynes-K'!P$43</f>
        <v>0.51838693903670241</v>
      </c>
      <c r="J41" s="167">
        <f>'Keynes-K'!R$43</f>
        <v>0.50960354145016662</v>
      </c>
      <c r="K41" s="167">
        <f>'Keynes-K'!T$43</f>
        <v>0.50004186387135141</v>
      </c>
      <c r="L41" s="167">
        <f>'Keynes-K'!V$43</f>
        <v>0.48947930241146898</v>
      </c>
      <c r="M41" s="167">
        <f>'Keynes-K'!X$43</f>
        <v>0.47758148666485362</v>
      </c>
      <c r="N41" s="167">
        <f>'Keynes-K'!Z$43</f>
        <v>0.4638234609845106</v>
      </c>
      <c r="O41" s="167">
        <f>'Keynes-K'!AB$43</f>
        <v>0.44734582765584624</v>
      </c>
      <c r="P41" s="167">
        <f>'Keynes-K'!AD$43</f>
        <v>0.42669301376369123</v>
      </c>
      <c r="Q41" s="167">
        <f>'Keynes-K'!AF$43</f>
        <v>0.3993683435433612</v>
      </c>
      <c r="R41" s="167">
        <f>'Keynes-K'!AH$43</f>
        <v>0.36125707339770913</v>
      </c>
      <c r="S41" s="167">
        <f>'Keynes-K'!AJ$43</f>
        <v>0.30661038447708294</v>
      </c>
      <c r="T41" s="167">
        <f>'Keynes-K'!AL$43</f>
        <v>0.2314938982022699</v>
      </c>
      <c r="U41" s="167"/>
      <c r="V41" s="167"/>
      <c r="W41" s="167"/>
      <c r="X41" s="167"/>
      <c r="Y41" s="167"/>
    </row>
    <row r="42" spans="1:26" x14ac:dyDescent="0.2">
      <c r="A42" t="s">
        <v>142</v>
      </c>
      <c r="B42" s="167">
        <f>'Neo-K1'!B$43</f>
        <v>0.56058995943839207</v>
      </c>
      <c r="C42" s="167">
        <f>'Neo-K1'!D$43</f>
        <v>0.56686656405971203</v>
      </c>
      <c r="D42" s="167">
        <f>'Neo-K1'!F$43</f>
        <v>0.56654868165789085</v>
      </c>
      <c r="E42" s="167">
        <f>'Neo-K1'!H$43</f>
        <v>0.56624521484259815</v>
      </c>
      <c r="F42" s="167">
        <f>'Neo-K1'!J$43</f>
        <v>0.56595356110942263</v>
      </c>
      <c r="G42" s="167">
        <f>'Neo-K1'!L$43</f>
        <v>0.56566987908051147</v>
      </c>
      <c r="H42" s="167">
        <f>'Neo-K1'!N$43</f>
        <v>0.56538869465737296</v>
      </c>
      <c r="I42" s="167">
        <f>'Neo-K1'!P$43</f>
        <v>0.56510235025600597</v>
      </c>
      <c r="J42" s="167">
        <f>'Neo-K1'!R$43</f>
        <v>0.56480031717567092</v>
      </c>
      <c r="K42" s="167">
        <f>'Neo-K1'!T$43</f>
        <v>0.56446831482415682</v>
      </c>
      <c r="L42" s="167">
        <f>'Neo-K1'!V$43</f>
        <v>0.56408730706311472</v>
      </c>
      <c r="M42" s="167">
        <f>'Neo-K1'!X$43</f>
        <v>0.56363241790901508</v>
      </c>
      <c r="N42" s="167">
        <f>'Neo-K1'!Z$43</f>
        <v>0.56307220950309622</v>
      </c>
      <c r="O42" s="167">
        <f>'Neo-K1'!AB$43</f>
        <v>0.56236902346913598</v>
      </c>
      <c r="P42" s="167">
        <f>'Neo-K1'!AD$43</f>
        <v>0.5614818248999498</v>
      </c>
      <c r="Q42" s="167">
        <f>'Neo-K1'!AF$43</f>
        <v>0.56037326393331355</v>
      </c>
      <c r="R42" s="167">
        <f>'Neo-K1'!AH$43</f>
        <v>0.55902148254573514</v>
      </c>
      <c r="S42" s="167">
        <f>'Neo-K1'!AJ$43</f>
        <v>0.55743313464501887</v>
      </c>
      <c r="T42" s="167">
        <f>'Neo-K1'!AL$43</f>
        <v>0.55564919414896186</v>
      </c>
      <c r="U42" s="167">
        <f>'Neo-K1'!AN$43</f>
        <v>0.55373670363579686</v>
      </c>
      <c r="V42" s="167">
        <f>'Neo-K1'!AP$43</f>
        <v>0.55334542254160934</v>
      </c>
      <c r="W42" s="167">
        <f>'Neo-K1'!AR$43</f>
        <v>0.55295258318515672</v>
      </c>
      <c r="X42" s="167">
        <f>'Neo-K1'!AT$43</f>
        <v>0.55255873682963541</v>
      </c>
      <c r="Y42" s="167">
        <f>'Neo-K1'!AV$43</f>
        <v>0.55216440820284396</v>
      </c>
    </row>
    <row r="43" spans="1:26" x14ac:dyDescent="0.2">
      <c r="A43" t="s">
        <v>141</v>
      </c>
      <c r="B43" s="167">
        <f>'Neo-K2'!B$43</f>
        <v>0.56058995943839207</v>
      </c>
      <c r="C43" s="167">
        <f>'Neo-K2'!D$43</f>
        <v>0.56757261837179762</v>
      </c>
      <c r="D43" s="167">
        <f>'Neo-K2'!F$43</f>
        <v>0.56801451793620417</v>
      </c>
      <c r="E43" s="167">
        <f>'Neo-K2'!H$43</f>
        <v>0.56853403925139623</v>
      </c>
      <c r="F43" s="167">
        <f>'Neo-K2'!J$43</f>
        <v>0.56913976333803395</v>
      </c>
      <c r="G43" s="167">
        <f>'Neo-K2'!L$43</f>
        <v>0.56984101791122899</v>
      </c>
      <c r="H43" s="167">
        <f>'Neo-K2'!N$43</f>
        <v>0.57064777607693096</v>
      </c>
      <c r="I43" s="167">
        <f>'Neo-K2'!P$43</f>
        <v>0.57157029337557852</v>
      </c>
      <c r="J43" s="167">
        <f>'Neo-K2'!R$43</f>
        <v>0.57261845320991289</v>
      </c>
      <c r="K43" s="167">
        <f>'Neo-K2'!T$43</f>
        <v>0.57380054314912943</v>
      </c>
      <c r="L43" s="167">
        <f>'Neo-K2'!V$43</f>
        <v>0.57512111993655501</v>
      </c>
      <c r="M43" s="167">
        <f>'Neo-K2'!X$43</f>
        <v>0.57657734824088014</v>
      </c>
      <c r="N43" s="167">
        <f>'Neo-K2'!Z$43</f>
        <v>0.57815277233014184</v>
      </c>
      <c r="O43" s="167">
        <f>'Neo-K2'!AB$43</f>
        <v>0.57980577800986843</v>
      </c>
      <c r="P43" s="167">
        <f>'Neo-K2'!AD$43</f>
        <v>0.5814454156177471</v>
      </c>
      <c r="Q43" s="167">
        <f>'Neo-K2'!AF$43</f>
        <v>0.58287472837794463</v>
      </c>
      <c r="R43" s="167">
        <f>'Neo-K2'!AH$43</f>
        <v>0.58365718789364851</v>
      </c>
      <c r="S43" s="167">
        <f>'Neo-K2'!AJ$43</f>
        <v>0.58280455995241387</v>
      </c>
      <c r="T43" s="167">
        <f>'Neo-K2'!AL$43</f>
        <v>0.57777647055454273</v>
      </c>
      <c r="U43" s="167">
        <f>'Neo-K2'!AN$43</f>
        <v>0.55974881452124325</v>
      </c>
      <c r="V43" s="167">
        <f>'Neo-K2'!AP$43</f>
        <v>0.55180429177239543</v>
      </c>
      <c r="W43" s="167">
        <f>'Neo-K2'!AR$43</f>
        <v>0.54014705134451191</v>
      </c>
      <c r="X43" s="167">
        <f>'Neo-K2'!AT$43</f>
        <v>0.5211532208272287</v>
      </c>
      <c r="Y43" s="167">
        <f>'Neo-K2'!AV$43</f>
        <v>0.48263908978231296</v>
      </c>
    </row>
    <row r="44" spans="1:26" x14ac:dyDescent="0.2">
      <c r="B44" s="203"/>
      <c r="C44" s="203"/>
      <c r="D44" s="203"/>
      <c r="E44" s="203"/>
      <c r="F44" s="203"/>
      <c r="G44" s="203"/>
      <c r="H44" s="203"/>
      <c r="I44" s="203"/>
      <c r="J44" s="203"/>
      <c r="K44" s="203"/>
      <c r="L44" s="203"/>
      <c r="M44" s="203"/>
      <c r="N44" s="203"/>
      <c r="O44" s="203"/>
      <c r="P44" s="203"/>
      <c r="Q44" s="203"/>
      <c r="R44" s="203"/>
      <c r="S44" s="203"/>
      <c r="T44" s="203"/>
      <c r="U44" s="203"/>
      <c r="V44" s="203"/>
    </row>
    <row r="45" spans="1:26" ht="10.5" x14ac:dyDescent="0.25">
      <c r="A45" s="92" t="s">
        <v>149</v>
      </c>
    </row>
    <row r="46" spans="1:26" x14ac:dyDescent="0.2">
      <c r="A46" t="s">
        <v>132</v>
      </c>
      <c r="B46" s="202">
        <v>0</v>
      </c>
      <c r="C46" s="202">
        <v>0.05</v>
      </c>
      <c r="D46" s="202">
        <v>0.1</v>
      </c>
      <c r="E46" s="202">
        <v>0.15000000000000002</v>
      </c>
      <c r="F46" s="202">
        <v>0.2</v>
      </c>
      <c r="G46" s="202">
        <v>0.25</v>
      </c>
      <c r="H46" s="202">
        <v>0.3</v>
      </c>
      <c r="I46" s="202">
        <v>0.35</v>
      </c>
      <c r="J46" s="202">
        <v>0.39999999999999997</v>
      </c>
      <c r="K46" s="202">
        <v>0.44999999999999996</v>
      </c>
      <c r="L46" s="202">
        <v>0.49999999999999994</v>
      </c>
      <c r="M46" s="202">
        <v>0.54999999999999993</v>
      </c>
      <c r="N46" s="202">
        <v>0.6</v>
      </c>
      <c r="O46" s="202">
        <v>0.65</v>
      </c>
      <c r="P46" s="202">
        <v>0.70000000000000007</v>
      </c>
      <c r="Q46" s="202">
        <v>0.75000000000000011</v>
      </c>
      <c r="R46" s="202">
        <v>0.80000000000000016</v>
      </c>
      <c r="S46" s="202">
        <v>0.8500000000000002</v>
      </c>
      <c r="T46" s="202">
        <v>0.90000000000000024</v>
      </c>
      <c r="U46" s="202">
        <v>0.95000000000000029</v>
      </c>
      <c r="V46" s="202">
        <v>0.9600000000000003</v>
      </c>
      <c r="W46" s="202">
        <v>0.97000000000000031</v>
      </c>
      <c r="X46" s="202">
        <v>0.98000000000000032</v>
      </c>
      <c r="Y46" s="202">
        <v>0.99000000000000032</v>
      </c>
    </row>
    <row r="47" spans="1:26" x14ac:dyDescent="0.2">
      <c r="A47" t="s">
        <v>89</v>
      </c>
      <c r="B47" s="129">
        <f>NeoClassical!B$48</f>
        <v>1</v>
      </c>
      <c r="C47" s="129">
        <f>NeoClassical!D$48</f>
        <v>1.0120450570014201</v>
      </c>
      <c r="D47" s="129">
        <f>NeoClassical!F$48</f>
        <v>1.0242933283879763</v>
      </c>
      <c r="E47" s="129">
        <f>NeoClassical!H$48</f>
        <v>1.0367686195234209</v>
      </c>
      <c r="F47" s="129">
        <f>NeoClassical!J$48</f>
        <v>1.0494977180519411</v>
      </c>
      <c r="G47" s="129">
        <f>NeoClassical!L$48</f>
        <v>1.0625114819212749</v>
      </c>
      <c r="H47" s="129">
        <f>NeoClassical!N$48</f>
        <v>1.0758464327481831</v>
      </c>
      <c r="I47" s="129">
        <f>NeoClassical!P$48</f>
        <v>1.089548108606488</v>
      </c>
      <c r="J47" s="129">
        <f>NeoClassical!R$48</f>
        <v>1.1036765686100409</v>
      </c>
      <c r="K47" s="129">
        <f>NeoClassical!T$48</f>
        <v>1.1183169203036709</v>
      </c>
      <c r="L47" s="129">
        <f>NeoClassical!V$48</f>
        <v>1.1335985805140094</v>
      </c>
      <c r="M47" s="129">
        <f>NeoClassical!X$48</f>
        <v>1.1497316927844277</v>
      </c>
      <c r="N47" s="129">
        <f>NeoClassical!Z$48</f>
        <v>1.1670766936902421</v>
      </c>
      <c r="O47" s="129">
        <f>NeoClassical!AB$48</f>
        <v>1.1862781262488138</v>
      </c>
      <c r="P47" s="129">
        <f>NeoClassical!AD$48</f>
        <v>1.2085139099866364</v>
      </c>
      <c r="Q47" s="129">
        <f>NeoClassical!AF$48</f>
        <v>1.2358965356018128</v>
      </c>
      <c r="R47" s="129">
        <f>NeoClassical!AH$48</f>
        <v>1.2717729912503311</v>
      </c>
      <c r="S47" s="129">
        <f>NeoClassical!AJ$48</f>
        <v>1.3195367349857252</v>
      </c>
      <c r="T47" s="129">
        <f>NeoClassical!AL$48</f>
        <v>1.3765896316543584</v>
      </c>
      <c r="U47" s="129">
        <f>NeoClassical!AN$48</f>
        <v>1.4004553039735332</v>
      </c>
      <c r="V47" s="129">
        <f>NeoClassical!AP$48</f>
        <v>1.3799179084160393</v>
      </c>
      <c r="W47" s="129">
        <f>NeoClassical!AR$48</f>
        <v>1.329854979721357</v>
      </c>
      <c r="X47" s="129">
        <f>NeoClassical!AT$48</f>
        <v>1.2149251969492247</v>
      </c>
      <c r="Y47" s="129">
        <f>NeoClassical!AV$48</f>
        <v>0.92949842421964546</v>
      </c>
    </row>
    <row r="48" spans="1:26" x14ac:dyDescent="0.2">
      <c r="A48" t="s">
        <v>147</v>
      </c>
      <c r="B48" s="129">
        <f>Kaldorian!B$48</f>
        <v>1</v>
      </c>
      <c r="C48" s="129">
        <f>Kaldorian!D$48</f>
        <v>1.0015987529963284</v>
      </c>
      <c r="D48" s="129">
        <f>Kaldorian!F$48</f>
        <v>1.0030931923547821</v>
      </c>
      <c r="E48" s="129">
        <f>Kaldorian!H$48</f>
        <v>1.0044653140927382</v>
      </c>
      <c r="F48" s="129">
        <f>Kaldorian!J$48</f>
        <v>1.0056926936319148</v>
      </c>
      <c r="G48" s="129">
        <f>Kaldorian!L$48</f>
        <v>1.0067471589027888</v>
      </c>
      <c r="H48" s="129">
        <f>Kaldorian!N$48</f>
        <v>1.0075932324465855</v>
      </c>
      <c r="I48" s="129">
        <f>Kaldorian!P$48</f>
        <v>1.0081854167518129</v>
      </c>
      <c r="J48" s="129">
        <f>Kaldorian!R$48</f>
        <v>1.0084648755182102</v>
      </c>
      <c r="K48" s="129">
        <f>Kaldorian!T$48</f>
        <v>1.0083545227087265</v>
      </c>
      <c r="L48" s="129">
        <f>Kaldorian!V$48</f>
        <v>1.0077513223375216</v>
      </c>
      <c r="M48" s="129">
        <f>Kaldorian!X$48</f>
        <v>1.006514474682995</v>
      </c>
      <c r="N48" s="129">
        <f>Kaldorian!Z$48</f>
        <v>1.0044450966588465</v>
      </c>
      <c r="O48" s="129">
        <f>Kaldorian!AB$48</f>
        <v>1.0012484049211894</v>
      </c>
      <c r="P48" s="129">
        <f>Kaldorian!AD$48</f>
        <v>0.99645292993763712</v>
      </c>
      <c r="Q48" s="129">
        <f>Kaldorian!AF$48</f>
        <v>0.98920859030153641</v>
      </c>
      <c r="R48" s="129">
        <f>Kaldorian!AH$48</f>
        <v>0.97769554756145172</v>
      </c>
      <c r="S48" s="129">
        <f>Kaldorian!AJ$48</f>
        <v>0.95726242958841801</v>
      </c>
      <c r="T48" s="129">
        <f>Kaldorian!AL$48</f>
        <v>0.91419985881384769</v>
      </c>
      <c r="U48" s="129"/>
      <c r="V48" s="129"/>
      <c r="W48" s="129"/>
      <c r="X48" s="129"/>
      <c r="Y48" s="129"/>
    </row>
    <row r="49" spans="1:25" x14ac:dyDescent="0.2">
      <c r="A49" t="s">
        <v>90</v>
      </c>
      <c r="B49" s="129">
        <f>Johansen!B$48</f>
        <v>1</v>
      </c>
      <c r="C49" s="129">
        <f>Johansen!D$48</f>
        <v>1.0015893435149064</v>
      </c>
      <c r="D49" s="129">
        <f>Johansen!F$48</f>
        <v>1.0030740617213547</v>
      </c>
      <c r="E49" s="129">
        <f>Johansen!H$48</f>
        <v>1.0044359606667466</v>
      </c>
      <c r="F49" s="129">
        <f>Johansen!J$48</f>
        <v>1.0056524472076032</v>
      </c>
      <c r="G49" s="129">
        <f>Johansen!L$48</f>
        <v>1.0066951122770167</v>
      </c>
      <c r="H49" s="129">
        <f>Johansen!N$48</f>
        <v>1.0075282357341759</v>
      </c>
      <c r="I49" s="129">
        <f>Johansen!P$48</f>
        <v>1.0081061841823138</v>
      </c>
      <c r="J49" s="129">
        <f>Johansen!R$48</f>
        <v>1.0083700392281163</v>
      </c>
      <c r="K49" s="129">
        <f>Johansen!T$48</f>
        <v>1.008242860693199</v>
      </c>
      <c r="L49" s="129">
        <f>Johansen!V$48</f>
        <v>1.0076221936790786</v>
      </c>
      <c r="M49" s="129">
        <f>Johansen!X$48</f>
        <v>1.0063685017434756</v>
      </c>
      <c r="N49" s="129">
        <f>Johansen!Z$48</f>
        <v>1.0042853366296907</v>
      </c>
      <c r="O49" s="129">
        <f>Johansen!AB$48</f>
        <v>1.001082113099754</v>
      </c>
      <c r="P49" s="129">
        <f>Johansen!AD$48</f>
        <v>0.9962940375022703</v>
      </c>
      <c r="Q49" s="129">
        <f>Johansen!AF$48</f>
        <v>0.9890787480417681</v>
      </c>
      <c r="R49" s="129">
        <f>Johansen!AH$48</f>
        <v>0.97761668256693246</v>
      </c>
      <c r="S49" s="129">
        <f>Johansen!AJ$48</f>
        <v>0.95723437558463753</v>
      </c>
      <c r="T49" s="129">
        <f>Johansen!AL$48</f>
        <v>0.91419581494295665</v>
      </c>
      <c r="U49" s="129">
        <f>Johansen!AN$48</f>
        <v>0.79470172706038811</v>
      </c>
      <c r="V49" s="129">
        <f>Johansen!AP$48</f>
        <v>0.74419616769414532</v>
      </c>
      <c r="W49" s="129">
        <f>Johansen!AR$48</f>
        <v>0.67217437674884106</v>
      </c>
      <c r="X49" s="129">
        <f>Johansen!AT$48</f>
        <v>0.56231110638879922</v>
      </c>
      <c r="Y49" s="129">
        <f>Johansen!AV$48</f>
        <v>0.37645185392608271</v>
      </c>
    </row>
    <row r="50" spans="1:25" x14ac:dyDescent="0.2">
      <c r="A50" t="s">
        <v>130</v>
      </c>
      <c r="B50" s="129">
        <f>'Keynes-M'!B$48</f>
        <v>1</v>
      </c>
      <c r="C50" s="129">
        <f>'Keynes-M'!D$48</f>
        <v>1.0152895310053869</v>
      </c>
      <c r="D50" s="129">
        <f>'Keynes-M'!F$48</f>
        <v>1.0308785442657482</v>
      </c>
      <c r="E50" s="129">
        <f>'Keynes-M'!H$48</f>
        <v>1.0467957102427361</v>
      </c>
      <c r="F50" s="129">
        <f>'Keynes-M'!J$48</f>
        <v>1.063076347384518</v>
      </c>
      <c r="G50" s="129">
        <f>'Keynes-M'!L$48</f>
        <v>1.0797681319129617</v>
      </c>
      <c r="H50" s="129">
        <f>'Keynes-M'!N$48</f>
        <v>1.0969404321858822</v>
      </c>
      <c r="I50" s="129">
        <f>'Keynes-M'!P$48</f>
        <v>1.1146999353889298</v>
      </c>
      <c r="J50" s="129">
        <f>'Keynes-M'!R$48</f>
        <v>1.1332170046866634</v>
      </c>
      <c r="K50" s="129">
        <f>'Keynes-M'!T$48</f>
        <v>1.1527715488829144</v>
      </c>
      <c r="L50" s="129">
        <f>'Keynes-M'!V$48</f>
        <v>1.1738346638190014</v>
      </c>
      <c r="M50" s="129">
        <f>'Keynes-M'!X$48</f>
        <v>1.1972161704844912</v>
      </c>
      <c r="N50" s="129">
        <f>'Keynes-M'!Z$48</f>
        <v>1.2243267260423498</v>
      </c>
      <c r="O50" s="129">
        <f>'Keynes-M'!AB$48</f>
        <v>1.2575869681631262</v>
      </c>
      <c r="P50" s="129">
        <f>'Keynes-M'!AD$48</f>
        <v>1.3007719996744949</v>
      </c>
      <c r="Q50" s="129">
        <f>'Keynes-M'!AF$48</f>
        <v>0</v>
      </c>
      <c r="R50" s="129"/>
      <c r="S50" s="129"/>
      <c r="T50" s="129"/>
      <c r="U50" s="129"/>
      <c r="V50" s="129"/>
      <c r="W50" s="129"/>
      <c r="X50" s="129"/>
      <c r="Y50" s="129"/>
    </row>
    <row r="51" spans="1:25" x14ac:dyDescent="0.2">
      <c r="A51" t="s">
        <v>146</v>
      </c>
      <c r="B51" s="129">
        <f>Keynesian!B$48</f>
        <v>1</v>
      </c>
      <c r="C51" s="129">
        <f>Keynesian!D$48</f>
        <v>0.98035564049885271</v>
      </c>
      <c r="D51" s="129">
        <f>Keynesian!F$48</f>
        <v>0.95836999962087743</v>
      </c>
      <c r="E51" s="129">
        <f>Keynesian!H$48</f>
        <v>0.93378889133809395</v>
      </c>
      <c r="F51" s="129">
        <f>Keynesian!J$48</f>
        <v>0.90634509494989135</v>
      </c>
      <c r="G51" s="129">
        <f>Keynesian!L$48</f>
        <v>0.87576982632408951</v>
      </c>
      <c r="H51" s="129">
        <f>Keynesian!N$48</f>
        <v>0.84180883623268521</v>
      </c>
      <c r="I51" s="129">
        <f>Keynesian!P$48</f>
        <v>0.80425168365741784</v>
      </c>
      <c r="J51" s="129">
        <f>Keynesian!R$48</f>
        <v>0.76297882888874957</v>
      </c>
      <c r="K51" s="129">
        <f>Keynesian!T$48</f>
        <v>0.71804552765382756</v>
      </c>
      <c r="L51" s="129">
        <f>Keynesian!V$48</f>
        <v>0.66986217160397199</v>
      </c>
      <c r="M51" s="129">
        <f>Keynesian!X$48</f>
        <v>0.61969913347254202</v>
      </c>
      <c r="N51" s="129">
        <f>Keynesian!Z$48</f>
        <v>0</v>
      </c>
      <c r="O51" s="129">
        <f>Keynesian!AB$48</f>
        <v>0</v>
      </c>
      <c r="P51" s="129"/>
      <c r="Q51" s="129"/>
      <c r="R51" s="129"/>
      <c r="S51" s="129"/>
      <c r="T51" s="129"/>
      <c r="U51" s="129"/>
      <c r="V51" s="129"/>
      <c r="W51" s="129"/>
      <c r="X51" s="129"/>
      <c r="Y51" s="129"/>
    </row>
    <row r="52" spans="1:25" x14ac:dyDescent="0.2">
      <c r="A52" t="s">
        <v>131</v>
      </c>
      <c r="B52" s="129">
        <f>'Keynes-K'!B$48</f>
        <v>1</v>
      </c>
      <c r="C52" s="129">
        <f>'Keynes-K'!D$48</f>
        <v>1.0065646822432621</v>
      </c>
      <c r="D52" s="129">
        <f>'Keynes-K'!F$48</f>
        <v>1.012565658375649</v>
      </c>
      <c r="E52" s="129">
        <f>'Keynes-K'!H$48</f>
        <v>1.0179511559046848</v>
      </c>
      <c r="F52" s="129">
        <f>'Keynes-K'!J$48</f>
        <v>1.0226508740376563</v>
      </c>
      <c r="G52" s="129">
        <f>'Keynes-K'!L$48</f>
        <v>1.0265704282660122</v>
      </c>
      <c r="H52" s="129">
        <f>'Keynes-K'!N$48</f>
        <v>1.029585717017955</v>
      </c>
      <c r="I52" s="129">
        <f>'Keynes-K'!P$48</f>
        <v>1.0315318363189785</v>
      </c>
      <c r="J52" s="129">
        <f>'Keynes-K'!R$48</f>
        <v>1.032189055800582</v>
      </c>
      <c r="K52" s="129">
        <f>'Keynes-K'!T$48</f>
        <v>1.0312603847621618</v>
      </c>
      <c r="L52" s="129">
        <f>'Keynes-K'!V$48</f>
        <v>1.0283360975182974</v>
      </c>
      <c r="M52" s="129">
        <f>'Keynes-K'!X$48</f>
        <v>1.0228342978598026</v>
      </c>
      <c r="N52" s="129">
        <f>'Keynes-K'!Z$48</f>
        <v>1.0138957253079395</v>
      </c>
      <c r="O52" s="129">
        <f>'Keynes-K'!AB$48</f>
        <v>1.0001834548916977</v>
      </c>
      <c r="P52" s="129">
        <f>'Keynes-K'!AD$48</f>
        <v>0.97947352875498506</v>
      </c>
      <c r="Q52" s="129">
        <f>'Keynes-K'!AF$48</f>
        <v>0.94775586208297136</v>
      </c>
      <c r="R52" s="129">
        <f>'Keynes-K'!AH$48</f>
        <v>0.8971790751914569</v>
      </c>
      <c r="S52" s="129">
        <f>'Keynes-K'!AJ$48</f>
        <v>0.81153469766056485</v>
      </c>
      <c r="T52" s="129">
        <f>'Keynes-K'!AL$48</f>
        <v>0.65827317446939093</v>
      </c>
      <c r="U52" s="129"/>
      <c r="V52" s="129"/>
      <c r="W52" s="129"/>
      <c r="X52" s="129"/>
      <c r="Y52" s="129"/>
    </row>
    <row r="53" spans="1:25" x14ac:dyDescent="0.2">
      <c r="A53" t="s">
        <v>142</v>
      </c>
      <c r="B53" s="129">
        <f>'Neo-K1'!B$48</f>
        <v>1</v>
      </c>
      <c r="C53" s="129">
        <f>'Neo-K1'!D$48</f>
        <v>1.005203380927745</v>
      </c>
      <c r="D53" s="129">
        <f>'Neo-K1'!F$48</f>
        <v>1.0098531892976734</v>
      </c>
      <c r="E53" s="129">
        <f>'Neo-K1'!H$48</f>
        <v>1.0138086907315014</v>
      </c>
      <c r="F53" s="129">
        <f>'Neo-K1'!J$48</f>
        <v>1.0168874432398982</v>
      </c>
      <c r="G53" s="129">
        <f>'Neo-K1'!L$48</f>
        <v>1.0188504635202795</v>
      </c>
      <c r="H53" s="129">
        <f>'Neo-K1'!N$48</f>
        <v>1.0193815768249663</v>
      </c>
      <c r="I53" s="129">
        <f>'Neo-K1'!P$48</f>
        <v>1.0180589730764051</v>
      </c>
      <c r="J53" s="129">
        <f>'Neo-K1'!R$48</f>
        <v>1.0143141728687182</v>
      </c>
      <c r="K53" s="129">
        <f>'Neo-K1'!T$48</f>
        <v>1.0073727316036112</v>
      </c>
      <c r="L53" s="129">
        <f>'Neo-K1'!V$48</f>
        <v>0.99617088431888412</v>
      </c>
      <c r="M53" s="129">
        <f>'Neo-K1'!X$48</f>
        <v>0.97923763334123648</v>
      </c>
      <c r="N53" s="129">
        <f>'Neo-K1'!Z$48</f>
        <v>0.95453680522225748</v>
      </c>
      <c r="O53" s="129">
        <f>'Neo-K1'!AB$48</f>
        <v>0.91927476995138813</v>
      </c>
      <c r="P53" s="129">
        <f>'Neo-K1'!AD$48</f>
        <v>0.86971517461843428</v>
      </c>
      <c r="Q53" s="129">
        <f>'Neo-K1'!AF$48</f>
        <v>0.80111225866473113</v>
      </c>
      <c r="R53" s="129">
        <f>'Neo-K1'!AH$48</f>
        <v>0.7079555158225459</v>
      </c>
      <c r="S53" s="129">
        <f>'Neo-K1'!AJ$48</f>
        <v>0.58469730201958392</v>
      </c>
      <c r="T53" s="129">
        <f>'Neo-K1'!AL$48</f>
        <v>0.42685849284932975</v>
      </c>
      <c r="U53" s="129">
        <f>'Neo-K1'!AN$48</f>
        <v>0.23199930018765014</v>
      </c>
      <c r="V53" s="129">
        <f>'Neo-K1'!AP$48</f>
        <v>0.18853706676139212</v>
      </c>
      <c r="W53" s="129">
        <f>'Neo-K1'!AR$48</f>
        <v>0.14359258711303985</v>
      </c>
      <c r="X53" s="129">
        <f>'Neo-K1'!AT$48</f>
        <v>9.7178062586336628E-2</v>
      </c>
      <c r="Y53" s="129">
        <f>'Neo-K1'!AV$48</f>
        <v>4.9308212167846366E-2</v>
      </c>
    </row>
    <row r="54" spans="1:25" x14ac:dyDescent="0.2">
      <c r="A54" t="s">
        <v>141</v>
      </c>
      <c r="B54" s="129">
        <f>'Neo-K2'!B$48</f>
        <v>1</v>
      </c>
      <c r="C54" s="129">
        <f>'Neo-K2'!D$48</f>
        <v>1</v>
      </c>
      <c r="D54" s="129">
        <f>'Neo-K2'!F$48</f>
        <v>1</v>
      </c>
      <c r="E54" s="129">
        <f>'Neo-K2'!H$48</f>
        <v>1</v>
      </c>
      <c r="F54" s="129">
        <f>'Neo-K2'!J$48</f>
        <v>1</v>
      </c>
      <c r="G54" s="129">
        <f>'Neo-K2'!L$48</f>
        <v>1</v>
      </c>
      <c r="H54" s="129">
        <f>'Neo-K2'!N$48</f>
        <v>1</v>
      </c>
      <c r="I54" s="129">
        <f>'Neo-K2'!P$48</f>
        <v>1</v>
      </c>
      <c r="J54" s="129">
        <f>'Neo-K2'!R$48</f>
        <v>1</v>
      </c>
      <c r="K54" s="129">
        <f>'Neo-K2'!T$48</f>
        <v>1</v>
      </c>
      <c r="L54" s="129">
        <f>'Neo-K2'!V$48</f>
        <v>1</v>
      </c>
      <c r="M54" s="129">
        <f>'Neo-K2'!X$48</f>
        <v>1</v>
      </c>
      <c r="N54" s="129">
        <f>'Neo-K2'!Z$48</f>
        <v>1</v>
      </c>
      <c r="O54" s="129">
        <f>'Neo-K2'!AB$48</f>
        <v>1</v>
      </c>
      <c r="P54" s="129">
        <f>'Neo-K2'!AD$48</f>
        <v>1</v>
      </c>
      <c r="Q54" s="129">
        <f>'Neo-K2'!AF$48</f>
        <v>1</v>
      </c>
      <c r="R54" s="129">
        <f>'Neo-K2'!AH$48</f>
        <v>1</v>
      </c>
      <c r="S54" s="129">
        <f>'Neo-K2'!AJ$48</f>
        <v>1</v>
      </c>
      <c r="T54" s="129">
        <f>'Neo-K2'!AL$48</f>
        <v>1</v>
      </c>
      <c r="U54" s="129">
        <f>'Neo-K2'!AN$48</f>
        <v>1</v>
      </c>
      <c r="V54" s="129">
        <f>'Neo-K2'!AP$48</f>
        <v>1</v>
      </c>
      <c r="W54" s="129">
        <f>'Neo-K2'!AR$48</f>
        <v>1</v>
      </c>
      <c r="X54" s="129">
        <f>'Neo-K2'!AT$48</f>
        <v>1</v>
      </c>
      <c r="Y54" s="129">
        <f>'Neo-K2'!AV$48</f>
        <v>1</v>
      </c>
    </row>
    <row r="56" spans="1:25" ht="10.5" x14ac:dyDescent="0.25">
      <c r="A56" s="92" t="s">
        <v>94</v>
      </c>
    </row>
    <row r="57" spans="1:25" x14ac:dyDescent="0.2">
      <c r="A57" t="s">
        <v>132</v>
      </c>
      <c r="B57" s="202">
        <v>0</v>
      </c>
      <c r="C57" s="202">
        <v>0.05</v>
      </c>
      <c r="D57" s="202">
        <v>0.1</v>
      </c>
      <c r="E57" s="202">
        <v>0.15000000000000002</v>
      </c>
      <c r="F57" s="202">
        <v>0.2</v>
      </c>
      <c r="G57" s="202">
        <v>0.25</v>
      </c>
      <c r="H57" s="202">
        <v>0.3</v>
      </c>
      <c r="I57" s="202">
        <v>0.35</v>
      </c>
      <c r="J57" s="202">
        <v>0.39999999999999997</v>
      </c>
      <c r="K57" s="202">
        <v>0.44999999999999996</v>
      </c>
      <c r="L57" s="202">
        <v>0.49999999999999994</v>
      </c>
      <c r="M57" s="202">
        <v>0.54999999999999993</v>
      </c>
      <c r="N57" s="202">
        <v>0.6</v>
      </c>
      <c r="O57" s="202">
        <v>0.65</v>
      </c>
      <c r="P57" s="202">
        <v>0.70000000000000007</v>
      </c>
      <c r="Q57" s="202">
        <v>0.75000000000000011</v>
      </c>
      <c r="R57" s="202">
        <v>0.80000000000000016</v>
      </c>
      <c r="S57" s="202">
        <v>0.8500000000000002</v>
      </c>
      <c r="T57" s="202">
        <v>0.90000000000000024</v>
      </c>
      <c r="U57" s="202">
        <v>0.95000000000000029</v>
      </c>
      <c r="V57" s="202">
        <v>0.9600000000000003</v>
      </c>
      <c r="W57" s="202">
        <v>0.97000000000000031</v>
      </c>
      <c r="X57" s="202">
        <v>0.98000000000000032</v>
      </c>
      <c r="Y57" s="202">
        <v>0.99000000000000032</v>
      </c>
    </row>
    <row r="58" spans="1:25" x14ac:dyDescent="0.2">
      <c r="A58" t="s">
        <v>89</v>
      </c>
      <c r="B58" s="129">
        <f>NeoClassical!B$42</f>
        <v>6.0999999999999999E-2</v>
      </c>
      <c r="C58" s="129">
        <f>NeoClassical!D$42</f>
        <v>6.0999999999999374E-2</v>
      </c>
      <c r="D58" s="129">
        <f>NeoClassical!F$42</f>
        <v>6.0999999999999791E-2</v>
      </c>
      <c r="E58" s="129">
        <f>NeoClassical!H$42</f>
        <v>6.0999999999999791E-2</v>
      </c>
      <c r="F58" s="129">
        <f>NeoClassical!J$42</f>
        <v>6.0999999999999582E-2</v>
      </c>
      <c r="G58" s="129">
        <f>NeoClassical!L$42</f>
        <v>6.0999999999999791E-2</v>
      </c>
      <c r="H58" s="129">
        <f>NeoClassical!N$42</f>
        <v>6.0999999999999582E-2</v>
      </c>
      <c r="I58" s="129">
        <f>NeoClassical!P$42</f>
        <v>6.1000000000000311E-2</v>
      </c>
      <c r="J58" s="129">
        <f>NeoClassical!R$42</f>
        <v>6.1000000000000207E-2</v>
      </c>
      <c r="K58" s="129">
        <f>NeoClassical!T$42</f>
        <v>6.0999999999999582E-2</v>
      </c>
      <c r="L58" s="129">
        <f>NeoClassical!V$42</f>
        <v>6.1000000000000207E-2</v>
      </c>
      <c r="M58" s="129">
        <f>NeoClassical!X$42</f>
        <v>6.0999999999999999E-2</v>
      </c>
      <c r="N58" s="129">
        <f>NeoClassical!Z$42</f>
        <v>6.0999999999999582E-2</v>
      </c>
      <c r="O58" s="129">
        <f>NeoClassical!AB$42</f>
        <v>6.0999999999999791E-2</v>
      </c>
      <c r="P58" s="129">
        <f>NeoClassical!AD$42</f>
        <v>6.1000000000000519E-2</v>
      </c>
      <c r="Q58" s="129">
        <f>NeoClassical!AF$42</f>
        <v>6.1000000000000519E-2</v>
      </c>
      <c r="R58" s="129">
        <f>NeoClassical!AH$42</f>
        <v>6.0999999999999791E-2</v>
      </c>
      <c r="S58" s="129">
        <f>NeoClassical!AJ$42</f>
        <v>6.0999999999999791E-2</v>
      </c>
      <c r="T58" s="129">
        <f>NeoClassical!AL$42</f>
        <v>6.1000000000000207E-2</v>
      </c>
      <c r="U58" s="129">
        <f>NeoClassical!AN$42</f>
        <v>6.0999999999999582E-2</v>
      </c>
      <c r="V58" s="129">
        <f>NeoClassical!AP$42</f>
        <v>6.0999999999999791E-2</v>
      </c>
      <c r="W58" s="129">
        <f>NeoClassical!AR$42</f>
        <v>6.0999999999999791E-2</v>
      </c>
      <c r="X58" s="129">
        <f>NeoClassical!AT$42</f>
        <v>6.1000000000000519E-2</v>
      </c>
      <c r="Y58" s="129">
        <f>NeoClassical!AV$42</f>
        <v>6.099999999999875E-2</v>
      </c>
    </row>
    <row r="59" spans="1:25" x14ac:dyDescent="0.2">
      <c r="A59" t="s">
        <v>147</v>
      </c>
      <c r="B59" s="129">
        <f>Kaldorian!B$42</f>
        <v>6.0999999999999999E-2</v>
      </c>
      <c r="C59" s="129">
        <f>Kaldorian!D$42</f>
        <v>6.0999999999999582E-2</v>
      </c>
      <c r="D59" s="129">
        <f>Kaldorian!F$42</f>
        <v>6.0999999999998958E-2</v>
      </c>
      <c r="E59" s="129">
        <f>Kaldorian!H$42</f>
        <v>6.0999999999999166E-2</v>
      </c>
      <c r="F59" s="129">
        <f>Kaldorian!J$42</f>
        <v>6.0999999999998333E-2</v>
      </c>
      <c r="G59" s="129">
        <f>Kaldorian!L$42</f>
        <v>6.1000000000000519E-2</v>
      </c>
      <c r="H59" s="129">
        <f>Kaldorian!N$42</f>
        <v>6.0999999999999999E-2</v>
      </c>
      <c r="I59" s="129">
        <f>Kaldorian!P$42</f>
        <v>6.0999999999999166E-2</v>
      </c>
      <c r="J59" s="129">
        <f>Kaldorian!R$42</f>
        <v>6.1000000000000207E-2</v>
      </c>
      <c r="K59" s="129">
        <f>Kaldorian!T$42</f>
        <v>6.1000000000000207E-2</v>
      </c>
      <c r="L59" s="129">
        <f>Kaldorian!V$42</f>
        <v>6.0999999999999791E-2</v>
      </c>
      <c r="M59" s="129">
        <f>Kaldorian!X$42</f>
        <v>6.0999999999999582E-2</v>
      </c>
      <c r="N59" s="129">
        <f>Kaldorian!Z$42</f>
        <v>6.0999999999999582E-2</v>
      </c>
      <c r="O59" s="129">
        <f>Kaldorian!AB$42</f>
        <v>6.0999999999999791E-2</v>
      </c>
      <c r="P59" s="129">
        <f>Kaldorian!AD$42</f>
        <v>6.0999999999999166E-2</v>
      </c>
      <c r="Q59" s="129">
        <f>Kaldorian!AF$42</f>
        <v>6.0999999999998958E-2</v>
      </c>
      <c r="R59" s="129">
        <f>Kaldorian!AH$42</f>
        <v>6.0999999999999999E-2</v>
      </c>
      <c r="S59" s="129">
        <f>Kaldorian!AJ$42</f>
        <v>6.1000000000000311E-2</v>
      </c>
      <c r="T59" s="129">
        <f>Kaldorian!AL$42</f>
        <v>6.0999999999999999E-2</v>
      </c>
      <c r="U59" s="129"/>
      <c r="V59" s="129"/>
      <c r="W59" s="129"/>
      <c r="X59" s="129"/>
      <c r="Y59" s="129"/>
    </row>
    <row r="60" spans="1:25" x14ac:dyDescent="0.2">
      <c r="A60" t="s">
        <v>90</v>
      </c>
      <c r="B60" s="129">
        <f>Johansen!B$42</f>
        <v>6.0999999999999999E-2</v>
      </c>
      <c r="C60" s="129">
        <f>Johansen!D$42</f>
        <v>6.099999999999875E-2</v>
      </c>
      <c r="D60" s="129">
        <f>Johansen!F$42</f>
        <v>6.1000000000000519E-2</v>
      </c>
      <c r="E60" s="129">
        <f>Johansen!H$42</f>
        <v>6.099999999999875E-2</v>
      </c>
      <c r="F60" s="129">
        <f>Johansen!J$42</f>
        <v>6.0999999999999999E-2</v>
      </c>
      <c r="G60" s="129">
        <f>Johansen!L$42</f>
        <v>6.0999999999999791E-2</v>
      </c>
      <c r="H60" s="129">
        <f>Johansen!N$42</f>
        <v>6.0999999999999374E-2</v>
      </c>
      <c r="I60" s="129">
        <f>Johansen!P$42</f>
        <v>6.1000000000000519E-2</v>
      </c>
      <c r="J60" s="129">
        <f>Johansen!R$42</f>
        <v>6.1000000000000311E-2</v>
      </c>
      <c r="K60" s="129">
        <f>Johansen!T$42</f>
        <v>6.0999999999999999E-2</v>
      </c>
      <c r="L60" s="129">
        <f>Johansen!V$42</f>
        <v>6.0999999999999582E-2</v>
      </c>
      <c r="M60" s="129">
        <f>Johansen!X$42</f>
        <v>6.0999999999999166E-2</v>
      </c>
      <c r="N60" s="129">
        <f>Johansen!Z$42</f>
        <v>6.1000000000000207E-2</v>
      </c>
      <c r="O60" s="129">
        <f>Johansen!AB$42</f>
        <v>6.0999999999999582E-2</v>
      </c>
      <c r="P60" s="129">
        <f>Johansen!AD$42</f>
        <v>6.0999999999999582E-2</v>
      </c>
      <c r="Q60" s="129">
        <f>Johansen!AF$42</f>
        <v>6.1000000000000207E-2</v>
      </c>
      <c r="R60" s="129">
        <f>Johansen!AH$42</f>
        <v>6.099999999999875E-2</v>
      </c>
      <c r="S60" s="129">
        <f>Johansen!AJ$42</f>
        <v>6.0999999999998958E-2</v>
      </c>
      <c r="T60" s="129">
        <f>Johansen!AL$42</f>
        <v>6.0999999999999999E-2</v>
      </c>
      <c r="U60" s="129">
        <f>Johansen!AN$42</f>
        <v>6.1000000000000207E-2</v>
      </c>
      <c r="V60" s="129">
        <f>Johansen!AP$42</f>
        <v>6.0999999999999999E-2</v>
      </c>
      <c r="W60" s="129">
        <f>Johansen!AR$42</f>
        <v>6.099999999999875E-2</v>
      </c>
      <c r="X60" s="129">
        <f>Johansen!AT$42</f>
        <v>6.1000000000000623E-2</v>
      </c>
      <c r="Y60" s="129">
        <f>Johansen!AV$42</f>
        <v>6.1000000000000623E-2</v>
      </c>
    </row>
    <row r="61" spans="1:25" x14ac:dyDescent="0.2">
      <c r="A61" t="s">
        <v>130</v>
      </c>
      <c r="B61" s="129">
        <f>'Keynes-M'!B$42</f>
        <v>6.0999999999999999E-2</v>
      </c>
      <c r="C61" s="129">
        <f>'Keynes-M'!D$42</f>
        <v>3.6803469445988418E-2</v>
      </c>
      <c r="D61" s="129">
        <f>'Keynes-M'!F$42</f>
        <v>1.0880553129099295E-2</v>
      </c>
      <c r="E61" s="129">
        <f>'Keynes-M'!H$42</f>
        <v>-1.707305125094187E-2</v>
      </c>
      <c r="F61" s="129">
        <f>'Keynes-M'!J$42</f>
        <v>-4.7448644019940436E-2</v>
      </c>
      <c r="G61" s="129">
        <f>'Keynes-M'!L$42</f>
        <v>-8.0767168952252527E-2</v>
      </c>
      <c r="H61" s="129">
        <f>'Keynes-M'!N$42</f>
        <v>-0.11774946547200468</v>
      </c>
      <c r="I61" s="129">
        <f>'Keynes-M'!P$42</f>
        <v>-0.15943845202394566</v>
      </c>
      <c r="J61" s="129">
        <f>'Keynes-M'!R$42</f>
        <v>-0.20742225497889549</v>
      </c>
      <c r="K61" s="129">
        <f>'Keynes-M'!T$42</f>
        <v>-0.26426935012653102</v>
      </c>
      <c r="L61" s="129">
        <f>'Keynes-M'!V$42</f>
        <v>-0.33444828446592173</v>
      </c>
      <c r="M61" s="129">
        <f>'Keynes-M'!X$42</f>
        <v>-0.42648909958311143</v>
      </c>
      <c r="N61" s="129">
        <f>'Keynes-M'!Z$42</f>
        <v>-0.55886118690448638</v>
      </c>
      <c r="O61" s="129">
        <f>'Keynes-M'!AB$42</f>
        <v>-0.78001846412595488</v>
      </c>
      <c r="P61" s="129">
        <f>'Keynes-M'!AD$42</f>
        <v>-1.2741670499217372</v>
      </c>
      <c r="Q61" s="129">
        <f>'Keynes-M'!AF$42</f>
        <v>1</v>
      </c>
      <c r="R61" s="129"/>
      <c r="S61" s="129"/>
      <c r="T61" s="129"/>
      <c r="U61" s="129"/>
      <c r="V61" s="129"/>
      <c r="W61" s="129"/>
      <c r="X61" s="129"/>
      <c r="Y61" s="129"/>
    </row>
    <row r="62" spans="1:25" x14ac:dyDescent="0.2">
      <c r="A62" t="s">
        <v>146</v>
      </c>
      <c r="B62" s="129">
        <f>Keynesian!B$42</f>
        <v>6.0999999999999999E-2</v>
      </c>
      <c r="C62" s="129">
        <f>Keynesian!D$42</f>
        <v>9.6569518637566507E-2</v>
      </c>
      <c r="D62" s="129">
        <f>Keynesian!F$42</f>
        <v>0.13355834335290084</v>
      </c>
      <c r="E62" s="129">
        <f>Keynesian!H$42</f>
        <v>0.17200467206238246</v>
      </c>
      <c r="F62" s="129">
        <f>Keynesian!J$42</f>
        <v>0.21193310626634021</v>
      </c>
      <c r="G62" s="129">
        <f>Keynesian!L$42</f>
        <v>0.25334726164810484</v>
      </c>
      <c r="H62" s="129">
        <f>Keynesian!N$42</f>
        <v>0.2962195953830139</v>
      </c>
      <c r="I62" s="129">
        <f>Keynesian!P$42</f>
        <v>0.34047575978985001</v>
      </c>
      <c r="J62" s="129">
        <f>Keynesian!R$42</f>
        <v>0.38596804377011174</v>
      </c>
      <c r="K62" s="129">
        <f>Keynesian!T$42</f>
        <v>0.43242320201140394</v>
      </c>
      <c r="L62" s="129">
        <f>Keynesian!V$42</f>
        <v>0.47931631656750556</v>
      </c>
      <c r="M62" s="129">
        <f>Keynesian!X$42</f>
        <v>0.52547692258487921</v>
      </c>
      <c r="N62" s="129">
        <f>Keynesian!Z$42</f>
        <v>1</v>
      </c>
      <c r="O62" s="129">
        <f>Keynesian!AB$42</f>
        <v>1</v>
      </c>
      <c r="P62" s="129"/>
      <c r="Q62" s="129"/>
      <c r="R62" s="129"/>
      <c r="S62" s="129"/>
      <c r="T62" s="129"/>
      <c r="U62" s="129"/>
      <c r="V62" s="129"/>
      <c r="W62" s="129"/>
      <c r="X62" s="129"/>
      <c r="Y62" s="129"/>
    </row>
    <row r="63" spans="1:25" x14ac:dyDescent="0.2">
      <c r="A63" t="s">
        <v>131</v>
      </c>
      <c r="B63" s="129">
        <f>'Keynes-K'!B$42</f>
        <v>6.0999999999999999E-2</v>
      </c>
      <c r="C63" s="129">
        <f>'Keynes-K'!D$42</f>
        <v>5.2363021015637876E-2</v>
      </c>
      <c r="D63" s="129">
        <f>'Keynes-K'!F$42</f>
        <v>4.443055406885367E-2</v>
      </c>
      <c r="E63" s="129">
        <f>'Keynes-K'!H$42</f>
        <v>3.7284617675603947E-2</v>
      </c>
      <c r="F63" s="129">
        <f>'Keynes-K'!J$42</f>
        <v>3.1033308193838902E-2</v>
      </c>
      <c r="G63" s="129">
        <f>'Keynes-K'!L$42</f>
        <v>2.5817972595820755E-2</v>
      </c>
      <c r="H63" s="129">
        <f>'Keynes-K'!N$42</f>
        <v>2.1822013076985572E-2</v>
      </c>
      <c r="I63" s="129">
        <f>'Keynes-K'!P$42</f>
        <v>1.9284521604101344E-2</v>
      </c>
      <c r="J63" s="129">
        <f>'Keynes-K'!R$42</f>
        <v>1.8518956694748213E-2</v>
      </c>
      <c r="K63" s="129">
        <f>'Keynes-K'!T$42</f>
        <v>1.9941600280854926E-2</v>
      </c>
      <c r="L63" s="129">
        <f>'Keynes-K'!V$42</f>
        <v>2.4115089943394584E-2</v>
      </c>
      <c r="M63" s="129">
        <f>'Keynes-K'!X$42</f>
        <v>3.1820197419204416E-2</v>
      </c>
      <c r="N63" s="129">
        <f>'Keynes-K'!Z$42</f>
        <v>4.4179027284398167E-2</v>
      </c>
      <c r="O63" s="129">
        <f>'Keynes-K'!AB$42</f>
        <v>6.2880734567303281E-2</v>
      </c>
      <c r="P63" s="129">
        <f>'Keynes-K'!AD$42</f>
        <v>9.0617704794833942E-2</v>
      </c>
      <c r="Q63" s="129">
        <f>'Keynes-K'!AF$42</f>
        <v>0.13195760152118352</v>
      </c>
      <c r="R63" s="129">
        <f>'Keynes-K'!AH$42</f>
        <v>0.19503049360778399</v>
      </c>
      <c r="S63" s="129">
        <f>'Keynes-K'!AJ$42</f>
        <v>0.29419854728713102</v>
      </c>
      <c r="T63" s="129">
        <f>'Keynes-K'!AL$42</f>
        <v>0.45197521843730948</v>
      </c>
      <c r="U63" s="129"/>
      <c r="V63" s="129"/>
      <c r="W63" s="129"/>
      <c r="X63" s="129"/>
      <c r="Y63" s="129"/>
    </row>
    <row r="64" spans="1:25" x14ac:dyDescent="0.2">
      <c r="A64" t="s">
        <v>142</v>
      </c>
      <c r="B64" s="129">
        <f>'Neo-K1'!B$42</f>
        <v>6.0999999999999999E-2</v>
      </c>
      <c r="C64" s="129">
        <f>'Neo-K1'!D$42</f>
        <v>6.4691365207796628E-2</v>
      </c>
      <c r="D64" s="129">
        <f>'Neo-K1'!F$42</f>
        <v>6.895027890672259E-2</v>
      </c>
      <c r="E64" s="129">
        <f>'Neo-K1'!H$42</f>
        <v>7.3898670785567722E-2</v>
      </c>
      <c r="F64" s="129">
        <f>'Neo-K1'!J$42</f>
        <v>7.969205861931565E-2</v>
      </c>
      <c r="G64" s="129">
        <f>'Neo-K1'!L$42</f>
        <v>8.6531192333861778E-2</v>
      </c>
      <c r="H64" s="129">
        <f>'Neo-K1'!N$42</f>
        <v>9.4678297602603684E-2</v>
      </c>
      <c r="I64" s="129">
        <f>'Neo-K1'!P$42</f>
        <v>0.10447938588566766</v>
      </c>
      <c r="J64" s="129">
        <f>'Neo-K1'!R$42</f>
        <v>0.11639610952879931</v>
      </c>
      <c r="K64" s="129">
        <f>'Neo-K1'!T$42</f>
        <v>0.13105127925023813</v>
      </c>
      <c r="L64" s="129">
        <f>'Neo-K1'!V$42</f>
        <v>0.14929166633936308</v>
      </c>
      <c r="M64" s="129">
        <f>'Neo-K1'!X$42</f>
        <v>0.17227446615923925</v>
      </c>
      <c r="N64" s="129">
        <f>'Neo-K1'!Z$42</f>
        <v>0.20157840184205197</v>
      </c>
      <c r="O64" s="129">
        <f>'Neo-K1'!AB$42</f>
        <v>0.23932956466555305</v>
      </c>
      <c r="P64" s="129">
        <f>'Neo-K1'!AD$42</f>
        <v>0.28830318606529748</v>
      </c>
      <c r="Q64" s="129">
        <f>'Neo-K1'!AF$42</f>
        <v>0.35191235557462164</v>
      </c>
      <c r="R64" s="129">
        <f>'Neo-K1'!AH$42</f>
        <v>0.43394949056687687</v>
      </c>
      <c r="S64" s="129">
        <f>'Neo-K1'!AJ$42</f>
        <v>0.53799368353865407</v>
      </c>
      <c r="T64" s="129">
        <f>'Neo-K1'!AL$42</f>
        <v>0.66662280987347922</v>
      </c>
      <c r="U64" s="129">
        <f>'Neo-K1'!AN$42</f>
        <v>0.82083160695871693</v>
      </c>
      <c r="V64" s="129">
        <f>'Neo-K1'!AP$42</f>
        <v>0.85471259726739923</v>
      </c>
      <c r="W64" s="129">
        <f>'Neo-K1'!AR$42</f>
        <v>0.88958400816761807</v>
      </c>
      <c r="X64" s="129">
        <f>'Neo-K1'!AT$42</f>
        <v>0.92543247141284546</v>
      </c>
      <c r="Y64" s="129">
        <f>'Neo-K1'!AV$42</f>
        <v>0.96224316128349585</v>
      </c>
    </row>
    <row r="65" spans="1:25" x14ac:dyDescent="0.2">
      <c r="A65" t="s">
        <v>141</v>
      </c>
      <c r="B65" s="129">
        <f>'Neo-K2'!B$42</f>
        <v>6.0999999999999999E-2</v>
      </c>
      <c r="C65" s="129">
        <f>'Neo-K2'!D$42</f>
        <v>6.5765194734295943E-2</v>
      </c>
      <c r="D65" s="129">
        <f>'Neo-K2'!F$42</f>
        <v>7.1330962237345918E-2</v>
      </c>
      <c r="E65" s="129">
        <f>'Neo-K2'!H$42</f>
        <v>7.788660514961504E-2</v>
      </c>
      <c r="F65" s="129">
        <f>'Neo-K2'!J$42</f>
        <v>8.5675975895819059E-2</v>
      </c>
      <c r="G65" s="129">
        <f>'Neo-K2'!L$42</f>
        <v>9.501525048959561E-2</v>
      </c>
      <c r="H65" s="129">
        <f>'Neo-K2'!N$42</f>
        <v>0.10631697096591666</v>
      </c>
      <c r="I65" s="129">
        <f>'Neo-K2'!P$42</f>
        <v>0.12011819371454455</v>
      </c>
      <c r="J65" s="129">
        <f>'Neo-K2'!R$42</f>
        <v>0.13711511450263145</v>
      </c>
      <c r="K65" s="129">
        <f>'Neo-K2'!T$42</f>
        <v>0.15819718538094713</v>
      </c>
      <c r="L65" s="129">
        <f>'Neo-K2'!V$42</f>
        <v>0.18447012997912809</v>
      </c>
      <c r="M65" s="129">
        <f>'Neo-K2'!X$42</f>
        <v>0.21723725860056606</v>
      </c>
      <c r="N65" s="129">
        <f>'Neo-K2'!Z$42</f>
        <v>0.25789595982104996</v>
      </c>
      <c r="O65" s="129">
        <f>'Neo-K2'!AB$42</f>
        <v>0.30767568596641004</v>
      </c>
      <c r="P65" s="129">
        <f>'Neo-K2'!AD$42</f>
        <v>0.36714003122064126</v>
      </c>
      <c r="Q65" s="129">
        <f>'Neo-K2'!AF$42</f>
        <v>0.43542322226702351</v>
      </c>
      <c r="R65" s="129">
        <f>'Neo-K2'!AH$42</f>
        <v>0.50950472362457033</v>
      </c>
      <c r="S65" s="129">
        <f>'Neo-K2'!AJ$42</f>
        <v>0.58514428829926102</v>
      </c>
      <c r="T65" s="129">
        <f>'Neo-K2'!AL$42</f>
        <v>0.66327192687599212</v>
      </c>
      <c r="U65" s="129">
        <f>'Neo-K2'!AN$42</f>
        <v>0.76414490092440612</v>
      </c>
      <c r="V65" s="129">
        <f>'Neo-K2'!AP$42</f>
        <v>0.79165530295828002</v>
      </c>
      <c r="W65" s="129">
        <f>'Neo-K2'!AR$42</f>
        <v>0.82379621549921755</v>
      </c>
      <c r="X65" s="129">
        <f>'Neo-K2'!AT$42</f>
        <v>0.86275326070340275</v>
      </c>
      <c r="Y65" s="129">
        <f>'Neo-K2'!AV$42</f>
        <v>0.91326957890450644</v>
      </c>
    </row>
    <row r="68" spans="1:25" ht="10.5" x14ac:dyDescent="0.25">
      <c r="A68" s="92" t="s">
        <v>185</v>
      </c>
      <c r="B68" s="202">
        <v>0</v>
      </c>
      <c r="C68" s="202">
        <v>0.05</v>
      </c>
      <c r="D68" s="202">
        <v>0.1</v>
      </c>
      <c r="E68" s="202">
        <v>0.15000000000000002</v>
      </c>
      <c r="F68" s="202">
        <v>0.2</v>
      </c>
      <c r="G68" s="202">
        <v>0.25</v>
      </c>
      <c r="H68" s="202">
        <v>0.3</v>
      </c>
      <c r="I68" s="202">
        <v>0.35</v>
      </c>
      <c r="J68" s="202">
        <v>0.39999999999999997</v>
      </c>
      <c r="K68" s="202">
        <v>0.44999999999999996</v>
      </c>
      <c r="L68" s="202">
        <v>0.49999999999999994</v>
      </c>
      <c r="M68" s="202">
        <v>0.54999999999999993</v>
      </c>
      <c r="N68" s="202">
        <v>0.6</v>
      </c>
      <c r="O68" s="202">
        <v>0.65</v>
      </c>
      <c r="P68" s="204"/>
    </row>
    <row r="69" spans="1:25" x14ac:dyDescent="0.2">
      <c r="A69" t="s">
        <v>12</v>
      </c>
      <c r="B69" s="27">
        <f>HLOOKUP(B$68,Results!$A$1:$AW$39,MATCH('Diagnosis Indicators'!$A69,Results!$A$1:$A$39,0),FALSE)</f>
        <v>1000</v>
      </c>
      <c r="C69" s="27">
        <f>HLOOKUP(C$68,Results!$A$1:$AW$39,MATCH('Diagnosis Indicators'!$A69,Results!$A$1:$A$39,0),FALSE)</f>
        <v>998.62111887266974</v>
      </c>
      <c r="D69" s="27">
        <f>HLOOKUP(D$68,Results!$A$1:$AW$39,MATCH('Diagnosis Indicators'!$A69,Results!$A$1:$A$39,0),FALSE)</f>
        <v>997.40755807159178</v>
      </c>
      <c r="E69" s="27">
        <f>HLOOKUP(E$68,Results!$A$1:$AW$39,MATCH('Diagnosis Indicators'!$A69,Results!$A$1:$A$39,0),FALSE)</f>
        <v>996.3973472849558</v>
      </c>
      <c r="F69" s="27">
        <f>HLOOKUP(F$68,Results!$A$1:$AW$39,MATCH('Diagnosis Indicators'!$A69,Results!$A$1:$A$39,0),FALSE)</f>
        <v>995.64256837860466</v>
      </c>
      <c r="G69" s="27">
        <f>HLOOKUP(G$68,Results!$A$1:$AW$39,MATCH('Diagnosis Indicators'!$A69,Results!$A$1:$A$39,0),FALSE)</f>
        <v>995.21574539713833</v>
      </c>
      <c r="H69" s="27">
        <f>HLOOKUP(H$68,Results!$A$1:$AW$39,MATCH('Diagnosis Indicators'!$A69,Results!$A$1:$A$39,0),FALSE)</f>
        <v>995.21986310822706</v>
      </c>
      <c r="I69" s="27">
        <f>HLOOKUP(I$68,Results!$A$1:$AW$39,MATCH('Diagnosis Indicators'!$A69,Results!$A$1:$A$39,0),FALSE)</f>
        <v>995.8033078064791</v>
      </c>
      <c r="J69" s="27">
        <f>HLOOKUP(J$68,Results!$A$1:$AW$39,MATCH('Diagnosis Indicators'!$A69,Results!$A$1:$A$39,0),FALSE)</f>
        <v>997.18416065049553</v>
      </c>
      <c r="K69" s="27">
        <f>HLOOKUP(K$68,Results!$A$1:$AW$39,MATCH('Diagnosis Indicators'!$A69,Results!$A$1:$A$39,0),FALSE)</f>
        <v>999.68947087477466</v>
      </c>
      <c r="L69" s="27">
        <f>HLOOKUP(L$68,Results!$A$1:$AW$39,MATCH('Diagnosis Indicators'!$A69,Results!$A$1:$A$39,0),FALSE)</f>
        <v>1003.8218860035407</v>
      </c>
      <c r="M69" s="27">
        <f>HLOOKUP(M$68,Results!$A$1:$AW$39,MATCH('Diagnosis Indicators'!$A69,Results!$A$1:$A$39,0),FALSE)</f>
        <v>1010.3747894040793</v>
      </c>
      <c r="N69" s="27">
        <f>HLOOKUP(N$68,Results!$A$1:$AW$39,MATCH('Diagnosis Indicators'!$A69,Results!$A$1:$A$39,0),FALSE)</f>
        <v>1020.6457413269409</v>
      </c>
      <c r="O69" s="27">
        <f>HLOOKUP(O$68,Results!$A$1:$AW$39,MATCH('Diagnosis Indicators'!$A69,Results!$A$1:$A$39,0),FALSE)</f>
        <v>1036.8545958992595</v>
      </c>
    </row>
    <row r="70" spans="1:25" x14ac:dyDescent="0.2">
      <c r="A70" t="s">
        <v>115</v>
      </c>
      <c r="B70" s="27">
        <f>HLOOKUP(B$68,Results!$A$1:$AW$39,MATCH('Diagnosis Indicators'!$A70,Results!$A$1:$A$39,0),FALSE)</f>
        <v>1000</v>
      </c>
      <c r="C70" s="27">
        <f>HLOOKUP(C$68,Results!$A$1:$AW$39,MATCH('Diagnosis Indicators'!$A70,Results!$A$1:$A$39,0),FALSE)</f>
        <v>998.55247089451484</v>
      </c>
      <c r="D70" s="27">
        <f>HLOOKUP(D$68,Results!$A$1:$AW$39,MATCH('Diagnosis Indicators'!$A70,Results!$A$1:$A$39,0),FALSE)</f>
        <v>997.2773628226297</v>
      </c>
      <c r="E70" s="27">
        <f>HLOOKUP(E$68,Results!$A$1:$AW$39,MATCH('Diagnosis Indicators'!$A70,Results!$A$1:$A$39,0),FALSE)</f>
        <v>996.21510621357845</v>
      </c>
      <c r="F70" s="27">
        <f>HLOOKUP(F$68,Results!$A$1:$AW$39,MATCH('Diagnosis Indicators'!$A70,Results!$A$1:$A$39,0),FALSE)</f>
        <v>995.42095705664121</v>
      </c>
      <c r="G70" s="27">
        <f>HLOOKUP(G$68,Results!$A$1:$AW$39,MATCH('Diagnosis Indicators'!$A70,Results!$A$1:$A$39,0),FALSE)</f>
        <v>994.97168596008009</v>
      </c>
      <c r="H70" s="27">
        <f>HLOOKUP(H$68,Results!$A$1:$AW$39,MATCH('Diagnosis Indicators'!$A70,Results!$A$1:$A$39,0),FALSE)</f>
        <v>994.97602081103514</v>
      </c>
      <c r="I70" s="27">
        <f>HLOOKUP(I$68,Results!$A$1:$AW$39,MATCH('Diagnosis Indicators'!$A70,Results!$A$1:$A$39,0),FALSE)</f>
        <v>995.59011524494554</v>
      </c>
      <c r="J70" s="27">
        <f>HLOOKUP(J$68,Results!$A$1:$AW$39,MATCH('Diagnosis Indicators'!$A70,Results!$A$1:$A$39,0),FALSE)</f>
        <v>997.04251884634357</v>
      </c>
      <c r="K70" s="27">
        <f>HLOOKUP(K$68,Results!$A$1:$AW$39,MATCH('Diagnosis Indicators'!$A70,Results!$A$1:$A$39,0),FALSE)</f>
        <v>999.67412946255467</v>
      </c>
      <c r="L70" s="27">
        <f>HLOOKUP(L$68,Results!$A$1:$AW$39,MATCH('Diagnosis Indicators'!$A70,Results!$A$1:$A$39,0),FALSE)</f>
        <v>1004.0051160479705</v>
      </c>
      <c r="M70" s="27">
        <f>HLOOKUP(M$68,Results!$A$1:$AW$39,MATCH('Diagnosis Indicators'!$A70,Results!$A$1:$A$39,0),FALSE)</f>
        <v>1010.8486306732019</v>
      </c>
      <c r="N70" s="27">
        <f>HLOOKUP(N$68,Results!$A$1:$AW$39,MATCH('Diagnosis Indicators'!$A70,Results!$A$1:$A$39,0),FALSE)</f>
        <v>1021.5175338650398</v>
      </c>
      <c r="O70" s="27">
        <f>HLOOKUP(O$68,Results!$A$1:$AW$39,MATCH('Diagnosis Indicators'!$A70,Results!$A$1:$A$39,0),FALSE)</f>
        <v>1038.2199223780287</v>
      </c>
    </row>
    <row r="71" spans="1:25" x14ac:dyDescent="0.2">
      <c r="A71" t="s">
        <v>17</v>
      </c>
      <c r="B71" s="27">
        <f>HLOOKUP(B$68,Results!$A$1:$AW$39,MATCH('Diagnosis Indicators'!$A71,Results!$A$1:$A$39,0),FALSE)</f>
        <v>1000</v>
      </c>
      <c r="C71" s="27">
        <f>HLOOKUP(C$68,Results!$A$1:$AW$39,MATCH('Diagnosis Indicators'!$A71,Results!$A$1:$A$39,0),FALSE)</f>
        <v>994.14954821930598</v>
      </c>
      <c r="D71" s="27">
        <f>HLOOKUP(D$68,Results!$A$1:$AW$39,MATCH('Diagnosis Indicators'!$A71,Results!$A$1:$A$39,0),FALSE)</f>
        <v>988.11717392425817</v>
      </c>
      <c r="E71" s="27">
        <f>HLOOKUP(E$68,Results!$A$1:$AW$39,MATCH('Diagnosis Indicators'!$A71,Results!$A$1:$A$39,0),FALSE)</f>
        <v>981.9039223170123</v>
      </c>
      <c r="F71" s="27">
        <f>HLOOKUP(F$68,Results!$A$1:$AW$39,MATCH('Diagnosis Indicators'!$A71,Results!$A$1:$A$39,0),FALSE)</f>
        <v>975.52136344806661</v>
      </c>
      <c r="G71" s="27">
        <f>HLOOKUP(G$68,Results!$A$1:$AW$39,MATCH('Diagnosis Indicators'!$A71,Results!$A$1:$A$39,0),FALSE)</f>
        <v>968.99804158456232</v>
      </c>
      <c r="H71" s="27">
        <f>HLOOKUP(H$68,Results!$A$1:$AW$39,MATCH('Diagnosis Indicators'!$A71,Results!$A$1:$A$39,0),FALSE)</f>
        <v>962.38984722286386</v>
      </c>
      <c r="I71" s="27">
        <f>HLOOKUP(I$68,Results!$A$1:$AW$39,MATCH('Diagnosis Indicators'!$A71,Results!$A$1:$A$39,0),FALSE)</f>
        <v>955.7955394139924</v>
      </c>
      <c r="J71" s="27">
        <f>HLOOKUP(J$68,Results!$A$1:$AW$39,MATCH('Diagnosis Indicators'!$A71,Results!$A$1:$A$39,0),FALSE)</f>
        <v>949.38208011168467</v>
      </c>
      <c r="K71" s="27">
        <f>HLOOKUP(K$68,Results!$A$1:$AW$39,MATCH('Diagnosis Indicators'!$A71,Results!$A$1:$A$39,0),FALSE)</f>
        <v>943.42494042686394</v>
      </c>
      <c r="L71" s="27">
        <f>HLOOKUP(L$68,Results!$A$1:$AW$39,MATCH('Diagnosis Indicators'!$A71,Results!$A$1:$A$39,0),FALSE)</f>
        <v>938.37503389492929</v>
      </c>
      <c r="M71" s="27">
        <f>HLOOKUP(M$68,Results!$A$1:$AW$39,MATCH('Diagnosis Indicators'!$A71,Results!$A$1:$A$39,0),FALSE)</f>
        <v>934.97021219727674</v>
      </c>
      <c r="N71" s="27">
        <f>HLOOKUP(N$68,Results!$A$1:$AW$39,MATCH('Diagnosis Indicators'!$A71,Results!$A$1:$A$39,0),FALSE)</f>
        <v>934.4353159416778</v>
      </c>
      <c r="O71" s="27">
        <f>HLOOKUP(O$68,Results!$A$1:$AW$39,MATCH('Diagnosis Indicators'!$A71,Results!$A$1:$A$39,0),FALSE)</f>
        <v>938.86414851527184</v>
      </c>
    </row>
    <row r="72" spans="1:25" x14ac:dyDescent="0.2">
      <c r="A72" t="s">
        <v>18</v>
      </c>
      <c r="B72" s="27">
        <f>HLOOKUP(B$68,Results!$A$1:$AW$39,MATCH('Diagnosis Indicators'!$A72,Results!$A$1:$A$39,0),FALSE)</f>
        <v>1000</v>
      </c>
      <c r="C72" s="27">
        <f>HLOOKUP(C$68,Results!$A$1:$AW$39,MATCH('Diagnosis Indicators'!$A72,Results!$A$1:$A$39,0),FALSE)</f>
        <v>998.55247089451484</v>
      </c>
      <c r="D72" s="27">
        <f>HLOOKUP(D$68,Results!$A$1:$AW$39,MATCH('Diagnosis Indicators'!$A72,Results!$A$1:$A$39,0),FALSE)</f>
        <v>997.2773628226297</v>
      </c>
      <c r="E72" s="27">
        <f>HLOOKUP(E$68,Results!$A$1:$AW$39,MATCH('Diagnosis Indicators'!$A72,Results!$A$1:$A$39,0),FALSE)</f>
        <v>996.21510621357845</v>
      </c>
      <c r="F72" s="27">
        <f>HLOOKUP(F$68,Results!$A$1:$AW$39,MATCH('Diagnosis Indicators'!$A72,Results!$A$1:$A$39,0),FALSE)</f>
        <v>995.42095705664121</v>
      </c>
      <c r="G72" s="27">
        <f>HLOOKUP(G$68,Results!$A$1:$AW$39,MATCH('Diagnosis Indicators'!$A72,Results!$A$1:$A$39,0),FALSE)</f>
        <v>994.97168596008009</v>
      </c>
      <c r="H72" s="27">
        <f>HLOOKUP(H$68,Results!$A$1:$AW$39,MATCH('Diagnosis Indicators'!$A72,Results!$A$1:$A$39,0),FALSE)</f>
        <v>994.97602081103514</v>
      </c>
      <c r="I72" s="27">
        <f>HLOOKUP(I$68,Results!$A$1:$AW$39,MATCH('Diagnosis Indicators'!$A72,Results!$A$1:$A$39,0),FALSE)</f>
        <v>995.59011524494554</v>
      </c>
      <c r="J72" s="27">
        <f>HLOOKUP(J$68,Results!$A$1:$AW$39,MATCH('Diagnosis Indicators'!$A72,Results!$A$1:$A$39,0),FALSE)</f>
        <v>997.04251884634357</v>
      </c>
      <c r="K72" s="27">
        <f>HLOOKUP(K$68,Results!$A$1:$AW$39,MATCH('Diagnosis Indicators'!$A72,Results!$A$1:$A$39,0),FALSE)</f>
        <v>999.67412946255467</v>
      </c>
      <c r="L72" s="27">
        <f>HLOOKUP(L$68,Results!$A$1:$AW$39,MATCH('Diagnosis Indicators'!$A72,Results!$A$1:$A$39,0),FALSE)</f>
        <v>1004.0051160479705</v>
      </c>
      <c r="M72" s="27">
        <f>HLOOKUP(M$68,Results!$A$1:$AW$39,MATCH('Diagnosis Indicators'!$A72,Results!$A$1:$A$39,0),FALSE)</f>
        <v>1010.8486306732019</v>
      </c>
      <c r="N72" s="27">
        <f>HLOOKUP(N$68,Results!$A$1:$AW$39,MATCH('Diagnosis Indicators'!$A72,Results!$A$1:$A$39,0),FALSE)</f>
        <v>1021.5175338650398</v>
      </c>
      <c r="O72" s="27">
        <f>HLOOKUP(O$68,Results!$A$1:$AW$39,MATCH('Diagnosis Indicators'!$A72,Results!$A$1:$A$39,0),FALSE)</f>
        <v>1038.2199223780287</v>
      </c>
    </row>
    <row r="73" spans="1:25" x14ac:dyDescent="0.2">
      <c r="A73" t="s">
        <v>61</v>
      </c>
      <c r="B73" s="27">
        <f>HLOOKUP(B$68,Results!$A$1:$AW$39,MATCH('Diagnosis Indicators'!$A73,Results!$A$1:$A$39,0),FALSE)</f>
        <v>1000</v>
      </c>
      <c r="C73" s="27">
        <f>HLOOKUP(C$68,Results!$A$1:$AW$39,MATCH('Diagnosis Indicators'!$A73,Results!$A$1:$A$39,0),FALSE)</f>
        <v>996.20429298882016</v>
      </c>
      <c r="D73" s="27">
        <f>HLOOKUP(D$68,Results!$A$1:$AW$39,MATCH('Diagnosis Indicators'!$A73,Results!$A$1:$A$39,0),FALSE)</f>
        <v>992.39038296066747</v>
      </c>
      <c r="E73" s="27">
        <f>HLOOKUP(E$68,Results!$A$1:$AW$39,MATCH('Diagnosis Indicators'!$A73,Results!$A$1:$A$39,0),FALSE)</f>
        <v>988.57725862722464</v>
      </c>
      <c r="F73" s="27">
        <f>HLOOKUP(F$68,Results!$A$1:$AW$39,MATCH('Diagnosis Indicators'!$A73,Results!$A$1:$A$39,0),FALSE)</f>
        <v>984.79633430933143</v>
      </c>
      <c r="G73" s="27">
        <f>HLOOKUP(G$68,Results!$A$1:$AW$39,MATCH('Diagnosis Indicators'!$A73,Results!$A$1:$A$39,0),FALSE)</f>
        <v>981.09798776072364</v>
      </c>
      <c r="H73" s="27">
        <f>HLOOKUP(H$68,Results!$A$1:$AW$39,MATCH('Diagnosis Indicators'!$A73,Results!$A$1:$A$39,0),FALSE)</f>
        <v>977.56193958039501</v>
      </c>
      <c r="I73" s="27">
        <f>HLOOKUP(I$68,Results!$A$1:$AW$39,MATCH('Diagnosis Indicators'!$A73,Results!$A$1:$A$39,0),FALSE)</f>
        <v>974.31272256364593</v>
      </c>
      <c r="J73" s="27">
        <f>HLOOKUP(J$68,Results!$A$1:$AW$39,MATCH('Diagnosis Indicators'!$A73,Results!$A$1:$A$39,0),FALSE)</f>
        <v>971.54482366957438</v>
      </c>
      <c r="K73" s="27">
        <f>HLOOKUP(K$68,Results!$A$1:$AW$39,MATCH('Diagnosis Indicators'!$A73,Results!$A$1:$A$39,0),FALSE)</f>
        <v>969.56280875311757</v>
      </c>
      <c r="L73" s="27">
        <f>HLOOKUP(L$68,Results!$A$1:$AW$39,MATCH('Diagnosis Indicators'!$A73,Results!$A$1:$A$39,0),FALSE)</f>
        <v>968.84826532257023</v>
      </c>
      <c r="M73" s="27">
        <f>HLOOKUP(M$68,Results!$A$1:$AW$39,MATCH('Diagnosis Indicators'!$A73,Results!$A$1:$A$39,0),FALSE)</f>
        <v>970.17238250502635</v>
      </c>
      <c r="N73" s="27">
        <f>HLOOKUP(N$68,Results!$A$1:$AW$39,MATCH('Diagnosis Indicators'!$A73,Results!$A$1:$A$39,0),FALSE)</f>
        <v>974.79924759579694</v>
      </c>
      <c r="O73" s="27">
        <f>HLOOKUP(O$68,Results!$A$1:$AW$39,MATCH('Diagnosis Indicators'!$A73,Results!$A$1:$A$39,0),FALSE)</f>
        <v>984.87443337760203</v>
      </c>
    </row>
    <row r="74" spans="1:25" x14ac:dyDescent="0.2">
      <c r="A74" t="s">
        <v>114</v>
      </c>
      <c r="B74" s="27">
        <f>HLOOKUP(B$68,Results!$A$1:$AW$39,MATCH('Diagnosis Indicators'!$A74,Results!$A$1:$A$39,0),FALSE)</f>
        <v>26548.356269999993</v>
      </c>
      <c r="C74" s="27">
        <f>HLOOKUP(C$68,Results!$A$1:$AW$39,MATCH('Diagnosis Indicators'!$A74,Results!$A$1:$A$39,0),FALSE)</f>
        <v>26364.553616359219</v>
      </c>
      <c r="D74" s="27">
        <f>HLOOKUP(D$68,Results!$A$1:$AW$39,MATCH('Diagnosis Indicators'!$A74,Results!$A$1:$A$39,0),FALSE)</f>
        <v>26157.27299987663</v>
      </c>
      <c r="E74" s="27">
        <f>HLOOKUP(E$68,Results!$A$1:$AW$39,MATCH('Diagnosis Indicators'!$A74,Results!$A$1:$A$39,0),FALSE)</f>
        <v>25921.638180059635</v>
      </c>
      <c r="F74" s="27">
        <f>HLOOKUP(F$68,Results!$A$1:$AW$39,MATCH('Diagnosis Indicators'!$A74,Results!$A$1:$A$39,0),FALSE)</f>
        <v>25651.495342668226</v>
      </c>
      <c r="G74" s="27">
        <f>HLOOKUP(G$68,Results!$A$1:$AW$39,MATCH('Diagnosis Indicators'!$A74,Results!$A$1:$A$39,0),FALSE)</f>
        <v>25339.028658329287</v>
      </c>
      <c r="H74" s="27">
        <f>HLOOKUP(H$68,Results!$A$1:$AW$39,MATCH('Diagnosis Indicators'!$A74,Results!$A$1:$A$39,0),FALSE)</f>
        <v>24974.251016010254</v>
      </c>
      <c r="I74" s="27">
        <f>HLOOKUP(I$68,Results!$A$1:$AW$39,MATCH('Diagnosis Indicators'!$A74,Results!$A$1:$A$39,0),FALSE)</f>
        <v>24544.431289846365</v>
      </c>
      <c r="J74" s="27">
        <f>HLOOKUP(J$68,Results!$A$1:$AW$39,MATCH('Diagnosis Indicators'!$A74,Results!$A$1:$A$39,0),FALSE)</f>
        <v>24033.419346962182</v>
      </c>
      <c r="K74" s="27">
        <f>HLOOKUP(K$68,Results!$A$1:$AW$39,MATCH('Diagnosis Indicators'!$A74,Results!$A$1:$A$39,0),FALSE)</f>
        <v>23421.051694873935</v>
      </c>
      <c r="L74" s="27">
        <f>HLOOKUP(L$68,Results!$A$1:$AW$39,MATCH('Diagnosis Indicators'!$A74,Results!$A$1:$A$39,0),FALSE)</f>
        <v>22682.901662129316</v>
      </c>
      <c r="M74" s="27">
        <f>HLOOKUP(M$68,Results!$A$1:$AW$39,MATCH('Diagnosis Indicators'!$A74,Results!$A$1:$A$39,0),FALSE)</f>
        <v>21791.088612067149</v>
      </c>
      <c r="N74" s="27">
        <f>HLOOKUP(N$68,Results!$A$1:$AW$39,MATCH('Diagnosis Indicators'!$A74,Results!$A$1:$A$39,0),FALSE)</f>
        <v>20717.12611016096</v>
      </c>
      <c r="O74" s="27">
        <f>HLOOKUP(O$68,Results!$A$1:$AW$39,MATCH('Diagnosis Indicators'!$A74,Results!$A$1:$A$39,0),FALSE)</f>
        <v>19438.450722503516</v>
      </c>
    </row>
    <row r="75" spans="1:25" x14ac:dyDescent="0.2">
      <c r="A75" t="s">
        <v>8</v>
      </c>
      <c r="B75" s="27">
        <f>HLOOKUP(B$68,Results!$A$1:$AW$39,MATCH('Diagnosis Indicators'!$A75,Results!$A$1:$A$39,0),FALSE)</f>
        <v>3196.3846373657216</v>
      </c>
      <c r="C75" s="27">
        <f>HLOOKUP(C$68,Results!$A$1:$AW$39,MATCH('Diagnosis Indicators'!$A75,Results!$A$1:$A$39,0),FALSE)</f>
        <v>3196.3846373657216</v>
      </c>
      <c r="D75" s="27">
        <f>HLOOKUP(D$68,Results!$A$1:$AW$39,MATCH('Diagnosis Indicators'!$A75,Results!$A$1:$A$39,0),FALSE)</f>
        <v>3196.3846373657216</v>
      </c>
      <c r="E75" s="27">
        <f>HLOOKUP(E$68,Results!$A$1:$AW$39,MATCH('Diagnosis Indicators'!$A75,Results!$A$1:$A$39,0),FALSE)</f>
        <v>3196.3846373657216</v>
      </c>
      <c r="F75" s="27">
        <f>HLOOKUP(F$68,Results!$A$1:$AW$39,MATCH('Diagnosis Indicators'!$A75,Results!$A$1:$A$39,0),FALSE)</f>
        <v>3196.3846373657216</v>
      </c>
      <c r="G75" s="27">
        <f>HLOOKUP(G$68,Results!$A$1:$AW$39,MATCH('Diagnosis Indicators'!$A75,Results!$A$1:$A$39,0),FALSE)</f>
        <v>3196.3846373657216</v>
      </c>
      <c r="H75" s="27">
        <f>HLOOKUP(H$68,Results!$A$1:$AW$39,MATCH('Diagnosis Indicators'!$A75,Results!$A$1:$A$39,0),FALSE)</f>
        <v>3196.3846373657216</v>
      </c>
      <c r="I75" s="27">
        <f>HLOOKUP(I$68,Results!$A$1:$AW$39,MATCH('Diagnosis Indicators'!$A75,Results!$A$1:$A$39,0),FALSE)</f>
        <v>3196.3846373657216</v>
      </c>
      <c r="J75" s="27">
        <f>HLOOKUP(J$68,Results!$A$1:$AW$39,MATCH('Diagnosis Indicators'!$A75,Results!$A$1:$A$39,0),FALSE)</f>
        <v>3196.3846373657216</v>
      </c>
      <c r="K75" s="27">
        <f>HLOOKUP(K$68,Results!$A$1:$AW$39,MATCH('Diagnosis Indicators'!$A75,Results!$A$1:$A$39,0),FALSE)</f>
        <v>3196.3846373657216</v>
      </c>
      <c r="L75" s="27">
        <f>HLOOKUP(L$68,Results!$A$1:$AW$39,MATCH('Diagnosis Indicators'!$A75,Results!$A$1:$A$39,0),FALSE)</f>
        <v>3196.3846373657216</v>
      </c>
      <c r="M75" s="27">
        <f>HLOOKUP(M$68,Results!$A$1:$AW$39,MATCH('Diagnosis Indicators'!$A75,Results!$A$1:$A$39,0),FALSE)</f>
        <v>3196.3846373657216</v>
      </c>
      <c r="N75" s="27">
        <f>HLOOKUP(N$68,Results!$A$1:$AW$39,MATCH('Diagnosis Indicators'!$A75,Results!$A$1:$A$39,0),FALSE)</f>
        <v>3196.3846373657216</v>
      </c>
      <c r="O75" s="27">
        <f>HLOOKUP(O$68,Results!$A$1:$AW$39,MATCH('Diagnosis Indicators'!$A75,Results!$A$1:$A$39,0),FALSE)</f>
        <v>3196.3846373657216</v>
      </c>
    </row>
    <row r="76" spans="1:25" x14ac:dyDescent="0.2">
      <c r="A76" t="s">
        <v>64</v>
      </c>
      <c r="B76" s="27">
        <f>HLOOKUP(B$68,Results!$A$1:$AW$39,MATCH('Diagnosis Indicators'!$A76,Results!$A$1:$A$39,0),FALSE)</f>
        <v>14734457.915000005</v>
      </c>
      <c r="C76" s="27">
        <f>HLOOKUP(C$68,Results!$A$1:$AW$39,MATCH('Diagnosis Indicators'!$A76,Results!$A$1:$A$39,0),FALSE)</f>
        <v>14638531.733962674</v>
      </c>
      <c r="D76" s="27">
        <f>HLOOKUP(D$68,Results!$A$1:$AW$39,MATCH('Diagnosis Indicators'!$A76,Results!$A$1:$A$39,0),FALSE)</f>
        <v>14530631.326344157</v>
      </c>
      <c r="E76" s="27">
        <f>HLOOKUP(E$68,Results!$A$1:$AW$39,MATCH('Diagnosis Indicators'!$A76,Results!$A$1:$A$39,0),FALSE)</f>
        <v>14408132.306067578</v>
      </c>
      <c r="F76" s="27">
        <f>HLOOKUP(F$68,Results!$A$1:$AW$39,MATCH('Diagnosis Indicators'!$A76,Results!$A$1:$A$39,0),FALSE)</f>
        <v>14267729.014876159</v>
      </c>
      <c r="G76" s="27">
        <f>HLOOKUP(G$68,Results!$A$1:$AW$39,MATCH('Diagnosis Indicators'!$A76,Results!$A$1:$A$39,0),FALSE)</f>
        <v>14105239.260102192</v>
      </c>
      <c r="H76" s="27">
        <f>HLOOKUP(H$68,Results!$A$1:$AW$39,MATCH('Diagnosis Indicators'!$A76,Results!$A$1:$A$39,0),FALSE)</f>
        <v>13915351.185601084</v>
      </c>
      <c r="I76" s="27">
        <f>HLOOKUP(I$68,Results!$A$1:$AW$39,MATCH('Diagnosis Indicators'!$A76,Results!$A$1:$A$39,0),FALSE)</f>
        <v>13691354.53934527</v>
      </c>
      <c r="J76" s="27">
        <f>HLOOKUP(J$68,Results!$A$1:$AW$39,MATCH('Diagnosis Indicators'!$A76,Results!$A$1:$A$39,0),FALSE)</f>
        <v>13424848.900331767</v>
      </c>
      <c r="K76" s="27">
        <f>HLOOKUP(K$68,Results!$A$1:$AW$39,MATCH('Diagnosis Indicators'!$A76,Results!$A$1:$A$39,0),FALSE)</f>
        <v>13105558.200722372</v>
      </c>
      <c r="L76" s="27">
        <f>HLOOKUP(L$68,Results!$A$1:$AW$39,MATCH('Diagnosis Indicators'!$A76,Results!$A$1:$A$39,0),FALSE)</f>
        <v>12721447.38053376</v>
      </c>
      <c r="M76" s="27">
        <f>HLOOKUP(M$68,Results!$A$1:$AW$39,MATCH('Diagnosis Indicators'!$A76,Results!$A$1:$A$39,0),FALSE)</f>
        <v>12259641.48996266</v>
      </c>
      <c r="N76" s="27">
        <f>HLOOKUP(N$68,Results!$A$1:$AW$39,MATCH('Diagnosis Indicators'!$A76,Results!$A$1:$A$39,0),FALSE)</f>
        <v>11708911.000004878</v>
      </c>
      <c r="O76" s="27">
        <f>HLOOKUP(O$68,Results!$A$1:$AW$39,MATCH('Diagnosis Indicators'!$A76,Results!$A$1:$A$39,0),FALSE)</f>
        <v>11065121.997564642</v>
      </c>
    </row>
    <row r="77" spans="1:25" x14ac:dyDescent="0.2">
      <c r="A77" t="s">
        <v>27</v>
      </c>
      <c r="B77" s="27">
        <f>HLOOKUP(B$68,Results!$A$1:$AW$39,MATCH('Diagnosis Indicators'!$A77,Results!$A$1:$A$39,0),FALSE)</f>
        <v>5036.2953101960647</v>
      </c>
      <c r="C77" s="27">
        <f>HLOOKUP(C$68,Results!$A$1:$AW$39,MATCH('Diagnosis Indicators'!$A77,Results!$A$1:$A$39,0),FALSE)</f>
        <v>5015.2376336294701</v>
      </c>
      <c r="D77" s="27">
        <f>HLOOKUP(D$68,Results!$A$1:$AW$39,MATCH('Diagnosis Indicators'!$A77,Results!$A$1:$A$39,0),FALSE)</f>
        <v>4989.7884852557445</v>
      </c>
      <c r="E77" s="27">
        <f>HLOOKUP(E$68,Results!$A$1:$AW$39,MATCH('Diagnosis Indicators'!$A77,Results!$A$1:$A$39,0),FALSE)</f>
        <v>4958.9155983379342</v>
      </c>
      <c r="F77" s="27">
        <f>HLOOKUP(F$68,Results!$A$1:$AW$39,MATCH('Diagnosis Indicators'!$A77,Results!$A$1:$A$39,0),FALSE)</f>
        <v>4921.2891693608999</v>
      </c>
      <c r="G77" s="27">
        <f>HLOOKUP(G$68,Results!$A$1:$AW$39,MATCH('Diagnosis Indicators'!$A77,Results!$A$1:$A$39,0),FALSE)</f>
        <v>4875.1846274376312</v>
      </c>
      <c r="H77" s="27">
        <f>HLOOKUP(H$68,Results!$A$1:$AW$39,MATCH('Diagnosis Indicators'!$A77,Results!$A$1:$A$39,0),FALSE)</f>
        <v>4818.3509488530781</v>
      </c>
      <c r="I77" s="27">
        <f>HLOOKUP(I$68,Results!$A$1:$AW$39,MATCH('Diagnosis Indicators'!$A77,Results!$A$1:$A$39,0),FALSE)</f>
        <v>4747.8566750015389</v>
      </c>
      <c r="J77" s="27">
        <f>HLOOKUP(J$68,Results!$A$1:$AW$39,MATCH('Diagnosis Indicators'!$A77,Results!$A$1:$A$39,0),FALSE)</f>
        <v>4659.9003065246761</v>
      </c>
      <c r="K77" s="27">
        <f>HLOOKUP(K$68,Results!$A$1:$AW$39,MATCH('Diagnosis Indicators'!$A77,Results!$A$1:$A$39,0),FALSE)</f>
        <v>4549.6236898415582</v>
      </c>
      <c r="L77" s="27">
        <f>HLOOKUP(L$68,Results!$A$1:$AW$39,MATCH('Diagnosis Indicators'!$A77,Results!$A$1:$A$39,0),FALSE)</f>
        <v>4410.9860363418411</v>
      </c>
      <c r="M77" s="27">
        <f>HLOOKUP(M$68,Results!$A$1:$AW$39,MATCH('Diagnosis Indicators'!$A77,Results!$A$1:$A$39,0),FALSE)</f>
        <v>4236.8666359704312</v>
      </c>
      <c r="N77" s="27">
        <f>HLOOKUP(N$68,Results!$A$1:$AW$39,MATCH('Diagnosis Indicators'!$A77,Results!$A$1:$A$39,0),FALSE)</f>
        <v>4019.6315920286852</v>
      </c>
      <c r="O77" s="27">
        <f>HLOOKUP(O$68,Results!$A$1:$AW$39,MATCH('Diagnosis Indicators'!$A77,Results!$A$1:$A$39,0),FALSE)</f>
        <v>3752.5673613955205</v>
      </c>
    </row>
    <row r="78" spans="1:25" x14ac:dyDescent="0.2">
      <c r="A78" t="s">
        <v>19</v>
      </c>
      <c r="B78" s="27">
        <f>HLOOKUP(B$68,Results!$A$1:$AW$39,MATCH('Diagnosis Indicators'!$A78,Results!$A$1:$A$39,0),FALSE)</f>
        <v>27857.010133999996</v>
      </c>
      <c r="C78" s="27">
        <f>HLOOKUP(C$68,Results!$A$1:$AW$39,MATCH('Diagnosis Indicators'!$A78,Results!$A$1:$A$39,0),FALSE)</f>
        <v>27690.143657063727</v>
      </c>
      <c r="D78" s="27">
        <f>HLOOKUP(D$68,Results!$A$1:$AW$39,MATCH('Diagnosis Indicators'!$A78,Results!$A$1:$A$39,0),FALSE)</f>
        <v>27495.315755994583</v>
      </c>
      <c r="E78" s="27">
        <f>HLOOKUP(E$68,Results!$A$1:$AW$39,MATCH('Diagnosis Indicators'!$A78,Results!$A$1:$A$39,0),FALSE)</f>
        <v>27266.622526026142</v>
      </c>
      <c r="F78" s="27">
        <f>HLOOKUP(F$68,Results!$A$1:$AW$39,MATCH('Diagnosis Indicators'!$A78,Results!$A$1:$A$39,0),FALSE)</f>
        <v>26996.581378898638</v>
      </c>
      <c r="G78" s="27">
        <f>HLOOKUP(G$68,Results!$A$1:$AW$39,MATCH('Diagnosis Indicators'!$A78,Results!$A$1:$A$39,0),FALSE)</f>
        <v>26675.644422533031</v>
      </c>
      <c r="H78" s="27">
        <f>HLOOKUP(H$68,Results!$A$1:$AW$39,MATCH('Diagnosis Indicators'!$A78,Results!$A$1:$A$39,0),FALSE)</f>
        <v>26291.549710814281</v>
      </c>
      <c r="I78" s="27">
        <f>HLOOKUP(I$68,Results!$A$1:$AW$39,MATCH('Diagnosis Indicators'!$A78,Results!$A$1:$A$39,0),FALSE)</f>
        <v>25828.584369441367</v>
      </c>
      <c r="J78" s="27">
        <f>HLOOKUP(J$68,Results!$A$1:$AW$39,MATCH('Diagnosis Indicators'!$A78,Results!$A$1:$A$39,0),FALSE)</f>
        <v>25266.704879813962</v>
      </c>
      <c r="K78" s="27">
        <f>HLOOKUP(K$68,Results!$A$1:$AW$39,MATCH('Diagnosis Indicators'!$A78,Results!$A$1:$A$39,0),FALSE)</f>
        <v>24580.735144034763</v>
      </c>
      <c r="L78" s="27">
        <f>HLOOKUP(L$68,Results!$A$1:$AW$39,MATCH('Diagnosis Indicators'!$A78,Results!$A$1:$A$39,0),FALSE)</f>
        <v>23739.961518384975</v>
      </c>
      <c r="M78" s="27">
        <f>HLOOKUP(M$68,Results!$A$1:$AW$39,MATCH('Diagnosis Indicators'!$A78,Results!$A$1:$A$39,0),FALSE)</f>
        <v>22709.004414620063</v>
      </c>
      <c r="N78" s="27">
        <f>HLOOKUP(N$68,Results!$A$1:$AW$39,MATCH('Diagnosis Indicators'!$A78,Results!$A$1:$A$39,0),FALSE)</f>
        <v>21451.164876755127</v>
      </c>
      <c r="O78" s="27">
        <f>HLOOKUP(O$68,Results!$A$1:$AW$39,MATCH('Diagnosis Indicators'!$A78,Results!$A$1:$A$39,0),FALSE)</f>
        <v>19936.253648127356</v>
      </c>
    </row>
  </sheetData>
  <conditionalFormatting sqref="B3:Y3 B25:Y30 B48:Y54 B6:Y10">
    <cfRule type="cellIs" dxfId="56" priority="18" operator="equal">
      <formula>0</formula>
    </cfRule>
  </conditionalFormatting>
  <conditionalFormatting sqref="B36:Y43">
    <cfRule type="containsErrors" dxfId="55" priority="14">
      <formula>ISERROR(B36)</formula>
    </cfRule>
    <cfRule type="containsErrors" priority="16">
      <formula>ISERROR(B36)</formula>
    </cfRule>
  </conditionalFormatting>
  <conditionalFormatting sqref="B47:Y47">
    <cfRule type="cellIs" dxfId="54" priority="10" operator="equal">
      <formula>0</formula>
    </cfRule>
  </conditionalFormatting>
  <conditionalFormatting sqref="B5:Y5 U4:Y4">
    <cfRule type="cellIs" dxfId="53" priority="8" operator="equal">
      <formula>0</formula>
    </cfRule>
  </conditionalFormatting>
  <conditionalFormatting sqref="B4:T4">
    <cfRule type="cellIs" dxfId="52" priority="7" operator="equal">
      <formula>0</formula>
    </cfRule>
  </conditionalFormatting>
  <conditionalFormatting sqref="B31:Y32">
    <cfRule type="cellIs" dxfId="51" priority="4" operator="equal">
      <formula>0</formula>
    </cfRule>
  </conditionalFormatting>
  <conditionalFormatting sqref="B20:Y21">
    <cfRule type="cellIs" dxfId="50" priority="3" operator="equal">
      <formula>0</formula>
    </cfRule>
  </conditionalFormatting>
  <conditionalFormatting sqref="B59:Y65">
    <cfRule type="cellIs" dxfId="49" priority="2" operator="equal">
      <formula>0</formula>
    </cfRule>
  </conditionalFormatting>
  <conditionalFormatting sqref="B58:Y58">
    <cfRule type="cellIs" dxfId="48" priority="1" operator="equal">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DB49C-5D02-42BE-A5A5-97F565950C87}">
  <dimension ref="A1:Y9"/>
  <sheetViews>
    <sheetView zoomScale="70" workbookViewId="0">
      <selection activeCell="M6" sqref="M6"/>
    </sheetView>
  </sheetViews>
  <sheetFormatPr baseColWidth="10" defaultRowHeight="10" x14ac:dyDescent="0.2"/>
  <sheetData>
    <row r="1" spans="1:25" x14ac:dyDescent="0.2">
      <c r="A1" t="s">
        <v>186</v>
      </c>
      <c r="B1" s="204">
        <f>'Diagnosis Indicators'!B2</f>
        <v>0</v>
      </c>
      <c r="C1" s="204">
        <f>'Diagnosis Indicators'!C2</f>
        <v>0.05</v>
      </c>
      <c r="D1" s="204">
        <f>'Diagnosis Indicators'!D2</f>
        <v>0.1</v>
      </c>
      <c r="E1" s="204">
        <f>'Diagnosis Indicators'!E2</f>
        <v>0.15000000000000002</v>
      </c>
      <c r="F1" s="204">
        <f>'Diagnosis Indicators'!F2</f>
        <v>0.2</v>
      </c>
      <c r="G1" s="204">
        <f>'Diagnosis Indicators'!G2</f>
        <v>0.25</v>
      </c>
      <c r="H1" s="204">
        <f>'Diagnosis Indicators'!H2</f>
        <v>0.3</v>
      </c>
      <c r="I1" s="204">
        <f>'Diagnosis Indicators'!I2</f>
        <v>0.35</v>
      </c>
      <c r="J1" s="204">
        <f>'Diagnosis Indicators'!J2</f>
        <v>0.39999999999999997</v>
      </c>
      <c r="K1" s="204">
        <f>'Diagnosis Indicators'!K2</f>
        <v>0.44999999999999996</v>
      </c>
      <c r="L1" s="204">
        <f>'Diagnosis Indicators'!L2</f>
        <v>0.49999999999999994</v>
      </c>
      <c r="M1" s="204">
        <f>'Diagnosis Indicators'!M2</f>
        <v>0.54999999999999993</v>
      </c>
      <c r="N1" s="204">
        <f>'Diagnosis Indicators'!N2</f>
        <v>0.6</v>
      </c>
      <c r="O1" s="204">
        <f>'Diagnosis Indicators'!O2</f>
        <v>0.65</v>
      </c>
      <c r="P1" s="204">
        <f>'Diagnosis Indicators'!P2</f>
        <v>0.70000000000000007</v>
      </c>
      <c r="Q1" s="204">
        <f>'Diagnosis Indicators'!Q2</f>
        <v>0.75000000000000011</v>
      </c>
      <c r="R1" s="204">
        <f>'Diagnosis Indicators'!R2</f>
        <v>0.80000000000000016</v>
      </c>
      <c r="S1" s="204">
        <f>'Diagnosis Indicators'!S2</f>
        <v>0.8500000000000002</v>
      </c>
      <c r="T1" s="204">
        <f>'Diagnosis Indicators'!T2</f>
        <v>0.90000000000000024</v>
      </c>
      <c r="U1" s="204">
        <f>'Diagnosis Indicators'!U2</f>
        <v>0.95000000000000029</v>
      </c>
      <c r="V1" s="204">
        <f>'Diagnosis Indicators'!V2</f>
        <v>0.9600000000000003</v>
      </c>
      <c r="W1" s="204">
        <f>'Diagnosis Indicators'!W2</f>
        <v>0.97000000000000031</v>
      </c>
      <c r="X1" s="204">
        <f>'Diagnosis Indicators'!X2</f>
        <v>0.98000000000000032</v>
      </c>
      <c r="Y1" s="204">
        <f>'Diagnosis Indicators'!Y2</f>
        <v>0.99000000000000032</v>
      </c>
    </row>
    <row r="2" spans="1:25" x14ac:dyDescent="0.2">
      <c r="A2" t="str">
        <f>'Diagnosis Indicators'!A3</f>
        <v>Neoclassical</v>
      </c>
      <c r="B2">
        <f>'Diagnosis Indicators'!B3</f>
        <v>1</v>
      </c>
      <c r="C2">
        <f>'Diagnosis Indicators'!C3</f>
        <v>0.99313853018652332</v>
      </c>
      <c r="D2">
        <f>'Diagnosis Indicators'!D3</f>
        <v>0.98575786979873314</v>
      </c>
      <c r="E2">
        <f>'Diagnosis Indicators'!E3</f>
        <v>0.97778783561644322</v>
      </c>
      <c r="F2">
        <f>'Diagnosis Indicators'!F3</f>
        <v>0.96914497682383649</v>
      </c>
      <c r="G2">
        <f>'Diagnosis Indicators'!G3</f>
        <v>0.95972815759580854</v>
      </c>
      <c r="H2">
        <f>'Diagnosis Indicators'!H3</f>
        <v>0.94941422606492154</v>
      </c>
      <c r="I2">
        <f>'Diagnosis Indicators'!I3</f>
        <v>0.93804869803672342</v>
      </c>
      <c r="J2">
        <f>'Diagnosis Indicators'!J3</f>
        <v>0.9254341338198826</v>
      </c>
      <c r="K2">
        <f>'Diagnosis Indicators'!K3</f>
        <v>0.91131072167908667</v>
      </c>
      <c r="L2">
        <f>'Diagnosis Indicators'!L3</f>
        <v>0.89532467005587324</v>
      </c>
      <c r="M2">
        <f>'Diagnosis Indicators'!M3</f>
        <v>0.87697517212698528</v>
      </c>
      <c r="N2">
        <f>'Diagnosis Indicators'!N3</f>
        <v>0.85552070278418013</v>
      </c>
      <c r="O2">
        <f>'Diagnosis Indicators'!O3</f>
        <v>0.82980851615798479</v>
      </c>
      <c r="P2">
        <f>'Diagnosis Indicators'!P3</f>
        <v>0.79795546033901577</v>
      </c>
      <c r="Q2">
        <f>'Diagnosis Indicators'!Q3</f>
        <v>0.75675932979072147</v>
      </c>
      <c r="R2">
        <f>'Diagnosis Indicators'!R3</f>
        <v>0.70070727364030716</v>
      </c>
      <c r="S2">
        <f>'Diagnosis Indicators'!S3</f>
        <v>0.62050055201033094</v>
      </c>
      <c r="T2">
        <f>'Diagnosis Indicators'!T3</f>
        <v>0.49977649675663294</v>
      </c>
      <c r="U2">
        <f>'Diagnosis Indicators'!U3</f>
        <v>0.3026678316036453</v>
      </c>
      <c r="V2">
        <f>'Diagnosis Indicators'!V3</f>
        <v>0.24778921142187993</v>
      </c>
      <c r="W2">
        <f>'Diagnosis Indicators'!W3</f>
        <v>0.18591697098712431</v>
      </c>
      <c r="X2">
        <f>'Diagnosis Indicators'!X3</f>
        <v>0.11716524964155564</v>
      </c>
      <c r="Y2">
        <f>'Diagnosis Indicators'!Y3</f>
        <v>4.587931959618697E-2</v>
      </c>
    </row>
    <row r="3" spans="1:25" x14ac:dyDescent="0.2">
      <c r="A3" t="str">
        <f>'Diagnosis Indicators'!A4</f>
        <v>Kaldorian</v>
      </c>
      <c r="B3">
        <f>'Diagnosis Indicators'!B4</f>
        <v>1</v>
      </c>
      <c r="C3">
        <f>'Diagnosis Indicators'!C4</f>
        <v>0.99789786016645821</v>
      </c>
      <c r="D3">
        <f>'Diagnosis Indicators'!D4</f>
        <v>0.9953769177821955</v>
      </c>
      <c r="E3">
        <f>'Diagnosis Indicators'!E4</f>
        <v>0.99237895791188491</v>
      </c>
      <c r="F3">
        <f>'Diagnosis Indicators'!F4</f>
        <v>0.98883419742752088</v>
      </c>
      <c r="G3">
        <f>'Diagnosis Indicators'!G4</f>
        <v>0.98465751663706269</v>
      </c>
      <c r="H3">
        <f>'Diagnosis Indicators'!H4</f>
        <v>0.97974469825087795</v>
      </c>
      <c r="I3">
        <f>'Diagnosis Indicators'!I4</f>
        <v>0.97396496058175763</v>
      </c>
      <c r="J3">
        <f>'Diagnosis Indicators'!J4</f>
        <v>0.96715145437430905</v>
      </c>
      <c r="K3">
        <f>'Diagnosis Indicators'!K4</f>
        <v>0.95908618772845944</v>
      </c>
      <c r="L3">
        <f>'Diagnosis Indicators'!L4</f>
        <v>0.94947559160784256</v>
      </c>
      <c r="M3">
        <f>'Diagnosis Indicators'!M4</f>
        <v>0.93791044861281991</v>
      </c>
      <c r="N3">
        <f>'Diagnosis Indicators'!N4</f>
        <v>0.92379564354091315</v>
      </c>
      <c r="O3">
        <f>'Diagnosis Indicators'!O4</f>
        <v>0.90622182216915015</v>
      </c>
      <c r="P3">
        <f>'Diagnosis Indicators'!P4</f>
        <v>0.88371907166387198</v>
      </c>
      <c r="Q3">
        <f>'Diagnosis Indicators'!Q4</f>
        <v>0.85377130813274238</v>
      </c>
      <c r="R3">
        <f>'Diagnosis Indicators'!R4</f>
        <v>0.81185692142249399</v>
      </c>
    </row>
    <row r="4" spans="1:25" x14ac:dyDescent="0.2">
      <c r="A4" t="str">
        <f>'Diagnosis Indicators'!A5</f>
        <v>Johansen</v>
      </c>
      <c r="B4">
        <f>'Diagnosis Indicators'!B5</f>
        <v>1</v>
      </c>
      <c r="C4">
        <f>'Diagnosis Indicators'!C5</f>
        <v>0.99791875169437938</v>
      </c>
      <c r="D4">
        <f>'Diagnosis Indicators'!D5</f>
        <v>0.9954184942629225</v>
      </c>
      <c r="E4">
        <f>'Diagnosis Indicators'!E5</f>
        <v>0.99244122160564707</v>
      </c>
      <c r="F4">
        <f>'Diagnosis Indicators'!F5</f>
        <v>0.98891734595324843</v>
      </c>
      <c r="G4">
        <f>'Diagnosis Indicators'!G5</f>
        <v>0.98476202195981488</v>
      </c>
      <c r="H4">
        <f>'Diagnosis Indicators'!H5</f>
        <v>0.97987117640739563</v>
      </c>
      <c r="I4">
        <f>'Diagnosis Indicators'!I5</f>
        <v>0.97411416950903518</v>
      </c>
      <c r="J4">
        <f>'Diagnosis Indicators'!J5</f>
        <v>0.96732394190828463</v>
      </c>
      <c r="K4">
        <f>'Diagnosis Indicators'!K5</f>
        <v>0.95928197894094536</v>
      </c>
      <c r="L4">
        <f>'Diagnosis Indicators'!L5</f>
        <v>0.94969357303173152</v>
      </c>
      <c r="M4">
        <f>'Diagnosis Indicators'!M5</f>
        <v>0.93814739900828448</v>
      </c>
      <c r="N4">
        <f>'Diagnosis Indicators'!N5</f>
        <v>0.92404480180828841</v>
      </c>
      <c r="O4">
        <f>'Diagnosis Indicators'!O5</f>
        <v>0.90647070404248087</v>
      </c>
      <c r="P4">
        <f>'Diagnosis Indicators'!P5</f>
        <v>0.88394717379243593</v>
      </c>
      <c r="Q4">
        <f>'Diagnosis Indicators'!Q5</f>
        <v>0.85394993294998855</v>
      </c>
      <c r="R4">
        <f>'Diagnosis Indicators'!R5</f>
        <v>0.81196093194935004</v>
      </c>
      <c r="S4">
        <f>'Diagnosis Indicators'!S5</f>
        <v>0.74954284552923645</v>
      </c>
      <c r="T4">
        <f>'Diagnosis Indicators'!T5</f>
        <v>0.64921417122243641</v>
      </c>
      <c r="U4">
        <f>'Diagnosis Indicators'!U5</f>
        <v>0.46463443725027942</v>
      </c>
      <c r="V4">
        <f>'Diagnosis Indicators'!V5</f>
        <v>0.40723730350908688</v>
      </c>
      <c r="W4">
        <f>'Diagnosis Indicators'!W5</f>
        <v>0.33790314114581682</v>
      </c>
      <c r="X4">
        <f>'Diagnosis Indicators'!X5</f>
        <v>0.25223363655971076</v>
      </c>
    </row>
    <row r="5" spans="1:25" x14ac:dyDescent="0.2">
      <c r="A5" t="str">
        <f>'Diagnosis Indicators'!A6</f>
        <v>Keynes-Marshall</v>
      </c>
      <c r="B5">
        <f>'Diagnosis Indicators'!B6</f>
        <v>1</v>
      </c>
      <c r="C5">
        <f>'Diagnosis Indicators'!C6</f>
        <v>1.0107467148825926</v>
      </c>
      <c r="D5">
        <f>'Diagnosis Indicators'!D6</f>
        <v>1.0212562395014684</v>
      </c>
      <c r="E5">
        <f>'Diagnosis Indicators'!E6</f>
        <v>1.0314870113356558</v>
      </c>
      <c r="F5">
        <f>'Diagnosis Indicators'!F6</f>
        <v>1.0413890434890538</v>
      </c>
      <c r="G5">
        <f>'Diagnosis Indicators'!G6</f>
        <v>1.05090361517612</v>
      </c>
      <c r="H5">
        <f>'Diagnosis Indicators'!H6</f>
        <v>1.0599633670499549</v>
      </c>
      <c r="I5">
        <f>'Diagnosis Indicators'!I6</f>
        <v>1.0684930691722792</v>
      </c>
      <c r="J5">
        <f>'Diagnosis Indicators'!J6</f>
        <v>1.0764115903428197</v>
      </c>
      <c r="K5">
        <f>'Diagnosis Indicators'!K6</f>
        <v>1.0836360064931678</v>
      </c>
      <c r="L5">
        <f>'Diagnosis Indicators'!L6</f>
        <v>1.0900887971420172</v>
      </c>
      <c r="M5">
        <f>'Diagnosis Indicators'!M6</f>
        <v>1.0957075870962401</v>
      </c>
      <c r="N5">
        <f>'Diagnosis Indicators'!N6</f>
        <v>1.1004445518045494</v>
      </c>
    </row>
    <row r="6" spans="1:25" x14ac:dyDescent="0.2">
      <c r="A6" t="str">
        <f>'Diagnosis Indicators'!A7</f>
        <v>Keynesian</v>
      </c>
      <c r="B6">
        <f>'Diagnosis Indicators'!B7</f>
        <v>1</v>
      </c>
      <c r="C6">
        <f>'Diagnosis Indicators'!C7</f>
        <v>0.97822030048550723</v>
      </c>
      <c r="D6">
        <f>'Diagnosis Indicators'!D7</f>
        <v>0.9541557482871974</v>
      </c>
      <c r="E6">
        <f>'Diagnosis Indicators'!E7</f>
        <v>0.92758169713563066</v>
      </c>
      <c r="F6">
        <f>'Diagnosis Indicators'!F7</f>
        <v>0.89826490799738856</v>
      </c>
      <c r="G6">
        <f>'Diagnosis Indicators'!G7</f>
        <v>0.86597442352103915</v>
      </c>
      <c r="H6">
        <f>'Diagnosis Indicators'!H7</f>
        <v>0.83049645485730972</v>
      </c>
      <c r="I6">
        <f>'Diagnosis Indicators'!I7</f>
        <v>0.79166104553266547</v>
      </c>
      <c r="J6">
        <f>'Diagnosis Indicators'!J7</f>
        <v>0.74938453861859256</v>
      </c>
      <c r="K6">
        <f>'Diagnosis Indicators'!K7</f>
        <v>0.70374513574431197</v>
      </c>
      <c r="L6">
        <f>'Diagnosis Indicators'!L7</f>
        <v>0.65514606436598044</v>
      </c>
      <c r="M6">
        <f>'Diagnosis Indicators'!M7</f>
        <v>0.60477486065177044</v>
      </c>
    </row>
    <row r="7" spans="1:25" x14ac:dyDescent="0.2">
      <c r="A7" t="str">
        <f>'Diagnosis Indicators'!A8</f>
        <v>Keynes-Kaldor</v>
      </c>
      <c r="B7">
        <f>'Diagnosis Indicators'!B8</f>
        <v>1</v>
      </c>
      <c r="C7">
        <f>'Diagnosis Indicators'!C8</f>
        <v>1.0025088611072455</v>
      </c>
      <c r="D7">
        <f>'Diagnosis Indicators'!D8</f>
        <v>1.004110451508355</v>
      </c>
      <c r="E7">
        <f>'Diagnosis Indicators'!E8</f>
        <v>1.0047189336821041</v>
      </c>
      <c r="F7">
        <f>'Diagnosis Indicators'!F8</f>
        <v>1.0042251599705101</v>
      </c>
      <c r="G7">
        <f>'Diagnosis Indicators'!G8</f>
        <v>1.0024898992112201</v>
      </c>
      <c r="H7">
        <f>'Diagnosis Indicators'!H8</f>
        <v>0.99933784041725926</v>
      </c>
      <c r="I7">
        <f>'Diagnosis Indicators'!I8</f>
        <v>0.9945437250254523</v>
      </c>
      <c r="J7">
        <f>'Diagnosis Indicators'!J8</f>
        <v>0.98781626134993616</v>
      </c>
      <c r="K7">
        <f>'Diagnosis Indicators'!K8</f>
        <v>0.97877201861086116</v>
      </c>
      <c r="L7">
        <f>'Diagnosis Indicators'!L8</f>
        <v>0.96689494809534471</v>
      </c>
      <c r="M7">
        <f>'Diagnosis Indicators'!M8</f>
        <v>0.95147069835909892</v>
      </c>
      <c r="N7">
        <f>'Diagnosis Indicators'!N8</f>
        <v>0.93147572332006257</v>
      </c>
      <c r="O7">
        <f>'Diagnosis Indicators'!O8</f>
        <v>0.90538027798341147</v>
      </c>
      <c r="P7">
        <f>'Diagnosis Indicators'!P8</f>
        <v>0.87078489759575328</v>
      </c>
      <c r="Q7">
        <f>'Diagnosis Indicators'!Q8</f>
        <v>0.82372839524943431</v>
      </c>
      <c r="R7">
        <f>'Diagnosis Indicators'!R8</f>
        <v>0.75738585636590738</v>
      </c>
      <c r="S7">
        <f>'Diagnosis Indicators'!S8</f>
        <v>0.65985373623897603</v>
      </c>
    </row>
    <row r="8" spans="1:25" x14ac:dyDescent="0.2">
      <c r="A8" t="str">
        <f>'Diagnosis Indicators'!A9</f>
        <v>Neo-K1</v>
      </c>
      <c r="B8">
        <f>'Diagnosis Indicators'!B9</f>
        <v>1</v>
      </c>
      <c r="C8">
        <f>'Diagnosis Indicators'!C9</f>
        <v>0.98947101121958003</v>
      </c>
      <c r="D8">
        <f>'Diagnosis Indicators'!D9</f>
        <v>0.97799316255035018</v>
      </c>
      <c r="E8">
        <f>'Diagnosis Indicators'!E9</f>
        <v>0.96541683917958876</v>
      </c>
      <c r="F8">
        <f>'Diagnosis Indicators'!F9</f>
        <v>0.95155969576256516</v>
      </c>
      <c r="G8">
        <f>'Diagnosis Indicators'!G9</f>
        <v>0.93619711060618527</v>
      </c>
      <c r="H8">
        <f>'Diagnosis Indicators'!H9</f>
        <v>0.91904909224284015</v>
      </c>
      <c r="I8">
        <f>'Diagnosis Indicators'!I9</f>
        <v>0.89976313486209825</v>
      </c>
      <c r="J8">
        <f>'Diagnosis Indicators'!J9</f>
        <v>0.8778905032424511</v>
      </c>
      <c r="K8">
        <f>'Diagnosis Indicators'!K9</f>
        <v>0.85285412158534091</v>
      </c>
      <c r="L8">
        <f>'Diagnosis Indicators'!L9</f>
        <v>0.82390648439722247</v>
      </c>
      <c r="M8">
        <f>'Diagnosis Indicators'!M9</f>
        <v>0.79007637784874662</v>
      </c>
      <c r="N8">
        <f>'Diagnosis Indicators'!N9</f>
        <v>0.75010795382056072</v>
      </c>
      <c r="O8">
        <f>'Diagnosis Indicators'!O9</f>
        <v>0.70240697534698793</v>
      </c>
      <c r="P8">
        <f>'Diagnosis Indicators'!P9</f>
        <v>0.64502954887370767</v>
      </c>
      <c r="Q8">
        <f>'Diagnosis Indicators'!Q9</f>
        <v>0.57577783016593354</v>
      </c>
      <c r="R8">
        <f>'Diagnosis Indicators'!R9</f>
        <v>0.49247561561040504</v>
      </c>
      <c r="S8">
        <f>'Diagnosis Indicators'!S9</f>
        <v>0.39342695166741865</v>
      </c>
      <c r="T8">
        <f>'Diagnosis Indicators'!T9</f>
        <v>0.27789079032847447</v>
      </c>
      <c r="U8">
        <f>'Diagnosis Indicators'!U9</f>
        <v>0.14628791543882241</v>
      </c>
      <c r="V8">
        <f>'Diagnosis Indicators'!V9</f>
        <v>0.11814884373653785</v>
      </c>
      <c r="W8">
        <f>'Diagnosis Indicators'!W9</f>
        <v>8.9435204793017337E-2</v>
      </c>
      <c r="X8">
        <f>'Diagnosis Indicators'!X9</f>
        <v>6.0162080443734743E-2</v>
      </c>
      <c r="Y8">
        <f>'Diagnosis Indicators'!Y9</f>
        <v>3.0345040070762268E-2</v>
      </c>
    </row>
    <row r="9" spans="1:25" x14ac:dyDescent="0.2">
      <c r="A9" t="str">
        <f>'Diagnosis Indicators'!A10</f>
        <v>Neo-K2</v>
      </c>
      <c r="B9">
        <f>'Diagnosis Indicators'!B10</f>
        <v>1</v>
      </c>
      <c r="C9">
        <f>'Diagnosis Indicators'!C10</f>
        <v>0.98832029808171684</v>
      </c>
      <c r="D9">
        <f>'Diagnosis Indicators'!D10</f>
        <v>0.97548502887114275</v>
      </c>
      <c r="E9">
        <f>'Diagnosis Indicators'!E10</f>
        <v>0.96129056733561735</v>
      </c>
      <c r="F9">
        <f>'Diagnosis Indicators'!F10</f>
        <v>0.94548600928686866</v>
      </c>
      <c r="G9">
        <f>'Diagnosis Indicators'!G10</f>
        <v>0.92776020911596147</v>
      </c>
      <c r="H9">
        <f>'Diagnosis Indicators'!H10</f>
        <v>0.90772492437162022</v>
      </c>
      <c r="I9">
        <f>'Diagnosis Indicators'!I10</f>
        <v>0.88489683376294892</v>
      </c>
      <c r="J9">
        <f>'Diagnosis Indicators'!J10</f>
        <v>0.85867717135546451</v>
      </c>
      <c r="K9">
        <f>'Diagnosis Indicators'!K10</f>
        <v>0.82833653367129378</v>
      </c>
      <c r="L9">
        <f>'Diagnosis Indicators'!L10</f>
        <v>0.79301410076928014</v>
      </c>
      <c r="M9">
        <f>'Diagnosis Indicators'!M10</f>
        <v>0.75175631858072334</v>
      </c>
      <c r="N9">
        <f>'Diagnosis Indicators'!N10</f>
        <v>0.70362742042761672</v>
      </c>
      <c r="O9">
        <f>'Diagnosis Indicators'!O10</f>
        <v>0.64794318347737589</v>
      </c>
      <c r="P9">
        <f>'Diagnosis Indicators'!P10</f>
        <v>0.58467572591309758</v>
      </c>
      <c r="Q9">
        <f>'Diagnosis Indicators'!Q10</f>
        <v>0.51503727639463259</v>
      </c>
      <c r="R9">
        <f>'Diagnosis Indicators'!R10</f>
        <v>0.44195758366189286</v>
      </c>
      <c r="S9">
        <f>'Diagnosis Indicators'!S10</f>
        <v>0.36907271897858795</v>
      </c>
      <c r="T9">
        <f>'Diagnosis Indicators'!T10</f>
        <v>0.29523332431932636</v>
      </c>
      <c r="U9">
        <f>'Diagnosis Indicators'!U10</f>
        <v>0.20386767442293616</v>
      </c>
      <c r="V9">
        <f>'Diagnosis Indicators'!V10</f>
        <v>0.17995391063525931</v>
      </c>
      <c r="W9">
        <f>'Diagnosis Indicators'!W10</f>
        <v>0.1524940511452213</v>
      </c>
      <c r="X9">
        <f>'Diagnosis Indicators'!X10</f>
        <v>0.11975401432011709</v>
      </c>
      <c r="Y9">
        <f>'Diagnosis Indicators'!Y10</f>
        <v>7.7692453171667383E-2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F37E2-FC50-4039-8CBF-F012DB030771}">
  <dimension ref="A1:Y9"/>
  <sheetViews>
    <sheetView workbookViewId="0">
      <selection activeCell="X24" sqref="X24"/>
    </sheetView>
  </sheetViews>
  <sheetFormatPr baseColWidth="10" defaultRowHeight="10" x14ac:dyDescent="0.2"/>
  <sheetData>
    <row r="1" spans="1:25" x14ac:dyDescent="0.2">
      <c r="A1" t="s">
        <v>186</v>
      </c>
      <c r="B1">
        <f>'[1]Diagnosis Indicators'!B62</f>
        <v>0</v>
      </c>
      <c r="C1">
        <f>'[1]Diagnosis Indicators'!C62</f>
        <v>0.05</v>
      </c>
      <c r="D1">
        <f>'[1]Diagnosis Indicators'!D62</f>
        <v>0.1</v>
      </c>
      <c r="E1">
        <f>'[1]Diagnosis Indicators'!E62</f>
        <v>0.15000000000000002</v>
      </c>
      <c r="F1">
        <f>'[1]Diagnosis Indicators'!F62</f>
        <v>0.2</v>
      </c>
      <c r="G1">
        <f>'[1]Diagnosis Indicators'!G62</f>
        <v>0.25</v>
      </c>
      <c r="H1">
        <f>'[1]Diagnosis Indicators'!H62</f>
        <v>0.3</v>
      </c>
      <c r="I1">
        <f>'[1]Diagnosis Indicators'!I62</f>
        <v>0.35</v>
      </c>
      <c r="J1">
        <f>'[1]Diagnosis Indicators'!J62</f>
        <v>0.39999999999999997</v>
      </c>
      <c r="K1">
        <f>'[1]Diagnosis Indicators'!K62</f>
        <v>0.44999999999999996</v>
      </c>
      <c r="L1">
        <f>'[1]Diagnosis Indicators'!L62</f>
        <v>0.49999999999999994</v>
      </c>
      <c r="M1">
        <f>'[1]Diagnosis Indicators'!M62</f>
        <v>0.54999999999999993</v>
      </c>
      <c r="N1">
        <f>'[1]Diagnosis Indicators'!N62</f>
        <v>0.6</v>
      </c>
      <c r="O1">
        <f>'[1]Diagnosis Indicators'!O62</f>
        <v>0.65</v>
      </c>
      <c r="P1">
        <f>'[1]Diagnosis Indicators'!P62</f>
        <v>0.70000000000000007</v>
      </c>
      <c r="Q1">
        <f>'[1]Diagnosis Indicators'!Q62</f>
        <v>0.75000000000000011</v>
      </c>
      <c r="R1">
        <f>'[1]Diagnosis Indicators'!R62</f>
        <v>0.80000000000000016</v>
      </c>
      <c r="S1">
        <f>'[1]Diagnosis Indicators'!S62</f>
        <v>0.8500000000000002</v>
      </c>
      <c r="T1">
        <f>'[1]Diagnosis Indicators'!T62</f>
        <v>0.90000000000000024</v>
      </c>
      <c r="U1">
        <f>'[1]Diagnosis Indicators'!U62</f>
        <v>0.95000000000000029</v>
      </c>
      <c r="V1">
        <f>'[1]Diagnosis Indicators'!V62</f>
        <v>0.9600000000000003</v>
      </c>
      <c r="W1">
        <f>'[1]Diagnosis Indicators'!W62</f>
        <v>0.97000000000000031</v>
      </c>
      <c r="X1">
        <f>'[1]Diagnosis Indicators'!X62</f>
        <v>0.98000000000000032</v>
      </c>
      <c r="Y1">
        <f>'[1]Diagnosis Indicators'!Y62</f>
        <v>0.99000000000000032</v>
      </c>
    </row>
    <row r="2" spans="1:25" x14ac:dyDescent="0.2">
      <c r="A2" t="str">
        <f>'[1]Diagnosis Indicators'!A63</f>
        <v>Neoclassical</v>
      </c>
      <c r="B2">
        <f>'Diagnosis Indicators'!B36</f>
        <v>0.56058995943839207</v>
      </c>
      <c r="C2">
        <f>'Diagnosis Indicators'!C36</f>
        <v>0.56570379235070256</v>
      </c>
      <c r="D2">
        <f>'Diagnosis Indicators'!D36</f>
        <v>0.56421563462636737</v>
      </c>
      <c r="E2">
        <f>'Diagnosis Indicators'!E36</f>
        <v>0.56273527716069349</v>
      </c>
      <c r="F2">
        <f>'Diagnosis Indicators'!F36</f>
        <v>0.56126174264406803</v>
      </c>
      <c r="G2">
        <f>'Diagnosis Indicators'!G36</f>
        <v>0.55979400299961135</v>
      </c>
      <c r="H2">
        <f>'Diagnosis Indicators'!H36</f>
        <v>0.55833099572231815</v>
      </c>
      <c r="I2">
        <f>'Diagnosis Indicators'!I36</f>
        <v>0.55687204483768449</v>
      </c>
      <c r="J2">
        <f>'Diagnosis Indicators'!J36</f>
        <v>0.55541723733512438</v>
      </c>
      <c r="K2">
        <f>'Diagnosis Indicators'!K36</f>
        <v>0.55396823613048662</v>
      </c>
      <c r="L2">
        <f>'Diagnosis Indicators'!L36</f>
        <v>0.55252959377610777</v>
      </c>
      <c r="M2">
        <f>'Diagnosis Indicators'!M36</f>
        <v>0.55111085793482995</v>
      </c>
      <c r="N2">
        <f>'Diagnosis Indicators'!N36</f>
        <v>0.54973004078899557</v>
      </c>
      <c r="O2">
        <f>'Diagnosis Indicators'!O36</f>
        <v>0.54841897876619317</v>
      </c>
      <c r="P2">
        <f>'Diagnosis Indicators'!P36</f>
        <v>0.54723078906580169</v>
      </c>
      <c r="Q2">
        <f>'Diagnosis Indicators'!Q36</f>
        <v>0.54624558245424759</v>
      </c>
      <c r="R2">
        <f>'Diagnosis Indicators'!R36</f>
        <v>0.54555694625800577</v>
      </c>
      <c r="S2">
        <f>'Diagnosis Indicators'!S36</f>
        <v>0.54520555067699517</v>
      </c>
      <c r="T2">
        <f>'Diagnosis Indicators'!T36</f>
        <v>0.54509957425460076</v>
      </c>
      <c r="U2">
        <f>'Diagnosis Indicators'!U36</f>
        <v>0.54508575044696728</v>
      </c>
      <c r="V2">
        <f>'Diagnosis Indicators'!V36</f>
        <v>0.54508550668093825</v>
      </c>
      <c r="W2">
        <f>'Diagnosis Indicators'!W36</f>
        <v>0.54508541755276174</v>
      </c>
      <c r="X2">
        <f>'Diagnosis Indicators'!X36</f>
        <v>0.54508539179644144</v>
      </c>
      <c r="Y2">
        <f>'Diagnosis Indicators'!Y36</f>
        <v>0.54508538665545792</v>
      </c>
    </row>
    <row r="3" spans="1:25" x14ac:dyDescent="0.2">
      <c r="A3" t="str">
        <f>'[1]Diagnosis Indicators'!A64</f>
        <v>Kaldorian</v>
      </c>
      <c r="B3">
        <f>'Diagnosis Indicators'!B37</f>
        <v>0.56058995943839207</v>
      </c>
      <c r="C3">
        <f>'Diagnosis Indicators'!C37</f>
        <v>0.56155700129179109</v>
      </c>
      <c r="D3">
        <f>'Diagnosis Indicators'!D37</f>
        <v>0.55565480237055309</v>
      </c>
      <c r="E3">
        <f>'Diagnosis Indicators'!E37</f>
        <v>0.54945494551644936</v>
      </c>
      <c r="F3">
        <f>'Diagnosis Indicators'!F37</f>
        <v>0.54291028613142134</v>
      </c>
      <c r="G3">
        <f>'Diagnosis Indicators'!G37</f>
        <v>0.53596302222274472</v>
      </c>
      <c r="H3">
        <f>'Diagnosis Indicators'!H37</f>
        <v>0.52854033039493376</v>
      </c>
      <c r="I3">
        <f>'Diagnosis Indicators'!I37</f>
        <v>0.52054808325404545</v>
      </c>
      <c r="J3">
        <f>'Diagnosis Indicators'!J37</f>
        <v>0.51186010483249622</v>
      </c>
      <c r="K3">
        <f>'Diagnosis Indicators'!K37</f>
        <v>0.50230013013748798</v>
      </c>
      <c r="L3">
        <f>'Diagnosis Indicators'!L37</f>
        <v>0.49160937292702128</v>
      </c>
      <c r="M3">
        <f>'Diagnosis Indicators'!M37</f>
        <v>0.47938653477218884</v>
      </c>
      <c r="N3">
        <f>'Diagnosis Indicators'!N37</f>
        <v>0.46497045418360428</v>
      </c>
      <c r="O3">
        <f>'Diagnosis Indicators'!O37</f>
        <v>0.44719864678018695</v>
      </c>
      <c r="P3">
        <f>'Diagnosis Indicators'!P37</f>
        <v>0.4238839460500014</v>
      </c>
      <c r="Q3">
        <f>'Diagnosis Indicators'!Q37</f>
        <v>0.39063358981842355</v>
      </c>
      <c r="R3">
        <f>'Diagnosis Indicators'!R37</f>
        <v>0.33811268905851255</v>
      </c>
      <c r="S3">
        <f>'Diagnosis Indicators'!S37</f>
        <v>0.24484798848155476</v>
      </c>
      <c r="T3">
        <f>'Diagnosis Indicators'!T37</f>
        <v>4.6140422985590693E-2</v>
      </c>
    </row>
    <row r="4" spans="1:25" x14ac:dyDescent="0.2">
      <c r="A4" t="str">
        <f>'[1]Diagnosis Indicators'!A65</f>
        <v>Johansen</v>
      </c>
      <c r="B4">
        <f>'Diagnosis Indicators'!B38</f>
        <v>0.56058995943839207</v>
      </c>
      <c r="C4">
        <f>'Diagnosis Indicators'!C38</f>
        <v>0.56568931983455917</v>
      </c>
      <c r="D4">
        <f>'Diagnosis Indicators'!D38</f>
        <v>0.5641869465407795</v>
      </c>
      <c r="E4">
        <f>'Diagnosis Indicators'!E38</f>
        <v>0.56269244333317026</v>
      </c>
      <c r="F4">
        <f>'Diagnosis Indicators'!F38</f>
        <v>0.56120463448517588</v>
      </c>
      <c r="G4">
        <f>'Diagnosis Indicators'!G38</f>
        <v>0.55972228555646064</v>
      </c>
      <c r="H4">
        <f>'Diagnosis Indicators'!H38</f>
        <v>0.55824418674791065</v>
      </c>
      <c r="I4">
        <f>'Diagnosis Indicators'!I38</f>
        <v>0.55676954954205038</v>
      </c>
      <c r="J4">
        <f>'Diagnosis Indicators'!J38</f>
        <v>0.55529855951695573</v>
      </c>
      <c r="K4">
        <f>'Diagnosis Indicators'!K38</f>
        <v>0.5538332055480979</v>
      </c>
      <c r="L4">
        <f>'Diagnosis Indicators'!L38</f>
        <v>0.55237881048718473</v>
      </c>
      <c r="M4">
        <f>'Diagnosis Indicators'!M38</f>
        <v>0.55094637487171982</v>
      </c>
      <c r="N4">
        <f>'Diagnosis Indicators'!N38</f>
        <v>0.54955639134283485</v>
      </c>
      <c r="O4">
        <f>'Diagnosis Indicators'!O38</f>
        <v>0.54824467598831916</v>
      </c>
      <c r="P4">
        <f>'Diagnosis Indicators'!P38</f>
        <v>0.54706999385174226</v>
      </c>
      <c r="Q4">
        <f>'Diagnosis Indicators'!Q38</f>
        <v>0.54611813517543473</v>
      </c>
      <c r="R4">
        <f>'Diagnosis Indicators'!R38</f>
        <v>0.54548076931972789</v>
      </c>
      <c r="S4">
        <f>'Diagnosis Indicators'!S38</f>
        <v>0.54517800347176848</v>
      </c>
      <c r="T4">
        <f>'Diagnosis Indicators'!T38</f>
        <v>0.5450952471279541</v>
      </c>
      <c r="U4">
        <f>'Diagnosis Indicators'!U38</f>
        <v>0.54508561369842345</v>
      </c>
      <c r="V4">
        <f>'Diagnosis Indicators'!V38</f>
        <v>0.54508546055699947</v>
      </c>
      <c r="W4">
        <f>'Diagnosis Indicators'!W38</f>
        <v>0.54508540558574847</v>
      </c>
      <c r="X4">
        <f>'Diagnosis Indicators'!X38</f>
        <v>0.54508538977550069</v>
      </c>
      <c r="Y4">
        <f>'Diagnosis Indicators'!Y38</f>
        <v>0.54508538653505278</v>
      </c>
    </row>
    <row r="5" spans="1:25" x14ac:dyDescent="0.2">
      <c r="A5" t="str">
        <f>'[1]Diagnosis Indicators'!A66</f>
        <v>Keynes-Kaldor</v>
      </c>
      <c r="B5">
        <f>'Diagnosis Indicators'!B39</f>
        <v>0.56058995943839207</v>
      </c>
      <c r="C5">
        <f>'Diagnosis Indicators'!C39</f>
        <v>0.5799703189885772</v>
      </c>
      <c r="D5">
        <f>'Diagnosis Indicators'!D39</f>
        <v>0.59329101788701699</v>
      </c>
      <c r="E5">
        <f>'Diagnosis Indicators'!E39</f>
        <v>0.60722964928597323</v>
      </c>
      <c r="F5">
        <f>'Diagnosis Indicators'!F39</f>
        <v>0.62187064368716516</v>
      </c>
      <c r="G5">
        <f>'Diagnosis Indicators'!G39</f>
        <v>0.63732550395562126</v>
      </c>
      <c r="H5">
        <f>'Diagnosis Indicators'!H39</f>
        <v>0.6537476931780567</v>
      </c>
      <c r="I5">
        <f>'Diagnosis Indicators'!I39</f>
        <v>0.67135687362125818</v>
      </c>
      <c r="J5">
        <f>'Diagnosis Indicators'!J39</f>
        <v>0.69047886229745681</v>
      </c>
      <c r="K5">
        <f>'Diagnosis Indicators'!K39</f>
        <v>0.71161423268146307</v>
      </c>
      <c r="L5">
        <f>'Diagnosis Indicators'!L39</f>
        <v>0.73556015382622841</v>
      </c>
      <c r="M5">
        <f>'Diagnosis Indicators'!M39</f>
        <v>0.76363335513209352</v>
      </c>
      <c r="N5">
        <f>'Diagnosis Indicators'!N39</f>
        <v>0.79808330537605188</v>
      </c>
      <c r="O5">
        <f>'Diagnosis Indicators'!O39</f>
        <v>0.84282032382363792</v>
      </c>
      <c r="P5">
        <f>'Diagnosis Indicators'!P39</f>
        <v>0.90445022638657924</v>
      </c>
      <c r="Q5" t="e">
        <f>'Diagnosis Indicators'!Q39</f>
        <v>#DIV/0!</v>
      </c>
    </row>
    <row r="6" spans="1:25" x14ac:dyDescent="0.2">
      <c r="A6" t="str">
        <f>'[1]Diagnosis Indicators'!A67</f>
        <v>Keynes-Marshall</v>
      </c>
      <c r="B6">
        <f>'Diagnosis Indicators'!B40</f>
        <v>0.56058995943839207</v>
      </c>
      <c r="C6">
        <f>'Diagnosis Indicators'!C40</f>
        <v>0.57432378574222376</v>
      </c>
      <c r="D6">
        <f>'Diagnosis Indicators'!D40</f>
        <v>0.58145504302211415</v>
      </c>
      <c r="E6">
        <f>'Diagnosis Indicators'!E40</f>
        <v>0.58856654989053936</v>
      </c>
      <c r="F6">
        <f>'Diagnosis Indicators'!F40</f>
        <v>0.59562307084409583</v>
      </c>
      <c r="G6">
        <f>'Diagnosis Indicators'!G40</f>
        <v>0.60258202037385333</v>
      </c>
      <c r="H6">
        <f>'Diagnosis Indicators'!H40</f>
        <v>0.60939068812389108</v>
      </c>
      <c r="I6">
        <f>'Diagnosis Indicators'!I40</f>
        <v>0.61598576559399887</v>
      </c>
      <c r="J6">
        <f>'Diagnosis Indicators'!J40</f>
        <v>0.62229062891691977</v>
      </c>
      <c r="K6">
        <f>'Diagnosis Indicators'!K40</f>
        <v>0.62820822907087093</v>
      </c>
      <c r="L6">
        <f>'Diagnosis Indicators'!L40</f>
        <v>0.63360504072005075</v>
      </c>
      <c r="M6">
        <f>'Diagnosis Indicators'!M40</f>
        <v>0.63825259958638347</v>
      </c>
      <c r="N6" t="e">
        <f>'Diagnosis Indicators'!N40</f>
        <v>#DIV/0!</v>
      </c>
      <c r="O6" t="e">
        <f>'Diagnosis Indicators'!O40</f>
        <v>#DIV/0!</v>
      </c>
    </row>
    <row r="7" spans="1:25" x14ac:dyDescent="0.2">
      <c r="A7" t="str">
        <f>'[1]Diagnosis Indicators'!A68</f>
        <v>Keynesian</v>
      </c>
      <c r="B7">
        <f>'Diagnosis Indicators'!B41</f>
        <v>0.56058995943839207</v>
      </c>
      <c r="C7">
        <f>'Diagnosis Indicators'!C41</f>
        <v>0.56113037950882716</v>
      </c>
      <c r="D7">
        <f>'Diagnosis Indicators'!D41</f>
        <v>0.55483624677550858</v>
      </c>
      <c r="E7">
        <f>'Diagnosis Indicators'!E41</f>
        <v>0.5482802556327131</v>
      </c>
      <c r="F7">
        <f>'Diagnosis Indicators'!F41</f>
        <v>0.54141785739970671</v>
      </c>
      <c r="G7">
        <f>'Diagnosis Indicators'!G41</f>
        <v>0.53419552015736482</v>
      </c>
      <c r="H7">
        <f>'Diagnosis Indicators'!H41</f>
        <v>0.52654680987212044</v>
      </c>
      <c r="I7">
        <f>'Diagnosis Indicators'!I41</f>
        <v>0.51838693903670241</v>
      </c>
      <c r="J7">
        <f>'Diagnosis Indicators'!J41</f>
        <v>0.50960354145016662</v>
      </c>
      <c r="K7">
        <f>'Diagnosis Indicators'!K41</f>
        <v>0.50004186387135141</v>
      </c>
      <c r="L7">
        <f>'Diagnosis Indicators'!L41</f>
        <v>0.48947930241146898</v>
      </c>
      <c r="M7">
        <f>'Diagnosis Indicators'!M41</f>
        <v>0.47758148666485362</v>
      </c>
      <c r="N7">
        <f>'Diagnosis Indicators'!N41</f>
        <v>0.4638234609845106</v>
      </c>
      <c r="O7">
        <f>'Diagnosis Indicators'!O41</f>
        <v>0.44734582765584624</v>
      </c>
      <c r="P7">
        <f>'Diagnosis Indicators'!P41</f>
        <v>0.42669301376369123</v>
      </c>
      <c r="Q7">
        <f>'Diagnosis Indicators'!Q41</f>
        <v>0.3993683435433612</v>
      </c>
      <c r="R7">
        <f>'Diagnosis Indicators'!R41</f>
        <v>0.36125707339770913</v>
      </c>
      <c r="S7">
        <f>'Diagnosis Indicators'!S41</f>
        <v>0.30661038447708294</v>
      </c>
      <c r="T7">
        <f>'Diagnosis Indicators'!T41</f>
        <v>0.2314938982022699</v>
      </c>
    </row>
    <row r="8" spans="1:25" x14ac:dyDescent="0.2">
      <c r="A8" t="str">
        <f>'[1]Diagnosis Indicators'!A69</f>
        <v>Neo-K1</v>
      </c>
      <c r="B8">
        <f>'Diagnosis Indicators'!B42</f>
        <v>0.56058995943839207</v>
      </c>
      <c r="C8">
        <f>'Diagnosis Indicators'!C42</f>
        <v>0.56686656405971203</v>
      </c>
      <c r="D8">
        <f>'Diagnosis Indicators'!D42</f>
        <v>0.56654868165789085</v>
      </c>
      <c r="E8">
        <f>'Diagnosis Indicators'!E42</f>
        <v>0.56624521484259815</v>
      </c>
      <c r="F8">
        <f>'Diagnosis Indicators'!F42</f>
        <v>0.56595356110942263</v>
      </c>
      <c r="G8">
        <f>'Diagnosis Indicators'!G42</f>
        <v>0.56566987908051147</v>
      </c>
      <c r="H8">
        <f>'Diagnosis Indicators'!H42</f>
        <v>0.56538869465737296</v>
      </c>
      <c r="I8">
        <f>'Diagnosis Indicators'!I42</f>
        <v>0.56510235025600597</v>
      </c>
      <c r="J8">
        <f>'Diagnosis Indicators'!J42</f>
        <v>0.56480031717567092</v>
      </c>
      <c r="K8">
        <f>'Diagnosis Indicators'!K42</f>
        <v>0.56446831482415682</v>
      </c>
      <c r="L8">
        <f>'Diagnosis Indicators'!L42</f>
        <v>0.56408730706311472</v>
      </c>
      <c r="M8">
        <f>'Diagnosis Indicators'!M42</f>
        <v>0.56363241790901508</v>
      </c>
      <c r="N8">
        <f>'Diagnosis Indicators'!N42</f>
        <v>0.56307220950309622</v>
      </c>
      <c r="O8">
        <f>'Diagnosis Indicators'!O42</f>
        <v>0.56236902346913598</v>
      </c>
      <c r="P8">
        <f>'Diagnosis Indicators'!P42</f>
        <v>0.5614818248999498</v>
      </c>
      <c r="Q8">
        <f>'Diagnosis Indicators'!Q42</f>
        <v>0.56037326393331355</v>
      </c>
      <c r="R8">
        <f>'Diagnosis Indicators'!R42</f>
        <v>0.55902148254573514</v>
      </c>
      <c r="S8">
        <f>'Diagnosis Indicators'!S42</f>
        <v>0.55743313464501887</v>
      </c>
      <c r="T8">
        <f>'Diagnosis Indicators'!T42</f>
        <v>0.55564919414896186</v>
      </c>
      <c r="U8">
        <f>'Diagnosis Indicators'!U42</f>
        <v>0.55373670363579686</v>
      </c>
      <c r="V8">
        <f>'Diagnosis Indicators'!V42</f>
        <v>0.55334542254160934</v>
      </c>
      <c r="W8">
        <f>'Diagnosis Indicators'!W42</f>
        <v>0.55295258318515672</v>
      </c>
      <c r="X8">
        <f>'Diagnosis Indicators'!X42</f>
        <v>0.55255873682963541</v>
      </c>
      <c r="Y8">
        <f>'Diagnosis Indicators'!Y42</f>
        <v>0.55216440820284396</v>
      </c>
    </row>
    <row r="9" spans="1:25" x14ac:dyDescent="0.2">
      <c r="A9" t="str">
        <f>'[1]Diagnosis Indicators'!A70</f>
        <v>Neo-K2</v>
      </c>
      <c r="B9">
        <f>'Diagnosis Indicators'!B43</f>
        <v>0.56058995943839207</v>
      </c>
      <c r="C9">
        <f>'Diagnosis Indicators'!C43</f>
        <v>0.56757261837179762</v>
      </c>
      <c r="D9">
        <f>'Diagnosis Indicators'!D43</f>
        <v>0.56801451793620417</v>
      </c>
      <c r="E9">
        <f>'Diagnosis Indicators'!E43</f>
        <v>0.56853403925139623</v>
      </c>
      <c r="F9">
        <f>'Diagnosis Indicators'!F43</f>
        <v>0.56913976333803395</v>
      </c>
      <c r="G9">
        <f>'Diagnosis Indicators'!G43</f>
        <v>0.56984101791122899</v>
      </c>
      <c r="H9">
        <f>'Diagnosis Indicators'!H43</f>
        <v>0.57064777607693096</v>
      </c>
      <c r="I9">
        <f>'Diagnosis Indicators'!I43</f>
        <v>0.57157029337557852</v>
      </c>
      <c r="J9">
        <f>'Diagnosis Indicators'!J43</f>
        <v>0.57261845320991289</v>
      </c>
      <c r="K9">
        <f>'Diagnosis Indicators'!K43</f>
        <v>0.57380054314912943</v>
      </c>
      <c r="L9">
        <f>'Diagnosis Indicators'!L43</f>
        <v>0.57512111993655501</v>
      </c>
      <c r="M9">
        <f>'Diagnosis Indicators'!M43</f>
        <v>0.57657734824088014</v>
      </c>
      <c r="N9">
        <f>'Diagnosis Indicators'!N43</f>
        <v>0.57815277233014184</v>
      </c>
      <c r="O9">
        <f>'Diagnosis Indicators'!O43</f>
        <v>0.57980577800986843</v>
      </c>
      <c r="P9">
        <f>'Diagnosis Indicators'!P43</f>
        <v>0.5814454156177471</v>
      </c>
      <c r="Q9">
        <f>'Diagnosis Indicators'!Q43</f>
        <v>0.58287472837794463</v>
      </c>
      <c r="R9">
        <f>'Diagnosis Indicators'!R43</f>
        <v>0.58365718789364851</v>
      </c>
      <c r="S9">
        <f>'Diagnosis Indicators'!S43</f>
        <v>0.58280455995241387</v>
      </c>
      <c r="T9">
        <f>'Diagnosis Indicators'!T43</f>
        <v>0.57777647055454273</v>
      </c>
      <c r="U9">
        <f>'Diagnosis Indicators'!U43</f>
        <v>0.55974881452124325</v>
      </c>
      <c r="V9">
        <f>'Diagnosis Indicators'!V43</f>
        <v>0.55180429177239543</v>
      </c>
      <c r="W9">
        <f>'Diagnosis Indicators'!W43</f>
        <v>0.54014705134451191</v>
      </c>
      <c r="X9">
        <f>'Diagnosis Indicators'!X43</f>
        <v>0.5211532208272287</v>
      </c>
      <c r="Y9">
        <f>'Diagnosis Indicators'!Y43</f>
        <v>0.48263908978231296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727BB-B6E9-4435-A22C-11B601715EDA}">
  <dimension ref="A1:Y9"/>
  <sheetViews>
    <sheetView workbookViewId="0">
      <selection activeCell="D27" sqref="D27"/>
    </sheetView>
  </sheetViews>
  <sheetFormatPr baseColWidth="10" defaultRowHeight="10" x14ac:dyDescent="0.2"/>
  <sheetData>
    <row r="1" spans="1:25" x14ac:dyDescent="0.2">
      <c r="A1" t="s">
        <v>186</v>
      </c>
      <c r="B1" s="91">
        <v>0</v>
      </c>
      <c r="C1" s="91">
        <v>0.05</v>
      </c>
      <c r="D1" s="91">
        <v>0.1</v>
      </c>
      <c r="E1" s="91">
        <v>0.15000000000000002</v>
      </c>
      <c r="F1" s="91">
        <v>0.2</v>
      </c>
      <c r="G1" s="91">
        <v>0.25</v>
      </c>
      <c r="H1" s="91">
        <v>0.3</v>
      </c>
      <c r="I1" s="91">
        <v>0.35</v>
      </c>
      <c r="J1" s="91">
        <v>0.39999999999999997</v>
      </c>
      <c r="K1" s="91">
        <v>0.44999999999999996</v>
      </c>
      <c r="L1" s="91">
        <v>0.49999999999999994</v>
      </c>
      <c r="M1" s="91">
        <v>0.54999999999999993</v>
      </c>
      <c r="N1" s="91">
        <v>0.6</v>
      </c>
      <c r="O1" s="91">
        <v>0.65</v>
      </c>
      <c r="P1" s="91">
        <v>0.70000000000000007</v>
      </c>
      <c r="Q1" s="91">
        <v>0.75000000000000011</v>
      </c>
      <c r="R1" s="91">
        <v>0.80000000000000016</v>
      </c>
      <c r="S1" s="91">
        <v>0.8500000000000002</v>
      </c>
      <c r="T1" s="91">
        <v>0.90000000000000024</v>
      </c>
      <c r="U1" s="91">
        <v>0.95000000000000029</v>
      </c>
      <c r="V1" s="91">
        <v>0.9600000000000003</v>
      </c>
      <c r="W1" s="91">
        <v>0.97000000000000031</v>
      </c>
      <c r="X1" s="91">
        <v>0.98000000000000032</v>
      </c>
      <c r="Y1" s="91">
        <v>0.99000000000000032</v>
      </c>
    </row>
    <row r="2" spans="1:25" x14ac:dyDescent="0.2">
      <c r="A2" t="s">
        <v>89</v>
      </c>
      <c r="B2">
        <f>'Diagnosis Indicators'!B14</f>
        <v>5.7716594496607888E-3</v>
      </c>
      <c r="C2">
        <f>'Diagnosis Indicators'!C14</f>
        <v>5.1988874691792378E-2</v>
      </c>
      <c r="D2">
        <f>'Diagnosis Indicators'!D14</f>
        <v>0.10299914014492036</v>
      </c>
      <c r="E2">
        <f>'Diagnosis Indicators'!E14</f>
        <v>0.1595925379634073</v>
      </c>
      <c r="F2">
        <f>'Diagnosis Indicators'!F14</f>
        <v>0.2227531646261402</v>
      </c>
      <c r="G2">
        <f>'Diagnosis Indicators'!G14</f>
        <v>0.29372581693113198</v>
      </c>
      <c r="H2">
        <f>'Diagnosis Indicators'!H14</f>
        <v>0.37412996207797278</v>
      </c>
      <c r="I2">
        <f>'Diagnosis Indicators'!I14</f>
        <v>0.46611819886864547</v>
      </c>
      <c r="J2">
        <f>'Diagnosis Indicators'!J14</f>
        <v>0.57264818058012501</v>
      </c>
      <c r="K2">
        <f>'Diagnosis Indicators'!K14</f>
        <v>0.69793636863972619</v>
      </c>
      <c r="L2">
        <f>'Diagnosis Indicators'!L14</f>
        <v>0.8482529855234503</v>
      </c>
      <c r="M2">
        <f>'Diagnosis Indicators'!M14</f>
        <v>1.0334056791920525</v>
      </c>
      <c r="N2">
        <f>'Diagnosis Indicators'!N14</f>
        <v>1.2696597447529216</v>
      </c>
      <c r="O2">
        <f>'Diagnosis Indicators'!O14</f>
        <v>1.5859208417998159</v>
      </c>
      <c r="P2">
        <f>'Diagnosis Indicators'!P14</f>
        <v>2.0378443199475926</v>
      </c>
      <c r="Q2">
        <f>'Diagnosis Indicators'!Q14</f>
        <v>2.742723938137809</v>
      </c>
      <c r="R2">
        <f>'Diagnosis Indicators'!R14</f>
        <v>3.9724722705946687</v>
      </c>
      <c r="S2">
        <f>'Diagnosis Indicators'!S14</f>
        <v>6.4283267005771236</v>
      </c>
      <c r="T2">
        <f>'Diagnosis Indicators'!T14</f>
        <v>12.30469596273759</v>
      </c>
      <c r="U2">
        <f>'Diagnosis Indicators'!U14</f>
        <v>32.494567606229353</v>
      </c>
      <c r="V2">
        <f>'Diagnosis Indicators'!V14</f>
        <v>42.685459953486379</v>
      </c>
      <c r="W2">
        <f>'Diagnosis Indicators'!W14</f>
        <v>58.925584296767298</v>
      </c>
      <c r="X2">
        <f>'Diagnosis Indicators'!X14</f>
        <v>87.68295809393058</v>
      </c>
      <c r="Y2">
        <f>'Diagnosis Indicators'!Y14</f>
        <v>148.29311262085386</v>
      </c>
    </row>
    <row r="3" spans="1:25" x14ac:dyDescent="0.2">
      <c r="A3" t="s">
        <v>90</v>
      </c>
      <c r="B3">
        <f>'Diagnosis Indicators'!B16</f>
        <v>5.7716594496607888E-3</v>
      </c>
      <c r="C3">
        <f>'Diagnosis Indicators'!C16</f>
        <v>5.3758747243408449E-2</v>
      </c>
      <c r="D3">
        <f>'Diagnosis Indicators'!D16</f>
        <v>0.10675926922623748</v>
      </c>
      <c r="E3">
        <f>'Diagnosis Indicators'!E16</f>
        <v>0.16560350234647006</v>
      </c>
      <c r="F3">
        <f>'Diagnosis Indicators'!F16</f>
        <v>0.23132727775937659</v>
      </c>
      <c r="G3">
        <f>'Diagnosis Indicators'!G16</f>
        <v>0.3052452195239112</v>
      </c>
      <c r="H3">
        <f>'Diagnosis Indicators'!H16</f>
        <v>0.38907246135784335</v>
      </c>
      <c r="I3">
        <f>'Diagnosis Indicators'!I16</f>
        <v>0.48510178334811738</v>
      </c>
      <c r="J3">
        <f>'Diagnosis Indicators'!J16</f>
        <v>0.59650184928176475</v>
      </c>
      <c r="K3">
        <f>'Diagnosis Indicators'!K16</f>
        <v>0.72782586665063032</v>
      </c>
      <c r="L3">
        <f>'Diagnosis Indicators'!L16</f>
        <v>0.88590636436014902</v>
      </c>
      <c r="M3">
        <f>'Diagnosis Indicators'!M16</f>
        <v>1.0815433444357012</v>
      </c>
      <c r="N3">
        <f>'Diagnosis Indicators'!N16</f>
        <v>1.3328660402250474</v>
      </c>
      <c r="O3">
        <f>'Diagnosis Indicators'!O16</f>
        <v>1.6725227201803503</v>
      </c>
      <c r="P3">
        <f>'Diagnosis Indicators'!P16</f>
        <v>2.1642798767482949</v>
      </c>
      <c r="Q3">
        <f>'Diagnosis Indicators'!Q16</f>
        <v>2.9442865119199668</v>
      </c>
      <c r="R3">
        <f>'Diagnosis Indicators'!R16</f>
        <v>4.3305788267649961</v>
      </c>
      <c r="S3">
        <f>'Diagnosis Indicators'!S16</f>
        <v>7.1441521389414833</v>
      </c>
      <c r="T3">
        <f>'Diagnosis Indicators'!T16</f>
        <v>13.965664321552758</v>
      </c>
      <c r="U3">
        <f>'Diagnosis Indicators'!U16</f>
        <v>37.630476620474006</v>
      </c>
      <c r="V3">
        <f>'Diagnosis Indicators'!V16</f>
        <v>49.516828687887546</v>
      </c>
      <c r="W3">
        <f>'Diagnosis Indicators'!W16</f>
        <v>68.23373848483881</v>
      </c>
      <c r="X3">
        <f>'Diagnosis Indicators'!X16</f>
        <v>100.50669523022714</v>
      </c>
      <c r="Y3">
        <f>'Diagnosis Indicators'!Y16</f>
        <v>164.44118545266949</v>
      </c>
    </row>
    <row r="4" spans="1:25" x14ac:dyDescent="0.2">
      <c r="A4" t="s">
        <v>131</v>
      </c>
      <c r="B4">
        <f>'Diagnosis Indicators'!B17</f>
        <v>5.7716594496607888E-3</v>
      </c>
      <c r="C4">
        <f>'Diagnosis Indicators'!C17</f>
        <v>5.8540872659968421E-2</v>
      </c>
      <c r="D4">
        <f>'Diagnosis Indicators'!D17</f>
        <v>0.11766242044559665</v>
      </c>
      <c r="E4">
        <f>'Diagnosis Indicators'!E17</f>
        <v>0.1842316525079836</v>
      </c>
      <c r="F4">
        <f>'Diagnosis Indicators'!F17</f>
        <v>0.25966734890203164</v>
      </c>
      <c r="G4">
        <f>'Diagnosis Indicators'!G17</f>
        <v>0.34586238425236343</v>
      </c>
      <c r="H4">
        <f>'Diagnosis Indicators'!H17</f>
        <v>0.44542560865935688</v>
      </c>
      <c r="I4">
        <f>'Diagnosis Indicators'!I17</f>
        <v>0.5620818711477894</v>
      </c>
      <c r="J4">
        <f>'Diagnosis Indicators'!J17</f>
        <v>0.70136316229141848</v>
      </c>
      <c r="K4">
        <f>'Diagnosis Indicators'!K17</f>
        <v>0.87186103033363516</v>
      </c>
      <c r="L4">
        <f>'Diagnosis Indicators'!L17</f>
        <v>1.0876255630839435</v>
      </c>
      <c r="M4">
        <f>'Diagnosis Indicators'!M17</f>
        <v>1.3730648230203999</v>
      </c>
      <c r="N4">
        <f>'Diagnosis Indicators'!N17</f>
        <v>1.773596908107858</v>
      </c>
      <c r="O4">
        <f>'Diagnosis Indicators'!O17</f>
        <v>2.3800957261565654</v>
      </c>
      <c r="P4">
        <f>'Diagnosis Indicators'!P17</f>
        <v>3.3859107106055477</v>
      </c>
      <c r="Q4">
        <f>'Diagnosis Indicators'!Q17</f>
        <v>0</v>
      </c>
    </row>
    <row r="5" spans="1:25" x14ac:dyDescent="0.2">
      <c r="A5" t="s">
        <v>130</v>
      </c>
      <c r="B5">
        <f>'Diagnosis Indicators'!B18</f>
        <v>5.7716594496607888E-3</v>
      </c>
      <c r="C5">
        <f>'Diagnosis Indicators'!C18</f>
        <v>3.4630189951654476E-2</v>
      </c>
      <c r="D5">
        <f>'Diagnosis Indicators'!D18</f>
        <v>6.4667668125236402E-2</v>
      </c>
      <c r="E5">
        <f>'Diagnosis Indicators'!E18</f>
        <v>9.5799188565970389E-2</v>
      </c>
      <c r="F5">
        <f>'Diagnosis Indicators'!F18</f>
        <v>0.12788976301752511</v>
      </c>
      <c r="G5">
        <f>'Diagnosis Indicators'!G18</f>
        <v>0.16074225760756358</v>
      </c>
      <c r="H5">
        <f>'Diagnosis Indicators'!H18</f>
        <v>0.19408179373269793</v>
      </c>
      <c r="I5">
        <f>'Diagnosis Indicators'!I18</f>
        <v>0.22753948961788656</v>
      </c>
      <c r="J5">
        <f>'Diagnosis Indicators'!J18</f>
        <v>0.26063027496692032</v>
      </c>
      <c r="K5">
        <f>'Diagnosis Indicators'!K18</f>
        <v>0.29271419952939504</v>
      </c>
      <c r="L5">
        <f>'Diagnosis Indicators'!L18</f>
        <v>0.32290255334542295</v>
      </c>
      <c r="M5">
        <f>'Diagnosis Indicators'!M18</f>
        <v>0.34973463206622379</v>
      </c>
      <c r="N5">
        <f>'Diagnosis Indicators'!N18</f>
        <v>0</v>
      </c>
      <c r="O5">
        <f>'Diagnosis Indicators'!O18</f>
        <v>0</v>
      </c>
    </row>
    <row r="6" spans="1:25" x14ac:dyDescent="0.2">
      <c r="A6" t="s">
        <v>146</v>
      </c>
      <c r="B6">
        <f>'Diagnosis Indicators'!B19</f>
        <v>5.7716594496607888E-3</v>
      </c>
      <c r="C6">
        <f>'Diagnosis Indicators'!C19</f>
        <v>5.9206043101945431E-2</v>
      </c>
      <c r="D6">
        <f>'Diagnosis Indicators'!D19</f>
        <v>0.11785983951050434</v>
      </c>
      <c r="E6">
        <f>'Diagnosis Indicators'!E19</f>
        <v>0.18255209349067184</v>
      </c>
      <c r="F6">
        <f>'Diagnosis Indicators'!F19</f>
        <v>0.25429138958453151</v>
      </c>
      <c r="G6">
        <f>'Diagnosis Indicators'!G19</f>
        <v>0.33433920065221795</v>
      </c>
      <c r="H6">
        <f>'Diagnosis Indicators'!H19</f>
        <v>0.42432759063533293</v>
      </c>
      <c r="I6">
        <f>'Diagnosis Indicators'!I19</f>
        <v>0.52640292765818009</v>
      </c>
      <c r="J6">
        <f>'Diagnosis Indicators'!J19</f>
        <v>0.64348610141450735</v>
      </c>
      <c r="K6">
        <f>'Diagnosis Indicators'!K19</f>
        <v>0.77968572588962604</v>
      </c>
      <c r="L6">
        <f>'Diagnosis Indicators'!L19</f>
        <v>0.94100271794272472</v>
      </c>
      <c r="M6">
        <f>'Diagnosis Indicators'!M19</f>
        <v>1.1365749805031986</v>
      </c>
      <c r="N6">
        <f>'Diagnosis Indicators'!N19</f>
        <v>1.3809699791230148</v>
      </c>
      <c r="O6">
        <f>'Diagnosis Indicators'!O19</f>
        <v>1.6985710183342884</v>
      </c>
      <c r="P6">
        <f>'Diagnosis Indicators'!P19</f>
        <v>2.1322163136068646</v>
      </c>
      <c r="Q6">
        <f>'Diagnosis Indicators'!Q19</f>
        <v>2.7599866791200158</v>
      </c>
      <c r="R6">
        <f>'Diagnosis Indicators'!R19</f>
        <v>3.7238758709983708</v>
      </c>
      <c r="S6">
        <f>'Diagnosis Indicators'!S19</f>
        <v>5.2559053522660442</v>
      </c>
      <c r="T6">
        <f>'Diagnosis Indicators'!T19</f>
        <v>7.5875433004420101</v>
      </c>
    </row>
    <row r="7" spans="1:25" x14ac:dyDescent="0.2">
      <c r="A7" t="s">
        <v>141</v>
      </c>
      <c r="B7">
        <f>'Diagnosis Indicators'!B20</f>
        <v>5.7716594496607888E-3</v>
      </c>
      <c r="C7">
        <f>'Diagnosis Indicators'!C20</f>
        <v>4.5518481263062793E-2</v>
      </c>
      <c r="D7">
        <f>'Diagnosis Indicators'!D20</f>
        <v>8.8562863514592333E-2</v>
      </c>
      <c r="E7">
        <f>'Diagnosis Indicators'!E20</f>
        <v>0.13526398872811385</v>
      </c>
      <c r="F7">
        <f>'Diagnosis Indicators'!F20</f>
        <v>0.18601627035336959</v>
      </c>
      <c r="G7">
        <f>'Diagnosis Indicators'!G20</f>
        <v>0.24124728954057867</v>
      </c>
      <c r="H7">
        <f>'Diagnosis Indicators'!H20</f>
        <v>0.30141062494707521</v>
      </c>
      <c r="I7">
        <f>'Diagnosis Indicators'!I20</f>
        <v>0.36697403507820481</v>
      </c>
      <c r="J7">
        <f>'Diagnosis Indicators'!J20</f>
        <v>0.43839724569730387</v>
      </c>
      <c r="K7">
        <f>'Diagnosis Indicators'!K20</f>
        <v>0.51610735644833494</v>
      </c>
      <c r="L7">
        <f>'Diagnosis Indicators'!L20</f>
        <v>0.60047821555057568</v>
      </c>
      <c r="M7">
        <f>'Diagnosis Indicators'!M20</f>
        <v>0.69188355998456963</v>
      </c>
      <c r="N7">
        <f>'Diagnosis Indicators'!N20</f>
        <v>0.79097882084432924</v>
      </c>
      <c r="O7">
        <f>'Diagnosis Indicators'!O20</f>
        <v>0.89968543496905795</v>
      </c>
      <c r="P7">
        <f>'Diagnosis Indicators'!P20</f>
        <v>1.0241820373121895</v>
      </c>
      <c r="Q7">
        <f>'Diagnosis Indicators'!Q20</f>
        <v>1.1839033267423165</v>
      </c>
      <c r="R7">
        <f>'Diagnosis Indicators'!R20</f>
        <v>1.4404694183402753</v>
      </c>
      <c r="S7">
        <f>'Diagnosis Indicators'!S20</f>
        <v>2.0080031520006099</v>
      </c>
      <c r="T7">
        <f>'Diagnosis Indicators'!T20</f>
        <v>3.822087954220005</v>
      </c>
      <c r="U7">
        <f>'Diagnosis Indicators'!U20</f>
        <v>12.838574374526187</v>
      </c>
      <c r="V7">
        <f>'Diagnosis Indicators'!V20</f>
        <v>18.379990226301899</v>
      </c>
      <c r="W7">
        <f>'Diagnosis Indicators'!W20</f>
        <v>28.482957892618224</v>
      </c>
      <c r="X7">
        <f>'Diagnosis Indicators'!X20</f>
        <v>50.757850970794856</v>
      </c>
      <c r="Y7">
        <f>'Diagnosis Indicators'!Y20</f>
        <v>125.26284170710795</v>
      </c>
    </row>
    <row r="8" spans="1:25" x14ac:dyDescent="0.2">
      <c r="A8" t="s">
        <v>142</v>
      </c>
      <c r="B8">
        <f>'Diagnosis Indicators'!B21</f>
        <v>5.7716594496607888E-3</v>
      </c>
      <c r="C8">
        <f>'Diagnosis Indicators'!C21</f>
        <v>4.7192252775927965E-2</v>
      </c>
      <c r="D8">
        <f>'Diagnosis Indicators'!D21</f>
        <v>9.2409102746193253E-2</v>
      </c>
      <c r="E8">
        <f>'Diagnosis Indicators'!E21</f>
        <v>0.14193019819823718</v>
      </c>
      <c r="F8">
        <f>'Diagnosis Indicators'!F21</f>
        <v>0.1963540514065705</v>
      </c>
      <c r="G8">
        <f>'Diagnosis Indicators'!G21</f>
        <v>0.2563915901416729</v>
      </c>
      <c r="H8">
        <f>'Diagnosis Indicators'!H21</f>
        <v>0.3228942042964611</v>
      </c>
      <c r="I8">
        <f>'Diagnosis Indicators'!I21</f>
        <v>0.39688949721281652</v>
      </c>
      <c r="J8">
        <f>'Diagnosis Indicators'!J21</f>
        <v>0.47962603296767758</v>
      </c>
      <c r="K8">
        <f>'Diagnosis Indicators'!K21</f>
        <v>0.57262917734484242</v>
      </c>
      <c r="L8">
        <f>'Diagnosis Indicators'!L21</f>
        <v>0.67776124666400739</v>
      </c>
      <c r="M8">
        <f>'Diagnosis Indicators'!M21</f>
        <v>0.79727603601088703</v>
      </c>
      <c r="N8">
        <f>'Diagnosis Indicators'!N21</f>
        <v>0.93383363695356425</v>
      </c>
      <c r="O8">
        <f>'Diagnosis Indicators'!O21</f>
        <v>1.0904085821804719</v>
      </c>
      <c r="P8">
        <f>'Diagnosis Indicators'!P21</f>
        <v>1.2699759029781874</v>
      </c>
      <c r="Q8">
        <f>'Diagnosis Indicators'!Q21</f>
        <v>1.4748427422845414</v>
      </c>
      <c r="R8">
        <f>'Diagnosis Indicators'!R21</f>
        <v>1.7056096592247467</v>
      </c>
      <c r="S8">
        <f>'Diagnosis Indicators'!S21</f>
        <v>1.9601099223099308</v>
      </c>
      <c r="T8">
        <f>'Diagnosis Indicators'!T21</f>
        <v>2.2330645809713805</v>
      </c>
      <c r="U8">
        <f>'Diagnosis Indicators'!U21</f>
        <v>2.5170070487101355</v>
      </c>
      <c r="V8">
        <f>'Diagnosis Indicators'!V21</f>
        <v>2.5744091437968617</v>
      </c>
      <c r="W8">
        <f>'Diagnosis Indicators'!W21</f>
        <v>2.6318731531601074</v>
      </c>
      <c r="X8">
        <f>'Diagnosis Indicators'!X21</f>
        <v>2.6893425490522742</v>
      </c>
      <c r="Y8">
        <f>'Diagnosis Indicators'!Y21</f>
        <v>2.7467636625383673</v>
      </c>
    </row>
    <row r="9" spans="1:25" x14ac:dyDescent="0.2">
      <c r="A9" t="s">
        <v>147</v>
      </c>
      <c r="B9">
        <f>'Diagnosis Indicators'!B15</f>
        <v>5.7716594496607888E-3</v>
      </c>
      <c r="C9">
        <f>'Diagnosis Indicators'!C15</f>
        <v>5.533144761672236E-2</v>
      </c>
      <c r="D9">
        <f>'Diagnosis Indicators'!D15</f>
        <v>0.11000373572638772</v>
      </c>
      <c r="E9">
        <f>'Diagnosis Indicators'!E15</f>
        <v>0.17063138141135584</v>
      </c>
      <c r="F9">
        <f>'Diagnosis Indicators'!F15</f>
        <v>0.23826507870596722</v>
      </c>
      <c r="G9">
        <f>'Diagnosis Indicators'!G15</f>
        <v>0.31423216926757364</v>
      </c>
      <c r="H9">
        <f>'Diagnosis Indicators'!H15</f>
        <v>0.40026026658351638</v>
      </c>
      <c r="I9">
        <f>'Diagnosis Indicators'!I15</f>
        <v>0.49864959921024532</v>
      </c>
      <c r="J9">
        <f>'Diagnosis Indicators'!J15</f>
        <v>0.61256978996400946</v>
      </c>
      <c r="K9">
        <f>'Diagnosis Indicators'!K15</f>
        <v>0.74655913810925589</v>
      </c>
      <c r="L9">
        <f>'Diagnosis Indicators'!L15</f>
        <v>0.90740972998436953</v>
      </c>
      <c r="M9">
        <f>'Diagnosis Indicators'!M15</f>
        <v>1.105833113273669</v>
      </c>
      <c r="N9">
        <f>'Diagnosis Indicators'!N15</f>
        <v>1.3597788848184509</v>
      </c>
      <c r="O9">
        <f>'Diagnosis Indicators'!O15</f>
        <v>1.7015340605575562</v>
      </c>
      <c r="P9">
        <f>'Diagnosis Indicators'!P15</f>
        <v>2.1941433292834507</v>
      </c>
      <c r="Q9">
        <f>'Diagnosis Indicators'!Q15</f>
        <v>2.9724417853267013</v>
      </c>
      <c r="R9">
        <f>'Diagnosis Indicators'!R15</f>
        <v>4.3528660876856611</v>
      </c>
      <c r="S9">
        <f>'Diagnosis Indicators'!S15</f>
        <v>7.1569693782349395</v>
      </c>
      <c r="T9">
        <f>'Diagnosis Indicators'!T15</f>
        <v>13.970118200724537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Feuilles de calcul</vt:lpstr>
      </vt:variant>
      <vt:variant>
        <vt:i4>15</vt:i4>
      </vt:variant>
      <vt:variant>
        <vt:lpstr>Graphiques</vt:lpstr>
      </vt:variant>
      <vt:variant>
        <vt:i4>6</vt:i4>
      </vt:variant>
      <vt:variant>
        <vt:lpstr>Plages nommées</vt:lpstr>
      </vt:variant>
      <vt:variant>
        <vt:i4>182</vt:i4>
      </vt:variant>
    </vt:vector>
  </HeadingPairs>
  <TitlesOfParts>
    <vt:vector size="203" baseType="lpstr">
      <vt:lpstr>Calibration</vt:lpstr>
      <vt:lpstr>Model</vt:lpstr>
      <vt:lpstr>Results</vt:lpstr>
      <vt:lpstr>NeoClassical</vt:lpstr>
      <vt:lpstr>Johansen</vt:lpstr>
      <vt:lpstr>Kaldorian</vt:lpstr>
      <vt:lpstr>Keynes-M</vt:lpstr>
      <vt:lpstr>Keynesian</vt:lpstr>
      <vt:lpstr>Keynes-K</vt:lpstr>
      <vt:lpstr>Neo-K1</vt:lpstr>
      <vt:lpstr>Neo-K2</vt:lpstr>
      <vt:lpstr>Diagnosis Indicators</vt:lpstr>
      <vt:lpstr>Utility_Export</vt:lpstr>
      <vt:lpstr>PShare_export</vt:lpstr>
      <vt:lpstr>Tax_export</vt:lpstr>
      <vt:lpstr>Welfare</vt:lpstr>
      <vt:lpstr>Tax</vt:lpstr>
      <vt:lpstr>GDP</vt:lpstr>
      <vt:lpstr>Inv</vt:lpstr>
      <vt:lpstr>Kshare</vt:lpstr>
      <vt:lpstr>U</vt:lpstr>
      <vt:lpstr>Calibration!AGGREGATES</vt:lpstr>
      <vt:lpstr>Model!AGGREGATES</vt:lpstr>
      <vt:lpstr>aKL</vt:lpstr>
      <vt:lpstr>aKLE</vt:lpstr>
      <vt:lpstr>Calibration!alpha</vt:lpstr>
      <vt:lpstr>Model!alpha</vt:lpstr>
      <vt:lpstr>Calibration!alphaEY</vt:lpstr>
      <vt:lpstr>Model!alphaEY</vt:lpstr>
      <vt:lpstr>Calibration!alphaMY</vt:lpstr>
      <vt:lpstr>Model!alphaMY</vt:lpstr>
      <vt:lpstr>aS</vt:lpstr>
      <vt:lpstr>aU</vt:lpstr>
      <vt:lpstr>aX</vt:lpstr>
      <vt:lpstr>aY</vt:lpstr>
      <vt:lpstr>Calibration!B</vt:lpstr>
      <vt:lpstr>Model!B</vt:lpstr>
      <vt:lpstr>bKL</vt:lpstr>
      <vt:lpstr>bKLE</vt:lpstr>
      <vt:lpstr>bS</vt:lpstr>
      <vt:lpstr>bU</vt:lpstr>
      <vt:lpstr>bX</vt:lpstr>
      <vt:lpstr>bY</vt:lpstr>
      <vt:lpstr>Calibration!CE</vt:lpstr>
      <vt:lpstr>Model!CE</vt:lpstr>
      <vt:lpstr>Calibration!Consumption</vt:lpstr>
      <vt:lpstr>Model!Consumption</vt:lpstr>
      <vt:lpstr>Model!CPI</vt:lpstr>
      <vt:lpstr>Calibration!CQ</vt:lpstr>
      <vt:lpstr>Model!CQ</vt:lpstr>
      <vt:lpstr>Calibration!D</vt:lpstr>
      <vt:lpstr>Model!D</vt:lpstr>
      <vt:lpstr>Calibration!DE</vt:lpstr>
      <vt:lpstr>Model!DE</vt:lpstr>
      <vt:lpstr>epsilonE</vt:lpstr>
      <vt:lpstr>ERROR1</vt:lpstr>
      <vt:lpstr>ERROR10</vt:lpstr>
      <vt:lpstr>ERROR11</vt:lpstr>
      <vt:lpstr>ERROR12</vt:lpstr>
      <vt:lpstr>ERROR2</vt:lpstr>
      <vt:lpstr>ERROR3</vt:lpstr>
      <vt:lpstr>ERROR4</vt:lpstr>
      <vt:lpstr>ERROR5</vt:lpstr>
      <vt:lpstr>ERROR6</vt:lpstr>
      <vt:lpstr>ERROR7</vt:lpstr>
      <vt:lpstr>ERROR8</vt:lpstr>
      <vt:lpstr>ERROR9</vt:lpstr>
      <vt:lpstr>Calibration!FACTORS</vt:lpstr>
      <vt:lpstr>Model!FACTORS</vt:lpstr>
      <vt:lpstr>Calibration!G</vt:lpstr>
      <vt:lpstr>Model!G</vt:lpstr>
      <vt:lpstr>Calibration!GDP</vt:lpstr>
      <vt:lpstr>Model!GDP</vt:lpstr>
      <vt:lpstr>Calibration!I</vt:lpstr>
      <vt:lpstr>Model!I</vt:lpstr>
      <vt:lpstr>Calibration!K</vt:lpstr>
      <vt:lpstr>Model!K</vt:lpstr>
      <vt:lpstr>Calibration!kappa</vt:lpstr>
      <vt:lpstr>Model!kappa</vt:lpstr>
      <vt:lpstr>Calibration!KL</vt:lpstr>
      <vt:lpstr>Model!KL</vt:lpstr>
      <vt:lpstr>Calibration!KL_E</vt:lpstr>
      <vt:lpstr>Model!KL_E</vt:lpstr>
      <vt:lpstr>Calibration!KL_Q</vt:lpstr>
      <vt:lpstr>Model!KL_Q</vt:lpstr>
      <vt:lpstr>Calibration!KLE</vt:lpstr>
      <vt:lpstr>Model!KLE</vt:lpstr>
      <vt:lpstr>Model!KLQ</vt:lpstr>
      <vt:lpstr>Calibration!Labour</vt:lpstr>
      <vt:lpstr>Model!Labour</vt:lpstr>
      <vt:lpstr>Calibration!Labour_E</vt:lpstr>
      <vt:lpstr>Model!Labour_E</vt:lpstr>
      <vt:lpstr>Calibration!Labour_Q</vt:lpstr>
      <vt:lpstr>Model!Labour_Q</vt:lpstr>
      <vt:lpstr>Model!LabourQ</vt:lpstr>
      <vt:lpstr>Calibration!lambda</vt:lpstr>
      <vt:lpstr>Model!lambda</vt:lpstr>
      <vt:lpstr>Calibration!M</vt:lpstr>
      <vt:lpstr>Model!M</vt:lpstr>
      <vt:lpstr>MAXERROR</vt:lpstr>
      <vt:lpstr>Calibration!omegaG</vt:lpstr>
      <vt:lpstr>Model!omegaG</vt:lpstr>
      <vt:lpstr>Calibration!omegaI</vt:lpstr>
      <vt:lpstr>Model!omegaI</vt:lpstr>
      <vt:lpstr>Calibration!pC</vt:lpstr>
      <vt:lpstr>Model!pC</vt:lpstr>
      <vt:lpstr>Calibration!pCE</vt:lpstr>
      <vt:lpstr>Model!pCE</vt:lpstr>
      <vt:lpstr>Calibration!pCQ</vt:lpstr>
      <vt:lpstr>Model!pCQ</vt:lpstr>
      <vt:lpstr>Calibration!pD</vt:lpstr>
      <vt:lpstr>Model!pD</vt:lpstr>
      <vt:lpstr>Calibration!pEY</vt:lpstr>
      <vt:lpstr>Model!pEY</vt:lpstr>
      <vt:lpstr>Calibration!pG</vt:lpstr>
      <vt:lpstr>Model!pG</vt:lpstr>
      <vt:lpstr>Calibration!pI</vt:lpstr>
      <vt:lpstr>Model!pI</vt:lpstr>
      <vt:lpstr>Calibration!pIC</vt:lpstr>
      <vt:lpstr>Model!pIC</vt:lpstr>
      <vt:lpstr>Calibration!pK</vt:lpstr>
      <vt:lpstr>Model!pK</vt:lpstr>
      <vt:lpstr>Calibration!pKL</vt:lpstr>
      <vt:lpstr>Model!pKL</vt:lpstr>
      <vt:lpstr>Calibration!pKLE</vt:lpstr>
      <vt:lpstr>Model!pKLE</vt:lpstr>
      <vt:lpstr>Calibration!pL</vt:lpstr>
      <vt:lpstr>Model!pL</vt:lpstr>
      <vt:lpstr>Calibration!pMY</vt:lpstr>
      <vt:lpstr>Model!pMY</vt:lpstr>
      <vt:lpstr>Calibration!pQ</vt:lpstr>
      <vt:lpstr>Model!pQ</vt:lpstr>
      <vt:lpstr>Calibration!PRICES</vt:lpstr>
      <vt:lpstr>Model!PRICES</vt:lpstr>
      <vt:lpstr>Calibration!pS</vt:lpstr>
      <vt:lpstr>Model!pS</vt:lpstr>
      <vt:lpstr>Calibration!pW</vt:lpstr>
      <vt:lpstr>Model!pW</vt:lpstr>
      <vt:lpstr>Calibration!pX</vt:lpstr>
      <vt:lpstr>Model!pX</vt:lpstr>
      <vt:lpstr>Calibration!pY</vt:lpstr>
      <vt:lpstr>Model!pY</vt:lpstr>
      <vt:lpstr>Calibration!Revenue</vt:lpstr>
      <vt:lpstr>Model!Revenue</vt:lpstr>
      <vt:lpstr>rhoKL</vt:lpstr>
      <vt:lpstr>rhoKLE</vt:lpstr>
      <vt:lpstr>rhoS</vt:lpstr>
      <vt:lpstr>rhoU</vt:lpstr>
      <vt:lpstr>rhoX</vt:lpstr>
      <vt:lpstr>rhoY</vt:lpstr>
      <vt:lpstr>Calibration!S</vt:lpstr>
      <vt:lpstr>Model!S</vt:lpstr>
      <vt:lpstr>Calibration!sD</vt:lpstr>
      <vt:lpstr>Model!sD</vt:lpstr>
      <vt:lpstr>Calibration!SE</vt:lpstr>
      <vt:lpstr>Model!SE</vt:lpstr>
      <vt:lpstr>Calibration!sG</vt:lpstr>
      <vt:lpstr>Model!sG</vt:lpstr>
      <vt:lpstr>sigmaKL</vt:lpstr>
      <vt:lpstr>sigmaKLE</vt:lpstr>
      <vt:lpstr>sigmaS</vt:lpstr>
      <vt:lpstr>sigmaU</vt:lpstr>
      <vt:lpstr>sigmaw</vt:lpstr>
      <vt:lpstr>sigmaX</vt:lpstr>
      <vt:lpstr>sigmaY</vt:lpstr>
      <vt:lpstr>Calibration!sK</vt:lpstr>
      <vt:lpstr>Model!sK</vt:lpstr>
      <vt:lpstr>Calibration!sL</vt:lpstr>
      <vt:lpstr>Model!sL</vt:lpstr>
      <vt:lpstr>Calibration!T</vt:lpstr>
      <vt:lpstr>T</vt:lpstr>
      <vt:lpstr>Target</vt:lpstr>
      <vt:lpstr>Calibration!tauL</vt:lpstr>
      <vt:lpstr>Model!tauL</vt:lpstr>
      <vt:lpstr>Calibration!tauTS</vt:lpstr>
      <vt:lpstr>Model!tauTS</vt:lpstr>
      <vt:lpstr>Model!tauTS2</vt:lpstr>
      <vt:lpstr>Calibration!tauTVA</vt:lpstr>
      <vt:lpstr>Model!tauTVA</vt:lpstr>
      <vt:lpstr>Calibration!tauY</vt:lpstr>
      <vt:lpstr>Model!tauY</vt:lpstr>
      <vt:lpstr>Calibration!tEXC</vt:lpstr>
      <vt:lpstr>Model!tEXC</vt:lpstr>
      <vt:lpstr>Calibration!tEXC1</vt:lpstr>
      <vt:lpstr>Model!tEXC1</vt:lpstr>
      <vt:lpstr>Calibration!tEXC2</vt:lpstr>
      <vt:lpstr>Model!tEXC2</vt:lpstr>
      <vt:lpstr>Calibration!U</vt:lpstr>
      <vt:lpstr>Model!U</vt:lpstr>
      <vt:lpstr>Calibration!VARIABLES</vt:lpstr>
      <vt:lpstr>Model!VARIABLES</vt:lpstr>
      <vt:lpstr>Calibration!VOLUMES</vt:lpstr>
      <vt:lpstr>Model!VOLUMES</vt:lpstr>
      <vt:lpstr>Calibration!w</vt:lpstr>
      <vt:lpstr>Model!w</vt:lpstr>
      <vt:lpstr>Model!wE</vt:lpstr>
      <vt:lpstr>Model!wQ</vt:lpstr>
      <vt:lpstr>Calibration!X</vt:lpstr>
      <vt:lpstr>Model!X</vt:lpstr>
      <vt:lpstr>Calibration!XE</vt:lpstr>
      <vt:lpstr>Model!XE</vt:lpstr>
      <vt:lpstr>Calibration!Y</vt:lpstr>
      <vt:lpstr>Model!Y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Ghersi</dc:creator>
  <cp:lastModifiedBy>Louis Daumas</cp:lastModifiedBy>
  <dcterms:created xsi:type="dcterms:W3CDTF">2012-11-16T13:59:17Z</dcterms:created>
  <dcterms:modified xsi:type="dcterms:W3CDTF">2025-07-30T15:22:38Z</dcterms:modified>
</cp:coreProperties>
</file>